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52" documentId="11_6034A8D24D14BF460B0C50849224F53B42431133" xr6:coauthVersionLast="47" xr6:coauthVersionMax="47" xr10:uidLastSave="{D8EDAC3C-324D-4BD3-9F65-642AE9941B15}"/>
  <bookViews>
    <workbookView xWindow="-120" yWindow="-120" windowWidth="29040" windowHeight="16440" tabRatio="1000" activeTab="10"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L11" i="11"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L5" i="11" s="1"/>
  <c r="AI5" i="11"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C11" i="11"/>
  <c r="Z11" i="11"/>
  <c r="Y11" i="11"/>
  <c r="X11" i="11"/>
  <c r="W11" i="11"/>
  <c r="V11" i="11"/>
  <c r="AB11" i="11" s="1"/>
  <c r="U11" i="11"/>
  <c r="S11" i="11"/>
  <c r="Q11" i="11"/>
  <c r="P11" i="11"/>
  <c r="O11" i="11"/>
  <c r="N11" i="1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C5" i="11"/>
  <c r="Z5" i="11"/>
  <c r="Y5" i="11"/>
  <c r="X5" i="11"/>
  <c r="W5" i="11"/>
  <c r="V5" i="11"/>
  <c r="AA5" i="11" s="1"/>
  <c r="U5" i="11"/>
  <c r="S5" i="11"/>
  <c r="Q5" i="11"/>
  <c r="P5" i="11"/>
  <c r="O5" i="11"/>
  <c r="N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I11" i="3" l="1"/>
  <c r="C7" i="11" s="1"/>
  <c r="R11" i="11"/>
  <c r="T11" i="11" s="1"/>
  <c r="AI11" i="11"/>
  <c r="AJ11" i="11" s="1"/>
  <c r="R5" i="11"/>
  <c r="AJ5" i="11" s="1"/>
  <c r="J3" i="1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5" i="7" l="1"/>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D34" i="7"/>
  <c r="C34" i="7"/>
  <c r="D29" i="7"/>
  <c r="E30" i="7"/>
  <c r="F25" i="7"/>
  <c r="J36" i="7"/>
  <c r="D27" i="7"/>
  <c r="C24" i="7"/>
  <c r="H34" i="7"/>
  <c r="D31" i="7"/>
  <c r="G26" i="7"/>
  <c r="H23" i="7"/>
  <c r="F29" i="7"/>
  <c r="J24" i="7"/>
  <c r="B28" i="7"/>
  <c r="C29" i="7"/>
  <c r="D24" i="7"/>
  <c r="E35" i="7"/>
  <c r="J25" i="7"/>
  <c r="I22" i="7"/>
  <c r="C33" i="7"/>
  <c r="I29" i="7"/>
  <c r="C25" i="7"/>
  <c r="D22" i="7"/>
  <c r="E29" i="7"/>
  <c r="F32" i="7"/>
  <c r="J26" i="7"/>
  <c r="F37" i="7"/>
  <c r="B23" i="7"/>
  <c r="G33" i="7"/>
  <c r="E24" i="7"/>
  <c r="G36" i="7"/>
  <c r="E31" i="7"/>
  <c r="D28" i="7"/>
  <c r="I23" i="7"/>
  <c r="B37" i="7"/>
  <c r="D37" i="7"/>
  <c r="G23" i="7"/>
  <c r="H25" i="7"/>
  <c r="D36" i="7"/>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6" i="7" l="1"/>
  <c r="K29" i="7"/>
  <c r="K35" i="7"/>
  <c r="K26" i="7"/>
  <c r="K25" i="7"/>
  <c r="K13" i="7"/>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H83" i="7"/>
  <c r="H73" i="7"/>
  <c r="H74" i="7"/>
  <c r="D46" i="8"/>
  <c r="B19" i="8"/>
  <c r="B5" i="9" s="1"/>
  <c r="E7" i="8"/>
  <c r="H80" i="7"/>
  <c r="H82" i="7"/>
  <c r="G84" i="7"/>
  <c r="H75" i="7"/>
  <c r="G71" i="7"/>
  <c r="B75" i="7"/>
  <c r="B78" i="7"/>
  <c r="F83" i="7"/>
  <c r="C81" i="7"/>
  <c r="G81" i="7" s="1"/>
  <c r="H81" i="7"/>
  <c r="H77" i="7"/>
  <c r="H78" i="7"/>
  <c r="G75" i="7" l="1"/>
  <c r="G79" i="7"/>
  <c r="G78" i="7"/>
  <c r="G77" i="7"/>
  <c r="G80" i="7"/>
  <c r="G74" i="7"/>
  <c r="G73" i="7"/>
  <c r="G72" i="7"/>
  <c r="G76" i="7"/>
  <c r="B21" i="8"/>
  <c r="B7" i="9" s="1"/>
  <c r="F7" i="8"/>
  <c r="E8" i="8"/>
  <c r="B22" i="8" l="1"/>
  <c r="B8" i="9" s="1"/>
  <c r="F8" i="8"/>
  <c r="E9" i="8"/>
  <c r="B23" i="8" l="1"/>
  <c r="B9" i="9" s="1"/>
  <c r="F9" i="8"/>
  <c r="E10" i="8"/>
  <c r="AN5" i="11" s="1"/>
  <c r="AO5" i="11" s="1"/>
  <c r="B19" i="9" l="1"/>
  <c r="A9" i="10" s="1"/>
  <c r="A25" i="10" s="1"/>
  <c r="B21" i="9"/>
  <c r="AN13" i="11"/>
  <c r="AO13" i="11" s="1"/>
  <c r="B24" i="8"/>
  <c r="B10" i="9" s="1"/>
  <c r="F10" i="8"/>
  <c r="AN9" i="11"/>
  <c r="AO9" i="11" s="1"/>
  <c r="AN15" i="11"/>
  <c r="AO15" i="11" s="1"/>
  <c r="AN17" i="11"/>
  <c r="AO17" i="11" s="1"/>
  <c r="AN11" i="11"/>
  <c r="AO11" i="11" s="1"/>
  <c r="AN16" i="11"/>
  <c r="AO16" i="11" s="1"/>
  <c r="AN14" i="11"/>
  <c r="AO14" i="11" s="1"/>
  <c r="AN12" i="11"/>
  <c r="AO12" i="11" s="1"/>
  <c r="AN4" i="11"/>
  <c r="AO4" i="11" s="1"/>
  <c r="AN10" i="11"/>
  <c r="AO10" i="11" s="1"/>
  <c r="AN7" i="11"/>
  <c r="AO7" i="11" s="1"/>
  <c r="AN6" i="11"/>
  <c r="AO6" i="11" s="1"/>
  <c r="AN2" i="11"/>
  <c r="AO2" i="11" s="1"/>
  <c r="AN8" i="11"/>
  <c r="AO8" i="11" s="1"/>
  <c r="AN3" i="11"/>
  <c r="AO3" i="11" s="1"/>
  <c r="B18" i="9" l="1"/>
  <c r="A8" i="10" s="1"/>
  <c r="A24" i="10" s="1"/>
  <c r="B22" i="9"/>
  <c r="C15" i="8"/>
  <c r="B15" i="8"/>
  <c r="B26" i="8" s="1"/>
  <c r="B12" i="9" s="1"/>
  <c r="C14" i="8"/>
  <c r="B14" i="8"/>
  <c r="B25" i="8" s="1"/>
  <c r="B11" i="9" s="1"/>
  <c r="B17" i="9" l="1"/>
  <c r="A7" i="10" s="1"/>
  <c r="B14" i="10" s="1"/>
  <c r="B23" i="9"/>
  <c r="B16" i="9"/>
  <c r="A6" i="10" s="1"/>
  <c r="A22" i="10" s="1"/>
  <c r="B20" i="9"/>
  <c r="B15" i="10" l="1"/>
  <c r="B16" i="10"/>
  <c r="B13" i="10"/>
  <c r="E34" i="8" s="1"/>
  <c r="F34" i="8" s="1"/>
  <c r="A23" i="10"/>
  <c r="E42" i="8" l="1"/>
  <c r="F42" i="8" s="1"/>
  <c r="E45" i="8"/>
  <c r="F45" i="8" s="1"/>
  <c r="E38" i="8"/>
  <c r="F38" i="8" s="1"/>
  <c r="E30" i="8"/>
  <c r="F30" i="8" s="1"/>
  <c r="E39" i="8"/>
  <c r="F39" i="8" s="1"/>
  <c r="E32" i="8"/>
  <c r="F32" i="8" s="1"/>
  <c r="E36" i="8"/>
  <c r="F36" i="8" s="1"/>
  <c r="E35" i="8"/>
  <c r="F35" i="8" s="1"/>
  <c r="E37" i="8"/>
  <c r="F37" i="8" s="1"/>
  <c r="E41" i="8"/>
  <c r="F41" i="8" s="1"/>
  <c r="E43" i="8"/>
  <c r="F43" i="8" s="1"/>
  <c r="E40" i="8"/>
  <c r="F40" i="8" s="1"/>
  <c r="E33" i="8"/>
  <c r="F33" i="8" s="1"/>
  <c r="E31" i="8"/>
  <c r="F31" i="8" s="1"/>
  <c r="E44" i="8"/>
  <c r="F44" i="8" s="1"/>
  <c r="F46" i="8" l="1"/>
  <c r="E46" i="8"/>
</calcChain>
</file>

<file path=xl/sharedStrings.xml><?xml version="1.0" encoding="utf-8"?>
<sst xmlns="http://schemas.openxmlformats.org/spreadsheetml/2006/main" count="804" uniqueCount="281">
  <si>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</si>
  <si>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</si>
  <si>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</si>
  <si>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</si>
  <si>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</si>
  <si>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</si>
  <si>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</si>
  <si>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</si>
  <si>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</si>
  <si>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</si>
  <si>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</si>
  <si>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</si>
  <si>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</si>
  <si>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</si>
  <si>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</si>
  <si>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</si>
  <si>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</si>
  <si>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</si>
  <si>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</si>
  <si>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</si>
  <si>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</si>
  <si>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</si>
  <si>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</si>
  <si>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</si>
  <si>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</si>
  <si>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</si>
  <si>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</si>
  <si>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</si>
  <si>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</si>
  <si>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</si>
  <si>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</si>
  <si>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</si>
  <si>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</si>
  <si>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</si>
  <si>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</si>
  <si>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</si>
  <si>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</si>
  <si>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</si>
  <si>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</si>
  <si>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</si>
  <si>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</si>
  <si>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</si>
  <si>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</si>
  <si>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</si>
  <si>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</si>
  <si>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</si>
  <si>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</si>
  <si>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</si>
  <si>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</si>
  <si>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</si>
  <si>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</si>
  <si>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</si>
  <si>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</si>
  <si>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</si>
  <si>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</si>
  <si>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</si>
  <si>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</si>
  <si>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</si>
  <si>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</si>
  <si>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</si>
  <si>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</si>
  <si>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</si>
  <si>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</si>
  <si>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</si>
  <si>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</si>
  <si>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</si>
  <si>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</si>
  <si>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</si>
  <si>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</si>
  <si>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</si>
  <si>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</si>
  <si>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</si>
  <si>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</si>
  <si>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</si>
  <si>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</si>
  <si>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</si>
  <si>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</si>
  <si>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</si>
  <si>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</si>
  <si>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</si>
  <si>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</si>
  <si>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</si>
  <si>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</si>
  <si>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</si>
  <si>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</si>
  <si>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</si>
  <si>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</si>
  <si>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</si>
  <si>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</si>
  <si>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</si>
  <si>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</si>
  <si>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</si>
  <si>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</si>
  <si>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</si>
  <si>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</si>
  <si>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</si>
  <si>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</si>
  <si>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</si>
  <si>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</si>
  <si>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</si>
  <si>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</si>
  <si>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</si>
  <si>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</si>
  <si>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</si>
  <si>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</si>
  <si>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</si>
  <si>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</si>
  <si>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</si>
  <si>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</si>
  <si>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</si>
  <si>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</si>
  <si>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</si>
  <si>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</si>
  <si>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</si>
  <si>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</si>
  <si>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</si>
  <si>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</si>
  <si>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</si>
  <si>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</si>
  <si>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</si>
  <si>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</si>
  <si>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</si>
  <si>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</si>
  <si>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</si>
  <si>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</si>
  <si>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</si>
  <si>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</si>
  <si>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</si>
  <si>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</si>
  <si>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</si>
  <si>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</si>
  <si>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</si>
  <si>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</si>
  <si>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</si>
  <si>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</si>
  <si>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</si>
  <si>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</si>
  <si>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</si>
  <si>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</si>
  <si>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</si>
  <si>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</si>
  <si>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</si>
  <si>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</si>
  <si>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</si>
  <si>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</si>
  <si>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</si>
  <si>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</si>
  <si>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</si>
  <si>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</si>
  <si>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</si>
  <si>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</si>
  <si>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</si>
  <si>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</si>
  <si>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</si>
  <si>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</si>
  <si>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</si>
  <si>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</si>
  <si>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</si>
  <si>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</si>
  <si>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</si>
  <si>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</si>
  <si>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</si>
  <si>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</si>
  <si>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</si>
  <si>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</si>
  <si>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</si>
  <si>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</si>
  <si>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</si>
  <si>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</si>
  <si>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</si>
  <si>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</si>
  <si>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</si>
  <si>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</si>
  <si>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</si>
  <si>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</si>
  <si>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</si>
  <si>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</si>
  <si>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</si>
  <si>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</si>
  <si>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</si>
  <si>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</si>
  <si>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</si>
  <si>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</si>
  <si>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</si>
  <si>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</si>
  <si>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</si>
  <si>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</si>
  <si>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</si>
  <si>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</si>
  <si>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</si>
  <si>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</si>
  <si>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</si>
  <si>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</si>
  <si>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</si>
  <si>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</si>
  <si>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</si>
  <si>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</si>
  <si>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</si>
  <si>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</si>
  <si>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</si>
  <si>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</si>
  <si>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</si>
  <si>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</si>
  <si>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</si>
  <si>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</si>
  <si>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</si>
  <si>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</si>
  <si>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</si>
  <si>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</si>
  <si>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</si>
  <si>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</si>
  <si>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</si>
  <si>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</si>
  <si>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</si>
  <si>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</si>
  <si>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</si>
  <si>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</si>
  <si>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</si>
  <si>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</si>
  <si>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</si>
  <si>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</si>
  <si>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</si>
  <si>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</si>
  <si>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</si>
  <si>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</si>
  <si>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</si>
  <si>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</si>
  <si>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</si>
  <si>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</si>
  <si>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</si>
  <si>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</si>
  <si>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</si>
  <si>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</si>
  <si>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</si>
  <si>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</si>
  <si>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</si>
  <si>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</si>
  <si>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</si>
  <si>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</si>
  <si>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</si>
  <si>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</si>
  <si>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</si>
  <si>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</si>
  <si>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</si>
  <si>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</si>
  <si>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</si>
  <si>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</si>
  <si>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</si>
  <si>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</si>
  <si>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</si>
  <si>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</si>
  <si>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</si>
  <si>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</si>
  <si>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</si>
  <si>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</si>
  <si>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</si>
  <si>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</si>
  <si>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</si>
  <si>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</si>
  <si>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</si>
  <si>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</si>
  <si>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</si>
  <si>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</si>
  <si>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</si>
  <si>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</si>
  <si>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</si>
  <si>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</si>
  <si>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</si>
  <si>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</si>
  <si>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</si>
  <si>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</si>
  <si>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</si>
  <si>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</si>
  <si>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</si>
  <si>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</si>
  <si>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</si>
  <si>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</si>
  <si>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</si>
  <si>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Update this number each week (1-23)</t>
  </si>
  <si>
    <t>Welcome!</t>
  </si>
  <si>
    <t>NFL Picks League!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</si>
</sst>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8" fillId="5"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zoomScaleNormal="100" workbookViewId="0">
      <selection activeCell="G22" sqref="G22"/>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0</v>
      </c>
    </row>
    <row r="21" spans="1:4" ht="15" customHeight="1" x14ac:dyDescent="0.25">
      <c r="A21" s="6" t="s">
        <v>278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1" t="s">
        <v>34</v>
      </c>
      <c r="B1" s="71"/>
      <c r="C1" s="71"/>
      <c r="D1" s="71"/>
      <c r="E1" s="71"/>
      <c r="F1" s="71"/>
    </row>
    <row r="2" spans="1:6" ht="15" customHeight="1" x14ac:dyDescent="0.25">
      <c r="A2" s="72" t="s">
        <v>35</v>
      </c>
      <c r="B2" s="72"/>
      <c r="C2" s="72"/>
      <c r="D2" s="72"/>
      <c r="E2" s="72"/>
      <c r="F2" s="72"/>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2" t="s">
        <v>40</v>
      </c>
      <c r="B13" s="72"/>
      <c r="C13" s="72"/>
      <c r="D13" s="72"/>
      <c r="E13" s="72"/>
      <c r="F13" s="72"/>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2" t="s">
        <v>41</v>
      </c>
      <c r="B24" s="72"/>
      <c r="C24" s="72"/>
      <c r="D24" s="72"/>
      <c r="E24" s="72"/>
      <c r="F24" s="72"/>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2" t="s">
        <v>42</v>
      </c>
      <c r="B35" s="72"/>
      <c r="C35" s="72"/>
      <c r="D35" s="72"/>
      <c r="E35" s="72"/>
      <c r="F35" s="72"/>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2" t="s">
        <v>43</v>
      </c>
      <c r="B46" s="72"/>
      <c r="C46" s="72"/>
      <c r="D46" s="72"/>
      <c r="E46" s="72"/>
      <c r="F46" s="72"/>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2" t="s">
        <v>44</v>
      </c>
      <c r="B57" s="72"/>
      <c r="C57" s="72"/>
      <c r="D57" s="72"/>
      <c r="E57" s="72"/>
      <c r="F57" s="72"/>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1" t="s">
        <v>45</v>
      </c>
      <c r="B68" s="71"/>
      <c r="C68" s="71"/>
      <c r="D68" s="71"/>
      <c r="E68" s="71"/>
      <c r="F68" s="71"/>
    </row>
    <row r="69" spans="1:6" ht="15" customHeight="1" x14ac:dyDescent="0.25">
      <c r="A69" s="72" t="s">
        <v>46</v>
      </c>
      <c r="B69" s="72"/>
      <c r="C69" s="72"/>
      <c r="D69" s="72"/>
      <c r="E69" s="72"/>
      <c r="F69" s="72"/>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2" t="s">
        <v>47</v>
      </c>
      <c r="B80" s="72"/>
      <c r="C80" s="72"/>
      <c r="D80" s="72"/>
      <c r="E80" s="72"/>
      <c r="F80" s="72"/>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2" t="s">
        <v>48</v>
      </c>
      <c r="B91" s="72"/>
      <c r="C91" s="72"/>
      <c r="D91" s="72"/>
      <c r="E91" s="72"/>
      <c r="F91" s="72"/>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2" t="s">
        <v>49</v>
      </c>
      <c r="B102" s="72"/>
      <c r="C102" s="72"/>
      <c r="D102" s="72"/>
      <c r="E102" s="72"/>
      <c r="F102" s="72"/>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2" t="s">
        <v>50</v>
      </c>
      <c r="B113" s="72"/>
      <c r="C113" s="72"/>
      <c r="D113" s="72"/>
      <c r="E113" s="72"/>
      <c r="F113" s="72"/>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2" t="s">
        <v>51</v>
      </c>
      <c r="B124" s="72"/>
      <c r="C124" s="72"/>
      <c r="D124" s="72"/>
      <c r="E124" s="72"/>
      <c r="F124" s="72"/>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1" t="s">
        <v>52</v>
      </c>
      <c r="B135" s="71"/>
      <c r="C135" s="71"/>
      <c r="D135" s="71"/>
      <c r="E135" s="71"/>
      <c r="F135" s="71"/>
    </row>
    <row r="136" spans="1:6" ht="15" customHeight="1" x14ac:dyDescent="0.25">
      <c r="A136" s="72" t="s">
        <v>53</v>
      </c>
      <c r="B136" s="72"/>
      <c r="C136" s="72"/>
      <c r="D136" s="72"/>
      <c r="E136" s="72"/>
      <c r="F136" s="72"/>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2" t="s">
        <v>54</v>
      </c>
      <c r="B147" s="72"/>
      <c r="C147" s="72"/>
      <c r="D147" s="72"/>
      <c r="E147" s="72"/>
      <c r="F147" s="72"/>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2" t="s">
        <v>55</v>
      </c>
      <c r="B158" s="72"/>
      <c r="C158" s="72"/>
      <c r="D158" s="72"/>
      <c r="E158" s="72"/>
      <c r="F158" s="72"/>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2" t="s">
        <v>56</v>
      </c>
      <c r="B169" s="72"/>
      <c r="C169" s="72"/>
      <c r="D169" s="72"/>
      <c r="E169" s="72"/>
      <c r="F169" s="72"/>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2" t="s">
        <v>57</v>
      </c>
      <c r="B180" s="72"/>
      <c r="C180" s="72"/>
      <c r="D180" s="72"/>
      <c r="E180" s="72"/>
      <c r="F180" s="72"/>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2" t="s">
        <v>58</v>
      </c>
      <c r="B191" s="72"/>
      <c r="C191" s="72"/>
      <c r="D191" s="72"/>
      <c r="E191" s="72"/>
      <c r="F191" s="72"/>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C6" sqref="C6"/>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c r="D6" s="9">
        <v>5</v>
      </c>
      <c r="E6" s="9">
        <f>C10</f>
        <v>0</v>
      </c>
      <c r="F6" s="2" t="str">
        <f t="shared" ref="F6:F21" si="0">IF(AND(C6=0,E6=0),"-",IF(C6&gt;E6,"W",IF(C6&lt;E6,"L","T")))</f>
        <v>-</v>
      </c>
      <c r="G6" s="2">
        <f t="shared" ref="G6:G21" si="1">IF(F6="W",6,IF(F6="T",3,0))</f>
        <v>0</v>
      </c>
      <c r="H6" s="2">
        <f t="shared" ref="H6:H21" si="2">C6</f>
        <v>0</v>
      </c>
      <c r="I6" s="15">
        <f t="shared" ref="I6:I21" si="3">G6+H6</f>
        <v>0</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C15" sqref="C15"/>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T17" sqref="T17"/>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5" t="s">
        <v>192</v>
      </c>
      <c r="B1" s="75"/>
      <c r="C1" s="75"/>
      <c r="D1" s="75"/>
      <c r="E1" s="75"/>
      <c r="F1" s="75"/>
      <c r="G1" s="75"/>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16</v>
      </c>
      <c r="C5" s="14"/>
      <c r="D5" s="51">
        <f t="shared" ref="D5:D12" si="0">C5+A5*0.001</f>
        <v>1E-3</v>
      </c>
      <c r="E5" s="14"/>
      <c r="F5" s="14">
        <v>0</v>
      </c>
      <c r="G5" s="14">
        <v>0</v>
      </c>
      <c r="H5" s="51">
        <f t="shared" ref="H5:H12" si="1">C5*10000000+(100-E5)*100000+F5*1000+G5*10+A5*0.001</f>
        <v>10000000.001</v>
      </c>
    </row>
    <row r="6" spans="1:8" ht="15" customHeight="1" x14ac:dyDescent="0.25">
      <c r="A6" s="2">
        <v>2</v>
      </c>
      <c r="B6" s="45" t="str">
        <f>'Playoff Picture'!B20</f>
        <v>Player 15</v>
      </c>
      <c r="C6" s="14"/>
      <c r="D6" s="51">
        <f t="shared" si="0"/>
        <v>2E-3</v>
      </c>
      <c r="E6" s="14"/>
      <c r="F6" s="14">
        <v>0</v>
      </c>
      <c r="G6" s="14">
        <v>0</v>
      </c>
      <c r="H6" s="51">
        <f t="shared" si="1"/>
        <v>10000000.002</v>
      </c>
    </row>
    <row r="7" spans="1:8" ht="15" customHeight="1" x14ac:dyDescent="0.25">
      <c r="A7" s="2">
        <v>3</v>
      </c>
      <c r="B7" s="45" t="str">
        <f>'Playoff Picture'!B21</f>
        <v>Player 4</v>
      </c>
      <c r="C7" s="14"/>
      <c r="D7" s="51">
        <f t="shared" si="0"/>
        <v>3.0000000000000001E-3</v>
      </c>
      <c r="E7" s="14"/>
      <c r="F7" s="14">
        <v>0</v>
      </c>
      <c r="G7" s="14">
        <v>0</v>
      </c>
      <c r="H7" s="51">
        <f t="shared" si="1"/>
        <v>10000000.003</v>
      </c>
    </row>
    <row r="8" spans="1:8" ht="15" customHeight="1" x14ac:dyDescent="0.25">
      <c r="A8" s="2">
        <v>4</v>
      </c>
      <c r="B8" s="45" t="str">
        <f>'Playoff Picture'!B22</f>
        <v>Player 8</v>
      </c>
      <c r="C8" s="14"/>
      <c r="D8" s="51">
        <f t="shared" si="0"/>
        <v>4.0000000000000001E-3</v>
      </c>
      <c r="E8" s="14"/>
      <c r="F8" s="14">
        <v>0</v>
      </c>
      <c r="G8" s="14">
        <v>0</v>
      </c>
      <c r="H8" s="51">
        <f t="shared" si="1"/>
        <v>10000000.004000001</v>
      </c>
    </row>
    <row r="9" spans="1:8" ht="15" customHeight="1" x14ac:dyDescent="0.25">
      <c r="A9" s="2">
        <v>5</v>
      </c>
      <c r="B9" s="45" t="str">
        <f>'Playoff Picture'!B23</f>
        <v>Player 12</v>
      </c>
      <c r="C9" s="14"/>
      <c r="D9" s="51">
        <f t="shared" si="0"/>
        <v>5.0000000000000001E-3</v>
      </c>
      <c r="E9" s="14"/>
      <c r="F9" s="14">
        <v>0</v>
      </c>
      <c r="G9" s="14">
        <v>0</v>
      </c>
      <c r="H9" s="51">
        <f t="shared" si="1"/>
        <v>10000000.005000001</v>
      </c>
    </row>
    <row r="10" spans="1:8" ht="15" customHeight="1" x14ac:dyDescent="0.25">
      <c r="A10" s="2">
        <v>6</v>
      </c>
      <c r="B10" s="45" t="str">
        <f>'Playoff Picture'!B24</f>
        <v>Player 14</v>
      </c>
      <c r="C10" s="14"/>
      <c r="D10" s="51">
        <f t="shared" si="0"/>
        <v>6.0000000000000001E-3</v>
      </c>
      <c r="E10" s="14"/>
      <c r="F10" s="14">
        <v>0</v>
      </c>
      <c r="G10" s="14">
        <v>0</v>
      </c>
      <c r="H10" s="51">
        <f t="shared" si="1"/>
        <v>10000000.005999999</v>
      </c>
    </row>
    <row r="11" spans="1:8" ht="15" customHeight="1" x14ac:dyDescent="0.25">
      <c r="A11" s="2">
        <v>7</v>
      </c>
      <c r="B11" s="45" t="str">
        <f>'Playoff Picture'!B25</f>
        <v>Player 13</v>
      </c>
      <c r="C11" s="14"/>
      <c r="D11" s="51">
        <f t="shared" si="0"/>
        <v>7.0000000000000001E-3</v>
      </c>
      <c r="E11" s="14"/>
      <c r="F11" s="14">
        <v>0</v>
      </c>
      <c r="G11" s="14">
        <v>0</v>
      </c>
      <c r="H11" s="51">
        <f t="shared" si="1"/>
        <v>10000000.006999999</v>
      </c>
    </row>
    <row r="12" spans="1:8" ht="15" customHeight="1" x14ac:dyDescent="0.25">
      <c r="A12" s="2">
        <v>8</v>
      </c>
      <c r="B12" s="45" t="str">
        <f>'Playoff Picture'!B26</f>
        <v>Player 11</v>
      </c>
      <c r="C12" s="14"/>
      <c r="D12" s="51">
        <f t="shared" si="0"/>
        <v>8.0000000000000002E-3</v>
      </c>
      <c r="E12" s="14"/>
      <c r="F12" s="14">
        <v>0</v>
      </c>
      <c r="G12" s="14">
        <v>0</v>
      </c>
      <c r="H12" s="51">
        <f t="shared" si="1"/>
        <v>10000000.007999999</v>
      </c>
    </row>
    <row r="14" spans="1:8" ht="15" customHeight="1" x14ac:dyDescent="0.25">
      <c r="A14" s="76" t="s">
        <v>199</v>
      </c>
      <c r="B14" s="76"/>
      <c r="C14" s="76"/>
      <c r="D14" s="76"/>
      <c r="E14" s="76"/>
      <c r="F14" s="76"/>
      <c r="G14" s="76"/>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11</v>
      </c>
      <c r="C16" s="2">
        <f>INDEX($C$5:$C$12,MATCH(LARGE($H$5:$H$12,1),$H$5:$H$12,0))</f>
        <v>0</v>
      </c>
      <c r="D16" s="2"/>
      <c r="E16" s="36" t="s">
        <v>200</v>
      </c>
    </row>
    <row r="17" spans="1:5" ht="15" customHeight="1" x14ac:dyDescent="0.25">
      <c r="A17" s="44">
        <v>2</v>
      </c>
      <c r="B17" s="44" t="str">
        <f>INDEX($B$5:$B$12,MATCH(LARGE($H$5:$H$12,2),$H$5:$H$12,0))</f>
        <v>Player 13</v>
      </c>
      <c r="C17" s="2">
        <f>INDEX($C$5:$C$12,MATCH(LARGE($H$5:$H$12,2),$H$5:$H$12,0))</f>
        <v>0</v>
      </c>
      <c r="D17" s="2"/>
      <c r="E17" s="36" t="s">
        <v>200</v>
      </c>
    </row>
    <row r="18" spans="1:5" ht="15" customHeight="1" x14ac:dyDescent="0.25">
      <c r="A18" s="44">
        <v>3</v>
      </c>
      <c r="B18" s="44" t="str">
        <f>INDEX($B$5:$B$12,MATCH(LARGE($H$5:$H$12,3),$H$5:$H$12,0))</f>
        <v>Player 14</v>
      </c>
      <c r="C18" s="2">
        <f>INDEX($C$5:$C$12,MATCH(LARGE($H$5:$H$12,3),$H$5:$H$12,0))</f>
        <v>0</v>
      </c>
      <c r="D18" s="2"/>
      <c r="E18" s="36" t="s">
        <v>200</v>
      </c>
    </row>
    <row r="19" spans="1:5" ht="15" customHeight="1" x14ac:dyDescent="0.25">
      <c r="A19" s="44">
        <v>4</v>
      </c>
      <c r="B19" s="44" t="str">
        <f>INDEX($B$5:$B$12,MATCH(LARGE($H$5:$H$12,4),$H$5:$H$12,0))</f>
        <v>Player 12</v>
      </c>
      <c r="C19" s="2">
        <f>INDEX($C$5:$C$12,MATCH(LARGE($H$5:$H$12,4),$H$5:$H$12,0))</f>
        <v>0</v>
      </c>
      <c r="D19" s="2"/>
      <c r="E19" s="36" t="s">
        <v>200</v>
      </c>
    </row>
    <row r="20" spans="1:5" ht="15" customHeight="1" x14ac:dyDescent="0.25">
      <c r="A20" s="44">
        <v>5</v>
      </c>
      <c r="B20" s="44" t="str">
        <f>INDEX($B$5:$B$12,MATCH(LARGE($H$5:$H$12,5),$H$5:$H$12,0))</f>
        <v>Player 8</v>
      </c>
      <c r="C20" s="2">
        <f>INDEX($C$5:$C$12,MATCH(LARGE($H$5:$H$12,5),$H$5:$H$12,0))</f>
        <v>0</v>
      </c>
      <c r="D20" s="2"/>
      <c r="E20" s="53" t="s">
        <v>201</v>
      </c>
    </row>
    <row r="21" spans="1:5" ht="15" customHeight="1" x14ac:dyDescent="0.25">
      <c r="A21" s="44">
        <v>6</v>
      </c>
      <c r="B21" s="44" t="str">
        <f>INDEX($B$5:$B$12,MATCH(LARGE($H$5:$H$12,6),$H$5:$H$12,0))</f>
        <v>Player 4</v>
      </c>
      <c r="C21" s="2">
        <f>INDEX($C$5:$C$12,MATCH(LARGE($H$5:$H$12,6),$H$5:$H$12,0))</f>
        <v>0</v>
      </c>
      <c r="D21" s="2"/>
      <c r="E21" s="53" t="s">
        <v>201</v>
      </c>
    </row>
    <row r="22" spans="1:5" ht="15" customHeight="1" x14ac:dyDescent="0.25">
      <c r="A22" s="44">
        <v>7</v>
      </c>
      <c r="B22" s="44" t="str">
        <f>INDEX($B$5:$B$12,MATCH(LARGE($H$5:$H$12,7),$H$5:$H$12,0))</f>
        <v>Player 15</v>
      </c>
      <c r="C22" s="2">
        <f>INDEX($C$5:$C$12,MATCH(LARGE($H$5:$H$12,7),$H$5:$H$12,0))</f>
        <v>0</v>
      </c>
      <c r="D22" s="2"/>
      <c r="E22" s="53" t="s">
        <v>201</v>
      </c>
    </row>
    <row r="23" spans="1:5" ht="15" customHeight="1" x14ac:dyDescent="0.25">
      <c r="A23" s="44">
        <v>8</v>
      </c>
      <c r="B23" s="44" t="str">
        <f>INDEX($B$5:$B$12,MATCH(LARGE($H$5:$H$12,8),$H$5:$H$12,0))</f>
        <v>Player 16</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11</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13</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14</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7" t="s">
        <v>216</v>
      </c>
      <c r="B11" s="77"/>
      <c r="C11" s="77"/>
      <c r="D11" s="77"/>
      <c r="E11" s="77"/>
      <c r="F11" s="77"/>
      <c r="G11" s="77"/>
      <c r="H11" s="77"/>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14</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13</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11</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6" t="s">
        <v>229</v>
      </c>
      <c r="B20" s="76"/>
      <c r="C20" s="76"/>
      <c r="D20" s="76"/>
    </row>
    <row r="21" spans="1:4" ht="21.75" customHeight="1" x14ac:dyDescent="0.25">
      <c r="A21" s="41" t="s">
        <v>106</v>
      </c>
      <c r="B21" s="41" t="s">
        <v>230</v>
      </c>
      <c r="C21" s="41" t="s">
        <v>231</v>
      </c>
      <c r="D21" s="41" t="s">
        <v>232</v>
      </c>
    </row>
    <row r="22" spans="1:4" ht="15" customHeight="1" x14ac:dyDescent="0.25">
      <c r="A22" s="45" t="str">
        <f>$A$6</f>
        <v>Player 11</v>
      </c>
      <c r="B22" s="14">
        <v>0</v>
      </c>
      <c r="C22" s="14">
        <v>0</v>
      </c>
      <c r="D22" s="44">
        <f>ABS(B22-C22)</f>
        <v>0</v>
      </c>
    </row>
    <row r="23" spans="1:4" ht="15" customHeight="1" x14ac:dyDescent="0.25">
      <c r="A23" s="45" t="str">
        <f>$A$7</f>
        <v>Player 13</v>
      </c>
      <c r="B23" s="14">
        <v>0</v>
      </c>
      <c r="C23" s="2">
        <f>C22</f>
        <v>0</v>
      </c>
      <c r="D23" s="44">
        <f>ABS(B23-C23)</f>
        <v>0</v>
      </c>
    </row>
    <row r="24" spans="1:4" ht="15" customHeight="1" x14ac:dyDescent="0.25">
      <c r="A24" s="45" t="str">
        <f>$A$8</f>
        <v>Player 14</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I12" sqref="I12"/>
    </sheetView>
  </sheetViews>
  <sheetFormatPr defaultColWidth="8.7109375" defaultRowHeight="15" x14ac:dyDescent="0.25"/>
  <cols>
    <col min="1" max="1" width="5" customWidth="1"/>
    <col min="2" max="3" width="14" customWidth="1"/>
  </cols>
  <sheetData>
    <row r="1" spans="1:3" ht="15.75" x14ac:dyDescent="0.25">
      <c r="A1" s="80" t="s">
        <v>95</v>
      </c>
      <c r="B1" s="80"/>
      <c r="C1" s="80"/>
    </row>
    <row r="2" spans="1:3" ht="23.85" customHeight="1" x14ac:dyDescent="0.25">
      <c r="A2" s="81" t="s">
        <v>96</v>
      </c>
      <c r="B2" s="81"/>
      <c r="C2" s="81"/>
    </row>
    <row r="3" spans="1:3" ht="37.35" customHeight="1" x14ac:dyDescent="0.25">
      <c r="A3" s="82" t="s">
        <v>97</v>
      </c>
      <c r="B3" s="82"/>
      <c r="C3" s="82"/>
    </row>
    <row r="5" spans="1:3" x14ac:dyDescent="0.25">
      <c r="A5" s="83" t="s">
        <v>98</v>
      </c>
      <c r="B5" s="83"/>
      <c r="C5" s="83"/>
    </row>
    <row r="6" spans="1:3" x14ac:dyDescent="0.25">
      <c r="A6" s="16" t="s">
        <v>36</v>
      </c>
      <c r="B6" s="16" t="s">
        <v>99</v>
      </c>
      <c r="C6" s="16" t="s">
        <v>100</v>
      </c>
    </row>
    <row r="7" spans="1:3" x14ac:dyDescent="0.25">
      <c r="A7" s="17">
        <v>1</v>
      </c>
      <c r="B7" s="18"/>
      <c r="C7" s="18"/>
    </row>
    <row r="8" spans="1:3" x14ac:dyDescent="0.25">
      <c r="A8" s="17">
        <v>2</v>
      </c>
      <c r="B8" s="18"/>
      <c r="C8" s="18"/>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84" t="s">
        <v>101</v>
      </c>
      <c r="B14" s="84"/>
      <c r="C14" s="84"/>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8" t="s">
        <v>102</v>
      </c>
      <c r="B21" s="78"/>
      <c r="C21" s="78"/>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79" t="s">
        <v>103</v>
      </c>
      <c r="B26" s="79"/>
      <c r="C26" s="79"/>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7" t="s">
        <v>158</v>
      </c>
      <c r="B3" s="77"/>
      <c r="C3" s="77"/>
      <c r="D3" s="77"/>
      <c r="E3" s="77"/>
      <c r="F3" s="77"/>
      <c r="G3" s="77"/>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16</v>
      </c>
      <c r="C5" s="35" t="s">
        <v>145</v>
      </c>
      <c r="D5" s="2" t="s">
        <v>166</v>
      </c>
      <c r="E5" s="36" t="str">
        <f>B5</f>
        <v>Player 16</v>
      </c>
      <c r="F5" s="37" t="s">
        <v>167</v>
      </c>
      <c r="G5" s="32"/>
      <c r="H5" s="32"/>
      <c r="I5" s="32"/>
      <c r="J5" s="32"/>
    </row>
    <row r="6" spans="1:10" ht="15" customHeight="1" x14ac:dyDescent="0.25">
      <c r="A6" s="33" t="s">
        <v>168</v>
      </c>
      <c r="B6" s="34" t="str">
        <f>INDEX(Helper!$B$2:$B$17,MATCH(LARGE(Helper!$AJ$2:$AJ$17,1),Helper!$AJ$2:$AJ$17,0))</f>
        <v>Player 16</v>
      </c>
      <c r="C6" s="35" t="s">
        <v>145</v>
      </c>
      <c r="D6" s="2" t="s">
        <v>169</v>
      </c>
      <c r="E6" s="36" t="str">
        <f>IF(COUNTIF($E$5:$E$5,B6)&gt;0,IF(COUNTIF($E$5:$E$5,INDEX(Helper!$B$2:$B$17,MATCH(LARGE(Helper!$AJ$2:$AJ$17,2),Helper!$AJ$2:$AJ$17,0)))&gt;0,INDEX(Helper!$B$2:$B$17,MATCH(LARGE(Helper!$AJ$2:$AJ$17,3),Helper!$AJ$2:$AJ$17,0)),INDEX(Helper!$B$2:$B$17,MATCH(LARGE(Helper!$AJ$2:$AJ$17,2),Helper!$AJ$2:$AJ$17,0))),B6)</f>
        <v>Player 15</v>
      </c>
      <c r="F6" s="37" t="str">
        <f>IF(B6=E6,"QUALIFIED","PASS → "&amp;E6)</f>
        <v>PASS → Player 15</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14</v>
      </c>
      <c r="F10" s="37" t="str">
        <f>IF(B10=E10,"QUALIFIED","PASS → "&amp;E10)</f>
        <v>PASS → Player 14</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6" t="s">
        <v>175</v>
      </c>
      <c r="B12" s="86"/>
      <c r="C12" s="86"/>
      <c r="D12" s="86"/>
      <c r="E12" s="86"/>
      <c r="F12" s="86"/>
      <c r="G12" s="86"/>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13</v>
      </c>
      <c r="C14" s="2">
        <f>INDEX(Helper!$AE$2:$AE$17,MATCH(LARGE(Helper!$AO$2:$AO$17,1),Helper!$AO$2:$AO$17,0))</f>
        <v>0</v>
      </c>
      <c r="D14" s="2" t="s">
        <v>178</v>
      </c>
      <c r="E14" s="40"/>
      <c r="F14" s="32"/>
      <c r="G14" s="32"/>
      <c r="H14" s="32"/>
      <c r="I14" s="32"/>
      <c r="J14" s="32"/>
    </row>
    <row r="15" spans="1:10" ht="25.5" customHeight="1" x14ac:dyDescent="0.25">
      <c r="A15" s="1" t="s">
        <v>179</v>
      </c>
      <c r="B15" s="42" t="str">
        <f>INDEX(Helper!$B$2:$B$17,MATCH(LARGE(Helper!$AO$2:$AO$17,2),Helper!$AO$2:$AO$17,0))</f>
        <v>Player 11</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6" t="s">
        <v>180</v>
      </c>
      <c r="B17" s="76"/>
      <c r="C17" s="76"/>
      <c r="D17" s="76"/>
      <c r="E17" s="76"/>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16</v>
      </c>
      <c r="C19" s="2" t="s">
        <v>166</v>
      </c>
      <c r="D19" s="40"/>
      <c r="E19" s="40"/>
      <c r="F19" s="32"/>
      <c r="G19" s="32"/>
      <c r="H19" s="32"/>
      <c r="I19" s="32"/>
      <c r="J19" s="32"/>
    </row>
    <row r="20" spans="1:10" ht="23.25" customHeight="1" x14ac:dyDescent="0.25">
      <c r="A20" s="2">
        <v>2</v>
      </c>
      <c r="B20" s="44" t="str">
        <f t="shared" si="0"/>
        <v>Player 15</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14</v>
      </c>
      <c r="C24" s="2" t="s">
        <v>185</v>
      </c>
      <c r="D24" s="32"/>
      <c r="E24" s="32"/>
      <c r="F24" s="32"/>
      <c r="G24" s="32"/>
      <c r="H24" s="32"/>
      <c r="I24" s="32"/>
      <c r="J24" s="32"/>
    </row>
    <row r="25" spans="1:10" ht="15" customHeight="1" x14ac:dyDescent="0.25">
      <c r="A25" s="2">
        <v>7</v>
      </c>
      <c r="B25" s="44" t="str">
        <f>B14</f>
        <v>Player 13</v>
      </c>
      <c r="C25" s="2" t="s">
        <v>177</v>
      </c>
      <c r="D25" s="32"/>
      <c r="E25" s="32"/>
      <c r="F25" s="32"/>
      <c r="G25" s="32"/>
      <c r="H25" s="32"/>
      <c r="I25" s="32"/>
      <c r="J25" s="32"/>
    </row>
    <row r="26" spans="1:10" ht="15" customHeight="1" x14ac:dyDescent="0.25">
      <c r="A26" s="2">
        <v>8</v>
      </c>
      <c r="B26" s="44" t="str">
        <f>B15</f>
        <v>Player 11</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7" t="s">
        <v>186</v>
      </c>
      <c r="B28" s="77"/>
      <c r="C28" s="77"/>
      <c r="D28" s="77"/>
      <c r="E28" s="77"/>
      <c r="F28" s="77"/>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0</v>
      </c>
      <c r="D30" s="46">
        <f t="shared" ref="D30:D45" si="2">IF(OR(B30=$B$7,B30=$B$8,B30=$B$9,B30=$B$10),10,0)</f>
        <v>0</v>
      </c>
      <c r="E30" s="46">
        <f>IF(B30='Playoff Finals'!B13,200,IF(B30='Playoff Finals'!B14,75,IF(B30='Playoff Finals'!B15,35,0)))</f>
        <v>0</v>
      </c>
      <c r="F30" s="47">
        <f t="shared" ref="F30:F45" si="3">C30+D30+E30</f>
        <v>0</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0</v>
      </c>
      <c r="F33" s="47">
        <f t="shared" si="3"/>
        <v>10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35</v>
      </c>
      <c r="F42" s="47">
        <f t="shared" si="3"/>
        <v>35</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75</v>
      </c>
      <c r="F43" s="47">
        <f t="shared" si="3"/>
        <v>75</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50</v>
      </c>
      <c r="D45" s="46">
        <f t="shared" si="2"/>
        <v>10</v>
      </c>
      <c r="E45" s="46">
        <f>IF(B45='Playoff Finals'!B13,200,IF(B45='Playoff Finals'!B14,75,IF(B45='Playoff Finals'!B15,35,0)))</f>
        <v>0</v>
      </c>
      <c r="F45" s="47">
        <f t="shared" si="3"/>
        <v>60</v>
      </c>
      <c r="G45" s="32"/>
      <c r="H45" s="32"/>
      <c r="I45" s="32"/>
      <c r="J45" s="32"/>
    </row>
    <row r="46" spans="1:10" ht="15" customHeight="1" x14ac:dyDescent="0.25">
      <c r="A46" s="85" t="s">
        <v>191</v>
      </c>
      <c r="B46" s="8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7" t="s">
        <v>104</v>
      </c>
      <c r="B1" s="77"/>
      <c r="C1" s="77"/>
      <c r="D1" s="77"/>
      <c r="E1" s="77"/>
      <c r="F1" s="77"/>
      <c r="G1" s="77"/>
      <c r="H1" s="77"/>
      <c r="I1" s="77"/>
      <c r="J1" s="77"/>
      <c r="K1" s="77"/>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16</v>
      </c>
      <c r="C3" s="22">
        <f>INDEX(Helper!$C$2:$C$17,MATCH(LARGE(Helper!$AH$2:$AH$17,1),Helper!$AH$2:$AH$17,0))</f>
        <v>0</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0</v>
      </c>
      <c r="J3" s="22">
        <f>INDEX(Helper!$J$2:$J$17,MATCH(LARGE(Helper!$AH$2:$AH$17,1),Helper!$AH$2:$AH$17,0))</f>
        <v>0</v>
      </c>
      <c r="K3" s="22">
        <f t="shared" ref="K3:K18" si="0">MAX(C3:H3)</f>
        <v>0</v>
      </c>
    </row>
    <row r="4" spans="1:11" ht="15" customHeight="1" x14ac:dyDescent="0.25">
      <c r="A4" s="23">
        <v>2</v>
      </c>
      <c r="B4" s="21" t="str">
        <f>INDEX(Helper!$B$2:$B$17,MATCH(LARGE(Helper!$AH$2:$AH$17,2),Helper!$AH$2:$AH$17,0))</f>
        <v>Player 15</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14</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13</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12</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11</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10</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9</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8</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7</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6</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5</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4</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3</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2</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1</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6" t="s">
        <v>136</v>
      </c>
      <c r="B69" s="76"/>
      <c r="C69" s="76"/>
      <c r="D69" s="76"/>
      <c r="E69" s="76"/>
      <c r="F69" s="76"/>
      <c r="G69" s="76"/>
      <c r="H69" s="76"/>
      <c r="I69" s="76"/>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16</v>
      </c>
      <c r="C71" s="22">
        <f>INDEX(Helper!$I$2:$I$17,MATCH(LARGE(Helper!$AM$2:$AM$17,1),Helper!$AM$2:$AM$17,0))</f>
        <v>0</v>
      </c>
      <c r="D71" s="22">
        <f>INDEX(Helper!$R$2:$R$17,MATCH(LARGE(Helper!$AM$2:$AM$17,1),Helper!$AM$2:$AM$17,0))</f>
        <v>0</v>
      </c>
      <c r="E71" s="22">
        <f>INDEX(Helper!$AC$2:$AC$17,MATCH(LARGE(Helper!$AM$2:$AM$17,1),Helper!$AM$2:$AM$17,0))</f>
        <v>0</v>
      </c>
      <c r="F71" s="19">
        <f>INDEX(Helper!$AE$2:$AE$17,MATCH(LARGE(Helper!$AM$2:$AM$17,1),Helper!$AM$2:$AM$17,0))</f>
        <v>0</v>
      </c>
      <c r="G71" s="22">
        <f>RANK(C71,$C$71:$C$86,0)</f>
        <v>1</v>
      </c>
      <c r="H71" s="22">
        <f>RANK(D71,$D$71:$D$86,0)</f>
        <v>1</v>
      </c>
    </row>
    <row r="72" spans="1:12" ht="15" customHeight="1" x14ac:dyDescent="0.25">
      <c r="A72" s="23">
        <v>2</v>
      </c>
      <c r="B72" s="21" t="str">
        <f>INDEX(Helper!$B$2:$B$17,MATCH(LARGE(Helper!$AM$2:$AM$17,2),Helper!$AM$2:$AM$17,0))</f>
        <v>Player 15</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14</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13</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12</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11</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10</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9</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8</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7</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6</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5</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4</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3</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2</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1</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6" t="s">
        <v>143</v>
      </c>
      <c r="B89" s="76"/>
      <c r="C89" s="76"/>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tabSelected="1" zoomScaleNormal="100" workbookViewId="0">
      <selection activeCell="I8" sqref="I8"/>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279</v>
      </c>
      <c r="C7" s="69" t="s">
        <v>280</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0</v>
      </c>
      <c r="D2">
        <f>'Wk 1-6 Input'!I25</f>
        <v>0</v>
      </c>
      <c r="E2">
        <f>'Wk 1-6 Input'!I44</f>
        <v>0</v>
      </c>
      <c r="F2">
        <f>'Wk 1-6 Input'!I63</f>
        <v>0</v>
      </c>
      <c r="G2">
        <f>'Wk 1-6 Input'!I82</f>
        <v>0</v>
      </c>
      <c r="H2">
        <f>'Wk 1-6 Input'!I101</f>
        <v>0</v>
      </c>
      <c r="I2">
        <f t="shared" ref="I2:I17" si="0">SUM(C2:H2)</f>
        <v>0</v>
      </c>
      <c r="J2">
        <f>COUNTIF('Wk 1-6 Input'!F6,"W")+COUNTIF('Wk 1-6 Input'!F25,"W")+COUNTIF('Wk 1-6 Input'!F44,"W")+COUNTIF('Wk 1-6 Input'!F63,"W")+COUNTIF('Wk 1-6 Input'!F82,"W")+COUNTIF('Wk 1-6 Input'!F101,"W")</f>
        <v>0</v>
      </c>
      <c r="K2">
        <f t="shared" ref="K2:K17" si="1">I2+A2*0.0001</f>
        <v>1E-4</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0</v>
      </c>
      <c r="AF2">
        <f t="shared" ref="AF2:AF17" si="8">AE2+A2*0.0001</f>
        <v>1E-4</v>
      </c>
      <c r="AG2">
        <f t="shared" ref="AG2:AG17" si="9">MAX(C2:H2)</f>
        <v>0</v>
      </c>
      <c r="AH2">
        <f t="shared" ref="AH2:AH17" si="10">I2*100000+AG2*1000+J2*10+A2*0.01</f>
        <v>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0.01</v>
      </c>
      <c r="AN2">
        <f>COUNTIF('Playoff Picture'!$E$5:$E$10,B2)</f>
        <v>0</v>
      </c>
      <c r="AO2">
        <f t="shared" ref="AO2:AO17" si="15">IF(AN2=0,AM2,0)</f>
        <v>0.01</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1</v>
      </c>
      <c r="AO15">
        <f t="shared" si="15"/>
        <v>0</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2026-09-04T04:02:36Z</dcterms:modified>
  <dc:language>en-US</dc:language>
</cp:coreProperties>
</file>