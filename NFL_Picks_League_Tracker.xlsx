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" documentId="11_4962A61EDD529E84C71483CCA1AC2CBE71639FA7" xr6:coauthVersionLast="47" xr6:coauthVersionMax="47" xr10:uidLastSave="{FA3278F5-B832-400E-A69A-885DCCECDE84}"/>
  <bookViews>
    <workbookView xWindow="-57600" yWindow="960" windowWidth="21600" windowHeight="11775" tabRatio="695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B3" i="10"/>
  <c r="AK2" i="10"/>
  <c r="B2" i="10"/>
  <c r="C25" i="9"/>
  <c r="D25" i="9" s="1"/>
  <c r="L9" i="9" s="1"/>
  <c r="C24" i="9"/>
  <c r="D24" i="9" s="1"/>
  <c r="L8" i="9" s="1"/>
  <c r="D23" i="9"/>
  <c r="L7" i="9" s="1"/>
  <c r="C23" i="9"/>
  <c r="D22" i="9"/>
  <c r="H9" i="9"/>
  <c r="F9" i="9"/>
  <c r="D9" i="9"/>
  <c r="H8" i="9"/>
  <c r="F8" i="9"/>
  <c r="D8" i="9"/>
  <c r="H7" i="9"/>
  <c r="F7" i="9"/>
  <c r="D7" i="9"/>
  <c r="L6" i="9"/>
  <c r="H6" i="9"/>
  <c r="F6" i="9"/>
  <c r="D6" i="9"/>
  <c r="H12" i="8"/>
  <c r="D12" i="8"/>
  <c r="H11" i="8"/>
  <c r="D11" i="8"/>
  <c r="H10" i="8"/>
  <c r="D10" i="8"/>
  <c r="H9" i="8"/>
  <c r="D9" i="8"/>
  <c r="H8" i="8"/>
  <c r="D8" i="8"/>
  <c r="H7" i="8"/>
  <c r="D7" i="8"/>
  <c r="H6" i="8"/>
  <c r="C21" i="8" s="1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E116" i="5"/>
  <c r="F116" i="5" s="1"/>
  <c r="B116" i="5"/>
  <c r="I115" i="5"/>
  <c r="H115" i="5"/>
  <c r="E115" i="5"/>
  <c r="F115" i="5" s="1"/>
  <c r="B115" i="5"/>
  <c r="I114" i="5"/>
  <c r="E114" i="5"/>
  <c r="F114" i="5" s="1"/>
  <c r="B114" i="5"/>
  <c r="I113" i="5"/>
  <c r="E113" i="5"/>
  <c r="F113" i="5" s="1"/>
  <c r="H113" i="5" s="1"/>
  <c r="B113" i="5"/>
  <c r="I112" i="5"/>
  <c r="G112" i="5"/>
  <c r="E112" i="5"/>
  <c r="F112" i="5" s="1"/>
  <c r="B112" i="5"/>
  <c r="I111" i="5"/>
  <c r="E111" i="5"/>
  <c r="F111" i="5" s="1"/>
  <c r="B111" i="5"/>
  <c r="I110" i="5"/>
  <c r="E110" i="5"/>
  <c r="F110" i="5" s="1"/>
  <c r="B110" i="5"/>
  <c r="I109" i="5"/>
  <c r="H109" i="5"/>
  <c r="E109" i="5"/>
  <c r="F109" i="5" s="1"/>
  <c r="B109" i="5"/>
  <c r="I108" i="5"/>
  <c r="E108" i="5"/>
  <c r="F108" i="5" s="1"/>
  <c r="B108" i="5"/>
  <c r="I107" i="5"/>
  <c r="E107" i="5"/>
  <c r="F107" i="5" s="1"/>
  <c r="H107" i="5" s="1"/>
  <c r="B107" i="5"/>
  <c r="I106" i="5"/>
  <c r="G106" i="5"/>
  <c r="E106" i="5"/>
  <c r="F106" i="5" s="1"/>
  <c r="B106" i="5"/>
  <c r="I105" i="5"/>
  <c r="E105" i="5"/>
  <c r="F105" i="5" s="1"/>
  <c r="B105" i="5"/>
  <c r="I104" i="5"/>
  <c r="E104" i="5"/>
  <c r="F104" i="5" s="1"/>
  <c r="B104" i="5"/>
  <c r="I103" i="5"/>
  <c r="H103" i="5"/>
  <c r="E103" i="5"/>
  <c r="F103" i="5" s="1"/>
  <c r="B103" i="5"/>
  <c r="I102" i="5"/>
  <c r="E102" i="5"/>
  <c r="F102" i="5" s="1"/>
  <c r="B102" i="5"/>
  <c r="I101" i="5"/>
  <c r="E101" i="5"/>
  <c r="F101" i="5" s="1"/>
  <c r="H101" i="5" s="1"/>
  <c r="B101" i="5"/>
  <c r="I97" i="5"/>
  <c r="G97" i="5"/>
  <c r="E97" i="5"/>
  <c r="F97" i="5" s="1"/>
  <c r="B97" i="5"/>
  <c r="I96" i="5"/>
  <c r="E96" i="5"/>
  <c r="F96" i="5" s="1"/>
  <c r="B96" i="5"/>
  <c r="I95" i="5"/>
  <c r="E95" i="5"/>
  <c r="F95" i="5" s="1"/>
  <c r="B95" i="5"/>
  <c r="I94" i="5"/>
  <c r="H94" i="5"/>
  <c r="E94" i="5"/>
  <c r="F94" i="5" s="1"/>
  <c r="B94" i="5"/>
  <c r="I93" i="5"/>
  <c r="E93" i="5"/>
  <c r="F93" i="5" s="1"/>
  <c r="B93" i="5"/>
  <c r="I92" i="5"/>
  <c r="E92" i="5"/>
  <c r="F92" i="5" s="1"/>
  <c r="H92" i="5" s="1"/>
  <c r="B92" i="5"/>
  <c r="I91" i="5"/>
  <c r="G91" i="5"/>
  <c r="E91" i="5"/>
  <c r="F91" i="5" s="1"/>
  <c r="B91" i="5"/>
  <c r="I90" i="5"/>
  <c r="E90" i="5"/>
  <c r="F90" i="5" s="1"/>
  <c r="B90" i="5"/>
  <c r="I89" i="5"/>
  <c r="E89" i="5"/>
  <c r="F89" i="5" s="1"/>
  <c r="B89" i="5"/>
  <c r="I88" i="5"/>
  <c r="H88" i="5"/>
  <c r="E88" i="5"/>
  <c r="F88" i="5" s="1"/>
  <c r="B88" i="5"/>
  <c r="I87" i="5"/>
  <c r="E87" i="5"/>
  <c r="F87" i="5" s="1"/>
  <c r="B87" i="5"/>
  <c r="I86" i="5"/>
  <c r="E86" i="5"/>
  <c r="F86" i="5" s="1"/>
  <c r="H86" i="5" s="1"/>
  <c r="B86" i="5"/>
  <c r="I85" i="5"/>
  <c r="G85" i="5"/>
  <c r="E85" i="5"/>
  <c r="F85" i="5" s="1"/>
  <c r="B85" i="5"/>
  <c r="I84" i="5"/>
  <c r="E84" i="5"/>
  <c r="F84" i="5" s="1"/>
  <c r="B84" i="5"/>
  <c r="I83" i="5"/>
  <c r="E83" i="5"/>
  <c r="F83" i="5" s="1"/>
  <c r="B83" i="5"/>
  <c r="I82" i="5"/>
  <c r="H82" i="5"/>
  <c r="E82" i="5"/>
  <c r="F82" i="5" s="1"/>
  <c r="B82" i="5"/>
  <c r="I78" i="5"/>
  <c r="E78" i="5"/>
  <c r="F78" i="5" s="1"/>
  <c r="B78" i="5"/>
  <c r="I77" i="5"/>
  <c r="E77" i="5"/>
  <c r="F77" i="5" s="1"/>
  <c r="H77" i="5" s="1"/>
  <c r="B77" i="5"/>
  <c r="I76" i="5"/>
  <c r="G76" i="5"/>
  <c r="E76" i="5"/>
  <c r="F76" i="5" s="1"/>
  <c r="B76" i="5"/>
  <c r="I75" i="5"/>
  <c r="E75" i="5"/>
  <c r="F75" i="5" s="1"/>
  <c r="B75" i="5"/>
  <c r="I74" i="5"/>
  <c r="E74" i="5"/>
  <c r="F74" i="5" s="1"/>
  <c r="B74" i="5"/>
  <c r="I73" i="5"/>
  <c r="H73" i="5"/>
  <c r="E73" i="5"/>
  <c r="F73" i="5" s="1"/>
  <c r="B73" i="5"/>
  <c r="I72" i="5"/>
  <c r="E72" i="5"/>
  <c r="F72" i="5" s="1"/>
  <c r="B72" i="5"/>
  <c r="I71" i="5"/>
  <c r="E71" i="5"/>
  <c r="F71" i="5" s="1"/>
  <c r="H71" i="5" s="1"/>
  <c r="B71" i="5"/>
  <c r="I70" i="5"/>
  <c r="G70" i="5"/>
  <c r="E70" i="5"/>
  <c r="F70" i="5" s="1"/>
  <c r="B70" i="5"/>
  <c r="I69" i="5"/>
  <c r="E69" i="5"/>
  <c r="F69" i="5" s="1"/>
  <c r="B69" i="5"/>
  <c r="I68" i="5"/>
  <c r="E68" i="5"/>
  <c r="F68" i="5" s="1"/>
  <c r="B68" i="5"/>
  <c r="I67" i="5"/>
  <c r="H67" i="5"/>
  <c r="E67" i="5"/>
  <c r="F67" i="5" s="1"/>
  <c r="B67" i="5"/>
  <c r="I66" i="5"/>
  <c r="E66" i="5"/>
  <c r="F66" i="5" s="1"/>
  <c r="B66" i="5"/>
  <c r="I65" i="5"/>
  <c r="E65" i="5"/>
  <c r="F65" i="5" s="1"/>
  <c r="H65" i="5" s="1"/>
  <c r="B65" i="5"/>
  <c r="I64" i="5"/>
  <c r="G64" i="5"/>
  <c r="E64" i="5"/>
  <c r="F64" i="5" s="1"/>
  <c r="B64" i="5"/>
  <c r="I63" i="5"/>
  <c r="E63" i="5"/>
  <c r="F63" i="5" s="1"/>
  <c r="B63" i="5"/>
  <c r="I59" i="5"/>
  <c r="E59" i="5"/>
  <c r="F59" i="5" s="1"/>
  <c r="B59" i="5"/>
  <c r="I58" i="5"/>
  <c r="H58" i="5"/>
  <c r="E58" i="5"/>
  <c r="F58" i="5" s="1"/>
  <c r="B58" i="5"/>
  <c r="I57" i="5"/>
  <c r="E57" i="5"/>
  <c r="F57" i="5" s="1"/>
  <c r="B57" i="5"/>
  <c r="I56" i="5"/>
  <c r="E56" i="5"/>
  <c r="F56" i="5" s="1"/>
  <c r="H56" i="5" s="1"/>
  <c r="B56" i="5"/>
  <c r="I55" i="5"/>
  <c r="G55" i="5"/>
  <c r="E55" i="5"/>
  <c r="F55" i="5" s="1"/>
  <c r="B55" i="5"/>
  <c r="I54" i="5"/>
  <c r="E54" i="5"/>
  <c r="F54" i="5" s="1"/>
  <c r="B54" i="5"/>
  <c r="I53" i="5"/>
  <c r="E53" i="5"/>
  <c r="F53" i="5" s="1"/>
  <c r="B53" i="5"/>
  <c r="I52" i="5"/>
  <c r="H52" i="5"/>
  <c r="E52" i="5"/>
  <c r="F52" i="5" s="1"/>
  <c r="B52" i="5"/>
  <c r="I51" i="5"/>
  <c r="E51" i="5"/>
  <c r="F51" i="5" s="1"/>
  <c r="B51" i="5"/>
  <c r="I50" i="5"/>
  <c r="E50" i="5"/>
  <c r="F50" i="5" s="1"/>
  <c r="H50" i="5" s="1"/>
  <c r="B50" i="5"/>
  <c r="I49" i="5"/>
  <c r="G49" i="5"/>
  <c r="E49" i="5"/>
  <c r="F49" i="5" s="1"/>
  <c r="B49" i="5"/>
  <c r="I48" i="5"/>
  <c r="E48" i="5"/>
  <c r="F48" i="5" s="1"/>
  <c r="B48" i="5"/>
  <c r="I47" i="5"/>
  <c r="E47" i="5"/>
  <c r="F47" i="5" s="1"/>
  <c r="B47" i="5"/>
  <c r="I46" i="5"/>
  <c r="H46" i="5"/>
  <c r="E46" i="5"/>
  <c r="F46" i="5" s="1"/>
  <c r="B46" i="5"/>
  <c r="I45" i="5"/>
  <c r="E45" i="5"/>
  <c r="F45" i="5" s="1"/>
  <c r="B45" i="5"/>
  <c r="I44" i="5"/>
  <c r="E44" i="5"/>
  <c r="F44" i="5" s="1"/>
  <c r="H44" i="5" s="1"/>
  <c r="B44" i="5"/>
  <c r="I40" i="5"/>
  <c r="G40" i="5"/>
  <c r="E40" i="5"/>
  <c r="F40" i="5" s="1"/>
  <c r="B40" i="5"/>
  <c r="I39" i="5"/>
  <c r="E39" i="5"/>
  <c r="F39" i="5" s="1"/>
  <c r="B39" i="5"/>
  <c r="I38" i="5"/>
  <c r="E38" i="5"/>
  <c r="F38" i="5" s="1"/>
  <c r="B38" i="5"/>
  <c r="I37" i="5"/>
  <c r="H37" i="5"/>
  <c r="E37" i="5"/>
  <c r="F37" i="5" s="1"/>
  <c r="B37" i="5"/>
  <c r="I36" i="5"/>
  <c r="E36" i="5"/>
  <c r="F36" i="5" s="1"/>
  <c r="B36" i="5"/>
  <c r="I35" i="5"/>
  <c r="E35" i="5"/>
  <c r="F35" i="5" s="1"/>
  <c r="H35" i="5" s="1"/>
  <c r="B35" i="5"/>
  <c r="I34" i="5"/>
  <c r="G34" i="5"/>
  <c r="E34" i="5"/>
  <c r="F34" i="5" s="1"/>
  <c r="B34" i="5"/>
  <c r="I33" i="5"/>
  <c r="E33" i="5"/>
  <c r="F33" i="5" s="1"/>
  <c r="B33" i="5"/>
  <c r="I32" i="5"/>
  <c r="E32" i="5"/>
  <c r="F32" i="5" s="1"/>
  <c r="B32" i="5"/>
  <c r="I31" i="5"/>
  <c r="H31" i="5"/>
  <c r="E31" i="5"/>
  <c r="F31" i="5" s="1"/>
  <c r="B31" i="5"/>
  <c r="I30" i="5"/>
  <c r="E30" i="5"/>
  <c r="F30" i="5" s="1"/>
  <c r="B30" i="5"/>
  <c r="I29" i="5"/>
  <c r="E29" i="5"/>
  <c r="F29" i="5" s="1"/>
  <c r="H29" i="5" s="1"/>
  <c r="B29" i="5"/>
  <c r="I28" i="5"/>
  <c r="G28" i="5"/>
  <c r="E28" i="5"/>
  <c r="F28" i="5" s="1"/>
  <c r="B28" i="5"/>
  <c r="I27" i="5"/>
  <c r="E27" i="5"/>
  <c r="F27" i="5" s="1"/>
  <c r="B27" i="5"/>
  <c r="I26" i="5"/>
  <c r="E26" i="5"/>
  <c r="F26" i="5" s="1"/>
  <c r="G26" i="5" s="1"/>
  <c r="B26" i="5"/>
  <c r="I25" i="5"/>
  <c r="H25" i="5"/>
  <c r="E25" i="5"/>
  <c r="F25" i="5" s="1"/>
  <c r="B25" i="5"/>
  <c r="I21" i="5"/>
  <c r="AC17" i="10" s="1"/>
  <c r="E21" i="5"/>
  <c r="F21" i="5" s="1"/>
  <c r="B21" i="5"/>
  <c r="I20" i="5"/>
  <c r="E20" i="5"/>
  <c r="F20" i="5" s="1"/>
  <c r="B20" i="5"/>
  <c r="I19" i="5"/>
  <c r="AC15" i="10" s="1"/>
  <c r="G19" i="5"/>
  <c r="E19" i="5"/>
  <c r="F19" i="5" s="1"/>
  <c r="B19" i="5"/>
  <c r="I18" i="5"/>
  <c r="E18" i="5"/>
  <c r="F18" i="5" s="1"/>
  <c r="B18" i="5"/>
  <c r="I17" i="5"/>
  <c r="AC13" i="10" s="1"/>
  <c r="E17" i="5"/>
  <c r="F17" i="5" s="1"/>
  <c r="G17" i="5" s="1"/>
  <c r="B17" i="5"/>
  <c r="I16" i="5"/>
  <c r="AC12" i="10" s="1"/>
  <c r="H16" i="5"/>
  <c r="E16" i="5"/>
  <c r="F16" i="5" s="1"/>
  <c r="B16" i="5"/>
  <c r="I15" i="5"/>
  <c r="AC11" i="10" s="1"/>
  <c r="E15" i="5"/>
  <c r="F15" i="5" s="1"/>
  <c r="B15" i="5"/>
  <c r="I14" i="5"/>
  <c r="E14" i="5"/>
  <c r="F14" i="5" s="1"/>
  <c r="B14" i="5"/>
  <c r="I13" i="5"/>
  <c r="AC9" i="10" s="1"/>
  <c r="G13" i="5"/>
  <c r="E13" i="5"/>
  <c r="F13" i="5" s="1"/>
  <c r="B13" i="5"/>
  <c r="I12" i="5"/>
  <c r="E12" i="5"/>
  <c r="F12" i="5" s="1"/>
  <c r="B12" i="5"/>
  <c r="I11" i="5"/>
  <c r="AC7" i="10" s="1"/>
  <c r="E11" i="5"/>
  <c r="F11" i="5" s="1"/>
  <c r="G11" i="5" s="1"/>
  <c r="B11" i="5"/>
  <c r="I10" i="5"/>
  <c r="AC6" i="10" s="1"/>
  <c r="H10" i="5"/>
  <c r="E10" i="5"/>
  <c r="F10" i="5" s="1"/>
  <c r="B10" i="5"/>
  <c r="I9" i="5"/>
  <c r="AC5" i="10" s="1"/>
  <c r="E9" i="5"/>
  <c r="F9" i="5" s="1"/>
  <c r="B9" i="5"/>
  <c r="I8" i="5"/>
  <c r="E8" i="5"/>
  <c r="F8" i="5" s="1"/>
  <c r="B8" i="5"/>
  <c r="I7" i="5"/>
  <c r="AC3" i="10" s="1"/>
  <c r="G7" i="5"/>
  <c r="E7" i="5"/>
  <c r="F7" i="5" s="1"/>
  <c r="B7" i="5"/>
  <c r="I6" i="5"/>
  <c r="E6" i="5"/>
  <c r="F6" i="5" s="1"/>
  <c r="B6" i="5"/>
  <c r="H116" i="4"/>
  <c r="E116" i="4"/>
  <c r="F116" i="4" s="1"/>
  <c r="G116" i="4" s="1"/>
  <c r="I116" i="4" s="1"/>
  <c r="Q17" i="10" s="1"/>
  <c r="B116" i="4"/>
  <c r="H115" i="4"/>
  <c r="I115" i="4" s="1"/>
  <c r="Q16" i="10" s="1"/>
  <c r="E115" i="4"/>
  <c r="F115" i="4" s="1"/>
  <c r="G115" i="4" s="1"/>
  <c r="B115" i="4"/>
  <c r="H114" i="4"/>
  <c r="E114" i="4"/>
  <c r="F114" i="4" s="1"/>
  <c r="G114" i="4" s="1"/>
  <c r="I114" i="4" s="1"/>
  <c r="Q15" i="10" s="1"/>
  <c r="B114" i="4"/>
  <c r="H113" i="4"/>
  <c r="E113" i="4"/>
  <c r="F113" i="4" s="1"/>
  <c r="G113" i="4" s="1"/>
  <c r="I113" i="4" s="1"/>
  <c r="Q14" i="10" s="1"/>
  <c r="B113" i="4"/>
  <c r="H112" i="4"/>
  <c r="G112" i="4"/>
  <c r="I112" i="4" s="1"/>
  <c r="Q13" i="10" s="1"/>
  <c r="E112" i="4"/>
  <c r="F112" i="4" s="1"/>
  <c r="B112" i="4"/>
  <c r="H111" i="4"/>
  <c r="E111" i="4"/>
  <c r="F111" i="4" s="1"/>
  <c r="G111" i="4" s="1"/>
  <c r="I111" i="4" s="1"/>
  <c r="Q12" i="10" s="1"/>
  <c r="B111" i="4"/>
  <c r="H110" i="4"/>
  <c r="E110" i="4"/>
  <c r="F110" i="4" s="1"/>
  <c r="G110" i="4" s="1"/>
  <c r="I110" i="4" s="1"/>
  <c r="Q11" i="10" s="1"/>
  <c r="B110" i="4"/>
  <c r="H109" i="4"/>
  <c r="I109" i="4" s="1"/>
  <c r="Q10" i="10" s="1"/>
  <c r="E109" i="4"/>
  <c r="F109" i="4" s="1"/>
  <c r="G109" i="4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H106" i="4"/>
  <c r="G106" i="4"/>
  <c r="I106" i="4" s="1"/>
  <c r="Q7" i="10" s="1"/>
  <c r="E106" i="4"/>
  <c r="F106" i="4" s="1"/>
  <c r="B106" i="4"/>
  <c r="H105" i="4"/>
  <c r="E105" i="4"/>
  <c r="F105" i="4" s="1"/>
  <c r="G105" i="4" s="1"/>
  <c r="I105" i="4" s="1"/>
  <c r="Q6" i="10" s="1"/>
  <c r="B105" i="4"/>
  <c r="H104" i="4"/>
  <c r="E104" i="4"/>
  <c r="F104" i="4" s="1"/>
  <c r="G104" i="4" s="1"/>
  <c r="I104" i="4" s="1"/>
  <c r="Q5" i="10" s="1"/>
  <c r="B104" i="4"/>
  <c r="H103" i="4"/>
  <c r="I103" i="4" s="1"/>
  <c r="Q4" i="10" s="1"/>
  <c r="E103" i="4"/>
  <c r="F103" i="4" s="1"/>
  <c r="G103" i="4" s="1"/>
  <c r="B103" i="4"/>
  <c r="H102" i="4"/>
  <c r="E102" i="4"/>
  <c r="F102" i="4" s="1"/>
  <c r="G102" i="4" s="1"/>
  <c r="I102" i="4" s="1"/>
  <c r="Q3" i="10" s="1"/>
  <c r="B102" i="4"/>
  <c r="H101" i="4"/>
  <c r="E101" i="4"/>
  <c r="F101" i="4" s="1"/>
  <c r="G101" i="4" s="1"/>
  <c r="I101" i="4" s="1"/>
  <c r="Q2" i="10" s="1"/>
  <c r="B101" i="4"/>
  <c r="H97" i="4"/>
  <c r="G97" i="4"/>
  <c r="I97" i="4" s="1"/>
  <c r="P17" i="10" s="1"/>
  <c r="E97" i="4"/>
  <c r="F97" i="4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I94" i="4" s="1"/>
  <c r="P14" i="10" s="1"/>
  <c r="E94" i="4"/>
  <c r="F94" i="4" s="1"/>
  <c r="G94" i="4" s="1"/>
  <c r="B94" i="4"/>
  <c r="H93" i="4"/>
  <c r="E93" i="4"/>
  <c r="F93" i="4" s="1"/>
  <c r="G93" i="4" s="1"/>
  <c r="I93" i="4" s="1"/>
  <c r="P13" i="10" s="1"/>
  <c r="B93" i="4"/>
  <c r="H92" i="4"/>
  <c r="E92" i="4"/>
  <c r="F92" i="4" s="1"/>
  <c r="G92" i="4" s="1"/>
  <c r="I92" i="4" s="1"/>
  <c r="P12" i="10" s="1"/>
  <c r="B92" i="4"/>
  <c r="H91" i="4"/>
  <c r="G91" i="4"/>
  <c r="I91" i="4" s="1"/>
  <c r="P11" i="10" s="1"/>
  <c r="E91" i="4"/>
  <c r="F91" i="4" s="1"/>
  <c r="B91" i="4"/>
  <c r="H90" i="4"/>
  <c r="E90" i="4"/>
  <c r="F90" i="4" s="1"/>
  <c r="G90" i="4" s="1"/>
  <c r="I90" i="4" s="1"/>
  <c r="P10" i="10" s="1"/>
  <c r="B90" i="4"/>
  <c r="H89" i="4"/>
  <c r="E89" i="4"/>
  <c r="F89" i="4" s="1"/>
  <c r="G89" i="4" s="1"/>
  <c r="I89" i="4" s="1"/>
  <c r="P9" i="10" s="1"/>
  <c r="B89" i="4"/>
  <c r="H88" i="4"/>
  <c r="I88" i="4" s="1"/>
  <c r="P8" i="10" s="1"/>
  <c r="E88" i="4"/>
  <c r="F88" i="4" s="1"/>
  <c r="G88" i="4" s="1"/>
  <c r="B88" i="4"/>
  <c r="H87" i="4"/>
  <c r="E87" i="4"/>
  <c r="F87" i="4" s="1"/>
  <c r="G87" i="4" s="1"/>
  <c r="I87" i="4" s="1"/>
  <c r="P7" i="10" s="1"/>
  <c r="B87" i="4"/>
  <c r="H86" i="4"/>
  <c r="E86" i="4"/>
  <c r="F86" i="4" s="1"/>
  <c r="G86" i="4" s="1"/>
  <c r="I86" i="4" s="1"/>
  <c r="P6" i="10" s="1"/>
  <c r="B86" i="4"/>
  <c r="H85" i="4"/>
  <c r="G85" i="4"/>
  <c r="I85" i="4" s="1"/>
  <c r="P5" i="10" s="1"/>
  <c r="E85" i="4"/>
  <c r="F85" i="4" s="1"/>
  <c r="B85" i="4"/>
  <c r="H84" i="4"/>
  <c r="E84" i="4"/>
  <c r="F84" i="4" s="1"/>
  <c r="G84" i="4" s="1"/>
  <c r="I84" i="4" s="1"/>
  <c r="P4" i="10" s="1"/>
  <c r="B84" i="4"/>
  <c r="H83" i="4"/>
  <c r="E83" i="4"/>
  <c r="F83" i="4" s="1"/>
  <c r="G83" i="4" s="1"/>
  <c r="I83" i="4" s="1"/>
  <c r="P3" i="10" s="1"/>
  <c r="B83" i="4"/>
  <c r="H82" i="4"/>
  <c r="I82" i="4" s="1"/>
  <c r="P2" i="10" s="1"/>
  <c r="E82" i="4"/>
  <c r="F82" i="4" s="1"/>
  <c r="G82" i="4" s="1"/>
  <c r="B82" i="4"/>
  <c r="H78" i="4"/>
  <c r="E78" i="4"/>
  <c r="F78" i="4" s="1"/>
  <c r="G78" i="4" s="1"/>
  <c r="I78" i="4" s="1"/>
  <c r="O17" i="10" s="1"/>
  <c r="B78" i="4"/>
  <c r="H77" i="4"/>
  <c r="E77" i="4"/>
  <c r="F77" i="4" s="1"/>
  <c r="G77" i="4" s="1"/>
  <c r="I77" i="4" s="1"/>
  <c r="O16" i="10" s="1"/>
  <c r="B77" i="4"/>
  <c r="H76" i="4"/>
  <c r="G76" i="4"/>
  <c r="I76" i="4" s="1"/>
  <c r="O15" i="10" s="1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I73" i="4" s="1"/>
  <c r="O12" i="10" s="1"/>
  <c r="E73" i="4"/>
  <c r="F73" i="4" s="1"/>
  <c r="G73" i="4" s="1"/>
  <c r="B73" i="4"/>
  <c r="H72" i="4"/>
  <c r="E72" i="4"/>
  <c r="F72" i="4" s="1"/>
  <c r="G72" i="4" s="1"/>
  <c r="I72" i="4" s="1"/>
  <c r="O11" i="10" s="1"/>
  <c r="B72" i="4"/>
  <c r="H71" i="4"/>
  <c r="E71" i="4"/>
  <c r="F71" i="4" s="1"/>
  <c r="G71" i="4" s="1"/>
  <c r="I71" i="4" s="1"/>
  <c r="O10" i="10" s="1"/>
  <c r="B71" i="4"/>
  <c r="H70" i="4"/>
  <c r="G70" i="4"/>
  <c r="I70" i="4" s="1"/>
  <c r="O9" i="10" s="1"/>
  <c r="E70" i="4"/>
  <c r="F70" i="4" s="1"/>
  <c r="B70" i="4"/>
  <c r="H69" i="4"/>
  <c r="E69" i="4"/>
  <c r="F69" i="4" s="1"/>
  <c r="G69" i="4" s="1"/>
  <c r="I69" i="4" s="1"/>
  <c r="O8" i="10" s="1"/>
  <c r="B69" i="4"/>
  <c r="H68" i="4"/>
  <c r="E68" i="4"/>
  <c r="F68" i="4" s="1"/>
  <c r="G68" i="4" s="1"/>
  <c r="I68" i="4" s="1"/>
  <c r="O7" i="10" s="1"/>
  <c r="B68" i="4"/>
  <c r="H67" i="4"/>
  <c r="I67" i="4" s="1"/>
  <c r="O6" i="10" s="1"/>
  <c r="E67" i="4"/>
  <c r="F67" i="4" s="1"/>
  <c r="G67" i="4" s="1"/>
  <c r="B67" i="4"/>
  <c r="H66" i="4"/>
  <c r="E66" i="4"/>
  <c r="F66" i="4" s="1"/>
  <c r="G66" i="4" s="1"/>
  <c r="I66" i="4" s="1"/>
  <c r="O5" i="10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E63" i="4"/>
  <c r="F63" i="4" s="1"/>
  <c r="G63" i="4" s="1"/>
  <c r="I63" i="4" s="1"/>
  <c r="O2" i="10" s="1"/>
  <c r="B63" i="4"/>
  <c r="H59" i="4"/>
  <c r="E59" i="4"/>
  <c r="F59" i="4" s="1"/>
  <c r="G59" i="4" s="1"/>
  <c r="I59" i="4" s="1"/>
  <c r="N17" i="10" s="1"/>
  <c r="B59" i="4"/>
  <c r="H58" i="4"/>
  <c r="I58" i="4" s="1"/>
  <c r="N16" i="10" s="1"/>
  <c r="E58" i="4"/>
  <c r="F58" i="4" s="1"/>
  <c r="G58" i="4" s="1"/>
  <c r="B58" i="4"/>
  <c r="H57" i="4"/>
  <c r="E57" i="4"/>
  <c r="F57" i="4" s="1"/>
  <c r="G57" i="4" s="1"/>
  <c r="I57" i="4" s="1"/>
  <c r="N15" i="10" s="1"/>
  <c r="B57" i="4"/>
  <c r="H56" i="4"/>
  <c r="E56" i="4"/>
  <c r="F56" i="4" s="1"/>
  <c r="G56" i="4" s="1"/>
  <c r="I56" i="4" s="1"/>
  <c r="N14" i="10" s="1"/>
  <c r="B56" i="4"/>
  <c r="H55" i="4"/>
  <c r="G55" i="4"/>
  <c r="I55" i="4" s="1"/>
  <c r="N13" i="10" s="1"/>
  <c r="E55" i="4"/>
  <c r="F55" i="4" s="1"/>
  <c r="B55" i="4"/>
  <c r="H54" i="4"/>
  <c r="E54" i="4"/>
  <c r="F54" i="4" s="1"/>
  <c r="G54" i="4" s="1"/>
  <c r="I54" i="4" s="1"/>
  <c r="N12" i="10" s="1"/>
  <c r="B54" i="4"/>
  <c r="H53" i="4"/>
  <c r="E53" i="4"/>
  <c r="F53" i="4" s="1"/>
  <c r="G53" i="4" s="1"/>
  <c r="I53" i="4" s="1"/>
  <c r="N11" i="10" s="1"/>
  <c r="B53" i="4"/>
  <c r="H52" i="4"/>
  <c r="I52" i="4" s="1"/>
  <c r="N10" i="10" s="1"/>
  <c r="E52" i="4"/>
  <c r="F52" i="4" s="1"/>
  <c r="G52" i="4" s="1"/>
  <c r="B52" i="4"/>
  <c r="H51" i="4"/>
  <c r="E51" i="4"/>
  <c r="F51" i="4" s="1"/>
  <c r="G51" i="4" s="1"/>
  <c r="I51" i="4" s="1"/>
  <c r="N9" i="10" s="1"/>
  <c r="B51" i="4"/>
  <c r="H50" i="4"/>
  <c r="E50" i="4"/>
  <c r="F50" i="4" s="1"/>
  <c r="G50" i="4" s="1"/>
  <c r="I50" i="4" s="1"/>
  <c r="N8" i="10" s="1"/>
  <c r="B50" i="4"/>
  <c r="H49" i="4"/>
  <c r="G49" i="4"/>
  <c r="I49" i="4" s="1"/>
  <c r="N7" i="10" s="1"/>
  <c r="E49" i="4"/>
  <c r="F49" i="4" s="1"/>
  <c r="B49" i="4"/>
  <c r="H48" i="4"/>
  <c r="E48" i="4"/>
  <c r="F48" i="4" s="1"/>
  <c r="G48" i="4" s="1"/>
  <c r="I48" i="4" s="1"/>
  <c r="N6" i="10" s="1"/>
  <c r="B48" i="4"/>
  <c r="H47" i="4"/>
  <c r="E47" i="4"/>
  <c r="F47" i="4" s="1"/>
  <c r="G47" i="4" s="1"/>
  <c r="I47" i="4" s="1"/>
  <c r="N5" i="10" s="1"/>
  <c r="B47" i="4"/>
  <c r="H46" i="4"/>
  <c r="I46" i="4" s="1"/>
  <c r="N4" i="10" s="1"/>
  <c r="E46" i="4"/>
  <c r="F46" i="4" s="1"/>
  <c r="G46" i="4" s="1"/>
  <c r="B46" i="4"/>
  <c r="H45" i="4"/>
  <c r="E45" i="4"/>
  <c r="F45" i="4" s="1"/>
  <c r="G45" i="4" s="1"/>
  <c r="I45" i="4" s="1"/>
  <c r="N3" i="10" s="1"/>
  <c r="B45" i="4"/>
  <c r="H44" i="4"/>
  <c r="E44" i="4"/>
  <c r="F44" i="4" s="1"/>
  <c r="G44" i="4" s="1"/>
  <c r="I44" i="4" s="1"/>
  <c r="N2" i="10" s="1"/>
  <c r="B44" i="4"/>
  <c r="H40" i="4"/>
  <c r="G40" i="4"/>
  <c r="I40" i="4" s="1"/>
  <c r="M17" i="10" s="1"/>
  <c r="E40" i="4"/>
  <c r="F40" i="4" s="1"/>
  <c r="B40" i="4"/>
  <c r="H39" i="4"/>
  <c r="E39" i="4"/>
  <c r="F39" i="4" s="1"/>
  <c r="G39" i="4" s="1"/>
  <c r="I39" i="4" s="1"/>
  <c r="M16" i="10" s="1"/>
  <c r="B39" i="4"/>
  <c r="H38" i="4"/>
  <c r="E38" i="4"/>
  <c r="F38" i="4" s="1"/>
  <c r="G38" i="4" s="1"/>
  <c r="I38" i="4" s="1"/>
  <c r="M15" i="10" s="1"/>
  <c r="B38" i="4"/>
  <c r="H37" i="4"/>
  <c r="I37" i="4" s="1"/>
  <c r="M14" i="10" s="1"/>
  <c r="E37" i="4"/>
  <c r="F37" i="4" s="1"/>
  <c r="G37" i="4" s="1"/>
  <c r="B37" i="4"/>
  <c r="H36" i="4"/>
  <c r="E36" i="4"/>
  <c r="F36" i="4" s="1"/>
  <c r="G36" i="4" s="1"/>
  <c r="I36" i="4" s="1"/>
  <c r="M13" i="10" s="1"/>
  <c r="B36" i="4"/>
  <c r="H35" i="4"/>
  <c r="E35" i="4"/>
  <c r="F35" i="4" s="1"/>
  <c r="G35" i="4" s="1"/>
  <c r="I35" i="4" s="1"/>
  <c r="M12" i="10" s="1"/>
  <c r="B35" i="4"/>
  <c r="H34" i="4"/>
  <c r="G34" i="4"/>
  <c r="I34" i="4" s="1"/>
  <c r="M11" i="10" s="1"/>
  <c r="E34" i="4"/>
  <c r="F34" i="4" s="1"/>
  <c r="B34" i="4"/>
  <c r="H33" i="4"/>
  <c r="E33" i="4"/>
  <c r="F33" i="4" s="1"/>
  <c r="G33" i="4" s="1"/>
  <c r="I33" i="4" s="1"/>
  <c r="M10" i="10" s="1"/>
  <c r="B33" i="4"/>
  <c r="H32" i="4"/>
  <c r="E32" i="4"/>
  <c r="F32" i="4" s="1"/>
  <c r="G32" i="4" s="1"/>
  <c r="I32" i="4" s="1"/>
  <c r="M9" i="10" s="1"/>
  <c r="B32" i="4"/>
  <c r="H31" i="4"/>
  <c r="I31" i="4" s="1"/>
  <c r="M8" i="10" s="1"/>
  <c r="E31" i="4"/>
  <c r="F31" i="4" s="1"/>
  <c r="G31" i="4" s="1"/>
  <c r="B31" i="4"/>
  <c r="H30" i="4"/>
  <c r="E30" i="4"/>
  <c r="F30" i="4" s="1"/>
  <c r="G30" i="4" s="1"/>
  <c r="I30" i="4" s="1"/>
  <c r="M7" i="10" s="1"/>
  <c r="B30" i="4"/>
  <c r="H29" i="4"/>
  <c r="E29" i="4"/>
  <c r="F29" i="4" s="1"/>
  <c r="G29" i="4" s="1"/>
  <c r="I29" i="4" s="1"/>
  <c r="M6" i="10" s="1"/>
  <c r="B29" i="4"/>
  <c r="H28" i="4"/>
  <c r="G28" i="4"/>
  <c r="I28" i="4" s="1"/>
  <c r="M5" i="10" s="1"/>
  <c r="E28" i="4"/>
  <c r="F28" i="4" s="1"/>
  <c r="B28" i="4"/>
  <c r="H27" i="4"/>
  <c r="E27" i="4"/>
  <c r="F27" i="4" s="1"/>
  <c r="G27" i="4" s="1"/>
  <c r="I27" i="4" s="1"/>
  <c r="M4" i="10" s="1"/>
  <c r="B27" i="4"/>
  <c r="H26" i="4"/>
  <c r="E26" i="4"/>
  <c r="F26" i="4" s="1"/>
  <c r="G26" i="4" s="1"/>
  <c r="I26" i="4" s="1"/>
  <c r="M3" i="10" s="1"/>
  <c r="B26" i="4"/>
  <c r="H25" i="4"/>
  <c r="I25" i="4" s="1"/>
  <c r="M2" i="10" s="1"/>
  <c r="E25" i="4"/>
  <c r="F25" i="4" s="1"/>
  <c r="G25" i="4" s="1"/>
  <c r="B25" i="4"/>
  <c r="H21" i="4"/>
  <c r="E21" i="4"/>
  <c r="F21" i="4" s="1"/>
  <c r="G21" i="4" s="1"/>
  <c r="I21" i="4" s="1"/>
  <c r="L17" i="10" s="1"/>
  <c r="B21" i="4"/>
  <c r="H20" i="4"/>
  <c r="E20" i="4"/>
  <c r="F20" i="4" s="1"/>
  <c r="B20" i="4"/>
  <c r="H19" i="4"/>
  <c r="G19" i="4"/>
  <c r="I19" i="4" s="1"/>
  <c r="L15" i="10" s="1"/>
  <c r="E19" i="4"/>
  <c r="F19" i="4" s="1"/>
  <c r="S15" i="10" s="1"/>
  <c r="B19" i="4"/>
  <c r="H18" i="4"/>
  <c r="E18" i="4"/>
  <c r="F18" i="4" s="1"/>
  <c r="B18" i="4"/>
  <c r="H17" i="4"/>
  <c r="E17" i="4"/>
  <c r="F17" i="4" s="1"/>
  <c r="S13" i="10" s="1"/>
  <c r="B17" i="4"/>
  <c r="H16" i="4"/>
  <c r="E16" i="4"/>
  <c r="F16" i="4" s="1"/>
  <c r="B16" i="4"/>
  <c r="H15" i="4"/>
  <c r="E15" i="4"/>
  <c r="F15" i="4" s="1"/>
  <c r="B15" i="4"/>
  <c r="H14" i="4"/>
  <c r="E14" i="4"/>
  <c r="F14" i="4" s="1"/>
  <c r="B14" i="4"/>
  <c r="H13" i="4"/>
  <c r="G13" i="4"/>
  <c r="I13" i="4" s="1"/>
  <c r="L9" i="10" s="1"/>
  <c r="E13" i="4"/>
  <c r="F13" i="4" s="1"/>
  <c r="S9" i="10" s="1"/>
  <c r="B13" i="4"/>
  <c r="H12" i="4"/>
  <c r="E12" i="4"/>
  <c r="F12" i="4" s="1"/>
  <c r="B12" i="4"/>
  <c r="H11" i="4"/>
  <c r="E11" i="4"/>
  <c r="F11" i="4" s="1"/>
  <c r="S7" i="10" s="1"/>
  <c r="B11" i="4"/>
  <c r="H10" i="4"/>
  <c r="E10" i="4"/>
  <c r="F10" i="4" s="1"/>
  <c r="B10" i="4"/>
  <c r="H9" i="4"/>
  <c r="E9" i="4"/>
  <c r="F9" i="4" s="1"/>
  <c r="B9" i="4"/>
  <c r="H8" i="4"/>
  <c r="E8" i="4"/>
  <c r="F8" i="4" s="1"/>
  <c r="B8" i="4"/>
  <c r="H7" i="4"/>
  <c r="G7" i="4"/>
  <c r="I7" i="4" s="1"/>
  <c r="L3" i="10" s="1"/>
  <c r="E7" i="4"/>
  <c r="F7" i="4" s="1"/>
  <c r="S3" i="10" s="1"/>
  <c r="B7" i="4"/>
  <c r="H6" i="4"/>
  <c r="E6" i="4"/>
  <c r="F6" i="4" s="1"/>
  <c r="B6" i="4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H116" i="3"/>
  <c r="G116" i="3"/>
  <c r="I116" i="3" s="1"/>
  <c r="H17" i="10" s="1"/>
  <c r="E116" i="3"/>
  <c r="F116" i="3" s="1"/>
  <c r="B116" i="3"/>
  <c r="H115" i="3"/>
  <c r="E115" i="3"/>
  <c r="F115" i="3" s="1"/>
  <c r="G115" i="3" s="1"/>
  <c r="I115" i="3" s="1"/>
  <c r="H16" i="10" s="1"/>
  <c r="B115" i="3"/>
  <c r="H114" i="3"/>
  <c r="G114" i="3"/>
  <c r="I114" i="3" s="1"/>
  <c r="H15" i="10" s="1"/>
  <c r="E114" i="3"/>
  <c r="F114" i="3" s="1"/>
  <c r="B114" i="3"/>
  <c r="I113" i="3"/>
  <c r="H14" i="10" s="1"/>
  <c r="H113" i="3"/>
  <c r="E113" i="3"/>
  <c r="F113" i="3" s="1"/>
  <c r="G113" i="3" s="1"/>
  <c r="B113" i="3"/>
  <c r="H112" i="3"/>
  <c r="E112" i="3"/>
  <c r="F112" i="3" s="1"/>
  <c r="G112" i="3" s="1"/>
  <c r="I112" i="3" s="1"/>
  <c r="H13" i="10" s="1"/>
  <c r="B112" i="3"/>
  <c r="I111" i="3"/>
  <c r="H12" i="10" s="1"/>
  <c r="H111" i="3"/>
  <c r="E111" i="3"/>
  <c r="F111" i="3" s="1"/>
  <c r="G111" i="3" s="1"/>
  <c r="B111" i="3"/>
  <c r="H110" i="3"/>
  <c r="E110" i="3"/>
  <c r="F110" i="3" s="1"/>
  <c r="G110" i="3" s="1"/>
  <c r="I110" i="3" s="1"/>
  <c r="H11" i="10" s="1"/>
  <c r="B110" i="3"/>
  <c r="H109" i="3"/>
  <c r="E109" i="3"/>
  <c r="F109" i="3" s="1"/>
  <c r="G109" i="3" s="1"/>
  <c r="I109" i="3" s="1"/>
  <c r="H10" i="10" s="1"/>
  <c r="B109" i="3"/>
  <c r="H108" i="3"/>
  <c r="G108" i="3"/>
  <c r="I108" i="3" s="1"/>
  <c r="H9" i="10" s="1"/>
  <c r="E108" i="3"/>
  <c r="F108" i="3" s="1"/>
  <c r="B108" i="3"/>
  <c r="H107" i="3"/>
  <c r="E107" i="3"/>
  <c r="F107" i="3" s="1"/>
  <c r="G107" i="3" s="1"/>
  <c r="I107" i="3" s="1"/>
  <c r="H8" i="10" s="1"/>
  <c r="B107" i="3"/>
  <c r="H106" i="3"/>
  <c r="G106" i="3"/>
  <c r="I106" i="3" s="1"/>
  <c r="H7" i="10" s="1"/>
  <c r="E106" i="3"/>
  <c r="F106" i="3" s="1"/>
  <c r="B106" i="3"/>
  <c r="I105" i="3"/>
  <c r="H6" i="10" s="1"/>
  <c r="H105" i="3"/>
  <c r="E105" i="3"/>
  <c r="F105" i="3" s="1"/>
  <c r="G105" i="3" s="1"/>
  <c r="B105" i="3"/>
  <c r="H104" i="3"/>
  <c r="E104" i="3"/>
  <c r="F104" i="3" s="1"/>
  <c r="G104" i="3" s="1"/>
  <c r="I104" i="3" s="1"/>
  <c r="H5" i="10" s="1"/>
  <c r="B104" i="3"/>
  <c r="I103" i="3"/>
  <c r="H4" i="10" s="1"/>
  <c r="H103" i="3"/>
  <c r="E103" i="3"/>
  <c r="F103" i="3" s="1"/>
  <c r="G103" i="3" s="1"/>
  <c r="B103" i="3"/>
  <c r="H102" i="3"/>
  <c r="E102" i="3"/>
  <c r="F102" i="3" s="1"/>
  <c r="G102" i="3" s="1"/>
  <c r="I102" i="3" s="1"/>
  <c r="H3" i="10" s="1"/>
  <c r="B102" i="3"/>
  <c r="H101" i="3"/>
  <c r="E101" i="3"/>
  <c r="F101" i="3" s="1"/>
  <c r="G101" i="3" s="1"/>
  <c r="I101" i="3" s="1"/>
  <c r="H2" i="10" s="1"/>
  <c r="B101" i="3"/>
  <c r="H97" i="3"/>
  <c r="G97" i="3"/>
  <c r="I97" i="3" s="1"/>
  <c r="G17" i="10" s="1"/>
  <c r="E97" i="3"/>
  <c r="F97" i="3" s="1"/>
  <c r="B97" i="3"/>
  <c r="H96" i="3"/>
  <c r="E96" i="3"/>
  <c r="F96" i="3" s="1"/>
  <c r="G96" i="3" s="1"/>
  <c r="I96" i="3" s="1"/>
  <c r="G16" i="10" s="1"/>
  <c r="B96" i="3"/>
  <c r="H95" i="3"/>
  <c r="G95" i="3"/>
  <c r="I95" i="3" s="1"/>
  <c r="G15" i="10" s="1"/>
  <c r="E95" i="3"/>
  <c r="F95" i="3" s="1"/>
  <c r="B95" i="3"/>
  <c r="I94" i="3"/>
  <c r="G14" i="10" s="1"/>
  <c r="H94" i="3"/>
  <c r="E94" i="3"/>
  <c r="F94" i="3" s="1"/>
  <c r="G94" i="3" s="1"/>
  <c r="B94" i="3"/>
  <c r="H93" i="3"/>
  <c r="E93" i="3"/>
  <c r="F93" i="3" s="1"/>
  <c r="G93" i="3" s="1"/>
  <c r="I93" i="3" s="1"/>
  <c r="G13" i="10" s="1"/>
  <c r="B93" i="3"/>
  <c r="I92" i="3"/>
  <c r="G12" i="10" s="1"/>
  <c r="H92" i="3"/>
  <c r="E92" i="3"/>
  <c r="F92" i="3" s="1"/>
  <c r="G92" i="3" s="1"/>
  <c r="B92" i="3"/>
  <c r="H91" i="3"/>
  <c r="E91" i="3"/>
  <c r="F91" i="3" s="1"/>
  <c r="G91" i="3" s="1"/>
  <c r="I91" i="3" s="1"/>
  <c r="G11" i="10" s="1"/>
  <c r="B91" i="3"/>
  <c r="H90" i="3"/>
  <c r="E90" i="3"/>
  <c r="F90" i="3" s="1"/>
  <c r="G90" i="3" s="1"/>
  <c r="I90" i="3" s="1"/>
  <c r="G10" i="10" s="1"/>
  <c r="B90" i="3"/>
  <c r="H89" i="3"/>
  <c r="G89" i="3"/>
  <c r="I89" i="3" s="1"/>
  <c r="G9" i="10" s="1"/>
  <c r="E89" i="3"/>
  <c r="F89" i="3" s="1"/>
  <c r="B89" i="3"/>
  <c r="H88" i="3"/>
  <c r="E88" i="3"/>
  <c r="F88" i="3" s="1"/>
  <c r="G88" i="3" s="1"/>
  <c r="I88" i="3" s="1"/>
  <c r="G8" i="10" s="1"/>
  <c r="B88" i="3"/>
  <c r="H87" i="3"/>
  <c r="G87" i="3"/>
  <c r="I87" i="3" s="1"/>
  <c r="G7" i="10" s="1"/>
  <c r="E87" i="3"/>
  <c r="F87" i="3" s="1"/>
  <c r="B87" i="3"/>
  <c r="I86" i="3"/>
  <c r="G6" i="10" s="1"/>
  <c r="H86" i="3"/>
  <c r="E86" i="3"/>
  <c r="F86" i="3" s="1"/>
  <c r="G86" i="3" s="1"/>
  <c r="B86" i="3"/>
  <c r="H85" i="3"/>
  <c r="E85" i="3"/>
  <c r="F85" i="3" s="1"/>
  <c r="G85" i="3" s="1"/>
  <c r="I85" i="3" s="1"/>
  <c r="G5" i="10" s="1"/>
  <c r="B85" i="3"/>
  <c r="I84" i="3"/>
  <c r="G4" i="10" s="1"/>
  <c r="H84" i="3"/>
  <c r="E84" i="3"/>
  <c r="F84" i="3" s="1"/>
  <c r="G84" i="3" s="1"/>
  <c r="B84" i="3"/>
  <c r="H83" i="3"/>
  <c r="E83" i="3"/>
  <c r="F83" i="3" s="1"/>
  <c r="G83" i="3" s="1"/>
  <c r="I83" i="3" s="1"/>
  <c r="G3" i="10" s="1"/>
  <c r="B83" i="3"/>
  <c r="H82" i="3"/>
  <c r="E82" i="3"/>
  <c r="F82" i="3" s="1"/>
  <c r="G82" i="3" s="1"/>
  <c r="I82" i="3" s="1"/>
  <c r="G2" i="10" s="1"/>
  <c r="B82" i="3"/>
  <c r="H78" i="3"/>
  <c r="G78" i="3"/>
  <c r="I78" i="3" s="1"/>
  <c r="F17" i="10" s="1"/>
  <c r="E78" i="3"/>
  <c r="F78" i="3" s="1"/>
  <c r="B78" i="3"/>
  <c r="H77" i="3"/>
  <c r="E77" i="3"/>
  <c r="F77" i="3" s="1"/>
  <c r="G77" i="3" s="1"/>
  <c r="I77" i="3" s="1"/>
  <c r="F16" i="10" s="1"/>
  <c r="B77" i="3"/>
  <c r="H76" i="3"/>
  <c r="G76" i="3"/>
  <c r="I76" i="3" s="1"/>
  <c r="F15" i="10" s="1"/>
  <c r="E76" i="3"/>
  <c r="F76" i="3" s="1"/>
  <c r="B76" i="3"/>
  <c r="I75" i="3"/>
  <c r="F14" i="10" s="1"/>
  <c r="H75" i="3"/>
  <c r="E75" i="3"/>
  <c r="F75" i="3" s="1"/>
  <c r="G75" i="3" s="1"/>
  <c r="B75" i="3"/>
  <c r="H74" i="3"/>
  <c r="E74" i="3"/>
  <c r="F74" i="3" s="1"/>
  <c r="G74" i="3" s="1"/>
  <c r="I74" i="3" s="1"/>
  <c r="F13" i="10" s="1"/>
  <c r="B74" i="3"/>
  <c r="I73" i="3"/>
  <c r="F12" i="10" s="1"/>
  <c r="H73" i="3"/>
  <c r="E73" i="3"/>
  <c r="F73" i="3" s="1"/>
  <c r="G73" i="3" s="1"/>
  <c r="B73" i="3"/>
  <c r="H72" i="3"/>
  <c r="E72" i="3"/>
  <c r="F72" i="3" s="1"/>
  <c r="G72" i="3" s="1"/>
  <c r="I72" i="3" s="1"/>
  <c r="F11" i="10" s="1"/>
  <c r="B72" i="3"/>
  <c r="H71" i="3"/>
  <c r="E71" i="3"/>
  <c r="F71" i="3" s="1"/>
  <c r="G71" i="3" s="1"/>
  <c r="I71" i="3" s="1"/>
  <c r="F10" i="10" s="1"/>
  <c r="B71" i="3"/>
  <c r="H70" i="3"/>
  <c r="G70" i="3"/>
  <c r="I70" i="3" s="1"/>
  <c r="F9" i="10" s="1"/>
  <c r="E70" i="3"/>
  <c r="F70" i="3" s="1"/>
  <c r="B70" i="3"/>
  <c r="H69" i="3"/>
  <c r="E69" i="3"/>
  <c r="F69" i="3" s="1"/>
  <c r="G69" i="3" s="1"/>
  <c r="I69" i="3" s="1"/>
  <c r="F8" i="10" s="1"/>
  <c r="B69" i="3"/>
  <c r="H68" i="3"/>
  <c r="G68" i="3"/>
  <c r="I68" i="3" s="1"/>
  <c r="F7" i="10" s="1"/>
  <c r="E68" i="3"/>
  <c r="F68" i="3" s="1"/>
  <c r="B68" i="3"/>
  <c r="I67" i="3"/>
  <c r="F6" i="10" s="1"/>
  <c r="H67" i="3"/>
  <c r="E67" i="3"/>
  <c r="F67" i="3" s="1"/>
  <c r="G67" i="3" s="1"/>
  <c r="B67" i="3"/>
  <c r="H66" i="3"/>
  <c r="E66" i="3"/>
  <c r="F66" i="3" s="1"/>
  <c r="G66" i="3" s="1"/>
  <c r="I66" i="3" s="1"/>
  <c r="F5" i="10" s="1"/>
  <c r="B66" i="3"/>
  <c r="I65" i="3"/>
  <c r="F4" i="10" s="1"/>
  <c r="H65" i="3"/>
  <c r="E65" i="3"/>
  <c r="F65" i="3" s="1"/>
  <c r="G65" i="3" s="1"/>
  <c r="B65" i="3"/>
  <c r="H64" i="3"/>
  <c r="E64" i="3"/>
  <c r="F64" i="3" s="1"/>
  <c r="G64" i="3" s="1"/>
  <c r="I64" i="3" s="1"/>
  <c r="F3" i="10" s="1"/>
  <c r="B64" i="3"/>
  <c r="H63" i="3"/>
  <c r="E63" i="3"/>
  <c r="F63" i="3" s="1"/>
  <c r="G63" i="3" s="1"/>
  <c r="I63" i="3" s="1"/>
  <c r="F2" i="10" s="1"/>
  <c r="B63" i="3"/>
  <c r="H59" i="3"/>
  <c r="G59" i="3"/>
  <c r="I59" i="3" s="1"/>
  <c r="E17" i="10" s="1"/>
  <c r="E59" i="3"/>
  <c r="F59" i="3" s="1"/>
  <c r="B59" i="3"/>
  <c r="H58" i="3"/>
  <c r="E58" i="3"/>
  <c r="F58" i="3" s="1"/>
  <c r="G58" i="3" s="1"/>
  <c r="I58" i="3" s="1"/>
  <c r="E16" i="10" s="1"/>
  <c r="B58" i="3"/>
  <c r="H57" i="3"/>
  <c r="G57" i="3"/>
  <c r="I57" i="3" s="1"/>
  <c r="E15" i="10" s="1"/>
  <c r="E57" i="3"/>
  <c r="F57" i="3" s="1"/>
  <c r="B57" i="3"/>
  <c r="I56" i="3"/>
  <c r="E14" i="10" s="1"/>
  <c r="H56" i="3"/>
  <c r="E56" i="3"/>
  <c r="F56" i="3" s="1"/>
  <c r="G56" i="3" s="1"/>
  <c r="B56" i="3"/>
  <c r="H55" i="3"/>
  <c r="E55" i="3"/>
  <c r="F55" i="3" s="1"/>
  <c r="G55" i="3" s="1"/>
  <c r="I55" i="3" s="1"/>
  <c r="E13" i="10" s="1"/>
  <c r="B55" i="3"/>
  <c r="I54" i="3"/>
  <c r="E12" i="10" s="1"/>
  <c r="H54" i="3"/>
  <c r="E54" i="3"/>
  <c r="F54" i="3" s="1"/>
  <c r="G54" i="3" s="1"/>
  <c r="B54" i="3"/>
  <c r="H53" i="3"/>
  <c r="E53" i="3"/>
  <c r="F53" i="3" s="1"/>
  <c r="G53" i="3" s="1"/>
  <c r="I53" i="3" s="1"/>
  <c r="E11" i="10" s="1"/>
  <c r="B53" i="3"/>
  <c r="H52" i="3"/>
  <c r="E52" i="3"/>
  <c r="F52" i="3" s="1"/>
  <c r="G52" i="3" s="1"/>
  <c r="I52" i="3" s="1"/>
  <c r="E10" i="10" s="1"/>
  <c r="B52" i="3"/>
  <c r="H51" i="3"/>
  <c r="G51" i="3"/>
  <c r="I51" i="3" s="1"/>
  <c r="E9" i="10" s="1"/>
  <c r="E51" i="3"/>
  <c r="F51" i="3" s="1"/>
  <c r="B51" i="3"/>
  <c r="H50" i="3"/>
  <c r="E50" i="3"/>
  <c r="F50" i="3" s="1"/>
  <c r="G50" i="3" s="1"/>
  <c r="I50" i="3" s="1"/>
  <c r="E8" i="10" s="1"/>
  <c r="B50" i="3"/>
  <c r="H49" i="3"/>
  <c r="G49" i="3"/>
  <c r="I49" i="3" s="1"/>
  <c r="E7" i="10" s="1"/>
  <c r="E49" i="3"/>
  <c r="F49" i="3" s="1"/>
  <c r="B49" i="3"/>
  <c r="I48" i="3"/>
  <c r="E6" i="10" s="1"/>
  <c r="H48" i="3"/>
  <c r="E48" i="3"/>
  <c r="F48" i="3" s="1"/>
  <c r="G48" i="3" s="1"/>
  <c r="B48" i="3"/>
  <c r="H47" i="3"/>
  <c r="E47" i="3"/>
  <c r="F47" i="3" s="1"/>
  <c r="G47" i="3" s="1"/>
  <c r="I47" i="3" s="1"/>
  <c r="E5" i="10" s="1"/>
  <c r="B47" i="3"/>
  <c r="I46" i="3"/>
  <c r="E4" i="10" s="1"/>
  <c r="H46" i="3"/>
  <c r="E46" i="3"/>
  <c r="F46" i="3" s="1"/>
  <c r="G46" i="3" s="1"/>
  <c r="B46" i="3"/>
  <c r="H45" i="3"/>
  <c r="E45" i="3"/>
  <c r="F45" i="3" s="1"/>
  <c r="G45" i="3" s="1"/>
  <c r="I45" i="3" s="1"/>
  <c r="E3" i="10" s="1"/>
  <c r="B45" i="3"/>
  <c r="H44" i="3"/>
  <c r="F44" i="3"/>
  <c r="G44" i="3" s="1"/>
  <c r="I44" i="3" s="1"/>
  <c r="E2" i="10" s="1"/>
  <c r="E44" i="3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E38" i="3"/>
  <c r="F38" i="3" s="1"/>
  <c r="G38" i="3" s="1"/>
  <c r="I38" i="3" s="1"/>
  <c r="D15" i="10" s="1"/>
  <c r="B38" i="3"/>
  <c r="H37" i="3"/>
  <c r="E37" i="3"/>
  <c r="F37" i="3" s="1"/>
  <c r="G37" i="3" s="1"/>
  <c r="I37" i="3" s="1"/>
  <c r="D14" i="10" s="1"/>
  <c r="B37" i="3"/>
  <c r="H36" i="3"/>
  <c r="E36" i="3"/>
  <c r="F36" i="3" s="1"/>
  <c r="G36" i="3" s="1"/>
  <c r="I36" i="3" s="1"/>
  <c r="D13" i="10" s="1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F33" i="3"/>
  <c r="G33" i="3" s="1"/>
  <c r="I33" i="3" s="1"/>
  <c r="D10" i="10" s="1"/>
  <c r="E33" i="3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E30" i="3"/>
  <c r="F30" i="3" s="1"/>
  <c r="G30" i="3" s="1"/>
  <c r="I30" i="3" s="1"/>
  <c r="D7" i="10" s="1"/>
  <c r="B30" i="3"/>
  <c r="H29" i="3"/>
  <c r="E29" i="3"/>
  <c r="F29" i="3" s="1"/>
  <c r="G29" i="3" s="1"/>
  <c r="I29" i="3" s="1"/>
  <c r="D6" i="10" s="1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E25" i="3"/>
  <c r="F25" i="3" s="1"/>
  <c r="G25" i="3" s="1"/>
  <c r="I25" i="3" s="1"/>
  <c r="D2" i="10" s="1"/>
  <c r="B25" i="3"/>
  <c r="H21" i="3"/>
  <c r="E21" i="3"/>
  <c r="F21" i="3" s="1"/>
  <c r="B21" i="3"/>
  <c r="H20" i="3"/>
  <c r="F20" i="3"/>
  <c r="E20" i="3"/>
  <c r="B20" i="3"/>
  <c r="H19" i="3"/>
  <c r="E19" i="3"/>
  <c r="F19" i="3" s="1"/>
  <c r="B19" i="3"/>
  <c r="H18" i="3"/>
  <c r="E18" i="3"/>
  <c r="F18" i="3" s="1"/>
  <c r="B18" i="3"/>
  <c r="H17" i="3"/>
  <c r="F17" i="3"/>
  <c r="E17" i="3"/>
  <c r="B17" i="3"/>
  <c r="H16" i="3"/>
  <c r="E16" i="3"/>
  <c r="F16" i="3" s="1"/>
  <c r="B16" i="3"/>
  <c r="H15" i="3"/>
  <c r="F15" i="3"/>
  <c r="J11" i="10" s="1"/>
  <c r="E15" i="3"/>
  <c r="B15" i="3"/>
  <c r="H14" i="3"/>
  <c r="E14" i="3"/>
  <c r="F14" i="3" s="1"/>
  <c r="B14" i="3"/>
  <c r="H13" i="3"/>
  <c r="F13" i="3"/>
  <c r="G13" i="3" s="1"/>
  <c r="I13" i="3" s="1"/>
  <c r="C9" i="10" s="1"/>
  <c r="E13" i="3"/>
  <c r="B13" i="3"/>
  <c r="H12" i="3"/>
  <c r="E12" i="3"/>
  <c r="F12" i="3" s="1"/>
  <c r="B12" i="3"/>
  <c r="H11" i="3"/>
  <c r="F11" i="3"/>
  <c r="E11" i="3"/>
  <c r="B11" i="3"/>
  <c r="H10" i="3"/>
  <c r="E10" i="3"/>
  <c r="F10" i="3" s="1"/>
  <c r="B10" i="3"/>
  <c r="H9" i="3"/>
  <c r="F9" i="3"/>
  <c r="J5" i="10" s="1"/>
  <c r="E9" i="3"/>
  <c r="B9" i="3"/>
  <c r="H8" i="3"/>
  <c r="E8" i="3"/>
  <c r="F8" i="3" s="1"/>
  <c r="B8" i="3"/>
  <c r="H7" i="3"/>
  <c r="F7" i="3"/>
  <c r="G7" i="3" s="1"/>
  <c r="I7" i="3" s="1"/>
  <c r="C3" i="10" s="1"/>
  <c r="E7" i="3"/>
  <c r="B7" i="3"/>
  <c r="H6" i="3"/>
  <c r="E6" i="3"/>
  <c r="F6" i="3" s="1"/>
  <c r="B6" i="3"/>
  <c r="J14" i="10" l="1"/>
  <c r="G18" i="3"/>
  <c r="I18" i="3" s="1"/>
  <c r="C14" i="10" s="1"/>
  <c r="J8" i="10"/>
  <c r="G12" i="3"/>
  <c r="I12" i="3" s="1"/>
  <c r="C8" i="10" s="1"/>
  <c r="J15" i="10"/>
  <c r="G19" i="3"/>
  <c r="I19" i="3" s="1"/>
  <c r="C15" i="10" s="1"/>
  <c r="AG3" i="10"/>
  <c r="I3" i="10"/>
  <c r="J4" i="10"/>
  <c r="G8" i="3"/>
  <c r="I8" i="3" s="1"/>
  <c r="C4" i="10" s="1"/>
  <c r="AI17" i="10"/>
  <c r="R17" i="10"/>
  <c r="J2" i="10"/>
  <c r="G6" i="3"/>
  <c r="I6" i="3" s="1"/>
  <c r="C2" i="10" s="1"/>
  <c r="J17" i="10"/>
  <c r="G21" i="3"/>
  <c r="I21" i="3" s="1"/>
  <c r="C17" i="10" s="1"/>
  <c r="J12" i="10"/>
  <c r="G16" i="3"/>
  <c r="I16" i="3" s="1"/>
  <c r="C12" i="10" s="1"/>
  <c r="J10" i="10"/>
  <c r="G14" i="3"/>
  <c r="I14" i="3" s="1"/>
  <c r="C10" i="10" s="1"/>
  <c r="AG9" i="10"/>
  <c r="I9" i="10"/>
  <c r="J6" i="10"/>
  <c r="G10" i="3"/>
  <c r="I10" i="3" s="1"/>
  <c r="C6" i="10" s="1"/>
  <c r="G9" i="3"/>
  <c r="I9" i="3" s="1"/>
  <c r="C5" i="10" s="1"/>
  <c r="AI3" i="10"/>
  <c r="R3" i="10"/>
  <c r="AI9" i="10"/>
  <c r="R9" i="10"/>
  <c r="AI15" i="10"/>
  <c r="R15" i="10"/>
  <c r="G15" i="3"/>
  <c r="I15" i="3" s="1"/>
  <c r="C11" i="10" s="1"/>
  <c r="U4" i="10"/>
  <c r="G8" i="5"/>
  <c r="U10" i="10"/>
  <c r="G14" i="5"/>
  <c r="U16" i="10"/>
  <c r="G20" i="5"/>
  <c r="V9" i="10"/>
  <c r="H32" i="5"/>
  <c r="V15" i="10"/>
  <c r="H38" i="5"/>
  <c r="W5" i="10"/>
  <c r="H47" i="5"/>
  <c r="W11" i="10"/>
  <c r="H53" i="5"/>
  <c r="W17" i="10"/>
  <c r="H59" i="5"/>
  <c r="X7" i="10"/>
  <c r="H68" i="5"/>
  <c r="X13" i="10"/>
  <c r="H74" i="5"/>
  <c r="Y3" i="10"/>
  <c r="H83" i="5"/>
  <c r="Y9" i="10"/>
  <c r="H89" i="5"/>
  <c r="Y15" i="10"/>
  <c r="H95" i="5"/>
  <c r="Z5" i="10"/>
  <c r="H104" i="5"/>
  <c r="Z11" i="10"/>
  <c r="H110" i="5"/>
  <c r="Z17" i="10"/>
  <c r="H116" i="5"/>
  <c r="G11" i="4"/>
  <c r="I11" i="4" s="1"/>
  <c r="L7" i="10" s="1"/>
  <c r="G17" i="4"/>
  <c r="I17" i="4" s="1"/>
  <c r="L13" i="10" s="1"/>
  <c r="H8" i="5"/>
  <c r="H14" i="5"/>
  <c r="H20" i="5"/>
  <c r="G32" i="5"/>
  <c r="G38" i="5"/>
  <c r="G47" i="5"/>
  <c r="G53" i="5"/>
  <c r="G59" i="5"/>
  <c r="G68" i="5"/>
  <c r="G74" i="5"/>
  <c r="G83" i="5"/>
  <c r="G89" i="5"/>
  <c r="G95" i="5"/>
  <c r="G104" i="5"/>
  <c r="G110" i="5"/>
  <c r="G116" i="5"/>
  <c r="J7" i="10"/>
  <c r="S16" i="10"/>
  <c r="G20" i="4"/>
  <c r="I20" i="4" s="1"/>
  <c r="L16" i="10" s="1"/>
  <c r="U7" i="10"/>
  <c r="H11" i="5"/>
  <c r="U13" i="10"/>
  <c r="H17" i="5"/>
  <c r="V3" i="10"/>
  <c r="H26" i="5"/>
  <c r="V6" i="10"/>
  <c r="G29" i="5"/>
  <c r="V12" i="10"/>
  <c r="G35" i="5"/>
  <c r="W2" i="10"/>
  <c r="G44" i="5"/>
  <c r="W8" i="10"/>
  <c r="G50" i="5"/>
  <c r="W14" i="10"/>
  <c r="G56" i="5"/>
  <c r="X4" i="10"/>
  <c r="G65" i="5"/>
  <c r="X10" i="10"/>
  <c r="G71" i="5"/>
  <c r="X16" i="10"/>
  <c r="G77" i="5"/>
  <c r="Y6" i="10"/>
  <c r="G86" i="5"/>
  <c r="Y12" i="10"/>
  <c r="G92" i="5"/>
  <c r="Z2" i="10"/>
  <c r="G101" i="5"/>
  <c r="Z8" i="10"/>
  <c r="G107" i="5"/>
  <c r="Z14" i="10"/>
  <c r="G113" i="5"/>
  <c r="AC4" i="10"/>
  <c r="AC10" i="10"/>
  <c r="AC16" i="10"/>
  <c r="J13" i="10"/>
  <c r="J16" i="10"/>
  <c r="G20" i="3"/>
  <c r="I20" i="3" s="1"/>
  <c r="C16" i="10" s="1"/>
  <c r="S4" i="10"/>
  <c r="G8" i="4"/>
  <c r="I8" i="4" s="1"/>
  <c r="L4" i="10" s="1"/>
  <c r="J3" i="10"/>
  <c r="S5" i="10"/>
  <c r="S8" i="10"/>
  <c r="G12" i="4"/>
  <c r="I12" i="4" s="1"/>
  <c r="L8" i="10" s="1"/>
  <c r="S14" i="10"/>
  <c r="G18" i="4"/>
  <c r="I18" i="4" s="1"/>
  <c r="L14" i="10" s="1"/>
  <c r="U2" i="10"/>
  <c r="G6" i="5"/>
  <c r="U5" i="10"/>
  <c r="H9" i="5"/>
  <c r="U8" i="10"/>
  <c r="G12" i="5"/>
  <c r="U11" i="10"/>
  <c r="H15" i="5"/>
  <c r="U14" i="10"/>
  <c r="G18" i="5"/>
  <c r="U17" i="10"/>
  <c r="H21" i="5"/>
  <c r="V4" i="10"/>
  <c r="G27" i="5"/>
  <c r="V7" i="10"/>
  <c r="H30" i="5"/>
  <c r="V10" i="10"/>
  <c r="G33" i="5"/>
  <c r="V13" i="10"/>
  <c r="H36" i="5"/>
  <c r="V16" i="10"/>
  <c r="G39" i="5"/>
  <c r="W3" i="10"/>
  <c r="H45" i="5"/>
  <c r="W6" i="10"/>
  <c r="G48" i="5"/>
  <c r="W9" i="10"/>
  <c r="H51" i="5"/>
  <c r="W12" i="10"/>
  <c r="G54" i="5"/>
  <c r="W15" i="10"/>
  <c r="H57" i="5"/>
  <c r="X2" i="10"/>
  <c r="G63" i="5"/>
  <c r="X5" i="10"/>
  <c r="H66" i="5"/>
  <c r="X8" i="10"/>
  <c r="G69" i="5"/>
  <c r="X11" i="10"/>
  <c r="H72" i="5"/>
  <c r="X14" i="10"/>
  <c r="G75" i="5"/>
  <c r="X17" i="10"/>
  <c r="H78" i="5"/>
  <c r="Y4" i="10"/>
  <c r="G84" i="5"/>
  <c r="Y7" i="10"/>
  <c r="H87" i="5"/>
  <c r="Y10" i="10"/>
  <c r="G90" i="5"/>
  <c r="Y13" i="10"/>
  <c r="H93" i="5"/>
  <c r="Y16" i="10"/>
  <c r="G96" i="5"/>
  <c r="Z3" i="10"/>
  <c r="H102" i="5"/>
  <c r="Z6" i="10"/>
  <c r="G105" i="5"/>
  <c r="Z9" i="10"/>
  <c r="H108" i="5"/>
  <c r="Z12" i="10"/>
  <c r="G111" i="5"/>
  <c r="Z15" i="10"/>
  <c r="H114" i="5"/>
  <c r="J9" i="10"/>
  <c r="S11" i="10"/>
  <c r="G9" i="4"/>
  <c r="I9" i="4" s="1"/>
  <c r="L5" i="10" s="1"/>
  <c r="G15" i="4"/>
  <c r="I15" i="4" s="1"/>
  <c r="L11" i="10" s="1"/>
  <c r="H6" i="5"/>
  <c r="G9" i="5"/>
  <c r="H12" i="5"/>
  <c r="G15" i="5"/>
  <c r="H18" i="5"/>
  <c r="G21" i="5"/>
  <c r="H27" i="5"/>
  <c r="G30" i="5"/>
  <c r="H33" i="5"/>
  <c r="G36" i="5"/>
  <c r="H39" i="5"/>
  <c r="G45" i="5"/>
  <c r="H48" i="5"/>
  <c r="G51" i="5"/>
  <c r="H54" i="5"/>
  <c r="G57" i="5"/>
  <c r="H63" i="5"/>
  <c r="G66" i="5"/>
  <c r="H69" i="5"/>
  <c r="G72" i="5"/>
  <c r="H75" i="5"/>
  <c r="G78" i="5"/>
  <c r="H84" i="5"/>
  <c r="G87" i="5"/>
  <c r="H90" i="5"/>
  <c r="G93" i="5"/>
  <c r="H96" i="5"/>
  <c r="G102" i="5"/>
  <c r="H105" i="5"/>
  <c r="G108" i="5"/>
  <c r="H111" i="5"/>
  <c r="G114" i="5"/>
  <c r="G11" i="3"/>
  <c r="I11" i="3" s="1"/>
  <c r="C7" i="10" s="1"/>
  <c r="G17" i="3"/>
  <c r="I17" i="3" s="1"/>
  <c r="C13" i="10" s="1"/>
  <c r="S10" i="10"/>
  <c r="G14" i="4"/>
  <c r="I14" i="4" s="1"/>
  <c r="L10" i="10" s="1"/>
  <c r="S2" i="10"/>
  <c r="G6" i="4"/>
  <c r="I6" i="4" s="1"/>
  <c r="L2" i="10" s="1"/>
  <c r="S17" i="10"/>
  <c r="AC2" i="10"/>
  <c r="AC8" i="10"/>
  <c r="AC14" i="10"/>
  <c r="S6" i="10"/>
  <c r="G10" i="4"/>
  <c r="I10" i="4" s="1"/>
  <c r="L6" i="10" s="1"/>
  <c r="S12" i="10"/>
  <c r="G16" i="4"/>
  <c r="I16" i="4" s="1"/>
  <c r="L12" i="10" s="1"/>
  <c r="U3" i="10"/>
  <c r="H7" i="5"/>
  <c r="U6" i="10"/>
  <c r="G10" i="5"/>
  <c r="U9" i="10"/>
  <c r="H13" i="5"/>
  <c r="U12" i="10"/>
  <c r="G16" i="5"/>
  <c r="U15" i="10"/>
  <c r="H19" i="5"/>
  <c r="V2" i="10"/>
  <c r="G25" i="5"/>
  <c r="V5" i="10"/>
  <c r="H28" i="5"/>
  <c r="V8" i="10"/>
  <c r="G31" i="5"/>
  <c r="V11" i="10"/>
  <c r="H34" i="5"/>
  <c r="V14" i="10"/>
  <c r="G37" i="5"/>
  <c r="V17" i="10"/>
  <c r="H40" i="5"/>
  <c r="W4" i="10"/>
  <c r="G46" i="5"/>
  <c r="W7" i="10"/>
  <c r="H49" i="5"/>
  <c r="W10" i="10"/>
  <c r="G52" i="5"/>
  <c r="W13" i="10"/>
  <c r="H55" i="5"/>
  <c r="W16" i="10"/>
  <c r="G58" i="5"/>
  <c r="X3" i="10"/>
  <c r="H64" i="5"/>
  <c r="X6" i="10"/>
  <c r="G67" i="5"/>
  <c r="X9" i="10"/>
  <c r="H70" i="5"/>
  <c r="X12" i="10"/>
  <c r="G73" i="5"/>
  <c r="X15" i="10"/>
  <c r="H76" i="5"/>
  <c r="Y2" i="10"/>
  <c r="G82" i="5"/>
  <c r="Y5" i="10"/>
  <c r="H85" i="5"/>
  <c r="Y8" i="10"/>
  <c r="G88" i="5"/>
  <c r="Y11" i="10"/>
  <c r="H91" i="5"/>
  <c r="Y14" i="10"/>
  <c r="G94" i="5"/>
  <c r="Y17" i="10"/>
  <c r="H97" i="5"/>
  <c r="Z4" i="10"/>
  <c r="G103" i="5"/>
  <c r="Z7" i="10"/>
  <c r="H106" i="5"/>
  <c r="Z10" i="10"/>
  <c r="G109" i="5"/>
  <c r="Z13" i="10"/>
  <c r="H112" i="5"/>
  <c r="Z16" i="10"/>
  <c r="G115" i="5"/>
  <c r="C17" i="8"/>
  <c r="B7" i="9" s="1"/>
  <c r="I7" i="9" s="1"/>
  <c r="J7" i="9" s="1"/>
  <c r="C23" i="8"/>
  <c r="C18" i="8"/>
  <c r="B8" i="9" s="1"/>
  <c r="I8" i="9" s="1"/>
  <c r="J8" i="9" s="1"/>
  <c r="C19" i="8"/>
  <c r="B9" i="9" s="1"/>
  <c r="I9" i="9" s="1"/>
  <c r="J9" i="9" s="1"/>
  <c r="C20" i="8"/>
  <c r="C16" i="8"/>
  <c r="B6" i="9" s="1"/>
  <c r="I6" i="9" s="1"/>
  <c r="J6" i="9" s="1"/>
  <c r="C22" i="8"/>
  <c r="AJ17" i="10" l="1"/>
  <c r="T17" i="10"/>
  <c r="AI14" i="10"/>
  <c r="R14" i="10"/>
  <c r="AB10" i="10"/>
  <c r="AA10" i="10"/>
  <c r="AB2" i="10"/>
  <c r="AA2" i="10"/>
  <c r="AG6" i="10"/>
  <c r="I6" i="10"/>
  <c r="AB9" i="10"/>
  <c r="AA9" i="10"/>
  <c r="AB17" i="10"/>
  <c r="AA17" i="10"/>
  <c r="K9" i="10"/>
  <c r="AH9" i="10"/>
  <c r="AE9" i="10"/>
  <c r="AG4" i="10"/>
  <c r="I4" i="10"/>
  <c r="AB6" i="10"/>
  <c r="AA6" i="10"/>
  <c r="AB14" i="10"/>
  <c r="AA14" i="10"/>
  <c r="AG11" i="10"/>
  <c r="I11" i="10"/>
  <c r="AG10" i="10"/>
  <c r="I10" i="10"/>
  <c r="K3" i="10"/>
  <c r="AH3" i="10"/>
  <c r="AE3" i="10"/>
  <c r="AI8" i="10"/>
  <c r="R8" i="10"/>
  <c r="D15" i="9"/>
  <c r="D13" i="9"/>
  <c r="C15" i="9"/>
  <c r="C13" i="9"/>
  <c r="G16" i="9"/>
  <c r="G14" i="9"/>
  <c r="F16" i="9"/>
  <c r="F14" i="9"/>
  <c r="E16" i="9"/>
  <c r="E14" i="9"/>
  <c r="D16" i="9"/>
  <c r="D14" i="9"/>
  <c r="C16" i="9"/>
  <c r="C14" i="9"/>
  <c r="G15" i="9"/>
  <c r="G13" i="9"/>
  <c r="F15" i="9"/>
  <c r="F13" i="9"/>
  <c r="E15" i="9"/>
  <c r="E13" i="9"/>
  <c r="R10" i="10"/>
  <c r="AI10" i="10"/>
  <c r="AI11" i="10"/>
  <c r="R11" i="10"/>
  <c r="AJ15" i="10"/>
  <c r="T15" i="10"/>
  <c r="AI5" i="10"/>
  <c r="R5" i="10"/>
  <c r="AB11" i="10"/>
  <c r="AA11" i="10"/>
  <c r="R13" i="10"/>
  <c r="AI13" i="10"/>
  <c r="AG12" i="10"/>
  <c r="I12" i="10"/>
  <c r="AG15" i="10"/>
  <c r="I15" i="10"/>
  <c r="AI2" i="10"/>
  <c r="R2" i="10"/>
  <c r="AG13" i="10"/>
  <c r="I13" i="10"/>
  <c r="R4" i="10"/>
  <c r="AI4" i="10"/>
  <c r="R7" i="10"/>
  <c r="AI7" i="10"/>
  <c r="AJ9" i="10"/>
  <c r="T9" i="10"/>
  <c r="AI12" i="10"/>
  <c r="R12" i="10"/>
  <c r="AG7" i="10"/>
  <c r="I7" i="10"/>
  <c r="AB8" i="10"/>
  <c r="AA8" i="10"/>
  <c r="AB13" i="10"/>
  <c r="AA13" i="10"/>
  <c r="AG17" i="10"/>
  <c r="I17" i="10"/>
  <c r="AG8" i="10"/>
  <c r="I8" i="10"/>
  <c r="AB4" i="10"/>
  <c r="AA4" i="10"/>
  <c r="AB3" i="10"/>
  <c r="AA3" i="10"/>
  <c r="AI6" i="10"/>
  <c r="R6" i="10"/>
  <c r="AG16" i="10"/>
  <c r="I16" i="10"/>
  <c r="AJ3" i="10"/>
  <c r="T3" i="10"/>
  <c r="AB15" i="10"/>
  <c r="AA15" i="10"/>
  <c r="AB5" i="10"/>
  <c r="AA5" i="10"/>
  <c r="AB7" i="10"/>
  <c r="AA7" i="10"/>
  <c r="AG2" i="10"/>
  <c r="I2" i="10"/>
  <c r="AG14" i="10"/>
  <c r="I14" i="10"/>
  <c r="AB12" i="10"/>
  <c r="AA12" i="10"/>
  <c r="R16" i="10"/>
  <c r="AI16" i="10"/>
  <c r="AB16" i="10"/>
  <c r="AA16" i="10"/>
  <c r="AG5" i="10"/>
  <c r="I5" i="10"/>
  <c r="AL14" i="10" l="1"/>
  <c r="AD14" i="10"/>
  <c r="K6" i="10"/>
  <c r="AH6" i="10"/>
  <c r="AE6" i="10"/>
  <c r="T10" i="10"/>
  <c r="AJ10" i="10"/>
  <c r="AJ8" i="10"/>
  <c r="T8" i="10"/>
  <c r="AL2" i="10"/>
  <c r="AD2" i="10"/>
  <c r="AL5" i="10"/>
  <c r="AD5" i="10"/>
  <c r="AD6" i="10"/>
  <c r="AL6" i="10"/>
  <c r="T7" i="10"/>
  <c r="AJ7" i="10"/>
  <c r="AE4" i="10"/>
  <c r="K4" i="10"/>
  <c r="AH4" i="10"/>
  <c r="AD12" i="10"/>
  <c r="AL12" i="10"/>
  <c r="K17" i="10"/>
  <c r="AH17" i="10"/>
  <c r="AE17" i="10"/>
  <c r="K14" i="10"/>
  <c r="AH14" i="10"/>
  <c r="AE14" i="10"/>
  <c r="AD10" i="10"/>
  <c r="AL10" i="10"/>
  <c r="AD16" i="10"/>
  <c r="AL16" i="10"/>
  <c r="AL11" i="10"/>
  <c r="AD11" i="10"/>
  <c r="AF9" i="10"/>
  <c r="AM9" i="10"/>
  <c r="AD4" i="10"/>
  <c r="AL4" i="10"/>
  <c r="AJ12" i="10"/>
  <c r="T12" i="10"/>
  <c r="K15" i="10"/>
  <c r="AH15" i="10"/>
  <c r="AE15" i="10"/>
  <c r="AJ11" i="10"/>
  <c r="T11" i="10"/>
  <c r="T13" i="10"/>
  <c r="AJ13" i="10"/>
  <c r="AE16" i="10"/>
  <c r="K16" i="10"/>
  <c r="AH16" i="10"/>
  <c r="AF3" i="10"/>
  <c r="AM3" i="10"/>
  <c r="AL8" i="10"/>
  <c r="AD8" i="10"/>
  <c r="AE13" i="10"/>
  <c r="K13" i="10"/>
  <c r="AH13" i="10"/>
  <c r="AJ5" i="10"/>
  <c r="T5" i="10"/>
  <c r="AJ14" i="10"/>
  <c r="T14" i="10"/>
  <c r="AD9" i="10"/>
  <c r="AL9" i="10"/>
  <c r="AD13" i="10"/>
  <c r="AL13" i="10"/>
  <c r="T4" i="10"/>
  <c r="AJ4" i="10"/>
  <c r="K2" i="10"/>
  <c r="AH2" i="10"/>
  <c r="AE2" i="10"/>
  <c r="AJ6" i="10"/>
  <c r="T6" i="10"/>
  <c r="AE10" i="10"/>
  <c r="K10" i="10"/>
  <c r="AH10" i="10"/>
  <c r="K8" i="10"/>
  <c r="AH8" i="10"/>
  <c r="AE8" i="10"/>
  <c r="K12" i="10"/>
  <c r="AH12" i="10"/>
  <c r="AE12" i="10"/>
  <c r="K5" i="10"/>
  <c r="AH5" i="10"/>
  <c r="AE5" i="10"/>
  <c r="AD7" i="10"/>
  <c r="AL7" i="10"/>
  <c r="AD3" i="10"/>
  <c r="AL3" i="10"/>
  <c r="AE7" i="10"/>
  <c r="K7" i="10"/>
  <c r="AH7" i="10"/>
  <c r="AJ2" i="10"/>
  <c r="T2" i="10"/>
  <c r="AL17" i="10"/>
  <c r="AD17" i="10"/>
  <c r="AD15" i="10"/>
  <c r="AL15" i="10"/>
  <c r="T16" i="10"/>
  <c r="AJ16" i="10"/>
  <c r="K11" i="10"/>
  <c r="AH11" i="10"/>
  <c r="AE11" i="10"/>
  <c r="K44" i="6" l="1"/>
  <c r="B7" i="7"/>
  <c r="I45" i="6"/>
  <c r="H44" i="6"/>
  <c r="G43" i="6"/>
  <c r="F42" i="6"/>
  <c r="H45" i="6"/>
  <c r="G44" i="6"/>
  <c r="F43" i="6"/>
  <c r="E42" i="6"/>
  <c r="E45" i="6"/>
  <c r="D44" i="6"/>
  <c r="C43" i="6"/>
  <c r="D45" i="6"/>
  <c r="C44" i="6"/>
  <c r="K43" i="6"/>
  <c r="I44" i="6"/>
  <c r="L44" i="6" s="1"/>
  <c r="K42" i="6"/>
  <c r="F44" i="6"/>
  <c r="J42" i="6"/>
  <c r="E44" i="6"/>
  <c r="I42" i="6"/>
  <c r="L42" i="6" s="1"/>
  <c r="B44" i="6"/>
  <c r="H42" i="6"/>
  <c r="G42" i="6"/>
  <c r="K45" i="6"/>
  <c r="J43" i="6"/>
  <c r="D42" i="6"/>
  <c r="G45" i="6"/>
  <c r="H43" i="6"/>
  <c r="B42" i="6"/>
  <c r="F45" i="6"/>
  <c r="E43" i="6"/>
  <c r="C45" i="6"/>
  <c r="D43" i="6"/>
  <c r="J45" i="6"/>
  <c r="B45" i="6"/>
  <c r="J44" i="6"/>
  <c r="I43" i="6"/>
  <c r="L43" i="6" s="1"/>
  <c r="B43" i="6"/>
  <c r="C42" i="6"/>
  <c r="AM5" i="10"/>
  <c r="AF5" i="10"/>
  <c r="AF16" i="10"/>
  <c r="AM16" i="10"/>
  <c r="AF6" i="10"/>
  <c r="AM6" i="10"/>
  <c r="B5" i="7"/>
  <c r="I17" i="6"/>
  <c r="G16" i="6"/>
  <c r="E15" i="6"/>
  <c r="C14" i="6"/>
  <c r="I11" i="6"/>
  <c r="G10" i="6"/>
  <c r="E9" i="6"/>
  <c r="C8" i="6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K9" i="6" s="1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G18" i="6"/>
  <c r="E17" i="6"/>
  <c r="C16" i="6"/>
  <c r="I13" i="6"/>
  <c r="G12" i="6"/>
  <c r="E11" i="6"/>
  <c r="C10" i="6"/>
  <c r="I7" i="6"/>
  <c r="G6" i="6"/>
  <c r="E5" i="6"/>
  <c r="C4" i="6"/>
  <c r="F18" i="6"/>
  <c r="D17" i="6"/>
  <c r="B16" i="6"/>
  <c r="J14" i="6"/>
  <c r="H13" i="6"/>
  <c r="F12" i="6"/>
  <c r="D11" i="6"/>
  <c r="B10" i="6"/>
  <c r="J8" i="6"/>
  <c r="H7" i="6"/>
  <c r="F6" i="6"/>
  <c r="D5" i="6"/>
  <c r="B4" i="6"/>
  <c r="D18" i="6"/>
  <c r="B17" i="6"/>
  <c r="J15" i="6"/>
  <c r="H14" i="6"/>
  <c r="F13" i="6"/>
  <c r="D12" i="6"/>
  <c r="B11" i="6"/>
  <c r="J9" i="6"/>
  <c r="H8" i="6"/>
  <c r="F7" i="6"/>
  <c r="D6" i="6"/>
  <c r="B5" i="6"/>
  <c r="J3" i="6"/>
  <c r="C18" i="6"/>
  <c r="I15" i="6"/>
  <c r="G14" i="6"/>
  <c r="E13" i="6"/>
  <c r="C12" i="6"/>
  <c r="I9" i="6"/>
  <c r="G8" i="6"/>
  <c r="E7" i="6"/>
  <c r="C6" i="6"/>
  <c r="I3" i="6"/>
  <c r="B18" i="6"/>
  <c r="J16" i="6"/>
  <c r="H15" i="6"/>
  <c r="F14" i="6"/>
  <c r="D13" i="6"/>
  <c r="B12" i="6"/>
  <c r="J10" i="6"/>
  <c r="H9" i="6"/>
  <c r="F8" i="6"/>
  <c r="D7" i="6"/>
  <c r="B6" i="6"/>
  <c r="J4" i="6"/>
  <c r="H3" i="6"/>
  <c r="I14" i="6"/>
  <c r="C5" i="6"/>
  <c r="E14" i="6"/>
  <c r="G9" i="6"/>
  <c r="I4" i="6"/>
  <c r="D14" i="6"/>
  <c r="F9" i="6"/>
  <c r="H4" i="6"/>
  <c r="E18" i="6"/>
  <c r="G13" i="6"/>
  <c r="I8" i="6"/>
  <c r="C13" i="6"/>
  <c r="E8" i="6"/>
  <c r="G3" i="6"/>
  <c r="J17" i="6"/>
  <c r="B13" i="6"/>
  <c r="D8" i="6"/>
  <c r="F3" i="6"/>
  <c r="C17" i="6"/>
  <c r="K17" i="6" s="1"/>
  <c r="E12" i="6"/>
  <c r="G7" i="6"/>
  <c r="H16" i="6"/>
  <c r="B7" i="6"/>
  <c r="I16" i="6"/>
  <c r="C7" i="6"/>
  <c r="J11" i="6"/>
  <c r="C11" i="6"/>
  <c r="E6" i="6"/>
  <c r="G15" i="6"/>
  <c r="I10" i="6"/>
  <c r="F15" i="6"/>
  <c r="H10" i="6"/>
  <c r="J5" i="6"/>
  <c r="AF13" i="10"/>
  <c r="AM13" i="10"/>
  <c r="AF7" i="10"/>
  <c r="AM7" i="10"/>
  <c r="AM14" i="10"/>
  <c r="AF14" i="10"/>
  <c r="AM2" i="10"/>
  <c r="AF2" i="10"/>
  <c r="B6" i="7"/>
  <c r="G37" i="6"/>
  <c r="E36" i="6"/>
  <c r="C35" i="6"/>
  <c r="K35" i="6" s="1"/>
  <c r="I32" i="6"/>
  <c r="G31" i="6"/>
  <c r="E30" i="6"/>
  <c r="C29" i="6"/>
  <c r="I26" i="6"/>
  <c r="G25" i="6"/>
  <c r="E24" i="6"/>
  <c r="C23" i="6"/>
  <c r="F37" i="6"/>
  <c r="D36" i="6"/>
  <c r="B35" i="6"/>
  <c r="J33" i="6"/>
  <c r="H32" i="6"/>
  <c r="F31" i="6"/>
  <c r="D30" i="6"/>
  <c r="B29" i="6"/>
  <c r="J27" i="6"/>
  <c r="H26" i="6"/>
  <c r="F25" i="6"/>
  <c r="D24" i="6"/>
  <c r="B23" i="6"/>
  <c r="E37" i="6"/>
  <c r="C36" i="6"/>
  <c r="K36" i="6" s="1"/>
  <c r="I33" i="6"/>
  <c r="G32" i="6"/>
  <c r="E31" i="6"/>
  <c r="C30" i="6"/>
  <c r="I27" i="6"/>
  <c r="G26" i="6"/>
  <c r="E25" i="6"/>
  <c r="C24" i="6"/>
  <c r="D37" i="6"/>
  <c r="B36" i="6"/>
  <c r="J34" i="6"/>
  <c r="H33" i="6"/>
  <c r="F32" i="6"/>
  <c r="D31" i="6"/>
  <c r="B30" i="6"/>
  <c r="J28" i="6"/>
  <c r="H27" i="6"/>
  <c r="F26" i="6"/>
  <c r="D25" i="6"/>
  <c r="B24" i="6"/>
  <c r="J22" i="6"/>
  <c r="C37" i="6"/>
  <c r="K37" i="6" s="1"/>
  <c r="I34" i="6"/>
  <c r="G33" i="6"/>
  <c r="E32" i="6"/>
  <c r="C31" i="6"/>
  <c r="I28" i="6"/>
  <c r="G27" i="6"/>
  <c r="E26" i="6"/>
  <c r="C25" i="6"/>
  <c r="K25" i="6" s="1"/>
  <c r="I22" i="6"/>
  <c r="B37" i="6"/>
  <c r="J35" i="6"/>
  <c r="H34" i="6"/>
  <c r="F33" i="6"/>
  <c r="D32" i="6"/>
  <c r="B31" i="6"/>
  <c r="J29" i="6"/>
  <c r="H28" i="6"/>
  <c r="F27" i="6"/>
  <c r="D26" i="6"/>
  <c r="B25" i="6"/>
  <c r="J23" i="6"/>
  <c r="H22" i="6"/>
  <c r="J36" i="6"/>
  <c r="H35" i="6"/>
  <c r="F34" i="6"/>
  <c r="D33" i="6"/>
  <c r="B32" i="6"/>
  <c r="J30" i="6"/>
  <c r="H29" i="6"/>
  <c r="F28" i="6"/>
  <c r="D27" i="6"/>
  <c r="B26" i="6"/>
  <c r="J24" i="6"/>
  <c r="H23" i="6"/>
  <c r="F22" i="6"/>
  <c r="I36" i="6"/>
  <c r="G35" i="6"/>
  <c r="E34" i="6"/>
  <c r="C33" i="6"/>
  <c r="I30" i="6"/>
  <c r="G29" i="6"/>
  <c r="E28" i="6"/>
  <c r="C27" i="6"/>
  <c r="I24" i="6"/>
  <c r="G23" i="6"/>
  <c r="E22" i="6"/>
  <c r="J37" i="6"/>
  <c r="H36" i="6"/>
  <c r="F35" i="6"/>
  <c r="D34" i="6"/>
  <c r="B33" i="6"/>
  <c r="J31" i="6"/>
  <c r="H30" i="6"/>
  <c r="F29" i="6"/>
  <c r="D28" i="6"/>
  <c r="B27" i="6"/>
  <c r="J25" i="6"/>
  <c r="H24" i="6"/>
  <c r="F23" i="6"/>
  <c r="D22" i="6"/>
  <c r="C32" i="6"/>
  <c r="E27" i="6"/>
  <c r="G22" i="6"/>
  <c r="G36" i="6"/>
  <c r="I31" i="6"/>
  <c r="C22" i="6"/>
  <c r="F36" i="6"/>
  <c r="H31" i="6"/>
  <c r="J26" i="6"/>
  <c r="B22" i="6"/>
  <c r="I35" i="6"/>
  <c r="C26" i="6"/>
  <c r="K26" i="6" s="1"/>
  <c r="E35" i="6"/>
  <c r="G30" i="6"/>
  <c r="I25" i="6"/>
  <c r="D35" i="6"/>
  <c r="F30" i="6"/>
  <c r="H25" i="6"/>
  <c r="G34" i="6"/>
  <c r="I29" i="6"/>
  <c r="B34" i="6"/>
  <c r="C34" i="6"/>
  <c r="E29" i="6"/>
  <c r="G24" i="6"/>
  <c r="D29" i="6"/>
  <c r="F24" i="6"/>
  <c r="E33" i="6"/>
  <c r="G28" i="6"/>
  <c r="I23" i="6"/>
  <c r="I37" i="6"/>
  <c r="C28" i="6"/>
  <c r="K28" i="6" s="1"/>
  <c r="E23" i="6"/>
  <c r="H37" i="6"/>
  <c r="J32" i="6"/>
  <c r="B28" i="6"/>
  <c r="D23" i="6"/>
  <c r="AF15" i="10"/>
  <c r="AM15" i="10"/>
  <c r="H59" i="6"/>
  <c r="G58" i="6"/>
  <c r="F57" i="6"/>
  <c r="E56" i="6"/>
  <c r="G59" i="6"/>
  <c r="F58" i="6"/>
  <c r="E57" i="6"/>
  <c r="D56" i="6"/>
  <c r="F59" i="6"/>
  <c r="E58" i="6"/>
  <c r="D57" i="6"/>
  <c r="E59" i="6"/>
  <c r="D58" i="6"/>
  <c r="C57" i="6"/>
  <c r="B56" i="6"/>
  <c r="D59" i="6"/>
  <c r="C58" i="6"/>
  <c r="B57" i="6"/>
  <c r="C59" i="6"/>
  <c r="B58" i="6"/>
  <c r="B59" i="6"/>
  <c r="K56" i="6"/>
  <c r="K57" i="6"/>
  <c r="J56" i="6"/>
  <c r="B9" i="7"/>
  <c r="K58" i="6"/>
  <c r="J57" i="6"/>
  <c r="I56" i="6"/>
  <c r="K59" i="6"/>
  <c r="J58" i="6"/>
  <c r="I57" i="6"/>
  <c r="L57" i="6" s="1"/>
  <c r="H56" i="6"/>
  <c r="J59" i="6"/>
  <c r="I58" i="6"/>
  <c r="L58" i="6" s="1"/>
  <c r="H57" i="6"/>
  <c r="G56" i="6"/>
  <c r="I59" i="6"/>
  <c r="L59" i="6" s="1"/>
  <c r="H58" i="6"/>
  <c r="G57" i="6"/>
  <c r="F56" i="6"/>
  <c r="C56" i="6"/>
  <c r="D52" i="6"/>
  <c r="C51" i="6"/>
  <c r="B50" i="6"/>
  <c r="K50" i="6"/>
  <c r="J49" i="6"/>
  <c r="K51" i="6"/>
  <c r="J50" i="6"/>
  <c r="I49" i="6"/>
  <c r="L49" i="6" s="1"/>
  <c r="J52" i="6"/>
  <c r="I51" i="6"/>
  <c r="I52" i="6"/>
  <c r="L52" i="6" s="1"/>
  <c r="H51" i="6"/>
  <c r="G50" i="6"/>
  <c r="F49" i="6"/>
  <c r="H52" i="6"/>
  <c r="G51" i="6"/>
  <c r="F50" i="6"/>
  <c r="E49" i="6"/>
  <c r="G52" i="6"/>
  <c r="F52" i="6"/>
  <c r="E51" i="6"/>
  <c r="B8" i="7"/>
  <c r="E52" i="6"/>
  <c r="D51" i="6"/>
  <c r="C50" i="6"/>
  <c r="B49" i="6"/>
  <c r="K52" i="6"/>
  <c r="K49" i="6"/>
  <c r="C52" i="6"/>
  <c r="H49" i="6"/>
  <c r="B52" i="6"/>
  <c r="G49" i="6"/>
  <c r="J51" i="6"/>
  <c r="D49" i="6"/>
  <c r="F51" i="6"/>
  <c r="C49" i="6"/>
  <c r="B51" i="6"/>
  <c r="I50" i="6"/>
  <c r="H50" i="6"/>
  <c r="E50" i="6"/>
  <c r="D50" i="6"/>
  <c r="AF12" i="10"/>
  <c r="AM12" i="10"/>
  <c r="AM11" i="10"/>
  <c r="AF11" i="10"/>
  <c r="AM8" i="10"/>
  <c r="AF8" i="10"/>
  <c r="AF4" i="10"/>
  <c r="AM4" i="10"/>
  <c r="AF10" i="10"/>
  <c r="AM10" i="10"/>
  <c r="AM17" i="10"/>
  <c r="AF17" i="10"/>
  <c r="K65" i="6"/>
  <c r="J64" i="6"/>
  <c r="I63" i="6"/>
  <c r="L63" i="6" s="1"/>
  <c r="K66" i="6"/>
  <c r="J65" i="6"/>
  <c r="I64" i="6"/>
  <c r="H63" i="6"/>
  <c r="J66" i="6"/>
  <c r="I65" i="6"/>
  <c r="L65" i="6" s="1"/>
  <c r="H64" i="6"/>
  <c r="G63" i="6"/>
  <c r="I66" i="6"/>
  <c r="L66" i="6" s="1"/>
  <c r="H65" i="6"/>
  <c r="G64" i="6"/>
  <c r="F63" i="6"/>
  <c r="H66" i="6"/>
  <c r="G65" i="6"/>
  <c r="F64" i="6"/>
  <c r="E63" i="6"/>
  <c r="B10" i="7"/>
  <c r="G66" i="6"/>
  <c r="F65" i="6"/>
  <c r="E64" i="6"/>
  <c r="D63" i="6"/>
  <c r="F66" i="6"/>
  <c r="E65" i="6"/>
  <c r="D64" i="6"/>
  <c r="C63" i="6"/>
  <c r="E66" i="6"/>
  <c r="D65" i="6"/>
  <c r="C64" i="6"/>
  <c r="B63" i="6"/>
  <c r="D66" i="6"/>
  <c r="C65" i="6"/>
  <c r="B64" i="6"/>
  <c r="C66" i="6"/>
  <c r="B65" i="6"/>
  <c r="B66" i="6"/>
  <c r="K63" i="6"/>
  <c r="K64" i="6"/>
  <c r="J63" i="6"/>
  <c r="K32" i="6" l="1"/>
  <c r="K10" i="6"/>
  <c r="K23" i="6"/>
  <c r="K8" i="6"/>
  <c r="E6" i="7"/>
  <c r="B20" i="7" s="1"/>
  <c r="B6" i="8" s="1"/>
  <c r="B22" i="8" s="1"/>
  <c r="K34" i="6"/>
  <c r="K24" i="6"/>
  <c r="D86" i="6"/>
  <c r="H86" i="6" s="1"/>
  <c r="F84" i="6"/>
  <c r="C81" i="6"/>
  <c r="E79" i="6"/>
  <c r="B76" i="6"/>
  <c r="D74" i="6"/>
  <c r="F72" i="6"/>
  <c r="C86" i="6"/>
  <c r="G86" i="6" s="1"/>
  <c r="E84" i="6"/>
  <c r="B81" i="6"/>
  <c r="D79" i="6"/>
  <c r="F77" i="6"/>
  <c r="C74" i="6"/>
  <c r="G74" i="6" s="1"/>
  <c r="E72" i="6"/>
  <c r="B86" i="6"/>
  <c r="D84" i="6"/>
  <c r="F82" i="6"/>
  <c r="C79" i="6"/>
  <c r="E77" i="6"/>
  <c r="B74" i="6"/>
  <c r="D72" i="6"/>
  <c r="C84" i="6"/>
  <c r="G84" i="6" s="1"/>
  <c r="E82" i="6"/>
  <c r="B79" i="6"/>
  <c r="D77" i="6"/>
  <c r="H77" i="6" s="1"/>
  <c r="F75" i="6"/>
  <c r="C72" i="6"/>
  <c r="B84" i="6"/>
  <c r="D82" i="6"/>
  <c r="F80" i="6"/>
  <c r="C77" i="6"/>
  <c r="E75" i="6"/>
  <c r="B72" i="6"/>
  <c r="F85" i="6"/>
  <c r="C82" i="6"/>
  <c r="G82" i="6" s="1"/>
  <c r="E80" i="6"/>
  <c r="B77" i="6"/>
  <c r="D75" i="6"/>
  <c r="F73" i="6"/>
  <c r="E85" i="6"/>
  <c r="B82" i="6"/>
  <c r="D80" i="6"/>
  <c r="F78" i="6"/>
  <c r="C75" i="6"/>
  <c r="E73" i="6"/>
  <c r="D85" i="6"/>
  <c r="F83" i="6"/>
  <c r="C80" i="6"/>
  <c r="E78" i="6"/>
  <c r="B75" i="6"/>
  <c r="D73" i="6"/>
  <c r="F71" i="6"/>
  <c r="C85" i="6"/>
  <c r="G85" i="6" s="1"/>
  <c r="E83" i="6"/>
  <c r="B80" i="6"/>
  <c r="D78" i="6"/>
  <c r="F76" i="6"/>
  <c r="C73" i="6"/>
  <c r="E71" i="6"/>
  <c r="B85" i="6"/>
  <c r="D83" i="6"/>
  <c r="H83" i="6" s="1"/>
  <c r="F81" i="6"/>
  <c r="C78" i="6"/>
  <c r="E76" i="6"/>
  <c r="B73" i="6"/>
  <c r="D71" i="6"/>
  <c r="F86" i="6"/>
  <c r="C83" i="6"/>
  <c r="E81" i="6"/>
  <c r="B78" i="6"/>
  <c r="D76" i="6"/>
  <c r="F74" i="6"/>
  <c r="C71" i="6"/>
  <c r="G71" i="6" s="1"/>
  <c r="E86" i="6"/>
  <c r="B83" i="6"/>
  <c r="D81" i="6"/>
  <c r="F79" i="6"/>
  <c r="C76" i="6"/>
  <c r="E74" i="6"/>
  <c r="B71" i="6"/>
  <c r="K11" i="6"/>
  <c r="K16" i="6"/>
  <c r="K5" i="6"/>
  <c r="K18" i="6"/>
  <c r="K15" i="6"/>
  <c r="K12" i="6"/>
  <c r="L50" i="6"/>
  <c r="K27" i="6"/>
  <c r="K29" i="6"/>
  <c r="K7" i="6"/>
  <c r="K14" i="6"/>
  <c r="L56" i="6"/>
  <c r="K22" i="6"/>
  <c r="K30" i="6"/>
  <c r="K13" i="6"/>
  <c r="L45" i="6"/>
  <c r="K33" i="6"/>
  <c r="L64" i="6"/>
  <c r="L51" i="6"/>
  <c r="K4" i="6"/>
  <c r="D30" i="7"/>
  <c r="E7" i="7"/>
  <c r="B21" i="7" s="1"/>
  <c r="B7" i="8" s="1"/>
  <c r="B21" i="8" s="1"/>
  <c r="D34" i="7"/>
  <c r="D41" i="7"/>
  <c r="D45" i="7"/>
  <c r="D33" i="7"/>
  <c r="D40" i="7"/>
  <c r="D35" i="7"/>
  <c r="D31" i="7"/>
  <c r="D37" i="7"/>
  <c r="D44" i="7"/>
  <c r="D43" i="7"/>
  <c r="D36" i="7"/>
  <c r="D38" i="7"/>
  <c r="D39" i="7"/>
  <c r="D42" i="7"/>
  <c r="D32" i="7"/>
  <c r="C35" i="7"/>
  <c r="C34" i="7"/>
  <c r="C41" i="7"/>
  <c r="E5" i="7"/>
  <c r="C38" i="7"/>
  <c r="C45" i="7"/>
  <c r="C33" i="7"/>
  <c r="C40" i="7"/>
  <c r="C37" i="7"/>
  <c r="C36" i="7"/>
  <c r="C42" i="7"/>
  <c r="C31" i="7"/>
  <c r="C39" i="7"/>
  <c r="C32" i="7"/>
  <c r="C30" i="7"/>
  <c r="C43" i="7"/>
  <c r="C44" i="7"/>
  <c r="K31" i="6"/>
  <c r="K6" i="6"/>
  <c r="K3" i="6"/>
  <c r="G78" i="6" l="1"/>
  <c r="H75" i="6"/>
  <c r="G80" i="6"/>
  <c r="H76" i="6"/>
  <c r="D46" i="7"/>
  <c r="H72" i="6"/>
  <c r="F6" i="7"/>
  <c r="F7" i="7"/>
  <c r="H85" i="6"/>
  <c r="G83" i="6"/>
  <c r="H78" i="6"/>
  <c r="G75" i="6"/>
  <c r="G77" i="6"/>
  <c r="G76" i="6"/>
  <c r="H71" i="6"/>
  <c r="H80" i="6"/>
  <c r="G79" i="6"/>
  <c r="H74" i="6"/>
  <c r="H79" i="6"/>
  <c r="G73" i="6"/>
  <c r="B19" i="7"/>
  <c r="B5" i="8" s="1"/>
  <c r="B23" i="8" s="1"/>
  <c r="C46" i="7"/>
  <c r="H82" i="6"/>
  <c r="E8" i="7"/>
  <c r="H81" i="6"/>
  <c r="H84" i="6"/>
  <c r="H73" i="6"/>
  <c r="G72" i="6"/>
  <c r="G81" i="6"/>
  <c r="B22" i="7" l="1"/>
  <c r="B8" i="8" s="1"/>
  <c r="B20" i="8" s="1"/>
  <c r="F8" i="7"/>
  <c r="E9" i="7"/>
  <c r="E10" i="7" s="1"/>
  <c r="B24" i="7" l="1"/>
  <c r="B10" i="8" s="1"/>
  <c r="B18" i="8" s="1"/>
  <c r="A8" i="9" s="1"/>
  <c r="F10" i="7"/>
  <c r="AN5" i="10"/>
  <c r="AO5" i="10" s="1"/>
  <c r="AN6" i="10"/>
  <c r="AO6" i="10" s="1"/>
  <c r="AN12" i="10"/>
  <c r="AO12" i="10" s="1"/>
  <c r="AN11" i="10"/>
  <c r="AO11" i="10" s="1"/>
  <c r="AN13" i="10"/>
  <c r="AO13" i="10" s="1"/>
  <c r="AN17" i="10"/>
  <c r="AO17" i="10" s="1"/>
  <c r="AN9" i="10"/>
  <c r="AO9" i="10" s="1"/>
  <c r="AN3" i="10"/>
  <c r="AO3" i="10" s="1"/>
  <c r="B23" i="7"/>
  <c r="B9" i="8" s="1"/>
  <c r="B19" i="8" s="1"/>
  <c r="A9" i="9" s="1"/>
  <c r="F9" i="7"/>
  <c r="AN10" i="10"/>
  <c r="AO10" i="10" s="1"/>
  <c r="AN16" i="10"/>
  <c r="AO16" i="10" s="1"/>
  <c r="AN8" i="10"/>
  <c r="AO8" i="10" s="1"/>
  <c r="AN15" i="10"/>
  <c r="AO15" i="10" s="1"/>
  <c r="AN4" i="10"/>
  <c r="AO4" i="10" s="1"/>
  <c r="AN14" i="10"/>
  <c r="AO14" i="10" s="1"/>
  <c r="AN2" i="10"/>
  <c r="AO2" i="10" s="1"/>
  <c r="AN7" i="10"/>
  <c r="AO7" i="10" s="1"/>
  <c r="B15" i="7" l="1"/>
  <c r="B26" i="7" s="1"/>
  <c r="B12" i="8" s="1"/>
  <c r="B16" i="8" s="1"/>
  <c r="A6" i="9" s="1"/>
  <c r="C14" i="7"/>
  <c r="B14" i="7"/>
  <c r="B25" i="7" s="1"/>
  <c r="B11" i="8" s="1"/>
  <c r="B17" i="8" s="1"/>
  <c r="A7" i="9" s="1"/>
  <c r="C15" i="7"/>
  <c r="A25" i="9"/>
  <c r="B13" i="9"/>
  <c r="A24" i="9"/>
  <c r="B14" i="9"/>
  <c r="E41" i="7" l="1"/>
  <c r="F41" i="7" s="1"/>
  <c r="E39" i="7"/>
  <c r="F39" i="7" s="1"/>
  <c r="E44" i="7"/>
  <c r="F44" i="7" s="1"/>
  <c r="A23" i="9"/>
  <c r="B15" i="9"/>
  <c r="E38" i="7" s="1"/>
  <c r="F38" i="7" s="1"/>
  <c r="A22" i="9"/>
  <c r="B16" i="9"/>
  <c r="E35" i="7" l="1"/>
  <c r="F35" i="7" s="1"/>
  <c r="E33" i="7"/>
  <c r="F33" i="7" s="1"/>
  <c r="E32" i="7"/>
  <c r="F32" i="7" s="1"/>
  <c r="E43" i="7"/>
  <c r="F43" i="7" s="1"/>
  <c r="E30" i="7"/>
  <c r="E45" i="7"/>
  <c r="F45" i="7" s="1"/>
  <c r="E37" i="7"/>
  <c r="F37" i="7" s="1"/>
  <c r="E36" i="7"/>
  <c r="F36" i="7" s="1"/>
  <c r="E31" i="7"/>
  <c r="F31" i="7" s="1"/>
  <c r="E42" i="7"/>
  <c r="F42" i="7" s="1"/>
  <c r="E40" i="7"/>
  <c r="F40" i="7" s="1"/>
  <c r="E34" i="7"/>
  <c r="F34" i="7" s="1"/>
  <c r="E46" i="7" l="1"/>
  <c r="F30" i="7"/>
  <c r="F46" i="7" s="1"/>
</calcChain>
</file>

<file path=xl/sharedStrings.xml><?xml version="1.0" encoding="utf-8"?>
<sst xmlns="http://schemas.openxmlformats.org/spreadsheetml/2006/main" count="777" uniqueCount="264">
  <si>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</si>
  <si>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</si>
  <si>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</si>
  <si>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</si>
  <si>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</si>
  <si>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</si>
  <si>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</si>
  <si>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</si>
  <si>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</si>
  <si>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</si>
  <si>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</si>
  <si>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</si>
  <si>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</si>
  <si>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</si>
  <si>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</si>
  <si>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</si>
  <si>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</si>
  <si>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</si>
  <si>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</si>
  <si>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</si>
  <si>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</si>
  <si>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</si>
  <si>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</si>
  <si>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</si>
  <si>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</si>
  <si>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</si>
  <si>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</si>
  <si>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</si>
  <si>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</si>
  <si>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</si>
  <si>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(1-18)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</si>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</sst>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tabSelected="1" zoomScaleNormal="100" workbookViewId="0">
      <selection activeCell="H20" sqref="H2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2" t="s">
        <v>0</v>
      </c>
      <c r="B1" s="62"/>
      <c r="C1" s="62"/>
      <c r="D1" s="62"/>
    </row>
    <row r="2" spans="1:4" ht="15" customHeight="1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ht="15" customHeight="1" x14ac:dyDescent="0.25">
      <c r="A3" s="3">
        <v>1</v>
      </c>
      <c r="B3" s="4" t="s">
        <v>5</v>
      </c>
      <c r="C3" s="3" t="s">
        <v>6</v>
      </c>
      <c r="D3" s="3" t="s">
        <v>7</v>
      </c>
    </row>
    <row r="4" spans="1:4" ht="15" customHeight="1" x14ac:dyDescent="0.25">
      <c r="A4" s="3">
        <v>2</v>
      </c>
      <c r="B4" s="4" t="s">
        <v>8</v>
      </c>
      <c r="C4" s="3" t="s">
        <v>6</v>
      </c>
      <c r="D4" s="3" t="s">
        <v>7</v>
      </c>
    </row>
    <row r="5" spans="1:4" ht="15" customHeight="1" x14ac:dyDescent="0.25">
      <c r="A5" s="3">
        <v>3</v>
      </c>
      <c r="B5" s="4" t="s">
        <v>9</v>
      </c>
      <c r="C5" s="3" t="s">
        <v>6</v>
      </c>
      <c r="D5" s="3" t="s">
        <v>7</v>
      </c>
    </row>
    <row r="6" spans="1:4" ht="15" customHeight="1" x14ac:dyDescent="0.25">
      <c r="A6" s="3">
        <v>4</v>
      </c>
      <c r="B6" s="4" t="s">
        <v>10</v>
      </c>
      <c r="C6" s="3" t="s">
        <v>6</v>
      </c>
      <c r="D6" s="3" t="s">
        <v>7</v>
      </c>
    </row>
    <row r="7" spans="1:4" ht="15" customHeight="1" x14ac:dyDescent="0.25">
      <c r="A7" s="3">
        <v>5</v>
      </c>
      <c r="B7" s="4" t="s">
        <v>11</v>
      </c>
      <c r="C7" s="3" t="s">
        <v>12</v>
      </c>
      <c r="D7" s="3" t="s">
        <v>13</v>
      </c>
    </row>
    <row r="8" spans="1:4" ht="15" customHeight="1" x14ac:dyDescent="0.25">
      <c r="A8" s="3">
        <v>6</v>
      </c>
      <c r="B8" s="4" t="s">
        <v>14</v>
      </c>
      <c r="C8" s="3" t="s">
        <v>12</v>
      </c>
      <c r="D8" s="3" t="s">
        <v>13</v>
      </c>
    </row>
    <row r="9" spans="1:4" ht="15" customHeight="1" x14ac:dyDescent="0.25">
      <c r="A9" s="3">
        <v>7</v>
      </c>
      <c r="B9" s="4" t="s">
        <v>15</v>
      </c>
      <c r="C9" s="3" t="s">
        <v>12</v>
      </c>
      <c r="D9" s="3" t="s">
        <v>13</v>
      </c>
    </row>
    <row r="10" spans="1:4" ht="15" customHeight="1" x14ac:dyDescent="0.25">
      <c r="A10" s="3">
        <v>8</v>
      </c>
      <c r="B10" s="4" t="s">
        <v>16</v>
      </c>
      <c r="C10" s="3" t="s">
        <v>12</v>
      </c>
      <c r="D10" s="3" t="s">
        <v>13</v>
      </c>
    </row>
    <row r="11" spans="1:4" ht="15" customHeight="1" x14ac:dyDescent="0.25">
      <c r="A11" s="3">
        <v>9</v>
      </c>
      <c r="B11" s="4" t="s">
        <v>17</v>
      </c>
      <c r="C11" s="3" t="s">
        <v>18</v>
      </c>
      <c r="D11" s="3" t="s">
        <v>19</v>
      </c>
    </row>
    <row r="12" spans="1:4" ht="15" customHeight="1" x14ac:dyDescent="0.25">
      <c r="A12" s="3">
        <v>10</v>
      </c>
      <c r="B12" s="4" t="s">
        <v>20</v>
      </c>
      <c r="C12" s="3" t="s">
        <v>18</v>
      </c>
      <c r="D12" s="3" t="s">
        <v>19</v>
      </c>
    </row>
    <row r="13" spans="1:4" ht="15" customHeight="1" x14ac:dyDescent="0.25">
      <c r="A13" s="3">
        <v>11</v>
      </c>
      <c r="B13" s="4" t="s">
        <v>21</v>
      </c>
      <c r="C13" s="3" t="s">
        <v>18</v>
      </c>
      <c r="D13" s="3" t="s">
        <v>19</v>
      </c>
    </row>
    <row r="14" spans="1:4" ht="15" customHeight="1" x14ac:dyDescent="0.25">
      <c r="A14" s="3">
        <v>12</v>
      </c>
      <c r="B14" s="4" t="s">
        <v>22</v>
      </c>
      <c r="C14" s="3" t="s">
        <v>18</v>
      </c>
      <c r="D14" s="3" t="s">
        <v>19</v>
      </c>
    </row>
    <row r="15" spans="1:4" ht="15" customHeight="1" x14ac:dyDescent="0.25">
      <c r="A15" s="3">
        <v>13</v>
      </c>
      <c r="B15" s="4" t="s">
        <v>23</v>
      </c>
      <c r="C15" s="3" t="s">
        <v>24</v>
      </c>
      <c r="D15" s="3" t="s">
        <v>25</v>
      </c>
    </row>
    <row r="16" spans="1:4" ht="15" customHeight="1" x14ac:dyDescent="0.25">
      <c r="A16" s="3">
        <v>14</v>
      </c>
      <c r="B16" s="4" t="s">
        <v>26</v>
      </c>
      <c r="C16" s="3" t="s">
        <v>24</v>
      </c>
      <c r="D16" s="3" t="s">
        <v>25</v>
      </c>
    </row>
    <row r="17" spans="1:4" ht="15" customHeight="1" x14ac:dyDescent="0.25">
      <c r="A17" s="3">
        <v>15</v>
      </c>
      <c r="B17" s="4" t="s">
        <v>27</v>
      </c>
      <c r="C17" s="3" t="s">
        <v>24</v>
      </c>
      <c r="D17" s="3" t="s">
        <v>25</v>
      </c>
    </row>
    <row r="18" spans="1:4" ht="15" customHeight="1" x14ac:dyDescent="0.25">
      <c r="A18" s="3">
        <v>16</v>
      </c>
      <c r="B18" s="4" t="s">
        <v>28</v>
      </c>
      <c r="C18" s="3" t="s">
        <v>24</v>
      </c>
      <c r="D18" s="3" t="s">
        <v>25</v>
      </c>
    </row>
    <row r="20" spans="1:4" ht="15" customHeight="1" x14ac:dyDescent="0.25">
      <c r="A20" s="5" t="s">
        <v>29</v>
      </c>
      <c r="B20" s="6">
        <v>18</v>
      </c>
    </row>
    <row r="21" spans="1:4" ht="15" customHeight="1" x14ac:dyDescent="0.25">
      <c r="A21" s="7" t="s">
        <v>30</v>
      </c>
    </row>
    <row r="23" spans="1:4" ht="15" customHeight="1" x14ac:dyDescent="0.25">
      <c r="A23" s="8" t="s">
        <v>31</v>
      </c>
    </row>
    <row r="24" spans="1:4" ht="15" customHeight="1" x14ac:dyDescent="0.25">
      <c r="A24" s="8" t="s">
        <v>32</v>
      </c>
    </row>
    <row r="25" spans="1:4" ht="15" customHeight="1" x14ac:dyDescent="0.25">
      <c r="A25" s="8" t="s">
        <v>33</v>
      </c>
    </row>
    <row r="26" spans="1:4" ht="15" customHeight="1" x14ac:dyDescent="0.25">
      <c r="A26" s="8" t="s">
        <v>34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63" t="s">
        <v>35</v>
      </c>
      <c r="B1" s="63"/>
      <c r="C1" s="63"/>
      <c r="D1" s="63"/>
      <c r="E1" s="63"/>
      <c r="F1" s="63"/>
    </row>
    <row r="2" spans="1:6" ht="15" customHeight="1" x14ac:dyDescent="0.25">
      <c r="A2" s="64" t="s">
        <v>36</v>
      </c>
      <c r="B2" s="64"/>
      <c r="C2" s="64"/>
      <c r="D2" s="64"/>
      <c r="E2" s="64"/>
      <c r="F2" s="64"/>
    </row>
    <row r="3" spans="1:6" ht="15" customHeight="1" x14ac:dyDescent="0.25">
      <c r="A3" s="9" t="s">
        <v>37</v>
      </c>
      <c r="B3" s="9" t="s">
        <v>38</v>
      </c>
      <c r="C3" s="9" t="s">
        <v>39</v>
      </c>
      <c r="D3" s="9" t="s">
        <v>40</v>
      </c>
      <c r="E3" s="9" t="s">
        <v>38</v>
      </c>
      <c r="F3" s="9" t="s">
        <v>39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40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40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40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40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40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40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40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40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64" t="s">
        <v>41</v>
      </c>
      <c r="B13" s="64"/>
      <c r="C13" s="64"/>
      <c r="D13" s="64"/>
      <c r="E13" s="64"/>
      <c r="F13" s="64"/>
    </row>
    <row r="14" spans="1:6" ht="15" customHeight="1" x14ac:dyDescent="0.25">
      <c r="A14" s="9" t="s">
        <v>37</v>
      </c>
      <c r="B14" s="9" t="s">
        <v>38</v>
      </c>
      <c r="C14" s="9" t="s">
        <v>39</v>
      </c>
      <c r="D14" s="9" t="s">
        <v>40</v>
      </c>
      <c r="E14" s="9" t="s">
        <v>38</v>
      </c>
      <c r="F14" s="9" t="s">
        <v>39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40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40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40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40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40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40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40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40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64" t="s">
        <v>42</v>
      </c>
      <c r="B24" s="64"/>
      <c r="C24" s="64"/>
      <c r="D24" s="64"/>
      <c r="E24" s="64"/>
      <c r="F24" s="64"/>
    </row>
    <row r="25" spans="1:6" ht="15" customHeight="1" x14ac:dyDescent="0.25">
      <c r="A25" s="9" t="s">
        <v>37</v>
      </c>
      <c r="B25" s="9" t="s">
        <v>38</v>
      </c>
      <c r="C25" s="9" t="s">
        <v>39</v>
      </c>
      <c r="D25" s="9" t="s">
        <v>40</v>
      </c>
      <c r="E25" s="9" t="s">
        <v>38</v>
      </c>
      <c r="F25" s="9" t="s">
        <v>39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40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40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40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40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40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40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40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40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64" t="s">
        <v>43</v>
      </c>
      <c r="B35" s="64"/>
      <c r="C35" s="64"/>
      <c r="D35" s="64"/>
      <c r="E35" s="64"/>
      <c r="F35" s="64"/>
    </row>
    <row r="36" spans="1:6" ht="15" customHeight="1" x14ac:dyDescent="0.25">
      <c r="A36" s="9" t="s">
        <v>37</v>
      </c>
      <c r="B36" s="9" t="s">
        <v>38</v>
      </c>
      <c r="C36" s="9" t="s">
        <v>39</v>
      </c>
      <c r="D36" s="9" t="s">
        <v>40</v>
      </c>
      <c r="E36" s="9" t="s">
        <v>38</v>
      </c>
      <c r="F36" s="9" t="s">
        <v>39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40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40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40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40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40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40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40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40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64" t="s">
        <v>44</v>
      </c>
      <c r="B46" s="64"/>
      <c r="C46" s="64"/>
      <c r="D46" s="64"/>
      <c r="E46" s="64"/>
      <c r="F46" s="64"/>
    </row>
    <row r="47" spans="1:6" ht="15" customHeight="1" x14ac:dyDescent="0.25">
      <c r="A47" s="9" t="s">
        <v>37</v>
      </c>
      <c r="B47" s="9" t="s">
        <v>38</v>
      </c>
      <c r="C47" s="9" t="s">
        <v>39</v>
      </c>
      <c r="D47" s="9" t="s">
        <v>40</v>
      </c>
      <c r="E47" s="9" t="s">
        <v>38</v>
      </c>
      <c r="F47" s="9" t="s">
        <v>39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40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40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40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40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40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40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40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40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64" t="s">
        <v>45</v>
      </c>
      <c r="B57" s="64"/>
      <c r="C57" s="64"/>
      <c r="D57" s="64"/>
      <c r="E57" s="64"/>
      <c r="F57" s="64"/>
    </row>
    <row r="58" spans="1:6" ht="15" customHeight="1" x14ac:dyDescent="0.25">
      <c r="A58" s="9" t="s">
        <v>37</v>
      </c>
      <c r="B58" s="9" t="s">
        <v>38</v>
      </c>
      <c r="C58" s="9" t="s">
        <v>39</v>
      </c>
      <c r="D58" s="9" t="s">
        <v>40</v>
      </c>
      <c r="E58" s="9" t="s">
        <v>38</v>
      </c>
      <c r="F58" s="9" t="s">
        <v>39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40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40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40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40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40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40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40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40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63" t="s">
        <v>46</v>
      </c>
      <c r="B68" s="63"/>
      <c r="C68" s="63"/>
      <c r="D68" s="63"/>
      <c r="E68" s="63"/>
      <c r="F68" s="63"/>
    </row>
    <row r="69" spans="1:6" ht="15" customHeight="1" x14ac:dyDescent="0.25">
      <c r="A69" s="64" t="s">
        <v>47</v>
      </c>
      <c r="B69" s="64"/>
      <c r="C69" s="64"/>
      <c r="D69" s="64"/>
      <c r="E69" s="64"/>
      <c r="F69" s="64"/>
    </row>
    <row r="70" spans="1:6" ht="15" customHeight="1" x14ac:dyDescent="0.25">
      <c r="A70" s="9" t="s">
        <v>37</v>
      </c>
      <c r="B70" s="9" t="s">
        <v>38</v>
      </c>
      <c r="C70" s="9" t="s">
        <v>39</v>
      </c>
      <c r="D70" s="9" t="s">
        <v>40</v>
      </c>
      <c r="E70" s="9" t="s">
        <v>38</v>
      </c>
      <c r="F70" s="9" t="s">
        <v>39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40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40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40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40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40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40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40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40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64" t="s">
        <v>48</v>
      </c>
      <c r="B80" s="64"/>
      <c r="C80" s="64"/>
      <c r="D80" s="64"/>
      <c r="E80" s="64"/>
      <c r="F80" s="64"/>
    </row>
    <row r="81" spans="1:6" ht="15" customHeight="1" x14ac:dyDescent="0.25">
      <c r="A81" s="9" t="s">
        <v>37</v>
      </c>
      <c r="B81" s="9" t="s">
        <v>38</v>
      </c>
      <c r="C81" s="9" t="s">
        <v>39</v>
      </c>
      <c r="D81" s="9" t="s">
        <v>40</v>
      </c>
      <c r="E81" s="9" t="s">
        <v>38</v>
      </c>
      <c r="F81" s="9" t="s">
        <v>39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40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40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40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40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40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40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40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40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64" t="s">
        <v>49</v>
      </c>
      <c r="B91" s="64"/>
      <c r="C91" s="64"/>
      <c r="D91" s="64"/>
      <c r="E91" s="64"/>
      <c r="F91" s="64"/>
    </row>
    <row r="92" spans="1:6" ht="15" customHeight="1" x14ac:dyDescent="0.25">
      <c r="A92" s="9" t="s">
        <v>37</v>
      </c>
      <c r="B92" s="9" t="s">
        <v>38</v>
      </c>
      <c r="C92" s="9" t="s">
        <v>39</v>
      </c>
      <c r="D92" s="9" t="s">
        <v>40</v>
      </c>
      <c r="E92" s="9" t="s">
        <v>38</v>
      </c>
      <c r="F92" s="9" t="s">
        <v>39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40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40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40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40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40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40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40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40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64" t="s">
        <v>50</v>
      </c>
      <c r="B102" s="64"/>
      <c r="C102" s="64"/>
      <c r="D102" s="64"/>
      <c r="E102" s="64"/>
      <c r="F102" s="64"/>
    </row>
    <row r="103" spans="1:6" ht="15" customHeight="1" x14ac:dyDescent="0.25">
      <c r="A103" s="9" t="s">
        <v>37</v>
      </c>
      <c r="B103" s="9" t="s">
        <v>38</v>
      </c>
      <c r="C103" s="9" t="s">
        <v>39</v>
      </c>
      <c r="D103" s="9" t="s">
        <v>40</v>
      </c>
      <c r="E103" s="9" t="s">
        <v>38</v>
      </c>
      <c r="F103" s="9" t="s">
        <v>39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40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40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40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40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40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40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40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40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64" t="s">
        <v>51</v>
      </c>
      <c r="B113" s="64"/>
      <c r="C113" s="64"/>
      <c r="D113" s="64"/>
      <c r="E113" s="64"/>
      <c r="F113" s="64"/>
    </row>
    <row r="114" spans="1:6" ht="15" customHeight="1" x14ac:dyDescent="0.25">
      <c r="A114" s="9" t="s">
        <v>37</v>
      </c>
      <c r="B114" s="9" t="s">
        <v>38</v>
      </c>
      <c r="C114" s="9" t="s">
        <v>39</v>
      </c>
      <c r="D114" s="9" t="s">
        <v>40</v>
      </c>
      <c r="E114" s="9" t="s">
        <v>38</v>
      </c>
      <c r="F114" s="9" t="s">
        <v>39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40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40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40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40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40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40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40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40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64" t="s">
        <v>52</v>
      </c>
      <c r="B124" s="64"/>
      <c r="C124" s="64"/>
      <c r="D124" s="64"/>
      <c r="E124" s="64"/>
      <c r="F124" s="64"/>
    </row>
    <row r="125" spans="1:6" ht="15" customHeight="1" x14ac:dyDescent="0.25">
      <c r="A125" s="9" t="s">
        <v>37</v>
      </c>
      <c r="B125" s="9" t="s">
        <v>38</v>
      </c>
      <c r="C125" s="9" t="s">
        <v>39</v>
      </c>
      <c r="D125" s="9" t="s">
        <v>40</v>
      </c>
      <c r="E125" s="9" t="s">
        <v>38</v>
      </c>
      <c r="F125" s="9" t="s">
        <v>39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40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40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40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40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40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40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40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40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63" t="s">
        <v>53</v>
      </c>
      <c r="B135" s="63"/>
      <c r="C135" s="63"/>
      <c r="D135" s="63"/>
      <c r="E135" s="63"/>
      <c r="F135" s="63"/>
    </row>
    <row r="136" spans="1:6" ht="15" customHeight="1" x14ac:dyDescent="0.25">
      <c r="A136" s="64" t="s">
        <v>54</v>
      </c>
      <c r="B136" s="64"/>
      <c r="C136" s="64"/>
      <c r="D136" s="64"/>
      <c r="E136" s="64"/>
      <c r="F136" s="64"/>
    </row>
    <row r="137" spans="1:6" ht="15" customHeight="1" x14ac:dyDescent="0.25">
      <c r="A137" s="9" t="s">
        <v>37</v>
      </c>
      <c r="B137" s="9" t="s">
        <v>38</v>
      </c>
      <c r="C137" s="9" t="s">
        <v>39</v>
      </c>
      <c r="D137" s="9" t="s">
        <v>40</v>
      </c>
      <c r="E137" s="9" t="s">
        <v>38</v>
      </c>
      <c r="F137" s="9" t="s">
        <v>39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40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40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40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40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40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40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40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40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64" t="s">
        <v>55</v>
      </c>
      <c r="B147" s="64"/>
      <c r="C147" s="64"/>
      <c r="D147" s="64"/>
      <c r="E147" s="64"/>
      <c r="F147" s="64"/>
    </row>
    <row r="148" spans="1:6" ht="15" customHeight="1" x14ac:dyDescent="0.25">
      <c r="A148" s="9" t="s">
        <v>37</v>
      </c>
      <c r="B148" s="9" t="s">
        <v>38</v>
      </c>
      <c r="C148" s="9" t="s">
        <v>39</v>
      </c>
      <c r="D148" s="9" t="s">
        <v>40</v>
      </c>
      <c r="E148" s="9" t="s">
        <v>38</v>
      </c>
      <c r="F148" s="9" t="s">
        <v>39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40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40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40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40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40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40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40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40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64" t="s">
        <v>56</v>
      </c>
      <c r="B158" s="64"/>
      <c r="C158" s="64"/>
      <c r="D158" s="64"/>
      <c r="E158" s="64"/>
      <c r="F158" s="64"/>
    </row>
    <row r="159" spans="1:6" ht="15" customHeight="1" x14ac:dyDescent="0.25">
      <c r="A159" s="9" t="s">
        <v>37</v>
      </c>
      <c r="B159" s="9" t="s">
        <v>38</v>
      </c>
      <c r="C159" s="9" t="s">
        <v>39</v>
      </c>
      <c r="D159" s="9" t="s">
        <v>40</v>
      </c>
      <c r="E159" s="9" t="s">
        <v>38</v>
      </c>
      <c r="F159" s="9" t="s">
        <v>39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40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40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40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40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40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40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40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40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64" t="s">
        <v>57</v>
      </c>
      <c r="B169" s="64"/>
      <c r="C169" s="64"/>
      <c r="D169" s="64"/>
      <c r="E169" s="64"/>
      <c r="F169" s="64"/>
    </row>
    <row r="170" spans="1:6" ht="15" customHeight="1" x14ac:dyDescent="0.25">
      <c r="A170" s="9" t="s">
        <v>37</v>
      </c>
      <c r="B170" s="9" t="s">
        <v>38</v>
      </c>
      <c r="C170" s="9" t="s">
        <v>39</v>
      </c>
      <c r="D170" s="9" t="s">
        <v>40</v>
      </c>
      <c r="E170" s="9" t="s">
        <v>38</v>
      </c>
      <c r="F170" s="9" t="s">
        <v>39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40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40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40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40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40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40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40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40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64" t="s">
        <v>58</v>
      </c>
      <c r="B180" s="64"/>
      <c r="C180" s="64"/>
      <c r="D180" s="64"/>
      <c r="E180" s="64"/>
      <c r="F180" s="64"/>
    </row>
    <row r="181" spans="1:6" ht="15" customHeight="1" x14ac:dyDescent="0.25">
      <c r="A181" s="9" t="s">
        <v>37</v>
      </c>
      <c r="B181" s="9" t="s">
        <v>38</v>
      </c>
      <c r="C181" s="9" t="s">
        <v>39</v>
      </c>
      <c r="D181" s="9" t="s">
        <v>40</v>
      </c>
      <c r="E181" s="9" t="s">
        <v>38</v>
      </c>
      <c r="F181" s="9" t="s">
        <v>39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40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40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40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40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40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40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40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40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64" t="s">
        <v>59</v>
      </c>
      <c r="B191" s="64"/>
      <c r="C191" s="64"/>
      <c r="D191" s="64"/>
      <c r="E191" s="64"/>
      <c r="F191" s="64"/>
    </row>
    <row r="192" spans="1:6" ht="15" customHeight="1" x14ac:dyDescent="0.25">
      <c r="A192" s="9" t="s">
        <v>37</v>
      </c>
      <c r="B192" s="9" t="s">
        <v>38</v>
      </c>
      <c r="C192" s="9" t="s">
        <v>39</v>
      </c>
      <c r="D192" s="9" t="s">
        <v>40</v>
      </c>
      <c r="E192" s="9" t="s">
        <v>38</v>
      </c>
      <c r="F192" s="9" t="s">
        <v>39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40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40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40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40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40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40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40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40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36:F136"/>
    <mergeCell ref="A147:F147"/>
    <mergeCell ref="A158:F158"/>
    <mergeCell ref="A169:F169"/>
    <mergeCell ref="A180:F180"/>
    <mergeCell ref="A91:F91"/>
    <mergeCell ref="A102:F102"/>
    <mergeCell ref="A113:F113"/>
    <mergeCell ref="A124:F124"/>
    <mergeCell ref="A135:F135"/>
    <mergeCell ref="A46:F46"/>
    <mergeCell ref="A57:F57"/>
    <mergeCell ref="A68:F68"/>
    <mergeCell ref="A69:F69"/>
    <mergeCell ref="A80:F80"/>
    <mergeCell ref="A1:F1"/>
    <mergeCell ref="A2:F2"/>
    <mergeCell ref="A13:F13"/>
    <mergeCell ref="A24:F24"/>
    <mergeCell ref="A35:F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60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25">
      <c r="A2" s="12" t="s">
        <v>61</v>
      </c>
    </row>
    <row r="4" spans="1:9" ht="15" customHeight="1" x14ac:dyDescent="0.25">
      <c r="A4" s="65" t="s">
        <v>62</v>
      </c>
      <c r="B4" s="65"/>
      <c r="C4" s="65"/>
      <c r="D4" s="65"/>
      <c r="E4" s="65"/>
      <c r="F4" s="65"/>
      <c r="G4" s="65"/>
      <c r="H4" s="65"/>
      <c r="I4" s="65"/>
    </row>
    <row r="5" spans="1:9" ht="15" customHeight="1" x14ac:dyDescent="0.25">
      <c r="A5" s="13" t="s">
        <v>1</v>
      </c>
      <c r="B5" s="13" t="s">
        <v>2</v>
      </c>
      <c r="C5" s="13" t="s">
        <v>63</v>
      </c>
      <c r="D5" s="13" t="s">
        <v>64</v>
      </c>
      <c r="E5" s="13" t="s">
        <v>65</v>
      </c>
      <c r="F5" s="13" t="s">
        <v>66</v>
      </c>
      <c r="G5" s="13" t="s">
        <v>67</v>
      </c>
      <c r="H5" s="13" t="s">
        <v>68</v>
      </c>
      <c r="I5" s="13" t="s">
        <v>69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65" t="s">
        <v>70</v>
      </c>
      <c r="B23" s="65"/>
      <c r="C23" s="65"/>
      <c r="D23" s="65"/>
      <c r="E23" s="65"/>
      <c r="F23" s="65"/>
      <c r="G23" s="65"/>
      <c r="H23" s="65"/>
      <c r="I23" s="65"/>
    </row>
    <row r="24" spans="1:9" ht="15" customHeight="1" x14ac:dyDescent="0.25">
      <c r="A24" s="13" t="s">
        <v>1</v>
      </c>
      <c r="B24" s="13" t="s">
        <v>2</v>
      </c>
      <c r="C24" s="13" t="s">
        <v>63</v>
      </c>
      <c r="D24" s="13" t="s">
        <v>64</v>
      </c>
      <c r="E24" s="13" t="s">
        <v>65</v>
      </c>
      <c r="F24" s="13" t="s">
        <v>66</v>
      </c>
      <c r="G24" s="13" t="s">
        <v>67</v>
      </c>
      <c r="H24" s="13" t="s">
        <v>68</v>
      </c>
      <c r="I24" s="13" t="s">
        <v>69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65" t="s">
        <v>71</v>
      </c>
      <c r="B42" s="65"/>
      <c r="C42" s="65"/>
      <c r="D42" s="65"/>
      <c r="E42" s="65"/>
      <c r="F42" s="65"/>
      <c r="G42" s="65"/>
      <c r="H42" s="65"/>
      <c r="I42" s="65"/>
    </row>
    <row r="43" spans="1:9" ht="15" customHeight="1" x14ac:dyDescent="0.25">
      <c r="A43" s="13" t="s">
        <v>1</v>
      </c>
      <c r="B43" s="13" t="s">
        <v>2</v>
      </c>
      <c r="C43" s="13" t="s">
        <v>63</v>
      </c>
      <c r="D43" s="13" t="s">
        <v>64</v>
      </c>
      <c r="E43" s="13" t="s">
        <v>65</v>
      </c>
      <c r="F43" s="13" t="s">
        <v>66</v>
      </c>
      <c r="G43" s="13" t="s">
        <v>67</v>
      </c>
      <c r="H43" s="13" t="s">
        <v>68</v>
      </c>
      <c r="I43" s="13" t="s">
        <v>69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65" t="s">
        <v>72</v>
      </c>
      <c r="B61" s="65"/>
      <c r="C61" s="65"/>
      <c r="D61" s="65"/>
      <c r="E61" s="65"/>
      <c r="F61" s="65"/>
      <c r="G61" s="65"/>
      <c r="H61" s="65"/>
      <c r="I61" s="65"/>
    </row>
    <row r="62" spans="1:9" ht="15" customHeight="1" x14ac:dyDescent="0.25">
      <c r="A62" s="13" t="s">
        <v>1</v>
      </c>
      <c r="B62" s="13" t="s">
        <v>2</v>
      </c>
      <c r="C62" s="13" t="s">
        <v>63</v>
      </c>
      <c r="D62" s="13" t="s">
        <v>64</v>
      </c>
      <c r="E62" s="13" t="s">
        <v>65</v>
      </c>
      <c r="F62" s="13" t="s">
        <v>66</v>
      </c>
      <c r="G62" s="13" t="s">
        <v>67</v>
      </c>
      <c r="H62" s="13" t="s">
        <v>68</v>
      </c>
      <c r="I62" s="13" t="s">
        <v>69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65" t="s">
        <v>73</v>
      </c>
      <c r="B80" s="65"/>
      <c r="C80" s="65"/>
      <c r="D80" s="65"/>
      <c r="E80" s="65"/>
      <c r="F80" s="65"/>
      <c r="G80" s="65"/>
      <c r="H80" s="65"/>
      <c r="I80" s="65"/>
    </row>
    <row r="81" spans="1:9" ht="15" customHeight="1" x14ac:dyDescent="0.25">
      <c r="A81" s="13" t="s">
        <v>1</v>
      </c>
      <c r="B81" s="13" t="s">
        <v>2</v>
      </c>
      <c r="C81" s="13" t="s">
        <v>63</v>
      </c>
      <c r="D81" s="13" t="s">
        <v>64</v>
      </c>
      <c r="E81" s="13" t="s">
        <v>65</v>
      </c>
      <c r="F81" s="13" t="s">
        <v>66</v>
      </c>
      <c r="G81" s="13" t="s">
        <v>67</v>
      </c>
      <c r="H81" s="13" t="s">
        <v>68</v>
      </c>
      <c r="I81" s="13" t="s">
        <v>69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65" t="s">
        <v>74</v>
      </c>
      <c r="B99" s="65"/>
      <c r="C99" s="65"/>
      <c r="D99" s="65"/>
      <c r="E99" s="65"/>
      <c r="F99" s="65"/>
      <c r="G99" s="65"/>
      <c r="H99" s="65"/>
      <c r="I99" s="65"/>
    </row>
    <row r="100" spans="1:9" ht="15" customHeight="1" x14ac:dyDescent="0.25">
      <c r="A100" s="13" t="s">
        <v>1</v>
      </c>
      <c r="B100" s="13" t="s">
        <v>2</v>
      </c>
      <c r="C100" s="13" t="s">
        <v>63</v>
      </c>
      <c r="D100" s="13" t="s">
        <v>64</v>
      </c>
      <c r="E100" s="13" t="s">
        <v>65</v>
      </c>
      <c r="F100" s="13" t="s">
        <v>66</v>
      </c>
      <c r="G100" s="13" t="s">
        <v>67</v>
      </c>
      <c r="H100" s="13" t="s">
        <v>68</v>
      </c>
      <c r="I100" s="13" t="s">
        <v>69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75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25">
      <c r="A2" s="12" t="s">
        <v>76</v>
      </c>
    </row>
    <row r="4" spans="1:9" ht="15" customHeight="1" x14ac:dyDescent="0.25">
      <c r="A4" s="65" t="s">
        <v>77</v>
      </c>
      <c r="B4" s="65"/>
      <c r="C4" s="65"/>
      <c r="D4" s="65"/>
      <c r="E4" s="65"/>
      <c r="F4" s="65"/>
      <c r="G4" s="65"/>
      <c r="H4" s="65"/>
      <c r="I4" s="65"/>
    </row>
    <row r="5" spans="1:9" ht="15" customHeight="1" x14ac:dyDescent="0.25">
      <c r="A5" s="13" t="s">
        <v>1</v>
      </c>
      <c r="B5" s="13" t="s">
        <v>2</v>
      </c>
      <c r="C5" s="13" t="s">
        <v>78</v>
      </c>
      <c r="D5" s="13" t="s">
        <v>64</v>
      </c>
      <c r="E5" s="13" t="s">
        <v>79</v>
      </c>
      <c r="F5" s="13" t="s">
        <v>66</v>
      </c>
      <c r="G5" s="13" t="s">
        <v>67</v>
      </c>
      <c r="H5" s="13" t="s">
        <v>68</v>
      </c>
      <c r="I5" s="13" t="s">
        <v>69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65" t="s">
        <v>80</v>
      </c>
      <c r="B23" s="65"/>
      <c r="C23" s="65"/>
      <c r="D23" s="65"/>
      <c r="E23" s="65"/>
      <c r="F23" s="65"/>
      <c r="G23" s="65"/>
      <c r="H23" s="65"/>
      <c r="I23" s="65"/>
    </row>
    <row r="24" spans="1:9" ht="15" customHeight="1" x14ac:dyDescent="0.25">
      <c r="A24" s="13" t="s">
        <v>1</v>
      </c>
      <c r="B24" s="13" t="s">
        <v>2</v>
      </c>
      <c r="C24" s="13" t="s">
        <v>78</v>
      </c>
      <c r="D24" s="13" t="s">
        <v>64</v>
      </c>
      <c r="E24" s="13" t="s">
        <v>79</v>
      </c>
      <c r="F24" s="13" t="s">
        <v>66</v>
      </c>
      <c r="G24" s="13" t="s">
        <v>67</v>
      </c>
      <c r="H24" s="13" t="s">
        <v>68</v>
      </c>
      <c r="I24" s="13" t="s">
        <v>69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65" t="s">
        <v>81</v>
      </c>
      <c r="B42" s="65"/>
      <c r="C42" s="65"/>
      <c r="D42" s="65"/>
      <c r="E42" s="65"/>
      <c r="F42" s="65"/>
      <c r="G42" s="65"/>
      <c r="H42" s="65"/>
      <c r="I42" s="65"/>
    </row>
    <row r="43" spans="1:9" ht="15" customHeight="1" x14ac:dyDescent="0.25">
      <c r="A43" s="13" t="s">
        <v>1</v>
      </c>
      <c r="B43" s="13" t="s">
        <v>2</v>
      </c>
      <c r="C43" s="13" t="s">
        <v>78</v>
      </c>
      <c r="D43" s="13" t="s">
        <v>64</v>
      </c>
      <c r="E43" s="13" t="s">
        <v>79</v>
      </c>
      <c r="F43" s="13" t="s">
        <v>66</v>
      </c>
      <c r="G43" s="13" t="s">
        <v>67</v>
      </c>
      <c r="H43" s="13" t="s">
        <v>68</v>
      </c>
      <c r="I43" s="13" t="s">
        <v>69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65" t="s">
        <v>82</v>
      </c>
      <c r="B61" s="65"/>
      <c r="C61" s="65"/>
      <c r="D61" s="65"/>
      <c r="E61" s="65"/>
      <c r="F61" s="65"/>
      <c r="G61" s="65"/>
      <c r="H61" s="65"/>
      <c r="I61" s="65"/>
    </row>
    <row r="62" spans="1:9" ht="15" customHeight="1" x14ac:dyDescent="0.25">
      <c r="A62" s="13" t="s">
        <v>1</v>
      </c>
      <c r="B62" s="13" t="s">
        <v>2</v>
      </c>
      <c r="C62" s="13" t="s">
        <v>78</v>
      </c>
      <c r="D62" s="13" t="s">
        <v>64</v>
      </c>
      <c r="E62" s="13" t="s">
        <v>79</v>
      </c>
      <c r="F62" s="13" t="s">
        <v>66</v>
      </c>
      <c r="G62" s="13" t="s">
        <v>67</v>
      </c>
      <c r="H62" s="13" t="s">
        <v>68</v>
      </c>
      <c r="I62" s="13" t="s">
        <v>69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65" t="s">
        <v>83</v>
      </c>
      <c r="B80" s="65"/>
      <c r="C80" s="65"/>
      <c r="D80" s="65"/>
      <c r="E80" s="65"/>
      <c r="F80" s="65"/>
      <c r="G80" s="65"/>
      <c r="H80" s="65"/>
      <c r="I80" s="65"/>
    </row>
    <row r="81" spans="1:9" ht="15" customHeight="1" x14ac:dyDescent="0.25">
      <c r="A81" s="13" t="s">
        <v>1</v>
      </c>
      <c r="B81" s="13" t="s">
        <v>2</v>
      </c>
      <c r="C81" s="13" t="s">
        <v>78</v>
      </c>
      <c r="D81" s="13" t="s">
        <v>64</v>
      </c>
      <c r="E81" s="13" t="s">
        <v>79</v>
      </c>
      <c r="F81" s="13" t="s">
        <v>66</v>
      </c>
      <c r="G81" s="13" t="s">
        <v>67</v>
      </c>
      <c r="H81" s="13" t="s">
        <v>68</v>
      </c>
      <c r="I81" s="13" t="s">
        <v>69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65" t="s">
        <v>84</v>
      </c>
      <c r="B99" s="65"/>
      <c r="C99" s="65"/>
      <c r="D99" s="65"/>
      <c r="E99" s="65"/>
      <c r="F99" s="65"/>
      <c r="G99" s="65"/>
      <c r="H99" s="65"/>
      <c r="I99" s="65"/>
    </row>
    <row r="100" spans="1:9" ht="15" customHeight="1" x14ac:dyDescent="0.25">
      <c r="A100" s="13" t="s">
        <v>1</v>
      </c>
      <c r="B100" s="13" t="s">
        <v>2</v>
      </c>
      <c r="C100" s="13" t="s">
        <v>78</v>
      </c>
      <c r="D100" s="13" t="s">
        <v>64</v>
      </c>
      <c r="E100" s="13" t="s">
        <v>79</v>
      </c>
      <c r="F100" s="13" t="s">
        <v>66</v>
      </c>
      <c r="G100" s="13" t="s">
        <v>67</v>
      </c>
      <c r="H100" s="13" t="s">
        <v>68</v>
      </c>
      <c r="I100" s="13" t="s">
        <v>69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M26" sqref="M2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2" t="s">
        <v>85</v>
      </c>
      <c r="B1" s="62"/>
      <c r="C1" s="62"/>
      <c r="D1" s="62"/>
      <c r="E1" s="62"/>
      <c r="F1" s="62"/>
      <c r="G1" s="62"/>
      <c r="H1" s="62"/>
      <c r="I1" s="62"/>
    </row>
    <row r="2" spans="1:9" ht="15" customHeight="1" x14ac:dyDescent="0.25">
      <c r="A2" s="12" t="s">
        <v>86</v>
      </c>
    </row>
    <row r="4" spans="1:9" ht="15" customHeight="1" x14ac:dyDescent="0.25">
      <c r="A4" s="66" t="s">
        <v>87</v>
      </c>
      <c r="B4" s="66"/>
      <c r="C4" s="66"/>
      <c r="D4" s="66"/>
      <c r="E4" s="66"/>
      <c r="F4" s="66"/>
      <c r="G4" s="66"/>
      <c r="H4" s="66"/>
      <c r="I4" s="66"/>
    </row>
    <row r="5" spans="1:9" ht="15" customHeight="1" x14ac:dyDescent="0.25">
      <c r="A5" s="13" t="s">
        <v>1</v>
      </c>
      <c r="B5" s="13" t="s">
        <v>2</v>
      </c>
      <c r="C5" s="13" t="s">
        <v>63</v>
      </c>
      <c r="D5" s="13" t="s">
        <v>64</v>
      </c>
      <c r="E5" s="13" t="s">
        <v>65</v>
      </c>
      <c r="F5" s="13" t="s">
        <v>66</v>
      </c>
      <c r="G5" s="13" t="s">
        <v>88</v>
      </c>
      <c r="H5" s="13" t="s">
        <v>89</v>
      </c>
      <c r="I5" s="13" t="s">
        <v>90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66" t="s">
        <v>91</v>
      </c>
      <c r="B23" s="66"/>
      <c r="C23" s="66"/>
      <c r="D23" s="66"/>
      <c r="E23" s="66"/>
      <c r="F23" s="66"/>
      <c r="G23" s="66"/>
      <c r="H23" s="66"/>
      <c r="I23" s="66"/>
    </row>
    <row r="24" spans="1:9" ht="15" customHeight="1" x14ac:dyDescent="0.25">
      <c r="A24" s="13" t="s">
        <v>1</v>
      </c>
      <c r="B24" s="13" t="s">
        <v>2</v>
      </c>
      <c r="C24" s="13" t="s">
        <v>63</v>
      </c>
      <c r="D24" s="13" t="s">
        <v>64</v>
      </c>
      <c r="E24" s="13" t="s">
        <v>65</v>
      </c>
      <c r="F24" s="13" t="s">
        <v>66</v>
      </c>
      <c r="G24" s="13" t="s">
        <v>88</v>
      </c>
      <c r="H24" s="13" t="s">
        <v>89</v>
      </c>
      <c r="I24" s="13" t="s">
        <v>90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IF(F25="W",1,IF(F25="T",0.5,0))</f>
        <v>0</v>
      </c>
      <c r="H25" s="3">
        <f t="shared" ref="H25:H40" si="6">IF(F25="L",1,IF(F25="T",0.5,0))</f>
        <v>0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66" t="s">
        <v>92</v>
      </c>
      <c r="B42" s="66"/>
      <c r="C42" s="66"/>
      <c r="D42" s="66"/>
      <c r="E42" s="66"/>
      <c r="F42" s="66"/>
      <c r="G42" s="66"/>
      <c r="H42" s="66"/>
      <c r="I42" s="66"/>
    </row>
    <row r="43" spans="1:9" ht="15" customHeight="1" x14ac:dyDescent="0.25">
      <c r="A43" s="13" t="s">
        <v>1</v>
      </c>
      <c r="B43" s="13" t="s">
        <v>2</v>
      </c>
      <c r="C43" s="13" t="s">
        <v>63</v>
      </c>
      <c r="D43" s="13" t="s">
        <v>64</v>
      </c>
      <c r="E43" s="13" t="s">
        <v>65</v>
      </c>
      <c r="F43" s="13" t="s">
        <v>66</v>
      </c>
      <c r="G43" s="13" t="s">
        <v>88</v>
      </c>
      <c r="H43" s="13" t="s">
        <v>89</v>
      </c>
      <c r="I43" s="13" t="s">
        <v>90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66" t="s">
        <v>93</v>
      </c>
      <c r="B61" s="66"/>
      <c r="C61" s="66"/>
      <c r="D61" s="66"/>
      <c r="E61" s="66"/>
      <c r="F61" s="66"/>
      <c r="G61" s="66"/>
      <c r="H61" s="66"/>
      <c r="I61" s="66"/>
    </row>
    <row r="62" spans="1:9" ht="15" customHeight="1" x14ac:dyDescent="0.25">
      <c r="A62" s="13" t="s">
        <v>1</v>
      </c>
      <c r="B62" s="13" t="s">
        <v>2</v>
      </c>
      <c r="C62" s="13" t="s">
        <v>63</v>
      </c>
      <c r="D62" s="13" t="s">
        <v>64</v>
      </c>
      <c r="E62" s="13" t="s">
        <v>65</v>
      </c>
      <c r="F62" s="13" t="s">
        <v>66</v>
      </c>
      <c r="G62" s="13" t="s">
        <v>88</v>
      </c>
      <c r="H62" s="13" t="s">
        <v>89</v>
      </c>
      <c r="I62" s="13" t="s">
        <v>90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66" t="s">
        <v>94</v>
      </c>
      <c r="B80" s="66"/>
      <c r="C80" s="66"/>
      <c r="D80" s="66"/>
      <c r="E80" s="66"/>
      <c r="F80" s="66"/>
      <c r="G80" s="66"/>
      <c r="H80" s="66"/>
      <c r="I80" s="66"/>
    </row>
    <row r="81" spans="1:9" ht="15" customHeight="1" x14ac:dyDescent="0.25">
      <c r="A81" s="13" t="s">
        <v>1</v>
      </c>
      <c r="B81" s="13" t="s">
        <v>2</v>
      </c>
      <c r="C81" s="13" t="s">
        <v>63</v>
      </c>
      <c r="D81" s="13" t="s">
        <v>64</v>
      </c>
      <c r="E81" s="13" t="s">
        <v>65</v>
      </c>
      <c r="F81" s="13" t="s">
        <v>66</v>
      </c>
      <c r="G81" s="13" t="s">
        <v>88</v>
      </c>
      <c r="H81" s="13" t="s">
        <v>89</v>
      </c>
      <c r="I81" s="13" t="s">
        <v>90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66" t="s">
        <v>95</v>
      </c>
      <c r="B99" s="66"/>
      <c r="C99" s="66"/>
      <c r="D99" s="66"/>
      <c r="E99" s="66"/>
      <c r="F99" s="66"/>
      <c r="G99" s="66"/>
      <c r="H99" s="66"/>
      <c r="I99" s="66"/>
    </row>
    <row r="100" spans="1:9" ht="15" customHeight="1" x14ac:dyDescent="0.25">
      <c r="A100" s="13" t="s">
        <v>1</v>
      </c>
      <c r="B100" s="13" t="s">
        <v>2</v>
      </c>
      <c r="C100" s="13" t="s">
        <v>63</v>
      </c>
      <c r="D100" s="13" t="s">
        <v>64</v>
      </c>
      <c r="E100" s="13" t="s">
        <v>65</v>
      </c>
      <c r="F100" s="13" t="s">
        <v>66</v>
      </c>
      <c r="G100" s="13" t="s">
        <v>88</v>
      </c>
      <c r="H100" s="13" t="s">
        <v>89</v>
      </c>
      <c r="I100" s="13" t="s">
        <v>90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80:I80"/>
    <mergeCell ref="A99:I99"/>
    <mergeCell ref="A1:I1"/>
    <mergeCell ref="A4:I4"/>
    <mergeCell ref="A23:I23"/>
    <mergeCell ref="A42:I42"/>
    <mergeCell ref="A61:I6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52" zoomScaleNormal="100" workbookViewId="0"/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  <c r="I1" s="69"/>
      <c r="J1" s="69"/>
      <c r="K1" s="69"/>
    </row>
    <row r="2" spans="1:11" ht="15" customHeight="1" x14ac:dyDescent="0.25">
      <c r="A2" s="16" t="s">
        <v>97</v>
      </c>
      <c r="B2" s="16" t="s">
        <v>98</v>
      </c>
      <c r="C2" s="16" t="s">
        <v>99</v>
      </c>
      <c r="D2" s="16" t="s">
        <v>100</v>
      </c>
      <c r="E2" s="16" t="s">
        <v>101</v>
      </c>
      <c r="F2" s="16" t="s">
        <v>102</v>
      </c>
      <c r="G2" s="16" t="s">
        <v>103</v>
      </c>
      <c r="H2" s="16" t="s">
        <v>104</v>
      </c>
      <c r="I2" s="16" t="s">
        <v>105</v>
      </c>
      <c r="J2" s="16" t="s">
        <v>106</v>
      </c>
      <c r="K2" s="16" t="s">
        <v>107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0" t="s">
        <v>108</v>
      </c>
      <c r="B20" s="70"/>
      <c r="C20" s="70"/>
      <c r="D20" s="70"/>
      <c r="E20" s="70"/>
      <c r="F20" s="70"/>
      <c r="G20" s="70"/>
      <c r="H20" s="70"/>
      <c r="I20" s="70"/>
      <c r="J20" s="70"/>
      <c r="K20" s="70"/>
    </row>
    <row r="21" spans="1:11" ht="15" customHeight="1" x14ac:dyDescent="0.25">
      <c r="A21" s="23" t="s">
        <v>97</v>
      </c>
      <c r="B21" s="23" t="s">
        <v>98</v>
      </c>
      <c r="C21" s="23" t="s">
        <v>109</v>
      </c>
      <c r="D21" s="23" t="s">
        <v>110</v>
      </c>
      <c r="E21" s="23" t="s">
        <v>111</v>
      </c>
      <c r="F21" s="23" t="s">
        <v>112</v>
      </c>
      <c r="G21" s="23" t="s">
        <v>113</v>
      </c>
      <c r="H21" s="23" t="s">
        <v>114</v>
      </c>
      <c r="I21" s="23" t="s">
        <v>105</v>
      </c>
      <c r="J21" s="23" t="s">
        <v>106</v>
      </c>
      <c r="K21" s="23" t="s">
        <v>107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71" t="s">
        <v>115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</row>
    <row r="40" spans="1:12" ht="15" customHeight="1" x14ac:dyDescent="0.25">
      <c r="A40" s="67" t="s">
        <v>116</v>
      </c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</row>
    <row r="41" spans="1:12" ht="15" customHeight="1" x14ac:dyDescent="0.25">
      <c r="A41" s="24" t="s">
        <v>97</v>
      </c>
      <c r="B41" s="24" t="s">
        <v>98</v>
      </c>
      <c r="C41" s="24" t="s">
        <v>117</v>
      </c>
      <c r="D41" s="24" t="s">
        <v>118</v>
      </c>
      <c r="E41" s="24" t="s">
        <v>119</v>
      </c>
      <c r="F41" s="24" t="s">
        <v>120</v>
      </c>
      <c r="G41" s="24" t="s">
        <v>121</v>
      </c>
      <c r="H41" s="24" t="s">
        <v>122</v>
      </c>
      <c r="I41" s="24" t="s">
        <v>88</v>
      </c>
      <c r="J41" s="24" t="s">
        <v>89</v>
      </c>
      <c r="K41" s="24" t="s">
        <v>123</v>
      </c>
      <c r="L41" s="24" t="s">
        <v>124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4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-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0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0</v>
      </c>
      <c r="L42" s="25">
        <f>IFERROR(I42/(I42+J42),0)</f>
        <v>0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3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2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-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0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1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67" t="s">
        <v>125</v>
      </c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</row>
    <row r="48" spans="1:12" ht="15" customHeight="1" x14ac:dyDescent="0.25">
      <c r="A48" s="24" t="s">
        <v>97</v>
      </c>
      <c r="B48" s="24" t="s">
        <v>98</v>
      </c>
      <c r="C48" s="24" t="s">
        <v>117</v>
      </c>
      <c r="D48" s="24" t="s">
        <v>118</v>
      </c>
      <c r="E48" s="24" t="s">
        <v>119</v>
      </c>
      <c r="F48" s="24" t="s">
        <v>120</v>
      </c>
      <c r="G48" s="24" t="s">
        <v>121</v>
      </c>
      <c r="H48" s="24" t="s">
        <v>122</v>
      </c>
      <c r="I48" s="24" t="s">
        <v>88</v>
      </c>
      <c r="J48" s="24" t="s">
        <v>89</v>
      </c>
      <c r="K48" s="24" t="s">
        <v>123</v>
      </c>
      <c r="L48" s="24" t="s">
        <v>124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67" t="s">
        <v>126</v>
      </c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</row>
    <row r="55" spans="1:12" ht="15" customHeight="1" x14ac:dyDescent="0.25">
      <c r="A55" s="24" t="s">
        <v>97</v>
      </c>
      <c r="B55" s="24" t="s">
        <v>98</v>
      </c>
      <c r="C55" s="24" t="s">
        <v>117</v>
      </c>
      <c r="D55" s="24" t="s">
        <v>118</v>
      </c>
      <c r="E55" s="24" t="s">
        <v>119</v>
      </c>
      <c r="F55" s="24" t="s">
        <v>120</v>
      </c>
      <c r="G55" s="24" t="s">
        <v>121</v>
      </c>
      <c r="H55" s="24" t="s">
        <v>122</v>
      </c>
      <c r="I55" s="24" t="s">
        <v>88</v>
      </c>
      <c r="J55" s="24" t="s">
        <v>89</v>
      </c>
      <c r="K55" s="24" t="s">
        <v>123</v>
      </c>
      <c r="L55" s="24" t="s">
        <v>124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67" t="s">
        <v>127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</row>
    <row r="62" spans="1:12" ht="15" customHeight="1" x14ac:dyDescent="0.25">
      <c r="A62" s="24" t="s">
        <v>97</v>
      </c>
      <c r="B62" s="24" t="s">
        <v>98</v>
      </c>
      <c r="C62" s="24" t="s">
        <v>117</v>
      </c>
      <c r="D62" s="24" t="s">
        <v>118</v>
      </c>
      <c r="E62" s="24" t="s">
        <v>119</v>
      </c>
      <c r="F62" s="24" t="s">
        <v>120</v>
      </c>
      <c r="G62" s="24" t="s">
        <v>121</v>
      </c>
      <c r="H62" s="24" t="s">
        <v>122</v>
      </c>
      <c r="I62" s="24" t="s">
        <v>88</v>
      </c>
      <c r="J62" s="24" t="s">
        <v>89</v>
      </c>
      <c r="K62" s="24" t="s">
        <v>123</v>
      </c>
      <c r="L62" s="24" t="s">
        <v>124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68" t="s">
        <v>128</v>
      </c>
      <c r="B69" s="68"/>
      <c r="C69" s="68"/>
      <c r="D69" s="68"/>
      <c r="E69" s="68"/>
      <c r="F69" s="68"/>
      <c r="G69" s="68"/>
      <c r="H69" s="68"/>
      <c r="I69" s="68"/>
    </row>
    <row r="70" spans="1:12" ht="21.75" customHeight="1" x14ac:dyDescent="0.25">
      <c r="A70" s="26" t="s">
        <v>97</v>
      </c>
      <c r="B70" s="26" t="s">
        <v>98</v>
      </c>
      <c r="C70" s="26" t="s">
        <v>129</v>
      </c>
      <c r="D70" s="26" t="s">
        <v>130</v>
      </c>
      <c r="E70" s="26" t="s">
        <v>131</v>
      </c>
      <c r="F70" s="26" t="s">
        <v>132</v>
      </c>
      <c r="G70" s="26" t="s">
        <v>133</v>
      </c>
      <c r="H70" s="26" t="s">
        <v>134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0</v>
      </c>
      <c r="F71" s="16">
        <f>INDEX(Helper!$AE$2:$AE$17,MATCH(LARGE(Helper!$AM$2:$AM$17,1),Helper!$AM$2:$AM$17,0))</f>
        <v>14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68" t="s">
        <v>135</v>
      </c>
      <c r="B89" s="68"/>
      <c r="C89" s="68"/>
    </row>
    <row r="90" spans="1:8" ht="15" customHeight="1" x14ac:dyDescent="0.25">
      <c r="A90" s="27" t="s">
        <v>136</v>
      </c>
      <c r="B90" s="28" t="s">
        <v>137</v>
      </c>
    </row>
    <row r="91" spans="1:8" ht="15" customHeight="1" x14ac:dyDescent="0.25">
      <c r="A91" s="27" t="s">
        <v>138</v>
      </c>
      <c r="B91" s="28" t="s">
        <v>137</v>
      </c>
    </row>
    <row r="92" spans="1:8" ht="15" customHeight="1" x14ac:dyDescent="0.25">
      <c r="A92" s="27" t="s">
        <v>139</v>
      </c>
      <c r="B92" s="28" t="s">
        <v>140</v>
      </c>
    </row>
    <row r="93" spans="1:8" ht="15" customHeight="1" x14ac:dyDescent="0.25">
      <c r="A93" s="27" t="s">
        <v>141</v>
      </c>
      <c r="B93" s="28" t="s">
        <v>142</v>
      </c>
    </row>
    <row r="94" spans="1:8" ht="15" customHeight="1" x14ac:dyDescent="0.25">
      <c r="A94" s="27" t="s">
        <v>143</v>
      </c>
      <c r="B94" s="28" t="s">
        <v>144</v>
      </c>
    </row>
    <row r="95" spans="1:8" ht="15" customHeight="1" x14ac:dyDescent="0.25">
      <c r="A95" s="27" t="s">
        <v>145</v>
      </c>
      <c r="B95" s="28" t="s">
        <v>146</v>
      </c>
    </row>
    <row r="96" spans="1:8" ht="15" customHeight="1" x14ac:dyDescent="0.25">
      <c r="A96" s="27" t="s">
        <v>147</v>
      </c>
      <c r="B96" s="28" t="s">
        <v>148</v>
      </c>
    </row>
  </sheetData>
  <mergeCells count="9">
    <mergeCell ref="A54:L54"/>
    <mergeCell ref="A61:L61"/>
    <mergeCell ref="A69:I69"/>
    <mergeCell ref="A89:C89"/>
    <mergeCell ref="A1:K1"/>
    <mergeCell ref="A20:K20"/>
    <mergeCell ref="A39:L39"/>
    <mergeCell ref="A40:L40"/>
    <mergeCell ref="A47:L4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3" zoomScaleNormal="100" workbookViewId="0"/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2" t="s">
        <v>149</v>
      </c>
      <c r="B1" s="62"/>
      <c r="C1" s="62"/>
      <c r="D1" s="62"/>
      <c r="E1" s="62"/>
      <c r="F1" s="62"/>
      <c r="G1" s="62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69" t="s">
        <v>150</v>
      </c>
      <c r="B3" s="69"/>
      <c r="C3" s="69"/>
      <c r="D3" s="69"/>
      <c r="E3" s="69"/>
      <c r="F3" s="69"/>
      <c r="G3" s="69"/>
      <c r="H3" s="29"/>
      <c r="I3" s="29"/>
      <c r="J3" s="29"/>
    </row>
    <row r="4" spans="1:10" ht="15" customHeight="1" x14ac:dyDescent="0.25">
      <c r="A4" s="16" t="s">
        <v>151</v>
      </c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/>
      <c r="H4" s="29"/>
      <c r="I4" s="29"/>
      <c r="J4" s="29"/>
    </row>
    <row r="5" spans="1:10" ht="15" customHeight="1" x14ac:dyDescent="0.25">
      <c r="A5" s="30" t="s">
        <v>157</v>
      </c>
      <c r="B5" s="31" t="str">
        <f>INDEX(Helper!$B$2:$B$17,MATCH(LARGE(Helper!$AH$2:$AH$17,1),Helper!$AH$2:$AH$17,0))</f>
        <v>Player 1</v>
      </c>
      <c r="C5" s="32" t="s">
        <v>137</v>
      </c>
      <c r="D5" s="3" t="s">
        <v>158</v>
      </c>
      <c r="E5" s="33" t="str">
        <f>B5</f>
        <v>Player 1</v>
      </c>
      <c r="F5" s="34" t="s">
        <v>159</v>
      </c>
      <c r="G5" s="29"/>
      <c r="H5" s="29"/>
      <c r="I5" s="29"/>
      <c r="J5" s="29"/>
    </row>
    <row r="6" spans="1:10" ht="15" customHeight="1" x14ac:dyDescent="0.25">
      <c r="A6" s="30" t="s">
        <v>160</v>
      </c>
      <c r="B6" s="31" t="str">
        <f>INDEX(Helper!$B$2:$B$17,MATCH(LARGE(Helper!$AJ$2:$AJ$17,1),Helper!$AJ$2:$AJ$17,0))</f>
        <v>Player 16</v>
      </c>
      <c r="C6" s="32" t="s">
        <v>137</v>
      </c>
      <c r="D6" s="3" t="s">
        <v>161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162</v>
      </c>
      <c r="B7" s="31" t="str">
        <f>INDEX(Helper!$B$2:$B$5,MATCH(LARGE(Helper!$AL$2:$AL$5,1),Helper!$AL$2:$AL$5,0))</f>
        <v>Player 4</v>
      </c>
      <c r="C7" s="32" t="s">
        <v>163</v>
      </c>
      <c r="D7" s="3" t="s">
        <v>7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164</v>
      </c>
      <c r="B8" s="31" t="str">
        <f>INDEX(Helper!$B$6:$B$9,MATCH(LARGE(Helper!$AL$6:$AL$9,1),Helper!$AL$6:$AL$9,0))</f>
        <v>Player 8</v>
      </c>
      <c r="C8" s="32" t="s">
        <v>163</v>
      </c>
      <c r="D8" s="3" t="s">
        <v>13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165</v>
      </c>
      <c r="B9" s="31" t="str">
        <f>INDEX(Helper!$B$10:$B$13,MATCH(LARGE(Helper!$AL$10:$AL$13,1),Helper!$AL$10:$AL$13,0))</f>
        <v>Player 12</v>
      </c>
      <c r="C9" s="32" t="s">
        <v>163</v>
      </c>
      <c r="D9" s="3" t="s">
        <v>19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15" customHeight="1" x14ac:dyDescent="0.25">
      <c r="A10" s="35" t="s">
        <v>166</v>
      </c>
      <c r="B10" s="31" t="str">
        <f>INDEX(Helper!$B$14:$B$17,MATCH(LARGE(Helper!$AL$14:$AL$17,1),Helper!$AL$14:$AL$17,0))</f>
        <v>Player 16</v>
      </c>
      <c r="C10" s="32" t="s">
        <v>163</v>
      </c>
      <c r="D10" s="3" t="s">
        <v>25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73" t="s">
        <v>167</v>
      </c>
      <c r="B12" s="73"/>
      <c r="C12" s="73"/>
      <c r="D12" s="73"/>
      <c r="E12" s="73"/>
      <c r="F12" s="73"/>
      <c r="G12" s="73"/>
      <c r="H12" s="29"/>
      <c r="I12" s="29"/>
      <c r="J12" s="29"/>
    </row>
    <row r="13" spans="1:10" ht="15" customHeight="1" x14ac:dyDescent="0.25">
      <c r="A13" s="38" t="s">
        <v>151</v>
      </c>
      <c r="B13" s="38" t="s">
        <v>98</v>
      </c>
      <c r="C13" s="38" t="s">
        <v>168</v>
      </c>
      <c r="D13" s="38" t="s">
        <v>154</v>
      </c>
      <c r="E13" s="38"/>
      <c r="F13" s="38"/>
      <c r="G13" s="38"/>
      <c r="H13" s="29"/>
      <c r="I13" s="29"/>
      <c r="J13" s="29"/>
    </row>
    <row r="14" spans="1:10" ht="15" customHeight="1" x14ac:dyDescent="0.25">
      <c r="A14" s="2" t="s">
        <v>169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170</v>
      </c>
      <c r="E14" s="37"/>
      <c r="F14" s="29"/>
      <c r="G14" s="29"/>
      <c r="H14" s="29"/>
      <c r="I14" s="29"/>
      <c r="J14" s="29"/>
    </row>
    <row r="15" spans="1:10" ht="15" customHeight="1" x14ac:dyDescent="0.25">
      <c r="A15" s="2" t="s">
        <v>171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170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68" t="s">
        <v>172</v>
      </c>
      <c r="B17" s="68"/>
      <c r="C17" s="68"/>
      <c r="D17" s="68"/>
      <c r="E17" s="68"/>
      <c r="F17" s="29"/>
      <c r="G17" s="29"/>
      <c r="H17" s="29"/>
      <c r="I17" s="29"/>
      <c r="J17" s="29"/>
    </row>
    <row r="18" spans="1:10" ht="15" customHeight="1" x14ac:dyDescent="0.25">
      <c r="A18" s="40" t="s">
        <v>37</v>
      </c>
      <c r="B18" s="26" t="s">
        <v>98</v>
      </c>
      <c r="C18" s="26" t="s">
        <v>173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158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161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174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175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176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177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169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171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69" t="s">
        <v>178</v>
      </c>
      <c r="B28" s="69"/>
      <c r="C28" s="69"/>
      <c r="D28" s="69"/>
      <c r="E28" s="69"/>
      <c r="F28" s="69"/>
      <c r="G28" s="29"/>
      <c r="H28" s="29"/>
      <c r="I28" s="29"/>
      <c r="J28" s="29"/>
    </row>
    <row r="29" spans="1:10" ht="15" customHeight="1" x14ac:dyDescent="0.25">
      <c r="A29" s="16" t="s">
        <v>37</v>
      </c>
      <c r="B29" s="16" t="s">
        <v>98</v>
      </c>
      <c r="C29" s="16" t="s">
        <v>179</v>
      </c>
      <c r="D29" s="16" t="s">
        <v>180</v>
      </c>
      <c r="E29" s="16" t="s">
        <v>181</v>
      </c>
      <c r="F29" s="16" t="s">
        <v>182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0</v>
      </c>
      <c r="E30" s="43">
        <f>IF(B30='Playoff Finals'!B13,200,IF(B30='Playoff Finals'!B14,75,IF(B30='Playoff Finals'!B15,35,0)))</f>
        <v>0</v>
      </c>
      <c r="F30" s="44">
        <f t="shared" ref="F30:F45" si="3">C30+D30+E30</f>
        <v>25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10</v>
      </c>
      <c r="E33" s="43">
        <f>IF(B33='Playoff Finals'!B13,200,IF(B33='Playoff Finals'!B14,75,IF(B33='Playoff Finals'!B15,35,0)))</f>
        <v>0</v>
      </c>
      <c r="F33" s="44">
        <f t="shared" si="3"/>
        <v>10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72" t="s">
        <v>183</v>
      </c>
      <c r="B46" s="72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46:B46"/>
    <mergeCell ref="A1:G1"/>
    <mergeCell ref="A3:G3"/>
    <mergeCell ref="A12:G12"/>
    <mergeCell ref="A17:E17"/>
    <mergeCell ref="A28:F2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E30" sqref="E30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4" t="s">
        <v>184</v>
      </c>
      <c r="B1" s="74"/>
      <c r="C1" s="74"/>
      <c r="D1" s="74"/>
      <c r="E1" s="74"/>
      <c r="F1" s="74"/>
      <c r="G1" s="74"/>
    </row>
    <row r="2" spans="1:8" ht="15" customHeight="1" x14ac:dyDescent="0.25">
      <c r="A2" s="12" t="s">
        <v>185</v>
      </c>
    </row>
    <row r="4" spans="1:8" ht="15" customHeight="1" x14ac:dyDescent="0.25">
      <c r="A4" s="47" t="s">
        <v>37</v>
      </c>
      <c r="B4" s="23" t="s">
        <v>98</v>
      </c>
      <c r="C4" s="23" t="s">
        <v>78</v>
      </c>
      <c r="D4" s="23" t="s">
        <v>186</v>
      </c>
      <c r="E4" s="23" t="s">
        <v>187</v>
      </c>
      <c r="F4" s="23" t="s">
        <v>188</v>
      </c>
      <c r="G4" s="23" t="s">
        <v>189</v>
      </c>
      <c r="H4" s="23" t="s">
        <v>190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68" t="s">
        <v>191</v>
      </c>
      <c r="B14" s="68"/>
      <c r="C14" s="68"/>
      <c r="D14" s="68"/>
      <c r="E14" s="68"/>
      <c r="F14" s="68"/>
      <c r="G14" s="68"/>
    </row>
    <row r="15" spans="1:8" ht="15" customHeight="1" x14ac:dyDescent="0.25">
      <c r="A15" s="26" t="s">
        <v>97</v>
      </c>
      <c r="B15" s="26" t="s">
        <v>98</v>
      </c>
      <c r="C15" s="26" t="s">
        <v>78</v>
      </c>
      <c r="D15" s="49"/>
      <c r="E15" s="26" t="s">
        <v>156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192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192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192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192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193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193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193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193</v>
      </c>
    </row>
    <row r="25" spans="1:5" ht="15" customHeight="1" x14ac:dyDescent="0.25">
      <c r="A25" s="12" t="s">
        <v>194</v>
      </c>
    </row>
  </sheetData>
  <mergeCells count="2">
    <mergeCell ref="A1:G1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sqref="A1:H1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2" t="s">
        <v>195</v>
      </c>
      <c r="B1" s="62"/>
      <c r="C1" s="62"/>
      <c r="D1" s="62"/>
      <c r="E1" s="62"/>
      <c r="F1" s="62"/>
      <c r="G1" s="62"/>
      <c r="H1" s="62"/>
    </row>
    <row r="2" spans="1:12" ht="15" customHeight="1" x14ac:dyDescent="0.25">
      <c r="A2" s="12" t="s">
        <v>196</v>
      </c>
    </row>
    <row r="4" spans="1:12" ht="15" customHeight="1" x14ac:dyDescent="0.25">
      <c r="A4" s="65" t="s">
        <v>197</v>
      </c>
      <c r="B4" s="65"/>
      <c r="C4" s="65"/>
      <c r="D4" s="65"/>
      <c r="E4" s="65"/>
      <c r="F4" s="65"/>
      <c r="G4" s="65"/>
      <c r="H4" s="65"/>
    </row>
    <row r="5" spans="1:12" ht="15" customHeight="1" x14ac:dyDescent="0.25">
      <c r="A5" s="26" t="s">
        <v>98</v>
      </c>
      <c r="B5" s="26" t="s">
        <v>198</v>
      </c>
      <c r="C5" s="26" t="s">
        <v>199</v>
      </c>
      <c r="D5" s="26" t="s">
        <v>200</v>
      </c>
      <c r="E5" s="26" t="s">
        <v>201</v>
      </c>
      <c r="F5" s="26" t="s">
        <v>202</v>
      </c>
      <c r="G5" s="26" t="s">
        <v>203</v>
      </c>
      <c r="H5" s="26" t="s">
        <v>204</v>
      </c>
      <c r="I5" s="26" t="s">
        <v>205</v>
      </c>
      <c r="K5" s="26" t="s">
        <v>206</v>
      </c>
      <c r="L5" s="26" t="s">
        <v>207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69" t="s">
        <v>208</v>
      </c>
      <c r="B11" s="69"/>
      <c r="C11" s="69"/>
      <c r="D11" s="69"/>
      <c r="E11" s="69"/>
      <c r="F11" s="69"/>
      <c r="G11" s="69"/>
      <c r="H11" s="69"/>
    </row>
    <row r="12" spans="1:12" ht="15" customHeight="1" x14ac:dyDescent="0.25">
      <c r="A12" s="16" t="s">
        <v>209</v>
      </c>
      <c r="B12" s="16" t="s">
        <v>98</v>
      </c>
      <c r="C12" s="16" t="s">
        <v>198</v>
      </c>
      <c r="D12" s="16" t="s">
        <v>210</v>
      </c>
      <c r="E12" s="16" t="s">
        <v>211</v>
      </c>
      <c r="F12" s="16" t="s">
        <v>212</v>
      </c>
      <c r="G12" s="16" t="s">
        <v>213</v>
      </c>
      <c r="H12" s="16" t="s">
        <v>214</v>
      </c>
    </row>
    <row r="13" spans="1:12" ht="15" customHeight="1" x14ac:dyDescent="0.25">
      <c r="A13" s="57" t="s">
        <v>215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142</v>
      </c>
    </row>
    <row r="14" spans="1:12" ht="15" customHeight="1" x14ac:dyDescent="0.25">
      <c r="A14" s="59" t="s">
        <v>216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144</v>
      </c>
    </row>
    <row r="15" spans="1:12" ht="15" customHeight="1" x14ac:dyDescent="0.25">
      <c r="A15" s="60" t="s">
        <v>217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146</v>
      </c>
    </row>
    <row r="16" spans="1:12" ht="15" customHeight="1" x14ac:dyDescent="0.25">
      <c r="A16" s="61" t="s">
        <v>218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219</v>
      </c>
    </row>
    <row r="18" spans="1:4" ht="15" customHeight="1" x14ac:dyDescent="0.25">
      <c r="A18" s="12" t="s">
        <v>220</v>
      </c>
    </row>
    <row r="20" spans="1:4" ht="15" customHeight="1" x14ac:dyDescent="0.25">
      <c r="A20" s="68" t="s">
        <v>221</v>
      </c>
      <c r="B20" s="68"/>
      <c r="C20" s="68"/>
      <c r="D20" s="68"/>
    </row>
    <row r="21" spans="1:4" ht="21.75" customHeight="1" x14ac:dyDescent="0.25">
      <c r="A21" s="38" t="s">
        <v>98</v>
      </c>
      <c r="B21" s="38" t="s">
        <v>222</v>
      </c>
      <c r="C21" s="38" t="s">
        <v>223</v>
      </c>
      <c r="D21" s="38" t="s">
        <v>224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1:H1"/>
    <mergeCell ref="A4:H4"/>
    <mergeCell ref="A11:H11"/>
    <mergeCell ref="A20:D20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38</v>
      </c>
      <c r="B1" t="s">
        <v>39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234</v>
      </c>
      <c r="M1" t="s">
        <v>235</v>
      </c>
      <c r="N1" t="s">
        <v>236</v>
      </c>
      <c r="O1" t="s">
        <v>237</v>
      </c>
      <c r="P1" t="s">
        <v>238</v>
      </c>
      <c r="Q1" t="s">
        <v>239</v>
      </c>
      <c r="R1" t="s">
        <v>240</v>
      </c>
      <c r="S1" t="s">
        <v>241</v>
      </c>
      <c r="T1" t="s">
        <v>242</v>
      </c>
      <c r="U1" t="s">
        <v>243</v>
      </c>
      <c r="V1" t="s">
        <v>244</v>
      </c>
      <c r="W1" t="s">
        <v>245</v>
      </c>
      <c r="X1" t="s">
        <v>246</v>
      </c>
      <c r="Y1" t="s">
        <v>247</v>
      </c>
      <c r="Z1" t="s">
        <v>248</v>
      </c>
      <c r="AA1" t="s">
        <v>249</v>
      </c>
      <c r="AB1" t="s">
        <v>250</v>
      </c>
      <c r="AC1" t="s">
        <v>251</v>
      </c>
      <c r="AD1" t="s">
        <v>252</v>
      </c>
      <c r="AE1" t="s">
        <v>253</v>
      </c>
      <c r="AF1" t="s">
        <v>254</v>
      </c>
      <c r="AG1" t="s">
        <v>255</v>
      </c>
      <c r="AH1" t="s">
        <v>256</v>
      </c>
      <c r="AI1" t="s">
        <v>257</v>
      </c>
      <c r="AJ1" t="s">
        <v>258</v>
      </c>
      <c r="AK1" t="s">
        <v>259</v>
      </c>
      <c r="AL1" t="s">
        <v>260</v>
      </c>
      <c r="AM1" t="s">
        <v>261</v>
      </c>
      <c r="AN1" t="s">
        <v>262</v>
      </c>
      <c r="AO1" t="s">
        <v>263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0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7" si="6">AA2+A2*0.0001</f>
        <v>1E-4</v>
      </c>
      <c r="AE2">
        <f t="shared" ref="AE2:AE17" si="7">I2+R2+AC2</f>
        <v>14</v>
      </c>
      <c r="AF2">
        <f t="shared" ref="AF2:AF17" si="8">AE2+A2*0.0001</f>
        <v>14.0001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7" si="13">AA2*100000+AC2*1000+AK2*10+A2*0.01</f>
        <v>0.01</v>
      </c>
      <c r="AM2">
        <f t="shared" ref="AM2:AM17" si="14">AE2*100000+(AG2+AI2+AK2)*100+A2*0.01</f>
        <v>1401400.01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2026-08-06T20:10:47Z</dcterms:created>
  <dcterms:modified xsi:type="dcterms:W3CDTF">2026-09-03T04:56:51Z</dcterms:modified>
  <dc:language>en-US</dc:language>
</cp:coreProperties>
</file>