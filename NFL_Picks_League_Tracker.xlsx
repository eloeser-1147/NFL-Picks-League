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78" documentId="11_6034A8D24D14BF460B0C50849224F53B42431133" xr6:coauthVersionLast="47" xr6:coauthVersionMax="47" xr10:uidLastSave="{C72495FA-59A1-4822-A752-40F8EA520998}"/>
  <bookViews>
    <workbookView xWindow="-28920" yWindow="-120" windowWidth="29040" windowHeight="16440" tabRatio="1000" xr2:uid="{00000000-000D-0000-FFFF-FFFF00000000}"/>
  </bookViews>
  <sheets>
    <sheet name="Roster" sheetId="1" r:id="rId1"/>
    <sheet name="Schedule" sheetId="2" state="hidden" r:id="rId2"/>
    <sheet name="Wk 1-6 Input" sheetId="3" r:id="rId3"/>
    <sheet name="Wk 7-12 Input" sheetId="4" r:id="rId4"/>
    <sheet name="Wk 13-18 Input" sheetId="5" r:id="rId5"/>
    <sheet name="Playoff Picture" sheetId="8" r:id="rId6"/>
    <sheet name="Playoff Wild Card" sheetId="9" r:id="rId7"/>
    <sheet name="Playoff Finals" sheetId="10" r:id="rId8"/>
    <sheet name="NFL Playoff Games" sheetId="6"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H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G11" i="3"/>
  <c r="I11" i="3" s="1"/>
  <c r="F11" i="3"/>
  <c r="E11" i="3"/>
  <c r="B11" i="3"/>
  <c r="H10" i="3"/>
  <c r="E10" i="3"/>
  <c r="F10" i="3" s="1"/>
  <c r="G10" i="3" s="1"/>
  <c r="I10" i="3" s="1"/>
  <c r="B10" i="3"/>
  <c r="H9" i="3"/>
  <c r="G9" i="3"/>
  <c r="I9" i="3" s="1"/>
  <c r="F9" i="3"/>
  <c r="E9" i="3"/>
  <c r="B9" i="3"/>
  <c r="H8" i="3"/>
  <c r="E8" i="3"/>
  <c r="F8" i="3" s="1"/>
  <c r="G8" i="3" s="1"/>
  <c r="I8" i="3" s="1"/>
  <c r="B8" i="3"/>
  <c r="H7" i="3"/>
  <c r="G7" i="3"/>
  <c r="I7" i="3" s="1"/>
  <c r="F7" i="3"/>
  <c r="E7" i="3"/>
  <c r="B7" i="3"/>
  <c r="H6" i="3"/>
  <c r="E6" i="3"/>
  <c r="F6" i="3" s="1"/>
  <c r="G6" i="3" s="1"/>
  <c r="I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I11" i="11"/>
  <c r="AC11" i="11"/>
  <c r="Z11" i="11"/>
  <c r="Y11" i="11"/>
  <c r="X11" i="11"/>
  <c r="W11" i="11"/>
  <c r="V11" i="11"/>
  <c r="AB11" i="11" s="1"/>
  <c r="U11" i="11"/>
  <c r="S11" i="11"/>
  <c r="Q11" i="11"/>
  <c r="P11" i="11"/>
  <c r="O11" i="11"/>
  <c r="N11" i="11"/>
  <c r="L11" i="11"/>
  <c r="R11" i="11" s="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I7" i="11" s="1"/>
  <c r="G7" i="11"/>
  <c r="F7" i="11"/>
  <c r="D7" i="11"/>
  <c r="C7" i="11"/>
  <c r="B7" i="11"/>
  <c r="AK6" i="11"/>
  <c r="AI6" i="11"/>
  <c r="AC6" i="11"/>
  <c r="Z6" i="11"/>
  <c r="Y6" i="11"/>
  <c r="X6" i="11"/>
  <c r="W6" i="11"/>
  <c r="V6" i="11"/>
  <c r="AA6" i="11" s="1"/>
  <c r="U6" i="11"/>
  <c r="T6" i="11"/>
  <c r="S6" i="11"/>
  <c r="R6" i="11"/>
  <c r="AJ6" i="11" s="1"/>
  <c r="P6" i="11"/>
  <c r="O6" i="11"/>
  <c r="N6" i="11"/>
  <c r="M6" i="11"/>
  <c r="L6" i="11"/>
  <c r="J6" i="11"/>
  <c r="H6" i="11"/>
  <c r="G6" i="11"/>
  <c r="F6" i="11"/>
  <c r="D6" i="11"/>
  <c r="C6" i="11"/>
  <c r="B6" i="11"/>
  <c r="AK5" i="11"/>
  <c r="AI5" i="11"/>
  <c r="AC5" i="11"/>
  <c r="Z5" i="11"/>
  <c r="Y5" i="11"/>
  <c r="X5" i="11"/>
  <c r="W5" i="11"/>
  <c r="V5" i="11"/>
  <c r="AA5" i="11" s="1"/>
  <c r="U5" i="11"/>
  <c r="S5" i="11"/>
  <c r="Q5" i="11"/>
  <c r="P5" i="11"/>
  <c r="R5" i="11" s="1"/>
  <c r="O5" i="11"/>
  <c r="N5" i="11"/>
  <c r="L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J3" i="11"/>
  <c r="H3" i="11"/>
  <c r="G3" i="11"/>
  <c r="F3" i="11"/>
  <c r="D3" i="11"/>
  <c r="C3" i="11"/>
  <c r="B3" i="11"/>
  <c r="AK2" i="11"/>
  <c r="AI2" i="11"/>
  <c r="AC2" i="11"/>
  <c r="Z2" i="11"/>
  <c r="Y2" i="11"/>
  <c r="X2" i="11"/>
  <c r="W2" i="11"/>
  <c r="V2" i="11"/>
  <c r="AA2" i="11" s="1"/>
  <c r="U2" i="11"/>
  <c r="S2" i="11"/>
  <c r="R2" i="11"/>
  <c r="AJ2" i="11" s="1"/>
  <c r="Q2" i="11"/>
  <c r="P2" i="11"/>
  <c r="O2" i="11"/>
  <c r="N2" i="11"/>
  <c r="L2" i="11"/>
  <c r="J2" i="11"/>
  <c r="H2" i="11"/>
  <c r="G2" i="11"/>
  <c r="F2" i="11"/>
  <c r="E2" i="11"/>
  <c r="D2" i="11"/>
  <c r="C2" i="11"/>
  <c r="B2" i="11"/>
  <c r="K7" i="11" l="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2" i="11"/>
  <c r="I2"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AL17" i="11" l="1"/>
  <c r="AD17" i="11"/>
  <c r="AH2" i="11"/>
  <c r="K2" i="11"/>
  <c r="AE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B43" i="7"/>
  <c r="G45"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9" i="7" l="1"/>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J3"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K6" i="7" s="1"/>
  <c r="J4" i="7"/>
  <c r="G3" i="7"/>
  <c r="B18" i="7"/>
  <c r="G16" i="7"/>
  <c r="C15" i="7"/>
  <c r="E16" i="7"/>
  <c r="B15" i="7"/>
  <c r="I13" i="7"/>
  <c r="F12" i="7"/>
  <c r="C11" i="7"/>
  <c r="J9" i="7"/>
  <c r="G8" i="7"/>
  <c r="D7" i="7"/>
  <c r="G4" i="7"/>
  <c r="D3" i="7"/>
  <c r="B5" i="8"/>
  <c r="I17" i="7"/>
  <c r="D16" i="7"/>
  <c r="H13" i="7"/>
  <c r="E12" i="7"/>
  <c r="B11" i="7"/>
  <c r="I9" i="7"/>
  <c r="F8" i="7"/>
  <c r="C7" i="7"/>
  <c r="I5" i="7"/>
  <c r="F4" i="7"/>
  <c r="C3"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K13" i="7" s="1"/>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K26" i="7" s="1"/>
  <c r="D34" i="7"/>
  <c r="C34" i="7"/>
  <c r="D29" i="7"/>
  <c r="E30" i="7"/>
  <c r="F25" i="7"/>
  <c r="J36" i="7"/>
  <c r="D27" i="7"/>
  <c r="C24" i="7"/>
  <c r="H34" i="7"/>
  <c r="D31" i="7"/>
  <c r="G26" i="7"/>
  <c r="H23" i="7"/>
  <c r="F29" i="7"/>
  <c r="J24" i="7"/>
  <c r="B28" i="7"/>
  <c r="C29" i="7"/>
  <c r="K29" i="7" s="1"/>
  <c r="D24" i="7"/>
  <c r="E35" i="7"/>
  <c r="J25" i="7"/>
  <c r="I22" i="7"/>
  <c r="C33" i="7"/>
  <c r="I29" i="7"/>
  <c r="C25" i="7"/>
  <c r="K25" i="7" s="1"/>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2" i="7" l="1"/>
  <c r="K8" i="7"/>
  <c r="K7" i="7"/>
  <c r="K34" i="7"/>
  <c r="K12" i="7"/>
  <c r="K10" i="7"/>
  <c r="K37" i="7"/>
  <c r="K11" i="7"/>
  <c r="L42" i="7"/>
  <c r="K14" i="7"/>
  <c r="D36" i="8"/>
  <c r="D33" i="8"/>
  <c r="D38" i="8"/>
  <c r="D37" i="8"/>
  <c r="D34" i="8"/>
  <c r="D35" i="8"/>
  <c r="D44" i="8"/>
  <c r="D31" i="8"/>
  <c r="D32" i="8"/>
  <c r="D43" i="8"/>
  <c r="D30" i="8"/>
  <c r="D42" i="8"/>
  <c r="D40" i="8"/>
  <c r="D41" i="8"/>
  <c r="D45" i="8"/>
  <c r="D39" i="8"/>
  <c r="E6" i="8"/>
  <c r="B20" i="8" s="1"/>
  <c r="B6" i="9" s="1"/>
  <c r="B22" i="9" s="1"/>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G83" i="7" s="1"/>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H71" i="7" s="1"/>
  <c r="F86" i="7"/>
  <c r="C71" i="7"/>
  <c r="B84" i="7"/>
  <c r="F81" i="7"/>
  <c r="E81" i="7"/>
  <c r="K28" i="7"/>
  <c r="K27" i="7"/>
  <c r="C40" i="8"/>
  <c r="C33" i="8"/>
  <c r="C36" i="8"/>
  <c r="C39" i="8"/>
  <c r="E5" i="8"/>
  <c r="C38" i="8"/>
  <c r="C37" i="8"/>
  <c r="C31" i="8"/>
  <c r="C42" i="8"/>
  <c r="C43" i="8"/>
  <c r="C32" i="8"/>
  <c r="C44" i="8"/>
  <c r="C41" i="8"/>
  <c r="C35" i="8"/>
  <c r="C34" i="8"/>
  <c r="C30" i="8"/>
  <c r="C45" i="8"/>
  <c r="K18" i="7"/>
  <c r="K30" i="7"/>
  <c r="K32" i="7"/>
  <c r="L63" i="7"/>
  <c r="K3" i="7"/>
  <c r="L49" i="7"/>
  <c r="L43" i="7"/>
  <c r="L65" i="7"/>
  <c r="K9" i="7"/>
  <c r="K16" i="7"/>
  <c r="K4" i="7"/>
  <c r="L52" i="7"/>
  <c r="H84" i="7" l="1"/>
  <c r="F6" i="8"/>
  <c r="H76" i="7"/>
  <c r="H85" i="7"/>
  <c r="H79" i="7"/>
  <c r="G85" i="7"/>
  <c r="H72" i="7"/>
  <c r="C46" i="8"/>
  <c r="G82" i="7"/>
  <c r="G75" i="7"/>
  <c r="G78" i="7"/>
  <c r="H83" i="7"/>
  <c r="H73" i="7"/>
  <c r="H74" i="7"/>
  <c r="D46" i="8"/>
  <c r="B19" i="8"/>
  <c r="B5" i="9" s="1"/>
  <c r="B23" i="9" s="1"/>
  <c r="G80" i="7"/>
  <c r="E7" i="8"/>
  <c r="H80" i="7"/>
  <c r="H82" i="7"/>
  <c r="G84" i="7"/>
  <c r="H75" i="7"/>
  <c r="G71" i="7"/>
  <c r="B75" i="7"/>
  <c r="B78" i="7"/>
  <c r="F83" i="7"/>
  <c r="C81" i="7"/>
  <c r="G81" i="7" s="1"/>
  <c r="H81" i="7"/>
  <c r="G77" i="7"/>
  <c r="G79" i="7"/>
  <c r="H77" i="7"/>
  <c r="H78" i="7"/>
  <c r="G74" i="7" l="1"/>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C14" i="8"/>
  <c r="B14" i="8"/>
  <c r="B25" i="8" s="1"/>
  <c r="B11" i="9" s="1"/>
  <c r="B17" i="9" s="1"/>
  <c r="A7" i="10" s="1"/>
  <c r="A24" i="10"/>
  <c r="B14" i="10"/>
  <c r="B13" i="10" l="1"/>
  <c r="A23" i="10"/>
  <c r="B15" i="10"/>
  <c r="E40" i="8" s="1"/>
  <c r="F40" i="8" s="1"/>
  <c r="A22" i="10"/>
  <c r="B16" i="10"/>
  <c r="E44" i="8" l="1"/>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<sst xmlns="http://schemas.openxmlformats.org/spreadsheetml/2006/main" count="816" uniqueCount="289">
  <si>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</si>
  <si>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</si>
  <si>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</si>
  <si>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</si>
  <si>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</si>
  <si>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</si>
  <si>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</si>
  <si>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</si>
  <si>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</si>
  <si>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</si>
  <si>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</si>
  <si>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</si>
  <si>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</si>
  <si>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</si>
  <si>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</si>
  <si>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</si>
  <si>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</si>
  <si>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</si>
  <si>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</si>
  <si>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</si>
  <si>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</si>
  <si>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</si>
  <si>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</si>
  <si>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</si>
  <si>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</si>
  <si>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</si>
  <si>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</si>
  <si>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</si>
  <si>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</si>
  <si>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</si>
  <si>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</si>
  <si>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</si>
  <si>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</si>
  <si>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</si>
  <si>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</si>
  <si>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</si>
  <si>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</si>
  <si>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</si>
  <si>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</si>
  <si>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</si>
  <si>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</si>
  <si>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</si>
  <si>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</si>
  <si>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</si>
  <si>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</si>
  <si>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</si>
  <si>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</si>
  <si>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</si>
  <si>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</si>
  <si>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</si>
  <si>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</si>
  <si>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</si>
  <si>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</si>
  <si>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</si>
  <si>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</si>
  <si>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</si>
  <si>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</si>
  <si>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</si>
  <si>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</si>
  <si>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</si>
  <si>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</si>
  <si>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</si>
  <si>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</si>
  <si>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</si>
  <si>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</si>
  <si>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</si>
  <si>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</si>
  <si>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</si>
  <si>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</si>
  <si>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</si>
  <si>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</si>
  <si>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</si>
  <si>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</si>
  <si>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</si>
  <si>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</si>
  <si>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</si>
  <si>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</si>
  <si>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</si>
  <si>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</si>
  <si>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</si>
  <si>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</si>
  <si>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</si>
  <si>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</si>
  <si>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</si>
  <si>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</si>
  <si>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</si>
  <si>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</si>
  <si>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</si>
  <si>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</si>
  <si>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</si>
  <si>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</si>
  <si>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</si>
  <si>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</si>
  <si>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</si>
  <si>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</si>
  <si>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</si>
  <si>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</si>
  <si>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</si>
  <si>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</si>
  <si>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</si>
  <si>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</si>
  <si>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</si>
  <si>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</si>
  <si>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</si>
  <si>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</si>
  <si>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</si>
  <si>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</si>
  <si>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</si>
  <si>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</si>
  <si>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</si>
  <si>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</si>
  <si>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</si>
  <si>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</si>
  <si>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</si>
  <si>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</si>
  <si>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</si>
  <si>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</si>
  <si>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</si>
  <si>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</si>
  <si>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</si>
  <si>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</si>
  <si>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</si>
  <si>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</si>
  <si>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</si>
  <si>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</si>
  <si>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</si>
  <si>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</si>
  <si>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</si>
  <si>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</si>
  <si>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</si>
  <si>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</si>
  <si>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</si>
  <si>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</si>
  <si>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</si>
  <si>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</si>
  <si>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</si>
  <si>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</si>
  <si>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</si>
  <si>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</si>
  <si>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</si>
  <si>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</si>
  <si>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</si>
  <si>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</si>
  <si>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</si>
  <si>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</si>
  <si>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</si>
  <si>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</si>
  <si>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</si>
  <si>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</si>
  <si>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</si>
  <si>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</si>
  <si>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</si>
  <si>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</si>
  <si>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</si>
  <si>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</si>
  <si>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</si>
  <si>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</si>
  <si>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</si>
  <si>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</si>
  <si>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</si>
  <si>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</si>
  <si>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</si>
  <si>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</si>
  <si>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</si>
  <si>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</si>
  <si>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</si>
  <si>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</si>
  <si>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</si>
  <si>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</si>
  <si>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</si>
  <si>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</si>
  <si>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</si>
  <si>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</si>
  <si>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</si>
  <si>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</si>
  <si>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</si>
  <si>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</si>
  <si>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</si>
  <si>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</si>
  <si>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</si>
  <si>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</si>
  <si>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</si>
  <si>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</si>
  <si>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</si>
  <si>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</si>
  <si>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</si>
  <si>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</si>
  <si>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</si>
  <si>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</si>
  <si>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</si>
  <si>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</si>
  <si>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</si>
  <si>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</si>
  <si>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</si>
  <si>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</si>
  <si>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</si>
  <si>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</si>
  <si>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</si>
  <si>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</si>
  <si>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</si>
  <si>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</si>
  <si>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</si>
  <si>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</si>
  <si>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</si>
  <si>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</si>
  <si>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</si>
  <si>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</si>
  <si>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</si>
  <si>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</si>
  <si>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</si>
  <si>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</si>
  <si>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</si>
  <si>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</si>
  <si>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</si>
  <si>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</si>
  <si>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</si>
  <si>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</si>
  <si>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</si>
  <si>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</si>
  <si>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</si>
  <si>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</si>
  <si>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</si>
  <si>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</si>
  <si>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</si>
  <si>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</si>
  <si>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</si>
  <si>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</si>
  <si>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</si>
  <si>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</si>
  <si>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</si>
  <si>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</si>
  <si>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</si>
  <si>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</si>
  <si>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</si>
  <si>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</si>
  <si>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</si>
  <si>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</si>
  <si>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</si>
  <si>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</si>
  <si>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</si>
  <si>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</si>
  <si>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</si>
  <si>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</si>
  <si>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</si>
  <si>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</si>
  <si>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</si>
  <si>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</si>
  <si>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</si>
  <si>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</si>
  <si>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</si>
  <si>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</si>
  <si>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</si>
  <si>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</si>
  <si>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</si>
  <si>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</si>
  <si>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</si>
  <si>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</si>
  <si>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</si>
  <si>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</si>
  <si>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</si>
  <si>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</si>
  <si>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</si>
  <si>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</si>
  <si>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</si>
  <si>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</si>
  <si>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</si>
  <si>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</si>
  <si>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</si>
  <si>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</si>
  <si>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</si>
  <si>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</si>
  <si>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</si>
  <si>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</si>
  <si>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</si>
  <si>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</si>
  <si>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</si>
  <si>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</si>
  <si>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</si>
  <si>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BUF</t>
  </si>
  <si>
    <t>JAX</t>
  </si>
  <si>
    <t>DAL</t>
  </si>
  <si>
    <t>PHI</t>
  </si>
  <si>
    <t>KC</t>
  </si>
  <si>
    <t>HOU</t>
  </si>
  <si>
    <t>LAR</t>
  </si>
  <si>
    <t>SF</t>
  </si>
  <si>
    <t xml:space="preserve">Playoffs </t>
  </si>
  <si>
    <t>Congrats on the 8 players to reach playoffs</t>
  </si>
  <si>
    <t>Update this number each week (1-23)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</si>
</sst>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1" fillId="2"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11" borderId="1" xfId="0" applyFont="1" applyFill="1" applyBorder="1" applyAlignment="1">
      <alignment horizontal="center" vertical="center" wrapText="1"/>
    </xf>
    <xf numFmtId="0" fontId="10" fillId="23"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tabSelected="1" zoomScaleNormal="100" workbookViewId="0">
      <selection activeCell="N24" sqref="N24"/>
    </sheetView>
  </sheetViews>
  <sheetFormatPr defaultColWidth="8.7109375" defaultRowHeight="15" x14ac:dyDescent="0.25"/>
  <cols>
    <col min="1"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17</v>
      </c>
    </row>
    <row r="21" spans="1:4" ht="15" customHeight="1" x14ac:dyDescent="0.25">
      <c r="A21" s="6" t="s">
        <v>288</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2" t="s">
        <v>34</v>
      </c>
      <c r="B1" s="72"/>
      <c r="C1" s="72"/>
      <c r="D1" s="72"/>
      <c r="E1" s="72"/>
      <c r="F1" s="72"/>
    </row>
    <row r="2" spans="1:6" ht="15" customHeight="1" x14ac:dyDescent="0.25">
      <c r="A2" s="71" t="s">
        <v>35</v>
      </c>
      <c r="B2" s="71"/>
      <c r="C2" s="71"/>
      <c r="D2" s="71"/>
      <c r="E2" s="71"/>
      <c r="F2" s="71"/>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1" t="s">
        <v>40</v>
      </c>
      <c r="B13" s="71"/>
      <c r="C13" s="71"/>
      <c r="D13" s="71"/>
      <c r="E13" s="71"/>
      <c r="F13" s="71"/>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1" t="s">
        <v>41</v>
      </c>
      <c r="B24" s="71"/>
      <c r="C24" s="71"/>
      <c r="D24" s="71"/>
      <c r="E24" s="71"/>
      <c r="F24" s="71"/>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1" t="s">
        <v>42</v>
      </c>
      <c r="B35" s="71"/>
      <c r="C35" s="71"/>
      <c r="D35" s="71"/>
      <c r="E35" s="71"/>
      <c r="F35" s="71"/>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1" t="s">
        <v>43</v>
      </c>
      <c r="B46" s="71"/>
      <c r="C46" s="71"/>
      <c r="D46" s="71"/>
      <c r="E46" s="71"/>
      <c r="F46" s="71"/>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1" t="s">
        <v>44</v>
      </c>
      <c r="B57" s="71"/>
      <c r="C57" s="71"/>
      <c r="D57" s="71"/>
      <c r="E57" s="71"/>
      <c r="F57" s="71"/>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2" t="s">
        <v>45</v>
      </c>
      <c r="B68" s="72"/>
      <c r="C68" s="72"/>
      <c r="D68" s="72"/>
      <c r="E68" s="72"/>
      <c r="F68" s="72"/>
    </row>
    <row r="69" spans="1:6" ht="15" customHeight="1" x14ac:dyDescent="0.25">
      <c r="A69" s="71" t="s">
        <v>46</v>
      </c>
      <c r="B69" s="71"/>
      <c r="C69" s="71"/>
      <c r="D69" s="71"/>
      <c r="E69" s="71"/>
      <c r="F69" s="71"/>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1" t="s">
        <v>47</v>
      </c>
      <c r="B80" s="71"/>
      <c r="C80" s="71"/>
      <c r="D80" s="71"/>
      <c r="E80" s="71"/>
      <c r="F80" s="71"/>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1" t="s">
        <v>48</v>
      </c>
      <c r="B91" s="71"/>
      <c r="C91" s="71"/>
      <c r="D91" s="71"/>
      <c r="E91" s="71"/>
      <c r="F91" s="71"/>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1" t="s">
        <v>49</v>
      </c>
      <c r="B102" s="71"/>
      <c r="C102" s="71"/>
      <c r="D102" s="71"/>
      <c r="E102" s="71"/>
      <c r="F102" s="71"/>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1" t="s">
        <v>50</v>
      </c>
      <c r="B113" s="71"/>
      <c r="C113" s="71"/>
      <c r="D113" s="71"/>
      <c r="E113" s="71"/>
      <c r="F113" s="71"/>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1" t="s">
        <v>51</v>
      </c>
      <c r="B124" s="71"/>
      <c r="C124" s="71"/>
      <c r="D124" s="71"/>
      <c r="E124" s="71"/>
      <c r="F124" s="71"/>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2" t="s">
        <v>52</v>
      </c>
      <c r="B135" s="72"/>
      <c r="C135" s="72"/>
      <c r="D135" s="72"/>
      <c r="E135" s="72"/>
      <c r="F135" s="72"/>
    </row>
    <row r="136" spans="1:6" ht="15" customHeight="1" x14ac:dyDescent="0.25">
      <c r="A136" s="71" t="s">
        <v>53</v>
      </c>
      <c r="B136" s="71"/>
      <c r="C136" s="71"/>
      <c r="D136" s="71"/>
      <c r="E136" s="71"/>
      <c r="F136" s="71"/>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1" t="s">
        <v>54</v>
      </c>
      <c r="B147" s="71"/>
      <c r="C147" s="71"/>
      <c r="D147" s="71"/>
      <c r="E147" s="71"/>
      <c r="F147" s="71"/>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1" t="s">
        <v>55</v>
      </c>
      <c r="B158" s="71"/>
      <c r="C158" s="71"/>
      <c r="D158" s="71"/>
      <c r="E158" s="71"/>
      <c r="F158" s="71"/>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1" t="s">
        <v>56</v>
      </c>
      <c r="B169" s="71"/>
      <c r="C169" s="71"/>
      <c r="D169" s="71"/>
      <c r="E169" s="71"/>
      <c r="F169" s="71"/>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1" t="s">
        <v>57</v>
      </c>
      <c r="B180" s="71"/>
      <c r="C180" s="71"/>
      <c r="D180" s="71"/>
      <c r="E180" s="71"/>
      <c r="F180" s="71"/>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1" t="s">
        <v>58</v>
      </c>
      <c r="B191" s="71"/>
      <c r="C191" s="71"/>
      <c r="D191" s="71"/>
      <c r="E191" s="71"/>
      <c r="F191" s="71"/>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F1"/>
    <mergeCell ref="A2:F2"/>
    <mergeCell ref="A13:F13"/>
    <mergeCell ref="A24:F24"/>
    <mergeCell ref="A35:F35"/>
    <mergeCell ref="A46:F46"/>
    <mergeCell ref="A57:F57"/>
    <mergeCell ref="A68:F68"/>
    <mergeCell ref="A69:F69"/>
    <mergeCell ref="A80:F80"/>
    <mergeCell ref="A91:F91"/>
    <mergeCell ref="A102:F102"/>
    <mergeCell ref="A113:F113"/>
    <mergeCell ref="A124:F124"/>
    <mergeCell ref="A135:F135"/>
    <mergeCell ref="A191:F191"/>
    <mergeCell ref="A136:F136"/>
    <mergeCell ref="A147:F147"/>
    <mergeCell ref="A158:F158"/>
    <mergeCell ref="A169:F169"/>
    <mergeCell ref="A180:F18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topLeftCell="A81" zoomScaleNormal="100" workbookViewId="0">
      <selection activeCell="O12" sqref="O12"/>
    </sheetView>
  </sheetViews>
  <sheetFormatPr defaultColWidth="8.7109375" defaultRowHeight="15" x14ac:dyDescent="0.25"/>
  <cols>
    <col min="1" max="9" width="15" customWidth="1"/>
  </cols>
  <sheetData>
    <row r="1" spans="1:9" ht="17.25" customHeight="1" x14ac:dyDescent="0.25">
      <c r="A1" s="70" t="s">
        <v>59</v>
      </c>
      <c r="B1" s="70"/>
      <c r="C1" s="70"/>
      <c r="D1" s="70"/>
      <c r="E1" s="70"/>
      <c r="F1" s="70"/>
      <c r="G1" s="70"/>
      <c r="H1" s="70"/>
      <c r="I1" s="70"/>
    </row>
    <row r="2" spans="1:9" ht="15" customHeight="1" x14ac:dyDescent="0.25">
      <c r="A2" s="11" t="s">
        <v>60</v>
      </c>
    </row>
    <row r="4" spans="1:9" ht="15" customHeight="1" x14ac:dyDescent="0.25">
      <c r="A4" s="73" t="s">
        <v>61</v>
      </c>
      <c r="B4" s="73"/>
      <c r="C4" s="73"/>
      <c r="D4" s="73"/>
      <c r="E4" s="73"/>
      <c r="F4" s="73"/>
      <c r="G4" s="73"/>
      <c r="H4" s="73"/>
      <c r="I4" s="73"/>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3" t="s">
        <v>69</v>
      </c>
      <c r="B23" s="73"/>
      <c r="C23" s="73"/>
      <c r="D23" s="73"/>
      <c r="E23" s="73"/>
      <c r="F23" s="73"/>
      <c r="G23" s="73"/>
      <c r="H23" s="73"/>
      <c r="I23" s="73"/>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3" t="s">
        <v>70</v>
      </c>
      <c r="B42" s="73"/>
      <c r="C42" s="73"/>
      <c r="D42" s="73"/>
      <c r="E42" s="73"/>
      <c r="F42" s="73"/>
      <c r="G42" s="73"/>
      <c r="H42" s="73"/>
      <c r="I42" s="73"/>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3" t="s">
        <v>71</v>
      </c>
      <c r="B61" s="73"/>
      <c r="C61" s="73"/>
      <c r="D61" s="73"/>
      <c r="E61" s="73"/>
      <c r="F61" s="73"/>
      <c r="G61" s="73"/>
      <c r="H61" s="73"/>
      <c r="I61" s="73"/>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3" t="s">
        <v>72</v>
      </c>
      <c r="B80" s="73"/>
      <c r="C80" s="73"/>
      <c r="D80" s="73"/>
      <c r="E80" s="73"/>
      <c r="F80" s="73"/>
      <c r="G80" s="73"/>
      <c r="H80" s="73"/>
      <c r="I80" s="73"/>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3" t="s">
        <v>73</v>
      </c>
      <c r="B99" s="73"/>
      <c r="C99" s="73"/>
      <c r="D99" s="73"/>
      <c r="E99" s="73"/>
      <c r="F99" s="73"/>
      <c r="G99" s="73"/>
      <c r="H99" s="73"/>
      <c r="I99" s="73"/>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topLeftCell="A99" zoomScaleNormal="100" workbookViewId="0">
      <selection activeCell="O128" sqref="O128"/>
    </sheetView>
  </sheetViews>
  <sheetFormatPr defaultColWidth="8.7109375" defaultRowHeight="15" x14ac:dyDescent="0.25"/>
  <cols>
    <col min="1" max="9" width="15" customWidth="1"/>
  </cols>
  <sheetData>
    <row r="1" spans="1:9" ht="17.25" customHeight="1" x14ac:dyDescent="0.25">
      <c r="A1" s="70" t="s">
        <v>74</v>
      </c>
      <c r="B1" s="70"/>
      <c r="C1" s="70"/>
      <c r="D1" s="70"/>
      <c r="E1" s="70"/>
      <c r="F1" s="70"/>
      <c r="G1" s="70"/>
      <c r="H1" s="70"/>
      <c r="I1" s="70"/>
    </row>
    <row r="2" spans="1:9" ht="15" customHeight="1" x14ac:dyDescent="0.25">
      <c r="A2" s="11" t="s">
        <v>75</v>
      </c>
    </row>
    <row r="4" spans="1:9" ht="15" customHeight="1" x14ac:dyDescent="0.25">
      <c r="A4" s="73" t="s">
        <v>76</v>
      </c>
      <c r="B4" s="73"/>
      <c r="C4" s="73"/>
      <c r="D4" s="73"/>
      <c r="E4" s="73"/>
      <c r="F4" s="73"/>
      <c r="G4" s="73"/>
      <c r="H4" s="73"/>
      <c r="I4" s="73"/>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3" t="s">
        <v>79</v>
      </c>
      <c r="B23" s="73"/>
      <c r="C23" s="73"/>
      <c r="D23" s="73"/>
      <c r="E23" s="73"/>
      <c r="F23" s="73"/>
      <c r="G23" s="73"/>
      <c r="H23" s="73"/>
      <c r="I23" s="73"/>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3" t="s">
        <v>80</v>
      </c>
      <c r="B42" s="73"/>
      <c r="C42" s="73"/>
      <c r="D42" s="73"/>
      <c r="E42" s="73"/>
      <c r="F42" s="73"/>
      <c r="G42" s="73"/>
      <c r="H42" s="73"/>
      <c r="I42" s="73"/>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3" t="s">
        <v>81</v>
      </c>
      <c r="B61" s="73"/>
      <c r="C61" s="73"/>
      <c r="D61" s="73"/>
      <c r="E61" s="73"/>
      <c r="F61" s="73"/>
      <c r="G61" s="73"/>
      <c r="H61" s="73"/>
      <c r="I61" s="73"/>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3" t="s">
        <v>82</v>
      </c>
      <c r="B80" s="73"/>
      <c r="C80" s="73"/>
      <c r="D80" s="73"/>
      <c r="E80" s="73"/>
      <c r="F80" s="73"/>
      <c r="G80" s="73"/>
      <c r="H80" s="73"/>
      <c r="I80" s="73"/>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3" t="s">
        <v>83</v>
      </c>
      <c r="B99" s="73"/>
      <c r="C99" s="73"/>
      <c r="D99" s="73"/>
      <c r="E99" s="73"/>
      <c r="F99" s="73"/>
      <c r="G99" s="73"/>
      <c r="H99" s="73"/>
      <c r="I99" s="73"/>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topLeftCell="A18" zoomScaleNormal="100" workbookViewId="0">
      <selection activeCell="K27" sqref="K27"/>
    </sheetView>
  </sheetViews>
  <sheetFormatPr defaultColWidth="8.7109375" defaultRowHeight="15" x14ac:dyDescent="0.25"/>
  <cols>
    <col min="1" max="9" width="15" customWidth="1"/>
  </cols>
  <sheetData>
    <row r="1" spans="1:9" ht="17.25" customHeight="1" x14ac:dyDescent="0.25">
      <c r="A1" s="70" t="s">
        <v>84</v>
      </c>
      <c r="B1" s="70"/>
      <c r="C1" s="70"/>
      <c r="D1" s="70"/>
      <c r="E1" s="70"/>
      <c r="F1" s="70"/>
      <c r="G1" s="70"/>
      <c r="H1" s="70"/>
      <c r="I1" s="70"/>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v>5</v>
      </c>
      <c r="D25" s="9">
        <v>3</v>
      </c>
      <c r="E25" s="9">
        <f>C27</f>
        <v>0</v>
      </c>
      <c r="F25" s="2" t="str">
        <f t="shared" ref="F25:F40" si="4">IF(AND(C25=0,E25=0),"-",IF(C25&gt;E25,"W",IF(C25&lt;E25,"L","T")))</f>
        <v>W</v>
      </c>
      <c r="G25" s="2">
        <f t="shared" ref="G25:G40" si="5">IF(F25="W",1,IF(F25="T",0.5,0))</f>
        <v>1</v>
      </c>
      <c r="H25" s="2">
        <f t="shared" ref="H25:H40" si="6">IF(F25="L",1,IF(F25="T",0.5,0))</f>
        <v>0</v>
      </c>
      <c r="I25" s="2">
        <f t="shared" ref="I25:I40" si="7">C25</f>
        <v>5</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5</v>
      </c>
      <c r="F27" s="2" t="str">
        <f t="shared" si="4"/>
        <v>L</v>
      </c>
      <c r="G27" s="2">
        <f t="shared" si="5"/>
        <v>0</v>
      </c>
      <c r="H27" s="2">
        <f t="shared" si="6"/>
        <v>1</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157</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6" t="s">
        <v>158</v>
      </c>
      <c r="B3" s="76"/>
      <c r="C3" s="76"/>
      <c r="D3" s="76"/>
      <c r="E3" s="76"/>
      <c r="F3" s="76"/>
      <c r="G3" s="76"/>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v>
      </c>
      <c r="C5" s="35" t="s">
        <v>145</v>
      </c>
      <c r="D5" s="2" t="s">
        <v>166</v>
      </c>
      <c r="E5" s="36" t="str">
        <f>B5</f>
        <v>Player 1</v>
      </c>
      <c r="F5" s="37" t="s">
        <v>167</v>
      </c>
      <c r="G5" s="32"/>
      <c r="H5" s="32"/>
      <c r="I5" s="32"/>
      <c r="J5" s="32"/>
    </row>
    <row r="6" spans="1:10" ht="15" customHeight="1" x14ac:dyDescent="0.25">
      <c r="A6" s="33" t="s">
        <v>168</v>
      </c>
      <c r="B6" s="34" t="str">
        <f>INDEX(Helper!$B$2:$B$17,MATCH(LARGE(Helper!$AJ$2:$AJ$17,1),Helper!$AJ$2:$AJ$17,0))</f>
        <v>Player 16</v>
      </c>
      <c r="C6" s="35" t="s">
        <v>145</v>
      </c>
      <c r="D6" s="2" t="s">
        <v>169</v>
      </c>
      <c r="E6" s="36" t="str">
        <f>IF(COUNTIF($E$5:$E$5,B6)&gt;0,IF(COUNTIF($E$5:$E$5,INDEX(Helper!$B$2:$B$17,MATCH(LARGE(Helper!$AJ$2:$AJ$17,2),Helper!$AJ$2:$AJ$17,0)))&gt;0,INDEX(Helper!$B$2:$B$17,MATCH(LARGE(Helper!$AJ$2:$AJ$17,3),Helper!$AJ$2:$AJ$17,0)),INDEX(Helper!$B$2:$B$17,MATCH(LARGE(Helper!$AJ$2:$AJ$17,2),Helper!$AJ$2:$AJ$17,0))),B6)</f>
        <v>Player 16</v>
      </c>
      <c r="F6" s="37" t="str">
        <f>IF(B6=E6,"QUALIFIED","PASS → "&amp;E6)</f>
        <v>QUALIFIED</v>
      </c>
      <c r="G6" s="32"/>
      <c r="H6" s="32"/>
      <c r="I6" s="32"/>
      <c r="J6" s="32"/>
    </row>
    <row r="7" spans="1:10" ht="15" customHeight="1" x14ac:dyDescent="0.25">
      <c r="A7" s="38" t="s">
        <v>170</v>
      </c>
      <c r="B7" s="34" t="str">
        <f>INDEX(Helper!$B$2:$B$5,MATCH(LARGE(Helper!$AL$2:$AL$5,1),Helper!$AL$2:$AL$5,0))</f>
        <v>Player 1</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PASS → Player 4</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15</v>
      </c>
      <c r="F10" s="37" t="str">
        <f>IF(B10=E10,"QUALIFIED","PASS → "&amp;E10)</f>
        <v>PASS → Player 15</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77" t="s">
        <v>175</v>
      </c>
      <c r="B12" s="77"/>
      <c r="C12" s="77"/>
      <c r="D12" s="77"/>
      <c r="E12" s="77"/>
      <c r="F12" s="77"/>
      <c r="G12" s="77"/>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14</v>
      </c>
      <c r="C14" s="2">
        <f>INDEX(Helper!$AE$2:$AE$17,MATCH(LARGE(Helper!$AO$2:$AO$17,1),Helper!$AO$2:$AO$17,0))</f>
        <v>0</v>
      </c>
      <c r="D14" s="2" t="s">
        <v>178</v>
      </c>
      <c r="E14" s="40"/>
      <c r="F14" s="32"/>
      <c r="G14" s="32"/>
      <c r="H14" s="32"/>
      <c r="I14" s="32"/>
      <c r="J14" s="32"/>
    </row>
    <row r="15" spans="1:10" ht="25.5" customHeight="1" x14ac:dyDescent="0.25">
      <c r="A15" s="1" t="s">
        <v>179</v>
      </c>
      <c r="B15" s="42" t="str">
        <f>INDEX(Helper!$B$2:$B$17,MATCH(LARGE(Helper!$AO$2:$AO$17,2),Helper!$AO$2:$AO$17,0))</f>
        <v>Player 13</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8" t="s">
        <v>180</v>
      </c>
      <c r="B17" s="78"/>
      <c r="C17" s="78"/>
      <c r="D17" s="78"/>
      <c r="E17" s="78"/>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v>
      </c>
      <c r="C19" s="2" t="s">
        <v>166</v>
      </c>
      <c r="D19" s="40"/>
      <c r="E19" s="40"/>
      <c r="F19" s="32"/>
      <c r="G19" s="32"/>
      <c r="H19" s="32"/>
      <c r="I19" s="32"/>
      <c r="J19" s="32"/>
    </row>
    <row r="20" spans="1:10" ht="23.25" customHeight="1" x14ac:dyDescent="0.25">
      <c r="A20" s="2">
        <v>2</v>
      </c>
      <c r="B20" s="44" t="str">
        <f t="shared" si="0"/>
        <v>Player 16</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15</v>
      </c>
      <c r="C24" s="2" t="s">
        <v>185</v>
      </c>
      <c r="D24" s="32"/>
      <c r="E24" s="32"/>
      <c r="F24" s="32"/>
      <c r="G24" s="32"/>
      <c r="H24" s="32"/>
      <c r="I24" s="32"/>
      <c r="J24" s="32"/>
    </row>
    <row r="25" spans="1:10" ht="15" customHeight="1" x14ac:dyDescent="0.25">
      <c r="A25" s="2">
        <v>7</v>
      </c>
      <c r="B25" s="44" t="str">
        <f>B14</f>
        <v>Player 14</v>
      </c>
      <c r="C25" s="2" t="s">
        <v>177</v>
      </c>
      <c r="D25" s="32"/>
      <c r="E25" s="32"/>
      <c r="F25" s="32"/>
      <c r="G25" s="32"/>
      <c r="H25" s="32"/>
      <c r="I25" s="32"/>
      <c r="J25" s="32"/>
    </row>
    <row r="26" spans="1:10" ht="15" customHeight="1" x14ac:dyDescent="0.25">
      <c r="A26" s="2">
        <v>8</v>
      </c>
      <c r="B26" s="44" t="str">
        <f>B15</f>
        <v>Player 13</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6" t="s">
        <v>186</v>
      </c>
      <c r="B28" s="76"/>
      <c r="C28" s="76"/>
      <c r="D28" s="76"/>
      <c r="E28" s="76"/>
      <c r="F28" s="76"/>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10</v>
      </c>
      <c r="E30" s="46">
        <f>IF(B30='Playoff Finals'!B13,200,IF(B30='Playoff Finals'!B14,75,IF(B30='Playoff Finals'!B15,35,0)))</f>
        <v>0</v>
      </c>
      <c r="F30" s="47">
        <f t="shared" ref="F30:F45" si="3">C30+D30+E30</f>
        <v>35</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0</v>
      </c>
      <c r="E33" s="46">
        <f>IF(B33='Playoff Finals'!B13,200,IF(B33='Playoff Finals'!B14,75,IF(B33='Playoff Finals'!B15,35,0)))</f>
        <v>75</v>
      </c>
      <c r="F33" s="47">
        <f t="shared" si="3"/>
        <v>75</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200</v>
      </c>
      <c r="F37" s="47">
        <f t="shared" si="3"/>
        <v>210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0</v>
      </c>
      <c r="F41" s="47">
        <f t="shared" si="3"/>
        <v>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25</v>
      </c>
      <c r="D45" s="46">
        <f t="shared" si="2"/>
        <v>10</v>
      </c>
      <c r="E45" s="46">
        <f>IF(B45='Playoff Finals'!B13,200,IF(B45='Playoff Finals'!B14,75,IF(B45='Playoff Finals'!B15,35,0)))</f>
        <v>35</v>
      </c>
      <c r="F45" s="47">
        <f t="shared" si="3"/>
        <v>70</v>
      </c>
      <c r="G45" s="32"/>
      <c r="H45" s="32"/>
      <c r="I45" s="32"/>
      <c r="J45" s="32"/>
    </row>
    <row r="46" spans="1:10" ht="15" customHeight="1" x14ac:dyDescent="0.25">
      <c r="A46" s="75" t="s">
        <v>191</v>
      </c>
      <c r="B46" s="7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I27" sqref="I27"/>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9" t="s">
        <v>192</v>
      </c>
      <c r="B1" s="79"/>
      <c r="C1" s="79"/>
      <c r="D1" s="79"/>
      <c r="E1" s="79"/>
      <c r="F1" s="79"/>
      <c r="G1" s="79"/>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v>
      </c>
      <c r="C5" s="14">
        <v>0</v>
      </c>
      <c r="D5" s="51">
        <f t="shared" ref="D5:D12" si="0">C5+A5*0.001</f>
        <v>1E-3</v>
      </c>
      <c r="E5" s="14">
        <v>6</v>
      </c>
      <c r="F5" s="14">
        <v>0</v>
      </c>
      <c r="G5" s="14">
        <v>0</v>
      </c>
      <c r="H5" s="51">
        <f t="shared" ref="H5:H12" si="1">C5*10000000+(100-E5)*100000+F5*1000+G5*10+A5*0.001</f>
        <v>9400000.0010000002</v>
      </c>
    </row>
    <row r="6" spans="1:8" ht="15" customHeight="1" x14ac:dyDescent="0.25">
      <c r="A6" s="2">
        <v>2</v>
      </c>
      <c r="B6" s="45" t="str">
        <f>'Playoff Picture'!B20</f>
        <v>Player 16</v>
      </c>
      <c r="C6" s="14">
        <v>0</v>
      </c>
      <c r="D6" s="51">
        <f t="shared" si="0"/>
        <v>2E-3</v>
      </c>
      <c r="E6" s="14">
        <v>2</v>
      </c>
      <c r="F6" s="14">
        <v>0</v>
      </c>
      <c r="G6" s="14">
        <v>0</v>
      </c>
      <c r="H6" s="51">
        <f t="shared" si="1"/>
        <v>9800000.0020000003</v>
      </c>
    </row>
    <row r="7" spans="1:8" ht="15" customHeight="1" x14ac:dyDescent="0.25">
      <c r="A7" s="2">
        <v>3</v>
      </c>
      <c r="B7" s="45" t="str">
        <f>'Playoff Picture'!B21</f>
        <v>Player 4</v>
      </c>
      <c r="C7" s="14">
        <v>0</v>
      </c>
      <c r="D7" s="51">
        <f t="shared" si="0"/>
        <v>3.0000000000000001E-3</v>
      </c>
      <c r="E7" s="14">
        <v>3</v>
      </c>
      <c r="F7" s="14">
        <v>0</v>
      </c>
      <c r="G7" s="14">
        <v>0</v>
      </c>
      <c r="H7" s="51">
        <f t="shared" si="1"/>
        <v>9700000.0030000005</v>
      </c>
    </row>
    <row r="8" spans="1:8" ht="15" customHeight="1" x14ac:dyDescent="0.25">
      <c r="A8" s="2">
        <v>4</v>
      </c>
      <c r="B8" s="45" t="str">
        <f>'Playoff Picture'!B22</f>
        <v>Player 8</v>
      </c>
      <c r="C8" s="14">
        <v>0</v>
      </c>
      <c r="D8" s="51">
        <f t="shared" si="0"/>
        <v>4.0000000000000001E-3</v>
      </c>
      <c r="E8" s="14">
        <v>4</v>
      </c>
      <c r="F8" s="14">
        <v>0</v>
      </c>
      <c r="G8" s="14">
        <v>0</v>
      </c>
      <c r="H8" s="51">
        <f t="shared" si="1"/>
        <v>9600000.0040000007</v>
      </c>
    </row>
    <row r="9" spans="1:8" ht="15" customHeight="1" x14ac:dyDescent="0.25">
      <c r="A9" s="2">
        <v>5</v>
      </c>
      <c r="B9" s="45" t="str">
        <f>'Playoff Picture'!B23</f>
        <v>Player 12</v>
      </c>
      <c r="C9" s="14">
        <v>0</v>
      </c>
      <c r="D9" s="51">
        <f t="shared" si="0"/>
        <v>5.0000000000000001E-3</v>
      </c>
      <c r="E9" s="14">
        <v>1</v>
      </c>
      <c r="F9" s="14">
        <v>0</v>
      </c>
      <c r="G9" s="14">
        <v>0</v>
      </c>
      <c r="H9" s="51">
        <f t="shared" si="1"/>
        <v>9900000.0050000008</v>
      </c>
    </row>
    <row r="10" spans="1:8" ht="15" customHeight="1" x14ac:dyDescent="0.25">
      <c r="A10" s="2">
        <v>6</v>
      </c>
      <c r="B10" s="45" t="str">
        <f>'Playoff Picture'!B24</f>
        <v>Player 15</v>
      </c>
      <c r="C10" s="14">
        <v>0</v>
      </c>
      <c r="D10" s="51">
        <f t="shared" si="0"/>
        <v>6.0000000000000001E-3</v>
      </c>
      <c r="E10" s="14">
        <v>5</v>
      </c>
      <c r="F10" s="14">
        <v>0</v>
      </c>
      <c r="G10" s="14">
        <v>0</v>
      </c>
      <c r="H10" s="51">
        <f t="shared" si="1"/>
        <v>9500000.0059999991</v>
      </c>
    </row>
    <row r="11" spans="1:8" ht="15" customHeight="1" x14ac:dyDescent="0.25">
      <c r="A11" s="2">
        <v>7</v>
      </c>
      <c r="B11" s="45" t="str">
        <f>'Playoff Picture'!B25</f>
        <v>Player 14</v>
      </c>
      <c r="C11" s="14">
        <v>0</v>
      </c>
      <c r="D11" s="51">
        <f t="shared" si="0"/>
        <v>7.0000000000000001E-3</v>
      </c>
      <c r="E11" s="14">
        <v>7</v>
      </c>
      <c r="F11" s="14">
        <v>0</v>
      </c>
      <c r="G11" s="14">
        <v>0</v>
      </c>
      <c r="H11" s="51">
        <f t="shared" si="1"/>
        <v>9300000.0069999993</v>
      </c>
    </row>
    <row r="12" spans="1:8" ht="15" customHeight="1" x14ac:dyDescent="0.25">
      <c r="A12" s="2">
        <v>8</v>
      </c>
      <c r="B12" s="45" t="str">
        <f>'Playoff Picture'!B26</f>
        <v>Player 13</v>
      </c>
      <c r="C12" s="14">
        <v>0</v>
      </c>
      <c r="D12" s="51">
        <f t="shared" si="0"/>
        <v>8.0000000000000002E-3</v>
      </c>
      <c r="E12" s="14">
        <v>8</v>
      </c>
      <c r="F12" s="14">
        <v>0</v>
      </c>
      <c r="G12" s="14">
        <v>0</v>
      </c>
      <c r="H12" s="51">
        <f t="shared" si="1"/>
        <v>9200000.0079999994</v>
      </c>
    </row>
    <row r="14" spans="1:8" ht="15" customHeight="1" x14ac:dyDescent="0.25">
      <c r="A14" s="78" t="s">
        <v>199</v>
      </c>
      <c r="B14" s="78"/>
      <c r="C14" s="78"/>
      <c r="D14" s="78"/>
      <c r="E14" s="78"/>
      <c r="F14" s="78"/>
      <c r="G14" s="78"/>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12</v>
      </c>
      <c r="C16" s="2">
        <f>INDEX($C$5:$C$12,MATCH(LARGE($H$5:$H$12,1),$H$5:$H$12,0))</f>
        <v>0</v>
      </c>
      <c r="D16" s="2"/>
      <c r="E16" s="36" t="s">
        <v>200</v>
      </c>
    </row>
    <row r="17" spans="1:5" ht="15" customHeight="1" x14ac:dyDescent="0.25">
      <c r="A17" s="44">
        <v>2</v>
      </c>
      <c r="B17" s="44" t="str">
        <f>INDEX($B$5:$B$12,MATCH(LARGE($H$5:$H$12,2),$H$5:$H$12,0))</f>
        <v>Player 16</v>
      </c>
      <c r="C17" s="2">
        <f>INDEX($C$5:$C$12,MATCH(LARGE($H$5:$H$12,2),$H$5:$H$12,0))</f>
        <v>0</v>
      </c>
      <c r="D17" s="2"/>
      <c r="E17" s="36" t="s">
        <v>200</v>
      </c>
    </row>
    <row r="18" spans="1:5" ht="15" customHeight="1" x14ac:dyDescent="0.25">
      <c r="A18" s="44">
        <v>3</v>
      </c>
      <c r="B18" s="44" t="str">
        <f>INDEX($B$5:$B$12,MATCH(LARGE($H$5:$H$12,3),$H$5:$H$12,0))</f>
        <v>Player 4</v>
      </c>
      <c r="C18" s="2">
        <f>INDEX($C$5:$C$12,MATCH(LARGE($H$5:$H$12,3),$H$5:$H$12,0))</f>
        <v>0</v>
      </c>
      <c r="D18" s="2"/>
      <c r="E18" s="36" t="s">
        <v>200</v>
      </c>
    </row>
    <row r="19" spans="1:5" ht="15" customHeight="1" x14ac:dyDescent="0.25">
      <c r="A19" s="44">
        <v>4</v>
      </c>
      <c r="B19" s="44" t="str">
        <f>INDEX($B$5:$B$12,MATCH(LARGE($H$5:$H$12,4),$H$5:$H$12,0))</f>
        <v>Player 8</v>
      </c>
      <c r="C19" s="2">
        <f>INDEX($C$5:$C$12,MATCH(LARGE($H$5:$H$12,4),$H$5:$H$12,0))</f>
        <v>0</v>
      </c>
      <c r="D19" s="2"/>
      <c r="E19" s="36" t="s">
        <v>200</v>
      </c>
    </row>
    <row r="20" spans="1:5" ht="15" customHeight="1" x14ac:dyDescent="0.25">
      <c r="A20" s="44">
        <v>5</v>
      </c>
      <c r="B20" s="44" t="str">
        <f>INDEX($B$5:$B$12,MATCH(LARGE($H$5:$H$12,5),$H$5:$H$12,0))</f>
        <v>Player 15</v>
      </c>
      <c r="C20" s="2">
        <f>INDEX($C$5:$C$12,MATCH(LARGE($H$5:$H$12,5),$H$5:$H$12,0))</f>
        <v>0</v>
      </c>
      <c r="D20" s="2"/>
      <c r="E20" s="53" t="s">
        <v>201</v>
      </c>
    </row>
    <row r="21" spans="1:5" ht="15" customHeight="1" x14ac:dyDescent="0.25">
      <c r="A21" s="44">
        <v>6</v>
      </c>
      <c r="B21" s="44" t="str">
        <f>INDEX($B$5:$B$12,MATCH(LARGE($H$5:$H$12,6),$H$5:$H$12,0))</f>
        <v>Player 1</v>
      </c>
      <c r="C21" s="2">
        <f>INDEX($C$5:$C$12,MATCH(LARGE($H$5:$H$12,6),$H$5:$H$12,0))</f>
        <v>0</v>
      </c>
      <c r="D21" s="2"/>
      <c r="E21" s="53" t="s">
        <v>201</v>
      </c>
    </row>
    <row r="22" spans="1:5" ht="15" customHeight="1" x14ac:dyDescent="0.25">
      <c r="A22" s="44">
        <v>7</v>
      </c>
      <c r="B22" s="44" t="str">
        <f>INDEX($B$5:$B$12,MATCH(LARGE($H$5:$H$12,7),$H$5:$H$12,0))</f>
        <v>Player 14</v>
      </c>
      <c r="C22" s="2">
        <f>INDEX($C$5:$C$12,MATCH(LARGE($H$5:$H$12,7),$H$5:$H$12,0))</f>
        <v>0</v>
      </c>
      <c r="D22" s="2"/>
      <c r="E22" s="53" t="s">
        <v>201</v>
      </c>
    </row>
    <row r="23" spans="1:5" ht="15" customHeight="1" x14ac:dyDescent="0.25">
      <c r="A23" s="44">
        <v>8</v>
      </c>
      <c r="B23" s="44" t="str">
        <f>INDEX($B$5:$B$12,MATCH(LARGE($H$5:$H$12,8),$H$5:$H$12,0))</f>
        <v>Player 13</v>
      </c>
      <c r="C23" s="2">
        <f>INDEX($C$5:$C$12,MATCH(LARGE($H$5:$H$12,8),$H$5:$H$12,0))</f>
        <v>0</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B26" sqref="B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203</v>
      </c>
      <c r="B1" s="70"/>
      <c r="C1" s="70"/>
      <c r="D1" s="70"/>
      <c r="E1" s="70"/>
      <c r="F1" s="70"/>
      <c r="G1" s="70"/>
      <c r="H1" s="70"/>
    </row>
    <row r="2" spans="1:12" ht="15" customHeight="1" x14ac:dyDescent="0.25">
      <c r="A2" s="11" t="s">
        <v>204</v>
      </c>
    </row>
    <row r="4" spans="1:12" ht="15" customHeight="1" x14ac:dyDescent="0.25">
      <c r="A4" s="73" t="s">
        <v>205</v>
      </c>
      <c r="B4" s="73"/>
      <c r="C4" s="73"/>
      <c r="D4" s="73"/>
      <c r="E4" s="73"/>
      <c r="F4" s="73"/>
      <c r="G4" s="73"/>
      <c r="H4" s="73"/>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12</v>
      </c>
      <c r="B6" s="55">
        <f>'Playoff Wild Card'!C16</f>
        <v>0</v>
      </c>
      <c r="C6" s="14">
        <v>0</v>
      </c>
      <c r="D6" s="56">
        <f>C6*2</f>
        <v>0</v>
      </c>
      <c r="E6" s="14">
        <v>0</v>
      </c>
      <c r="F6" s="56">
        <f>E6*4</f>
        <v>0</v>
      </c>
      <c r="G6" s="14">
        <v>0</v>
      </c>
      <c r="H6" s="57">
        <f>G6*8</f>
        <v>0</v>
      </c>
      <c r="I6" s="58">
        <f>B6+D6+F6+H6</f>
        <v>0</v>
      </c>
      <c r="J6" s="59">
        <f>I6*10000000+(100-K6)*100000+(100-L6)*100+(ROW()-5)*0.001</f>
        <v>10010000.001</v>
      </c>
      <c r="K6" s="14"/>
      <c r="L6" s="2">
        <f>D22</f>
        <v>0</v>
      </c>
    </row>
    <row r="7" spans="1:12" ht="15" customHeight="1" x14ac:dyDescent="0.25">
      <c r="A7" s="54" t="str">
        <f>'Playoff Wild Card'!B17</f>
        <v>Player 16</v>
      </c>
      <c r="B7" s="55">
        <f>'Playoff Wild Card'!C17</f>
        <v>0</v>
      </c>
      <c r="C7" s="14">
        <v>0</v>
      </c>
      <c r="D7" s="56">
        <f>C7*2</f>
        <v>0</v>
      </c>
      <c r="E7" s="14">
        <v>0</v>
      </c>
      <c r="F7" s="56">
        <f>E7*4</f>
        <v>0</v>
      </c>
      <c r="G7" s="14">
        <v>0</v>
      </c>
      <c r="H7" s="57">
        <f>G7*8</f>
        <v>0</v>
      </c>
      <c r="I7" s="58">
        <f>B7+D7+F7+H7</f>
        <v>0</v>
      </c>
      <c r="J7" s="59">
        <f>I7*10000000+(100-K7)*100000+(100-L7)*100+(ROW()-5)*0.001</f>
        <v>10010000.002</v>
      </c>
      <c r="K7" s="14"/>
      <c r="L7" s="2">
        <f>D23</f>
        <v>0</v>
      </c>
    </row>
    <row r="8" spans="1:12" ht="15" customHeight="1" x14ac:dyDescent="0.25">
      <c r="A8" s="54" t="str">
        <f>'Playoff Wild Card'!B18</f>
        <v>Player 4</v>
      </c>
      <c r="B8" s="55">
        <f>'Playoff Wild Card'!C18</f>
        <v>0</v>
      </c>
      <c r="C8" s="14">
        <v>0</v>
      </c>
      <c r="D8" s="56">
        <f>C8*2</f>
        <v>0</v>
      </c>
      <c r="E8" s="14">
        <v>0</v>
      </c>
      <c r="F8" s="56">
        <f>E8*4</f>
        <v>0</v>
      </c>
      <c r="G8" s="14">
        <v>0</v>
      </c>
      <c r="H8" s="57">
        <f>G8*8</f>
        <v>0</v>
      </c>
      <c r="I8" s="58">
        <f>B8+D8+F8+H8</f>
        <v>0</v>
      </c>
      <c r="J8" s="59">
        <f>I8*10000000+(100-K8)*100000+(100-L8)*100+(ROW()-5)*0.001</f>
        <v>10010000.003</v>
      </c>
      <c r="K8" s="14"/>
      <c r="L8" s="2">
        <f>D24</f>
        <v>0</v>
      </c>
    </row>
    <row r="9" spans="1:12" ht="15" customHeight="1" x14ac:dyDescent="0.25">
      <c r="A9" s="54" t="str">
        <f>'Playoff Wild Card'!B19</f>
        <v>Player 8</v>
      </c>
      <c r="B9" s="55">
        <f>'Playoff Wild Card'!C19</f>
        <v>0</v>
      </c>
      <c r="C9" s="14">
        <v>0</v>
      </c>
      <c r="D9" s="56">
        <f>C9*2</f>
        <v>0</v>
      </c>
      <c r="E9" s="14">
        <v>0</v>
      </c>
      <c r="F9" s="56">
        <f>E9*4</f>
        <v>0</v>
      </c>
      <c r="G9" s="14">
        <v>0</v>
      </c>
      <c r="H9" s="57">
        <f>G9*8</f>
        <v>0</v>
      </c>
      <c r="I9" s="58">
        <f>B9+D9+F9+H9</f>
        <v>0</v>
      </c>
      <c r="J9" s="59">
        <f>I9*10000000+(100-K9)*100000+(100-L9)*100+(ROW()-5)*0.001</f>
        <v>10010000.004000001</v>
      </c>
      <c r="K9" s="14"/>
      <c r="L9" s="2">
        <f>D25</f>
        <v>0</v>
      </c>
    </row>
    <row r="11" spans="1:12" ht="15" customHeight="1" x14ac:dyDescent="0.25">
      <c r="A11" s="76" t="s">
        <v>216</v>
      </c>
      <c r="B11" s="76"/>
      <c r="C11" s="76"/>
      <c r="D11" s="76"/>
      <c r="E11" s="76"/>
      <c r="F11" s="76"/>
      <c r="G11" s="76"/>
      <c r="H11" s="76"/>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8</v>
      </c>
      <c r="C13" s="2">
        <f>INDEX($B$6:$B$9,MATCH(LARGE($J$6:$J$9,1),$J$6:$J$9,0))</f>
        <v>0</v>
      </c>
      <c r="D13" s="2">
        <f>INDEX($D$6:$D$9,MATCH(LARGE($J$6:$J$9,1),$J$6:$J$9,0))</f>
        <v>0</v>
      </c>
      <c r="E13" s="2">
        <f>INDEX($F$6:$F$9,MATCH(LARGE($J$6:$J$9,1),$J$6:$J$9,0))</f>
        <v>0</v>
      </c>
      <c r="F13" s="57">
        <f>INDEX($H$6:$H$9,MATCH(LARGE($J$6:$J$9,1),$J$6:$J$9,0))</f>
        <v>0</v>
      </c>
      <c r="G13" s="58">
        <f>INDEX($I$6:$I$9,MATCH(LARGE($J$6:$J$9,1),$J$6:$J$9,0))</f>
        <v>0</v>
      </c>
      <c r="H13" s="61" t="s">
        <v>150</v>
      </c>
    </row>
    <row r="14" spans="1:12" ht="15" customHeight="1" x14ac:dyDescent="0.25">
      <c r="A14" s="62" t="s">
        <v>224</v>
      </c>
      <c r="B14" s="44" t="str">
        <f>INDEX($A$6:$A$9,MATCH(LARGE($J$6:$J$9,2),$J$6:$J$9,0))</f>
        <v>Player 4</v>
      </c>
      <c r="C14" s="2">
        <f>INDEX($B$6:$B$9,MATCH(LARGE($J$6:$J$9,2),$J$6:$J$9,0))</f>
        <v>0</v>
      </c>
      <c r="D14" s="2">
        <f>INDEX($D$6:$D$9,MATCH(LARGE($J$6:$J$9,2),$J$6:$J$9,0))</f>
        <v>0</v>
      </c>
      <c r="E14" s="2">
        <f>INDEX($F$6:$F$9,MATCH(LARGE($J$6:$J$9,2),$J$6:$J$9,0))</f>
        <v>0</v>
      </c>
      <c r="F14" s="57">
        <f>INDEX($H$6:$H$9,MATCH(LARGE($J$6:$J$9,2),$J$6:$J$9,0))</f>
        <v>0</v>
      </c>
      <c r="G14" s="58">
        <f>INDEX($I$6:$I$9,MATCH(LARGE($J$6:$J$9,2),$J$6:$J$9,0))</f>
        <v>0</v>
      </c>
      <c r="H14" s="61" t="s">
        <v>152</v>
      </c>
    </row>
    <row r="15" spans="1:12" ht="15" customHeight="1" x14ac:dyDescent="0.25">
      <c r="A15" s="63" t="s">
        <v>225</v>
      </c>
      <c r="B15" s="44" t="str">
        <f>INDEX($A$6:$A$9,MATCH(LARGE($J$6:$J$9,3),$J$6:$J$9,0))</f>
        <v>Player 16</v>
      </c>
      <c r="C15" s="2">
        <f>INDEX($B$6:$B$9,MATCH(LARGE($J$6:$J$9,3),$J$6:$J$9,0))</f>
        <v>0</v>
      </c>
      <c r="D15" s="2">
        <f>INDEX($D$6:$D$9,MATCH(LARGE($J$6:$J$9,3),$J$6:$J$9,0))</f>
        <v>0</v>
      </c>
      <c r="E15" s="2">
        <f>INDEX($F$6:$F$9,MATCH(LARGE($J$6:$J$9,3),$J$6:$J$9,0))</f>
        <v>0</v>
      </c>
      <c r="F15" s="57">
        <f>INDEX($H$6:$H$9,MATCH(LARGE($J$6:$J$9,3),$J$6:$J$9,0))</f>
        <v>0</v>
      </c>
      <c r="G15" s="58">
        <f>INDEX($I$6:$I$9,MATCH(LARGE($J$6:$J$9,3),$J$6:$J$9,0))</f>
        <v>0</v>
      </c>
      <c r="H15" s="61" t="s">
        <v>154</v>
      </c>
    </row>
    <row r="16" spans="1:12" ht="15" customHeight="1" x14ac:dyDescent="0.25">
      <c r="A16" s="64" t="s">
        <v>226</v>
      </c>
      <c r="B16" s="44" t="str">
        <f>INDEX($A$6:$A$9,MATCH(LARGE($J$6:$J$9,4),$J$6:$J$9,0))</f>
        <v>Player 12</v>
      </c>
      <c r="C16" s="2">
        <f>INDEX($B$6:$B$9,MATCH(LARGE($J$6:$J$9,4),$J$6:$J$9,0))</f>
        <v>0</v>
      </c>
      <c r="D16" s="2">
        <f>INDEX($D$6:$D$9,MATCH(LARGE($J$6:$J$9,4),$J$6:$J$9,0))</f>
        <v>0</v>
      </c>
      <c r="E16" s="2">
        <f>INDEX($F$6:$F$9,MATCH(LARGE($J$6:$J$9,4),$J$6:$J$9,0))</f>
        <v>0</v>
      </c>
      <c r="F16" s="57">
        <f>INDEX($H$6:$H$9,MATCH(LARGE($J$6:$J$9,4),$J$6:$J$9,0))</f>
        <v>0</v>
      </c>
      <c r="G16" s="58">
        <f>INDEX($I$6:$I$9,MATCH(LARGE($J$6:$J$9,4),$J$6:$J$9,0))</f>
        <v>0</v>
      </c>
      <c r="H16" s="61" t="s">
        <v>227</v>
      </c>
    </row>
    <row r="18" spans="1:4" ht="15" customHeight="1" x14ac:dyDescent="0.25">
      <c r="A18" s="11" t="s">
        <v>228</v>
      </c>
    </row>
    <row r="20" spans="1:4" ht="15" customHeight="1" x14ac:dyDescent="0.25">
      <c r="A20" s="78" t="s">
        <v>229</v>
      </c>
      <c r="B20" s="78"/>
      <c r="C20" s="78"/>
      <c r="D20" s="78"/>
    </row>
    <row r="21" spans="1:4" ht="21.75" customHeight="1" x14ac:dyDescent="0.25">
      <c r="A21" s="41" t="s">
        <v>106</v>
      </c>
      <c r="B21" s="41" t="s">
        <v>230</v>
      </c>
      <c r="C21" s="41" t="s">
        <v>231</v>
      </c>
      <c r="D21" s="41" t="s">
        <v>232</v>
      </c>
    </row>
    <row r="22" spans="1:4" ht="15" customHeight="1" x14ac:dyDescent="0.25">
      <c r="A22" s="45" t="str">
        <f>$A$6</f>
        <v>Player 12</v>
      </c>
      <c r="B22" s="14">
        <v>0</v>
      </c>
      <c r="C22" s="14"/>
      <c r="D22" s="44">
        <f>ABS(B22-C22)</f>
        <v>0</v>
      </c>
    </row>
    <row r="23" spans="1:4" ht="15" customHeight="1" x14ac:dyDescent="0.25">
      <c r="A23" s="45" t="str">
        <f>$A$7</f>
        <v>Player 16</v>
      </c>
      <c r="B23" s="14">
        <v>0</v>
      </c>
      <c r="C23" s="2">
        <f>C22</f>
        <v>0</v>
      </c>
      <c r="D23" s="44">
        <f>ABS(B23-C23)</f>
        <v>0</v>
      </c>
    </row>
    <row r="24" spans="1:4" ht="15" customHeight="1" x14ac:dyDescent="0.25">
      <c r="A24" s="45" t="str">
        <f>$A$8</f>
        <v>Player 4</v>
      </c>
      <c r="B24" s="14">
        <v>0</v>
      </c>
      <c r="C24" s="2">
        <f>C22</f>
        <v>0</v>
      </c>
      <c r="D24" s="44">
        <f>ABS(B24-C24)</f>
        <v>0</v>
      </c>
    </row>
    <row r="25" spans="1:4" ht="15" customHeight="1" x14ac:dyDescent="0.25">
      <c r="A25" s="45" t="str">
        <f>$A$9</f>
        <v>Player 8</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F18" sqref="F18"/>
    </sheetView>
  </sheetViews>
  <sheetFormatPr defaultColWidth="8.7109375" defaultRowHeight="15" x14ac:dyDescent="0.25"/>
  <cols>
    <col min="1" max="1" width="5" customWidth="1"/>
    <col min="2" max="3" width="14" customWidth="1"/>
  </cols>
  <sheetData>
    <row r="1" spans="1:3" ht="15.75" x14ac:dyDescent="0.25">
      <c r="A1" s="82" t="s">
        <v>95</v>
      </c>
      <c r="B1" s="82"/>
      <c r="C1" s="82"/>
    </row>
    <row r="2" spans="1:3" ht="23.85" customHeight="1" x14ac:dyDescent="0.25">
      <c r="A2" s="83" t="s">
        <v>96</v>
      </c>
      <c r="B2" s="83"/>
      <c r="C2" s="83"/>
    </row>
    <row r="3" spans="1:3" ht="37.35" customHeight="1" x14ac:dyDescent="0.25">
      <c r="A3" s="84" t="s">
        <v>97</v>
      </c>
      <c r="B3" s="84"/>
      <c r="C3" s="84"/>
    </row>
    <row r="5" spans="1:3" x14ac:dyDescent="0.25">
      <c r="A5" s="85" t="s">
        <v>98</v>
      </c>
      <c r="B5" s="85"/>
      <c r="C5" s="85"/>
    </row>
    <row r="6" spans="1:3" x14ac:dyDescent="0.25">
      <c r="A6" s="16" t="s">
        <v>36</v>
      </c>
      <c r="B6" s="16" t="s">
        <v>99</v>
      </c>
      <c r="C6" s="16" t="s">
        <v>100</v>
      </c>
    </row>
    <row r="7" spans="1:3" x14ac:dyDescent="0.25">
      <c r="A7" s="17">
        <v>1</v>
      </c>
      <c r="B7" s="18" t="s">
        <v>278</v>
      </c>
      <c r="C7" s="18" t="s">
        <v>279</v>
      </c>
    </row>
    <row r="8" spans="1:3" x14ac:dyDescent="0.25">
      <c r="A8" s="17">
        <v>2</v>
      </c>
      <c r="B8" s="18" t="s">
        <v>280</v>
      </c>
      <c r="C8" s="18" t="s">
        <v>281</v>
      </c>
    </row>
    <row r="9" spans="1:3" x14ac:dyDescent="0.25">
      <c r="A9" s="17">
        <v>3</v>
      </c>
      <c r="B9" s="18" t="s">
        <v>282</v>
      </c>
      <c r="C9" s="18" t="s">
        <v>283</v>
      </c>
    </row>
    <row r="10" spans="1:3" x14ac:dyDescent="0.25">
      <c r="A10" s="17">
        <v>4</v>
      </c>
      <c r="B10" s="18" t="s">
        <v>284</v>
      </c>
      <c r="C10" s="18" t="s">
        <v>285</v>
      </c>
    </row>
    <row r="11" spans="1:3" x14ac:dyDescent="0.25">
      <c r="A11" s="17">
        <v>5</v>
      </c>
      <c r="B11" s="18"/>
      <c r="C11" s="18"/>
    </row>
    <row r="12" spans="1:3" x14ac:dyDescent="0.25">
      <c r="A12" s="17">
        <v>6</v>
      </c>
      <c r="B12" s="18"/>
      <c r="C12" s="18"/>
    </row>
    <row r="14" spans="1:3" x14ac:dyDescent="0.25">
      <c r="A14" s="86" t="s">
        <v>101</v>
      </c>
      <c r="B14" s="86"/>
      <c r="C14" s="86"/>
    </row>
    <row r="15" spans="1:3" x14ac:dyDescent="0.25">
      <c r="A15" s="16" t="s">
        <v>36</v>
      </c>
      <c r="B15" s="16" t="s">
        <v>99</v>
      </c>
      <c r="C15" s="16" t="s">
        <v>100</v>
      </c>
    </row>
    <row r="16" spans="1:3" x14ac:dyDescent="0.25">
      <c r="A16" s="17">
        <v>1</v>
      </c>
      <c r="B16" s="18" t="s">
        <v>279</v>
      </c>
      <c r="C16" s="18" t="s">
        <v>282</v>
      </c>
    </row>
    <row r="17" spans="1:3" x14ac:dyDescent="0.25">
      <c r="A17" s="17">
        <v>2</v>
      </c>
      <c r="B17" s="18" t="s">
        <v>281</v>
      </c>
      <c r="C17" s="18" t="s">
        <v>284</v>
      </c>
    </row>
    <row r="18" spans="1:3" x14ac:dyDescent="0.25">
      <c r="A18" s="17">
        <v>3</v>
      </c>
      <c r="B18" s="18"/>
      <c r="C18" s="18"/>
    </row>
    <row r="19" spans="1:3" x14ac:dyDescent="0.25">
      <c r="A19" s="17">
        <v>4</v>
      </c>
      <c r="B19" s="18"/>
      <c r="C19" s="18"/>
    </row>
    <row r="21" spans="1:3" x14ac:dyDescent="0.25">
      <c r="A21" s="80" t="s">
        <v>102</v>
      </c>
      <c r="B21" s="80"/>
      <c r="C21" s="80"/>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81" t="s">
        <v>103</v>
      </c>
      <c r="B26" s="81"/>
      <c r="C26" s="81"/>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sqref="A1:K1"/>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6" t="s">
        <v>104</v>
      </c>
      <c r="B1" s="76"/>
      <c r="C1" s="76"/>
      <c r="D1" s="76"/>
      <c r="E1" s="76"/>
      <c r="F1" s="76"/>
      <c r="G1" s="76"/>
      <c r="H1" s="76"/>
      <c r="I1" s="76"/>
      <c r="J1" s="76"/>
      <c r="K1" s="76"/>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16</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15</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14</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13</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12</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11</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10</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9</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8</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7</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6</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1</v>
      </c>
      <c r="C42" s="22" t="str">
        <f>INDEX(Helper!$U$2:$U$5,MATCH(LARGE(Helper!$AL$2:$AL$5,1),Helper!$AL$2:$AL$5,0))</f>
        <v>-</v>
      </c>
      <c r="D42" s="22" t="str">
        <f>INDEX(Helper!$V$2:$V$5,MATCH(LARGE(Helper!$AL$2:$AL$5,1),Helper!$AL$2:$AL$5,0))</f>
        <v>W</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1</v>
      </c>
      <c r="J42" s="22">
        <f>INDEX(Helper!$AB$2:$AB$5,MATCH(LARGE(Helper!$AL$2:$AL$5,1),Helper!$AL$2:$AL$5,0))</f>
        <v>0</v>
      </c>
      <c r="K42" s="22">
        <f>INDEX(Helper!$AC$2:$AC$5,MATCH(LARGE(Helper!$AL$2:$AL$5,1),Helper!$AL$2:$AL$5,0))</f>
        <v>5</v>
      </c>
      <c r="L42" s="28">
        <f>IFERROR(I42/(I42+J42),0)</f>
        <v>1</v>
      </c>
    </row>
    <row r="43" spans="1:12" ht="15" customHeight="1" x14ac:dyDescent="0.25">
      <c r="A43" s="23">
        <v>2</v>
      </c>
      <c r="B43" s="21" t="str">
        <f>INDEX(Helper!$B$2:$B$5,MATCH(LARGE(Helper!$AL$2:$AL$5,2),Helper!$AL$2:$AL$5,0))</f>
        <v>Player 4</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3</v>
      </c>
      <c r="C44" s="22" t="str">
        <f>INDEX(Helper!$U$2:$U$5,MATCH(LARGE(Helper!$AL$2:$AL$5,3),Helper!$AL$2:$AL$5,0))</f>
        <v>-</v>
      </c>
      <c r="D44" s="22" t="str">
        <f>INDEX(Helper!$V$2:$V$5,MATCH(LARGE(Helper!$AL$2:$AL$5,3),Helper!$AL$2:$AL$5,0))</f>
        <v>L</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1</v>
      </c>
      <c r="K44" s="22">
        <f>INDEX(Helper!$AC$2:$AC$5,MATCH(LARGE(Helper!$AL$2:$AL$5,3),Helper!$AL$2:$AL$5,0))</f>
        <v>0</v>
      </c>
      <c r="L44" s="28">
        <f>IFERROR(I44/(I44+J44),0)</f>
        <v>0</v>
      </c>
    </row>
    <row r="45" spans="1:12" ht="15" customHeight="1" x14ac:dyDescent="0.25">
      <c r="A45" s="25">
        <v>4</v>
      </c>
      <c r="B45" s="21" t="str">
        <f>INDEX(Helper!$B$2:$B$5,MATCH(LARGE(Helper!$AL$2:$AL$5,4),Helper!$AL$2:$AL$5,0))</f>
        <v>Player 2</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8" t="s">
        <v>136</v>
      </c>
      <c r="B69" s="78"/>
      <c r="C69" s="78"/>
      <c r="D69" s="78"/>
      <c r="E69" s="78"/>
      <c r="F69" s="78"/>
      <c r="G69" s="78"/>
      <c r="H69" s="78"/>
      <c r="I69" s="78"/>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v>
      </c>
      <c r="C71" s="22">
        <f>INDEX(Helper!$I$2:$I$17,MATCH(LARGE(Helper!$AM$2:$AM$17,1),Helper!$AM$2:$AM$17,0))</f>
        <v>14</v>
      </c>
      <c r="D71" s="22">
        <f>INDEX(Helper!$R$2:$R$17,MATCH(LARGE(Helper!$AM$2:$AM$17,1),Helper!$AM$2:$AM$17,0))</f>
        <v>0</v>
      </c>
      <c r="E71" s="22">
        <f>INDEX(Helper!$AC$2:$AC$17,MATCH(LARGE(Helper!$AM$2:$AM$17,1),Helper!$AM$2:$AM$17,0))</f>
        <v>5</v>
      </c>
      <c r="F71" s="19">
        <f>INDEX(Helper!$AE$2:$AE$17,MATCH(LARGE(Helper!$AM$2:$AM$17,1),Helper!$AM$2:$AM$17,0))</f>
        <v>19</v>
      </c>
      <c r="G71" s="22">
        <f>RANK(C71,$C$71:$C$86,0)</f>
        <v>1</v>
      </c>
      <c r="H71" s="22">
        <f>RANK(D71,$D$71:$D$86,0)</f>
        <v>1</v>
      </c>
    </row>
    <row r="72" spans="1:12" ht="15" customHeight="1" x14ac:dyDescent="0.25">
      <c r="A72" s="23">
        <v>2</v>
      </c>
      <c r="B72" s="21" t="str">
        <f>INDEX(Helper!$B$2:$B$17,MATCH(LARGE(Helper!$AM$2:$AM$17,2),Helper!$AM$2:$AM$17,0))</f>
        <v>Player 16</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15</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14</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13</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12</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11</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10</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9</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8</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7</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6</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8" t="s">
        <v>143</v>
      </c>
      <c r="B89" s="78"/>
      <c r="C89" s="78"/>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F10" sqref="F10"/>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286</v>
      </c>
      <c r="C7" s="69" t="s">
        <v>287</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W</v>
      </c>
      <c r="W2" t="str">
        <f>'Wk 13-18 Input'!F44</f>
        <v>-</v>
      </c>
      <c r="X2" t="str">
        <f>'Wk 13-18 Input'!F63</f>
        <v>-</v>
      </c>
      <c r="Y2" t="str">
        <f>'Wk 13-18 Input'!F82</f>
        <v>-</v>
      </c>
      <c r="Z2" t="str">
        <f>'Wk 13-18 Input'!F101</f>
        <v>-</v>
      </c>
      <c r="AA2">
        <f t="shared" ref="AA2:AA17" si="4">COUNTIF(U2:Z2,"W")+COUNTIF(U2:Z2,"T")*0.5</f>
        <v>1</v>
      </c>
      <c r="AB2">
        <f t="shared" ref="AB2:AB17" si="5">COUNTIF(U2:Z2,"L")+COUNTIF(U2:Z2,"T")*0.5</f>
        <v>0</v>
      </c>
      <c r="AC2">
        <f>'Wk 13-18 Input'!I6+'Wk 13-18 Input'!I25+'Wk 13-18 Input'!I44+'Wk 13-18 Input'!I63+'Wk 13-18 Input'!I82+'Wk 13-18 Input'!I101</f>
        <v>5</v>
      </c>
      <c r="AD2">
        <f t="shared" ref="AD2:AD17" si="6">AA2+A2*0.0001</f>
        <v>1.0001</v>
      </c>
      <c r="AE2">
        <f t="shared" ref="AE2:AE17" si="7">I2+R2+AC2</f>
        <v>19</v>
      </c>
      <c r="AF2">
        <f t="shared" ref="AF2:AF17" si="8">AE2+A2*0.0001</f>
        <v>19.0001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5</v>
      </c>
      <c r="AL2">
        <f t="shared" ref="AL2:AL17" si="13">AA2*100000+AC2*1000+AK2*10+A2*0.01</f>
        <v>105050.01</v>
      </c>
      <c r="AM2">
        <f t="shared" ref="AM2:AM17" si="14">AE2*100000+(AG2+AI2+AK2)*100+A2*0.01</f>
        <v>1901900.01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L</v>
      </c>
      <c r="W4" t="str">
        <f>'Wk 13-18 Input'!F46</f>
        <v>-</v>
      </c>
      <c r="X4" t="str">
        <f>'Wk 13-18 Input'!F65</f>
        <v>-</v>
      </c>
      <c r="Y4" t="str">
        <f>'Wk 13-18 Input'!F84</f>
        <v>-</v>
      </c>
      <c r="Z4" t="str">
        <f>'Wk 13-18 Input'!F103</f>
        <v>-</v>
      </c>
      <c r="AA4">
        <f t="shared" si="4"/>
        <v>0</v>
      </c>
      <c r="AB4">
        <f t="shared" si="5"/>
        <v>1</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Picture</vt:lpstr>
      <vt:lpstr>Playoff Wild Card</vt:lpstr>
      <vt:lpstr>Playoff Finals</vt:lpstr>
      <vt:lpstr>NFL Playoff Games</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2026-09-04T03:25:55Z</dcterms:modified>
  <dc:language>en-US</dc:language>
</cp:coreProperties>
</file>