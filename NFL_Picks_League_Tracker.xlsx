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3" documentId="11_C5FB6D5EBB7DB41C9C4944A345A03722CFCA9995" xr6:coauthVersionLast="47" xr6:coauthVersionMax="47" xr10:uidLastSave="{64C15D06-9C8E-4751-A1FA-29FE503BDE26}"/>
  <bookViews>
    <workbookView xWindow="-28920" yWindow="-120" windowWidth="29040" windowHeight="16440" tabRatio="857" activeTab="3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C13" i="13" l="1"/>
  <c r="AB13" i="13"/>
  <c r="AA13" i="13"/>
  <c r="Z13" i="13"/>
  <c r="H51" i="8" s="1"/>
  <c r="Y13" i="13"/>
  <c r="G51" i="8" s="1"/>
  <c r="X13" i="13"/>
  <c r="F51" i="8" s="1"/>
  <c r="W13" i="13"/>
  <c r="V13" i="13"/>
  <c r="U13" i="13"/>
  <c r="Q13" i="13"/>
  <c r="P13" i="13"/>
  <c r="O13" i="13"/>
  <c r="F29" i="8" s="1"/>
  <c r="N13" i="13"/>
  <c r="M13" i="13"/>
  <c r="D29" i="8" s="1"/>
  <c r="L13" i="13"/>
  <c r="H13" i="13"/>
  <c r="G13" i="13"/>
  <c r="F13" i="13"/>
  <c r="E13" i="13"/>
  <c r="B13" i="13"/>
  <c r="AC12" i="13"/>
  <c r="AB12" i="13"/>
  <c r="AA12" i="13"/>
  <c r="AD12" i="13" s="1"/>
  <c r="Z12" i="13"/>
  <c r="Y12" i="13"/>
  <c r="X12" i="13"/>
  <c r="F50" i="8" s="1"/>
  <c r="W12" i="13"/>
  <c r="V12" i="13"/>
  <c r="D50" i="8" s="1"/>
  <c r="U12" i="13"/>
  <c r="C50" i="8" s="1"/>
  <c r="Q12" i="13"/>
  <c r="P12" i="13"/>
  <c r="O12" i="13"/>
  <c r="N12" i="13"/>
  <c r="M12" i="13"/>
  <c r="D28" i="8" s="1"/>
  <c r="L12" i="13"/>
  <c r="H12" i="13"/>
  <c r="H13" i="8" s="1"/>
  <c r="G12" i="13"/>
  <c r="G13" i="8" s="1"/>
  <c r="F12" i="13"/>
  <c r="E12" i="13"/>
  <c r="B12" i="13"/>
  <c r="AC11" i="13"/>
  <c r="E66" i="8" s="1"/>
  <c r="AB11" i="13"/>
  <c r="AA11" i="13"/>
  <c r="AD11" i="13" s="1"/>
  <c r="Z11" i="13"/>
  <c r="Y11" i="13"/>
  <c r="X11" i="13"/>
  <c r="F49" i="8" s="1"/>
  <c r="W11" i="13"/>
  <c r="V11" i="13"/>
  <c r="U11" i="13"/>
  <c r="Q11" i="13"/>
  <c r="P11" i="13"/>
  <c r="O11" i="13"/>
  <c r="F27" i="8" s="1"/>
  <c r="N11" i="13"/>
  <c r="E27" i="8" s="1"/>
  <c r="M11" i="13"/>
  <c r="L11" i="13"/>
  <c r="H11" i="13"/>
  <c r="G11" i="13"/>
  <c r="G12" i="8" s="1"/>
  <c r="F11" i="13"/>
  <c r="E11" i="13"/>
  <c r="E12" i="8" s="1"/>
  <c r="B11" i="13"/>
  <c r="B49" i="8" s="1"/>
  <c r="AC10" i="13"/>
  <c r="AB10" i="13"/>
  <c r="AA10" i="13"/>
  <c r="AD10" i="13" s="1"/>
  <c r="Z10" i="13"/>
  <c r="Y10" i="13"/>
  <c r="X10" i="13"/>
  <c r="W10" i="13"/>
  <c r="E48" i="8" s="1"/>
  <c r="V10" i="13"/>
  <c r="D48" i="8" s="1"/>
  <c r="U10" i="13"/>
  <c r="C48" i="8" s="1"/>
  <c r="Q10" i="13"/>
  <c r="P10" i="13"/>
  <c r="O10" i="13"/>
  <c r="N10" i="13"/>
  <c r="E26" i="8" s="1"/>
  <c r="M10" i="13"/>
  <c r="L10" i="13"/>
  <c r="H10" i="13"/>
  <c r="G10" i="13"/>
  <c r="F10" i="13"/>
  <c r="E10" i="13"/>
  <c r="B10" i="13"/>
  <c r="AD9" i="13"/>
  <c r="AC9" i="13"/>
  <c r="AB9" i="13"/>
  <c r="J44" i="8" s="1"/>
  <c r="AA9" i="13"/>
  <c r="Z9" i="13"/>
  <c r="Y9" i="13"/>
  <c r="X9" i="13"/>
  <c r="W9" i="13"/>
  <c r="V9" i="13"/>
  <c r="U9" i="13"/>
  <c r="C44" i="8" s="1"/>
  <c r="Q9" i="13"/>
  <c r="P9" i="13"/>
  <c r="O9" i="13"/>
  <c r="F25" i="8" s="1"/>
  <c r="N9" i="13"/>
  <c r="M9" i="13"/>
  <c r="D25" i="8" s="1"/>
  <c r="L9" i="13"/>
  <c r="H9" i="13"/>
  <c r="G9" i="13"/>
  <c r="F9" i="13"/>
  <c r="F10" i="8" s="1"/>
  <c r="E9" i="13"/>
  <c r="E10" i="8" s="1"/>
  <c r="B9" i="13"/>
  <c r="AC8" i="13"/>
  <c r="AB8" i="13"/>
  <c r="J43" i="8" s="1"/>
  <c r="AA8" i="13"/>
  <c r="I43" i="8" s="1"/>
  <c r="Z8" i="13"/>
  <c r="H43" i="8" s="1"/>
  <c r="Y8" i="13"/>
  <c r="G43" i="8" s="1"/>
  <c r="X8" i="13"/>
  <c r="F43" i="8" s="1"/>
  <c r="W8" i="13"/>
  <c r="V8" i="13"/>
  <c r="U8" i="13"/>
  <c r="Q8" i="13"/>
  <c r="P8" i="13"/>
  <c r="O8" i="13"/>
  <c r="N8" i="13"/>
  <c r="M8" i="13"/>
  <c r="L8" i="13"/>
  <c r="C24" i="8" s="1"/>
  <c r="H8" i="13"/>
  <c r="H9" i="8" s="1"/>
  <c r="G8" i="13"/>
  <c r="F8" i="13"/>
  <c r="E8" i="13"/>
  <c r="B8" i="13"/>
  <c r="AD7" i="13"/>
  <c r="AC7" i="13"/>
  <c r="AB7" i="13"/>
  <c r="AA7" i="13"/>
  <c r="Z7" i="13"/>
  <c r="Y7" i="13"/>
  <c r="X7" i="13"/>
  <c r="W7" i="13"/>
  <c r="E42" i="8" s="1"/>
  <c r="V7" i="13"/>
  <c r="U7" i="13"/>
  <c r="C42" i="8" s="1"/>
  <c r="Q7" i="13"/>
  <c r="H23" i="8" s="1"/>
  <c r="P7" i="13"/>
  <c r="O7" i="13"/>
  <c r="N7" i="13"/>
  <c r="M7" i="13"/>
  <c r="L7" i="13"/>
  <c r="R7" i="13" s="1"/>
  <c r="H7" i="13"/>
  <c r="H8" i="8" s="1"/>
  <c r="G7" i="13"/>
  <c r="G8" i="8" s="1"/>
  <c r="F7" i="13"/>
  <c r="F8" i="8" s="1"/>
  <c r="E7" i="13"/>
  <c r="B7" i="13"/>
  <c r="AC6" i="13"/>
  <c r="AB6" i="13"/>
  <c r="J41" i="8" s="1"/>
  <c r="AA6" i="13"/>
  <c r="I41" i="8" s="1"/>
  <c r="Z6" i="13"/>
  <c r="H41" i="8" s="1"/>
  <c r="Y6" i="13"/>
  <c r="G41" i="8" s="1"/>
  <c r="X6" i="13"/>
  <c r="W6" i="13"/>
  <c r="V6" i="13"/>
  <c r="D41" i="8" s="1"/>
  <c r="U6" i="13"/>
  <c r="C41" i="8" s="1"/>
  <c r="Q6" i="13"/>
  <c r="P6" i="13"/>
  <c r="G22" i="8" s="1"/>
  <c r="O6" i="13"/>
  <c r="F22" i="8" s="1"/>
  <c r="N6" i="13"/>
  <c r="E22" i="8" s="1"/>
  <c r="M6" i="13"/>
  <c r="D22" i="8" s="1"/>
  <c r="L6" i="13"/>
  <c r="H6" i="13"/>
  <c r="G6" i="13"/>
  <c r="F6" i="13"/>
  <c r="F7" i="8" s="1"/>
  <c r="E6" i="13"/>
  <c r="E7" i="8" s="1"/>
  <c r="B6" i="13"/>
  <c r="AD5" i="13"/>
  <c r="AC5" i="13"/>
  <c r="AB5" i="13"/>
  <c r="AA5" i="13"/>
  <c r="Z5" i="13"/>
  <c r="Y5" i="13"/>
  <c r="G37" i="8" s="1"/>
  <c r="X5" i="13"/>
  <c r="W5" i="13"/>
  <c r="E37" i="8" s="1"/>
  <c r="V5" i="13"/>
  <c r="D37" i="8" s="1"/>
  <c r="U5" i="13"/>
  <c r="C37" i="8" s="1"/>
  <c r="Q5" i="13"/>
  <c r="K21" i="8" s="1"/>
  <c r="P5" i="13"/>
  <c r="G21" i="8" s="1"/>
  <c r="O5" i="13"/>
  <c r="N5" i="13"/>
  <c r="M5" i="13"/>
  <c r="L5" i="13"/>
  <c r="H5" i="13"/>
  <c r="H6" i="8" s="1"/>
  <c r="G5" i="13"/>
  <c r="F5" i="13"/>
  <c r="E5" i="13"/>
  <c r="B5" i="13"/>
  <c r="AC4" i="13"/>
  <c r="K36" i="8" s="1"/>
  <c r="AB4" i="13"/>
  <c r="J36" i="8" s="1"/>
  <c r="AA4" i="13"/>
  <c r="AD4" i="13" s="1"/>
  <c r="H8" i="9" s="1"/>
  <c r="Z4" i="13"/>
  <c r="Y4" i="13"/>
  <c r="X4" i="13"/>
  <c r="W4" i="13"/>
  <c r="E36" i="8" s="1"/>
  <c r="V4" i="13"/>
  <c r="U4" i="13"/>
  <c r="Q4" i="13"/>
  <c r="P4" i="13"/>
  <c r="O4" i="13"/>
  <c r="N4" i="13"/>
  <c r="M4" i="13"/>
  <c r="L4" i="13"/>
  <c r="K20" i="8" s="1"/>
  <c r="H4" i="13"/>
  <c r="H5" i="8" s="1"/>
  <c r="G4" i="13"/>
  <c r="F4" i="13"/>
  <c r="E4" i="13"/>
  <c r="E5" i="8" s="1"/>
  <c r="B4" i="13"/>
  <c r="AC3" i="13"/>
  <c r="AB3" i="13"/>
  <c r="AA3" i="13"/>
  <c r="AD3" i="13" s="1"/>
  <c r="Z3" i="13"/>
  <c r="Y3" i="13"/>
  <c r="G35" i="8" s="1"/>
  <c r="X3" i="13"/>
  <c r="F35" i="8" s="1"/>
  <c r="W3" i="13"/>
  <c r="E35" i="8" s="1"/>
  <c r="V3" i="13"/>
  <c r="U3" i="13"/>
  <c r="Q3" i="13"/>
  <c r="P3" i="13"/>
  <c r="G19" i="8" s="1"/>
  <c r="O3" i="13"/>
  <c r="N3" i="13"/>
  <c r="M3" i="13"/>
  <c r="L3" i="13"/>
  <c r="H3" i="13"/>
  <c r="G3" i="13"/>
  <c r="G4" i="8" s="1"/>
  <c r="F3" i="13"/>
  <c r="F4" i="8" s="1"/>
  <c r="E3" i="13"/>
  <c r="B3" i="13"/>
  <c r="AD2" i="13"/>
  <c r="H5" i="9" s="1"/>
  <c r="AC2" i="13"/>
  <c r="K34" i="8" s="1"/>
  <c r="AB2" i="13"/>
  <c r="J34" i="8" s="1"/>
  <c r="AA2" i="13"/>
  <c r="Z2" i="13"/>
  <c r="Y2" i="13"/>
  <c r="X2" i="13"/>
  <c r="W2" i="13"/>
  <c r="V2" i="13"/>
  <c r="D34" i="8" s="1"/>
  <c r="U2" i="13"/>
  <c r="C34" i="8" s="1"/>
  <c r="Q2" i="13"/>
  <c r="H18" i="8" s="1"/>
  <c r="P2" i="13"/>
  <c r="O2" i="13"/>
  <c r="R2" i="13" s="1"/>
  <c r="N2" i="13"/>
  <c r="M2" i="13"/>
  <c r="L2" i="13"/>
  <c r="H2" i="13"/>
  <c r="H3" i="8" s="1"/>
  <c r="G2" i="13"/>
  <c r="G3" i="8" s="1"/>
  <c r="F2" i="13"/>
  <c r="F3" i="8" s="1"/>
  <c r="E2" i="13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F31" i="9" s="1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F27" i="9" s="1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E68" i="8"/>
  <c r="E67" i="8"/>
  <c r="B67" i="8"/>
  <c r="B66" i="8"/>
  <c r="E65" i="8"/>
  <c r="B64" i="8"/>
  <c r="E63" i="8"/>
  <c r="E62" i="8"/>
  <c r="B62" i="8"/>
  <c r="E61" i="8"/>
  <c r="E60" i="8"/>
  <c r="B60" i="8"/>
  <c r="B59" i="8"/>
  <c r="E58" i="8"/>
  <c r="B58" i="8"/>
  <c r="E57" i="8"/>
  <c r="B57" i="8"/>
  <c r="K51" i="8"/>
  <c r="J51" i="8"/>
  <c r="E51" i="8"/>
  <c r="D51" i="8"/>
  <c r="C51" i="8"/>
  <c r="K50" i="8"/>
  <c r="J50" i="8"/>
  <c r="H50" i="8"/>
  <c r="G50" i="8"/>
  <c r="E50" i="8"/>
  <c r="B50" i="8"/>
  <c r="K49" i="8"/>
  <c r="J49" i="8"/>
  <c r="I49" i="8"/>
  <c r="H49" i="8"/>
  <c r="G49" i="8"/>
  <c r="E49" i="8"/>
  <c r="D49" i="8"/>
  <c r="C49" i="8"/>
  <c r="K48" i="8"/>
  <c r="J48" i="8"/>
  <c r="I48" i="8"/>
  <c r="H48" i="8"/>
  <c r="G48" i="8"/>
  <c r="F48" i="8"/>
  <c r="I44" i="8"/>
  <c r="H44" i="8"/>
  <c r="G44" i="8"/>
  <c r="F44" i="8"/>
  <c r="E44" i="8"/>
  <c r="D44" i="8"/>
  <c r="B44" i="8"/>
  <c r="K43" i="8"/>
  <c r="E43" i="8"/>
  <c r="D43" i="8"/>
  <c r="C43" i="8"/>
  <c r="K42" i="8"/>
  <c r="J42" i="8"/>
  <c r="I42" i="8"/>
  <c r="H42" i="8"/>
  <c r="G42" i="8"/>
  <c r="F42" i="8"/>
  <c r="D42" i="8"/>
  <c r="B42" i="8"/>
  <c r="K41" i="8"/>
  <c r="F41" i="8"/>
  <c r="E41" i="8"/>
  <c r="K37" i="8"/>
  <c r="J37" i="8"/>
  <c r="I37" i="8"/>
  <c r="H37" i="8"/>
  <c r="F37" i="8"/>
  <c r="B37" i="8"/>
  <c r="I36" i="8"/>
  <c r="H36" i="8"/>
  <c r="G36" i="8"/>
  <c r="F36" i="8"/>
  <c r="D36" i="8"/>
  <c r="C36" i="8"/>
  <c r="B36" i="8"/>
  <c r="K35" i="8"/>
  <c r="J35" i="8"/>
  <c r="I35" i="8"/>
  <c r="H35" i="8"/>
  <c r="D35" i="8"/>
  <c r="C35" i="8"/>
  <c r="B35" i="8"/>
  <c r="I34" i="8"/>
  <c r="H34" i="8"/>
  <c r="G34" i="8"/>
  <c r="F34" i="8"/>
  <c r="E34" i="8"/>
  <c r="B34" i="8"/>
  <c r="H29" i="8"/>
  <c r="G29" i="8"/>
  <c r="E29" i="8"/>
  <c r="C29" i="8"/>
  <c r="H28" i="8"/>
  <c r="G28" i="8"/>
  <c r="F28" i="8"/>
  <c r="E28" i="8"/>
  <c r="C28" i="8"/>
  <c r="B28" i="8"/>
  <c r="H27" i="8"/>
  <c r="D27" i="8"/>
  <c r="C27" i="8"/>
  <c r="K26" i="8"/>
  <c r="H26" i="8"/>
  <c r="G26" i="8"/>
  <c r="F26" i="8"/>
  <c r="D26" i="8"/>
  <c r="G25" i="8"/>
  <c r="E25" i="8"/>
  <c r="C25" i="8"/>
  <c r="B25" i="8"/>
  <c r="H24" i="8"/>
  <c r="G24" i="8"/>
  <c r="F24" i="8"/>
  <c r="E24" i="8"/>
  <c r="D24" i="8"/>
  <c r="K23" i="8"/>
  <c r="G23" i="8"/>
  <c r="F23" i="8"/>
  <c r="E23" i="8"/>
  <c r="D23" i="8"/>
  <c r="B23" i="8"/>
  <c r="H22" i="8"/>
  <c r="C22" i="8"/>
  <c r="F21" i="8"/>
  <c r="E21" i="8"/>
  <c r="C21" i="8"/>
  <c r="B21" i="8"/>
  <c r="H20" i="8"/>
  <c r="G20" i="8"/>
  <c r="F20" i="8"/>
  <c r="E20" i="8"/>
  <c r="D20" i="8"/>
  <c r="C20" i="8"/>
  <c r="B20" i="8"/>
  <c r="H19" i="8"/>
  <c r="F19" i="8"/>
  <c r="E19" i="8"/>
  <c r="D19" i="8"/>
  <c r="B19" i="8"/>
  <c r="G18" i="8"/>
  <c r="E18" i="8"/>
  <c r="D18" i="8"/>
  <c r="C18" i="8"/>
  <c r="B18" i="8"/>
  <c r="H14" i="8"/>
  <c r="G14" i="8"/>
  <c r="F14" i="8"/>
  <c r="E14" i="8"/>
  <c r="F13" i="8"/>
  <c r="E13" i="8"/>
  <c r="B13" i="8"/>
  <c r="H12" i="8"/>
  <c r="F12" i="8"/>
  <c r="H11" i="8"/>
  <c r="G11" i="8"/>
  <c r="F11" i="8"/>
  <c r="E11" i="8"/>
  <c r="H10" i="8"/>
  <c r="G10" i="8"/>
  <c r="B10" i="8"/>
  <c r="G9" i="8"/>
  <c r="F9" i="8"/>
  <c r="E9" i="8"/>
  <c r="E8" i="8"/>
  <c r="B8" i="8"/>
  <c r="H7" i="8"/>
  <c r="G7" i="8"/>
  <c r="G6" i="8"/>
  <c r="F6" i="8"/>
  <c r="E6" i="8"/>
  <c r="B6" i="8"/>
  <c r="G5" i="8"/>
  <c r="F5" i="8"/>
  <c r="B5" i="8"/>
  <c r="H4" i="8"/>
  <c r="E4" i="8"/>
  <c r="B4" i="8"/>
  <c r="E3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E327" i="3" s="1"/>
  <c r="I324" i="4"/>
  <c r="J323" i="4"/>
  <c r="E326" i="3" s="1"/>
  <c r="I323" i="4"/>
  <c r="J322" i="4"/>
  <c r="I322" i="4"/>
  <c r="J321" i="4"/>
  <c r="I321" i="4"/>
  <c r="J320" i="4"/>
  <c r="I320" i="4"/>
  <c r="J319" i="4"/>
  <c r="I319" i="4"/>
  <c r="J318" i="4"/>
  <c r="E321" i="3" s="1"/>
  <c r="I318" i="4"/>
  <c r="J317" i="4"/>
  <c r="E320" i="3" s="1"/>
  <c r="I317" i="4"/>
  <c r="J316" i="4"/>
  <c r="I316" i="4"/>
  <c r="J315" i="4"/>
  <c r="I315" i="4"/>
  <c r="J314" i="4"/>
  <c r="I314" i="4"/>
  <c r="J313" i="4"/>
  <c r="I313" i="4"/>
  <c r="J312" i="4"/>
  <c r="E315" i="3" s="1"/>
  <c r="I312" i="4"/>
  <c r="J311" i="4"/>
  <c r="E314" i="3" s="1"/>
  <c r="I311" i="4"/>
  <c r="J310" i="4"/>
  <c r="I310" i="4"/>
  <c r="E307" i="4"/>
  <c r="J306" i="4"/>
  <c r="I306" i="4"/>
  <c r="J305" i="4"/>
  <c r="I305" i="4"/>
  <c r="J304" i="4"/>
  <c r="E307" i="3" s="1"/>
  <c r="I304" i="4"/>
  <c r="J303" i="4"/>
  <c r="I303" i="4"/>
  <c r="J302" i="4"/>
  <c r="I302" i="4"/>
  <c r="J301" i="4"/>
  <c r="I301" i="4"/>
  <c r="J300" i="4"/>
  <c r="I300" i="4"/>
  <c r="J299" i="4"/>
  <c r="I299" i="4"/>
  <c r="J298" i="4"/>
  <c r="E301" i="3" s="1"/>
  <c r="I298" i="4"/>
  <c r="J297" i="4"/>
  <c r="I297" i="4"/>
  <c r="J296" i="4"/>
  <c r="I296" i="4"/>
  <c r="J295" i="4"/>
  <c r="I295" i="4"/>
  <c r="J294" i="4"/>
  <c r="I294" i="4"/>
  <c r="J293" i="4"/>
  <c r="I293" i="4"/>
  <c r="J292" i="4"/>
  <c r="E295" i="3" s="1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I279" i="4"/>
  <c r="J278" i="4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I273" i="4"/>
  <c r="J272" i="4"/>
  <c r="I272" i="4"/>
  <c r="E269" i="4"/>
  <c r="E272" i="3" s="1"/>
  <c r="J268" i="4"/>
  <c r="I268" i="4"/>
  <c r="J267" i="4"/>
  <c r="I267" i="4"/>
  <c r="J266" i="4"/>
  <c r="I266" i="4"/>
  <c r="J265" i="4"/>
  <c r="I265" i="4"/>
  <c r="J264" i="4"/>
  <c r="I264" i="4"/>
  <c r="J263" i="4"/>
  <c r="I263" i="4"/>
  <c r="J262" i="4"/>
  <c r="I262" i="4"/>
  <c r="J261" i="4"/>
  <c r="I261" i="4"/>
  <c r="J260" i="4"/>
  <c r="I260" i="4"/>
  <c r="J259" i="4"/>
  <c r="I259" i="4"/>
  <c r="J258" i="4"/>
  <c r="I258" i="4"/>
  <c r="J257" i="4"/>
  <c r="E260" i="3" s="1"/>
  <c r="I257" i="4"/>
  <c r="J256" i="4"/>
  <c r="I256" i="4"/>
  <c r="J255" i="4"/>
  <c r="I255" i="4"/>
  <c r="J254" i="4"/>
  <c r="I254" i="4"/>
  <c r="J253" i="4"/>
  <c r="I253" i="4"/>
  <c r="E250" i="4"/>
  <c r="J249" i="4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I244" i="4"/>
  <c r="J243" i="4"/>
  <c r="I243" i="4"/>
  <c r="J242" i="4"/>
  <c r="E245" i="3" s="1"/>
  <c r="I242" i="4"/>
  <c r="J241" i="4"/>
  <c r="E244" i="3" s="1"/>
  <c r="I241" i="4"/>
  <c r="J240" i="4"/>
  <c r="I240" i="4"/>
  <c r="J239" i="4"/>
  <c r="I239" i="4"/>
  <c r="J238" i="4"/>
  <c r="I238" i="4"/>
  <c r="J237" i="4"/>
  <c r="I237" i="4"/>
  <c r="J236" i="4"/>
  <c r="E239" i="3" s="1"/>
  <c r="I236" i="4"/>
  <c r="J235" i="4"/>
  <c r="E238" i="3" s="1"/>
  <c r="I235" i="4"/>
  <c r="E232" i="4"/>
  <c r="J231" i="4"/>
  <c r="I231" i="4"/>
  <c r="J230" i="4"/>
  <c r="I230" i="4"/>
  <c r="J229" i="4"/>
  <c r="I229" i="4"/>
  <c r="J228" i="4"/>
  <c r="I228" i="4"/>
  <c r="J227" i="4"/>
  <c r="I227" i="4"/>
  <c r="J226" i="4"/>
  <c r="I226" i="4"/>
  <c r="J225" i="4"/>
  <c r="I225" i="4"/>
  <c r="J224" i="4"/>
  <c r="I224" i="4"/>
  <c r="J223" i="4"/>
  <c r="I223" i="4"/>
  <c r="J222" i="4"/>
  <c r="E225" i="3" s="1"/>
  <c r="I222" i="4"/>
  <c r="J221" i="4"/>
  <c r="I221" i="4"/>
  <c r="J220" i="4"/>
  <c r="I220" i="4"/>
  <c r="J219" i="4"/>
  <c r="I219" i="4"/>
  <c r="J218" i="4"/>
  <c r="I218" i="4"/>
  <c r="E215" i="4"/>
  <c r="J214" i="4"/>
  <c r="I214" i="4"/>
  <c r="J213" i="4"/>
  <c r="I213" i="4"/>
  <c r="J212" i="4"/>
  <c r="E215" i="3" s="1"/>
  <c r="I212" i="4"/>
  <c r="J211" i="4"/>
  <c r="I211" i="4"/>
  <c r="J210" i="4"/>
  <c r="I210" i="4"/>
  <c r="J209" i="4"/>
  <c r="I209" i="4"/>
  <c r="J208" i="4"/>
  <c r="I208" i="4"/>
  <c r="J207" i="4"/>
  <c r="E210" i="3" s="1"/>
  <c r="I207" i="4"/>
  <c r="J206" i="4"/>
  <c r="E209" i="3" s="1"/>
  <c r="I206" i="4"/>
  <c r="J205" i="4"/>
  <c r="E208" i="3" s="1"/>
  <c r="I205" i="4"/>
  <c r="J204" i="4"/>
  <c r="I204" i="4"/>
  <c r="J203" i="4"/>
  <c r="I203" i="4"/>
  <c r="J202" i="4"/>
  <c r="I202" i="4"/>
  <c r="J201" i="4"/>
  <c r="I201" i="4"/>
  <c r="J200" i="4"/>
  <c r="E203" i="3" s="1"/>
  <c r="I200" i="4"/>
  <c r="J199" i="4"/>
  <c r="I199" i="4"/>
  <c r="E196" i="4"/>
  <c r="J195" i="4"/>
  <c r="I195" i="4"/>
  <c r="J194" i="4"/>
  <c r="I194" i="4"/>
  <c r="J193" i="4"/>
  <c r="E196" i="3" s="1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E181" i="3" s="1"/>
  <c r="I178" i="4"/>
  <c r="J177" i="4"/>
  <c r="E180" i="3" s="1"/>
  <c r="I177" i="4"/>
  <c r="J176" i="4"/>
  <c r="E179" i="3" s="1"/>
  <c r="I176" i="4"/>
  <c r="J175" i="4"/>
  <c r="I175" i="4"/>
  <c r="J174" i="4"/>
  <c r="I174" i="4"/>
  <c r="J173" i="4"/>
  <c r="I173" i="4"/>
  <c r="J172" i="4"/>
  <c r="E175" i="3" s="1"/>
  <c r="I172" i="4"/>
  <c r="J171" i="4"/>
  <c r="I171" i="4"/>
  <c r="J170" i="4"/>
  <c r="E173" i="3" s="1"/>
  <c r="I170" i="4"/>
  <c r="J169" i="4"/>
  <c r="I169" i="4"/>
  <c r="J168" i="4"/>
  <c r="I168" i="4"/>
  <c r="J167" i="4"/>
  <c r="I167" i="4"/>
  <c r="J166" i="4"/>
  <c r="E169" i="3" s="1"/>
  <c r="I166" i="4"/>
  <c r="E163" i="4"/>
  <c r="E166" i="3" s="1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E155" i="3" s="1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E145" i="3" s="1"/>
  <c r="I142" i="4"/>
  <c r="J141" i="4"/>
  <c r="I141" i="4"/>
  <c r="J140" i="4"/>
  <c r="I140" i="4"/>
  <c r="J139" i="4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I134" i="4"/>
  <c r="J133" i="4"/>
  <c r="I133" i="4"/>
  <c r="J132" i="4"/>
  <c r="I132" i="4"/>
  <c r="J131" i="4"/>
  <c r="I131" i="4"/>
  <c r="E128" i="4"/>
  <c r="E131" i="3" s="1"/>
  <c r="J127" i="4"/>
  <c r="I127" i="4"/>
  <c r="J126" i="4"/>
  <c r="I126" i="4"/>
  <c r="J125" i="4"/>
  <c r="I125" i="4"/>
  <c r="J124" i="4"/>
  <c r="I124" i="4"/>
  <c r="J123" i="4"/>
  <c r="E126" i="3" s="1"/>
  <c r="I123" i="4"/>
  <c r="J122" i="4"/>
  <c r="I122" i="4"/>
  <c r="J121" i="4"/>
  <c r="I121" i="4"/>
  <c r="J120" i="4"/>
  <c r="I120" i="4"/>
  <c r="J119" i="4"/>
  <c r="I119" i="4"/>
  <c r="J118" i="4"/>
  <c r="I118" i="4"/>
  <c r="J117" i="4"/>
  <c r="I117" i="4"/>
  <c r="J116" i="4"/>
  <c r="I116" i="4"/>
  <c r="J115" i="4"/>
  <c r="I115" i="4"/>
  <c r="J114" i="4"/>
  <c r="I114" i="4"/>
  <c r="E111" i="4"/>
  <c r="J110" i="4"/>
  <c r="I110" i="4"/>
  <c r="J109" i="4"/>
  <c r="I109" i="4"/>
  <c r="J108" i="4"/>
  <c r="E111" i="3" s="1"/>
  <c r="I108" i="4"/>
  <c r="J107" i="4"/>
  <c r="E110" i="3" s="1"/>
  <c r="I107" i="4"/>
  <c r="J106" i="4"/>
  <c r="I106" i="4"/>
  <c r="J105" i="4"/>
  <c r="I105" i="4"/>
  <c r="J104" i="4"/>
  <c r="I104" i="4"/>
  <c r="J103" i="4"/>
  <c r="I103" i="4"/>
  <c r="J102" i="4"/>
  <c r="E105" i="3" s="1"/>
  <c r="I102" i="4"/>
  <c r="J101" i="4"/>
  <c r="E104" i="3" s="1"/>
  <c r="I101" i="4"/>
  <c r="J100" i="4"/>
  <c r="E103" i="3" s="1"/>
  <c r="I100" i="4"/>
  <c r="J99" i="4"/>
  <c r="I99" i="4"/>
  <c r="J98" i="4"/>
  <c r="I98" i="4"/>
  <c r="J97" i="4"/>
  <c r="I97" i="4"/>
  <c r="E94" i="4"/>
  <c r="E97" i="3" s="1"/>
  <c r="J93" i="4"/>
  <c r="I93" i="4"/>
  <c r="J92" i="4"/>
  <c r="I92" i="4"/>
  <c r="J91" i="4"/>
  <c r="I91" i="4"/>
  <c r="J90" i="4"/>
  <c r="I90" i="4"/>
  <c r="J89" i="4"/>
  <c r="I89" i="4"/>
  <c r="J88" i="4"/>
  <c r="E91" i="3" s="1"/>
  <c r="I88" i="4"/>
  <c r="J87" i="4"/>
  <c r="I87" i="4"/>
  <c r="J86" i="4"/>
  <c r="I86" i="4"/>
  <c r="J85" i="4"/>
  <c r="I85" i="4"/>
  <c r="J84" i="4"/>
  <c r="I84" i="4"/>
  <c r="J83" i="4"/>
  <c r="I83" i="4"/>
  <c r="J82" i="4"/>
  <c r="E85" i="3" s="1"/>
  <c r="I82" i="4"/>
  <c r="J81" i="4"/>
  <c r="E84" i="3" s="1"/>
  <c r="I81" i="4"/>
  <c r="J80" i="4"/>
  <c r="I80" i="4"/>
  <c r="J79" i="4"/>
  <c r="I79" i="4"/>
  <c r="E76" i="4"/>
  <c r="J75" i="4"/>
  <c r="I75" i="4"/>
  <c r="J74" i="4"/>
  <c r="I74" i="4"/>
  <c r="J73" i="4"/>
  <c r="E76" i="3" s="1"/>
  <c r="I73" i="4"/>
  <c r="J72" i="4"/>
  <c r="E75" i="3" s="1"/>
  <c r="I72" i="4"/>
  <c r="J71" i="4"/>
  <c r="E74" i="3" s="1"/>
  <c r="I71" i="4"/>
  <c r="J70" i="4"/>
  <c r="I70" i="4"/>
  <c r="J69" i="4"/>
  <c r="I69" i="4"/>
  <c r="J68" i="4"/>
  <c r="I68" i="4"/>
  <c r="J67" i="4"/>
  <c r="E70" i="3" s="1"/>
  <c r="I67" i="4"/>
  <c r="J66" i="4"/>
  <c r="E69" i="3" s="1"/>
  <c r="I66" i="4"/>
  <c r="J65" i="4"/>
  <c r="I65" i="4"/>
  <c r="J64" i="4"/>
  <c r="I64" i="4"/>
  <c r="J63" i="4"/>
  <c r="I63" i="4"/>
  <c r="J62" i="4"/>
  <c r="I62" i="4"/>
  <c r="J61" i="4"/>
  <c r="E64" i="3" s="1"/>
  <c r="I61" i="4"/>
  <c r="J60" i="4"/>
  <c r="E63" i="3" s="1"/>
  <c r="I60" i="4"/>
  <c r="E57" i="4"/>
  <c r="E60" i="3" s="1"/>
  <c r="J56" i="4"/>
  <c r="I56" i="4"/>
  <c r="J55" i="4"/>
  <c r="I55" i="4"/>
  <c r="J54" i="4"/>
  <c r="I54" i="4"/>
  <c r="J53" i="4"/>
  <c r="E56" i="3" s="1"/>
  <c r="I53" i="4"/>
  <c r="J52" i="4"/>
  <c r="I52" i="4"/>
  <c r="J51" i="4"/>
  <c r="I51" i="4"/>
  <c r="J50" i="4"/>
  <c r="I50" i="4"/>
  <c r="J49" i="4"/>
  <c r="I49" i="4"/>
  <c r="J48" i="4"/>
  <c r="I48" i="4"/>
  <c r="J47" i="4"/>
  <c r="I47" i="4"/>
  <c r="J46" i="4"/>
  <c r="E49" i="3" s="1"/>
  <c r="I46" i="4"/>
  <c r="J45" i="4"/>
  <c r="I45" i="4"/>
  <c r="J44" i="4"/>
  <c r="I44" i="4"/>
  <c r="J43" i="4"/>
  <c r="I43" i="4"/>
  <c r="J42" i="4"/>
  <c r="I42" i="4"/>
  <c r="J41" i="4"/>
  <c r="E44" i="3" s="1"/>
  <c r="I41" i="4"/>
  <c r="E38" i="4"/>
  <c r="J37" i="4"/>
  <c r="E40" i="3" s="1"/>
  <c r="I37" i="4"/>
  <c r="J36" i="4"/>
  <c r="I36" i="4"/>
  <c r="J35" i="4"/>
  <c r="I35" i="4"/>
  <c r="J34" i="4"/>
  <c r="I34" i="4"/>
  <c r="J33" i="4"/>
  <c r="I33" i="4"/>
  <c r="J32" i="4"/>
  <c r="E35" i="3" s="1"/>
  <c r="I32" i="4"/>
  <c r="J31" i="4"/>
  <c r="E34" i="3" s="1"/>
  <c r="I31" i="4"/>
  <c r="J30" i="4"/>
  <c r="E33" i="3" s="1"/>
  <c r="I30" i="4"/>
  <c r="J29" i="4"/>
  <c r="I29" i="4"/>
  <c r="J28" i="4"/>
  <c r="I28" i="4"/>
  <c r="J27" i="4"/>
  <c r="I27" i="4"/>
  <c r="J26" i="4"/>
  <c r="E29" i="3" s="1"/>
  <c r="I26" i="4"/>
  <c r="J25" i="4"/>
  <c r="E28" i="3" s="1"/>
  <c r="I25" i="4"/>
  <c r="J24" i="4"/>
  <c r="I24" i="4"/>
  <c r="J23" i="4"/>
  <c r="I23" i="4"/>
  <c r="J22" i="4"/>
  <c r="I22" i="4"/>
  <c r="E19" i="4"/>
  <c r="J18" i="4"/>
  <c r="E21" i="3" s="1"/>
  <c r="I18" i="4"/>
  <c r="J17" i="4"/>
  <c r="E20" i="3" s="1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E9" i="3" s="1"/>
  <c r="I6" i="4"/>
  <c r="J5" i="4"/>
  <c r="E8" i="3" s="1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5" i="3"/>
  <c r="E324" i="3"/>
  <c r="E323" i="3"/>
  <c r="E322" i="3"/>
  <c r="E319" i="3"/>
  <c r="E318" i="3"/>
  <c r="E317" i="3"/>
  <c r="E316" i="3"/>
  <c r="E313" i="3"/>
  <c r="E310" i="3"/>
  <c r="E309" i="3"/>
  <c r="E308" i="3"/>
  <c r="E306" i="3"/>
  <c r="E305" i="3"/>
  <c r="E304" i="3"/>
  <c r="E303" i="3"/>
  <c r="E302" i="3"/>
  <c r="E300" i="3"/>
  <c r="E299" i="3"/>
  <c r="E298" i="3"/>
  <c r="E297" i="3"/>
  <c r="E296" i="3"/>
  <c r="E294" i="3"/>
  <c r="E291" i="3"/>
  <c r="E290" i="3"/>
  <c r="E289" i="3"/>
  <c r="E288" i="3"/>
  <c r="E287" i="3"/>
  <c r="E284" i="3"/>
  <c r="E283" i="3"/>
  <c r="E282" i="3"/>
  <c r="E281" i="3"/>
  <c r="E278" i="3"/>
  <c r="E277" i="3"/>
  <c r="E276" i="3"/>
  <c r="E275" i="3"/>
  <c r="E271" i="3"/>
  <c r="E270" i="3"/>
  <c r="E269" i="3"/>
  <c r="E268" i="3"/>
  <c r="E267" i="3"/>
  <c r="E266" i="3"/>
  <c r="E265" i="3"/>
  <c r="E264" i="3"/>
  <c r="E263" i="3"/>
  <c r="E262" i="3"/>
  <c r="E261" i="3"/>
  <c r="E259" i="3"/>
  <c r="E258" i="3"/>
  <c r="E257" i="3"/>
  <c r="E256" i="3"/>
  <c r="E253" i="3"/>
  <c r="E252" i="3"/>
  <c r="E249" i="3"/>
  <c r="E248" i="3"/>
  <c r="E247" i="3"/>
  <c r="E246" i="3"/>
  <c r="E243" i="3"/>
  <c r="E242" i="3"/>
  <c r="E241" i="3"/>
  <c r="E240" i="3"/>
  <c r="E235" i="3"/>
  <c r="E234" i="3"/>
  <c r="E233" i="3"/>
  <c r="E232" i="3"/>
  <c r="E231" i="3"/>
  <c r="E230" i="3"/>
  <c r="E229" i="3"/>
  <c r="E228" i="3"/>
  <c r="E227" i="3"/>
  <c r="E226" i="3"/>
  <c r="E224" i="3"/>
  <c r="E223" i="3"/>
  <c r="E222" i="3"/>
  <c r="E221" i="3"/>
  <c r="C14" i="7" s="1"/>
  <c r="E218" i="3"/>
  <c r="E217" i="3"/>
  <c r="E216" i="3"/>
  <c r="E214" i="3"/>
  <c r="E213" i="3"/>
  <c r="E212" i="3"/>
  <c r="E211" i="3"/>
  <c r="E207" i="3"/>
  <c r="E206" i="3"/>
  <c r="E205" i="3"/>
  <c r="E204" i="3"/>
  <c r="E202" i="3"/>
  <c r="C85" i="6" s="1"/>
  <c r="E199" i="3"/>
  <c r="E198" i="3"/>
  <c r="E197" i="3"/>
  <c r="E195" i="3"/>
  <c r="E194" i="3"/>
  <c r="E193" i="3"/>
  <c r="E192" i="3"/>
  <c r="E191" i="3"/>
  <c r="E190" i="3"/>
  <c r="E189" i="3"/>
  <c r="E188" i="3"/>
  <c r="E187" i="3"/>
  <c r="E186" i="3"/>
  <c r="E183" i="3"/>
  <c r="E182" i="3"/>
  <c r="E178" i="3"/>
  <c r="E177" i="3"/>
  <c r="E176" i="3"/>
  <c r="E174" i="3"/>
  <c r="E172" i="3"/>
  <c r="E171" i="3"/>
  <c r="E170" i="3"/>
  <c r="E165" i="3"/>
  <c r="E164" i="3"/>
  <c r="E163" i="3"/>
  <c r="E162" i="3"/>
  <c r="E161" i="3"/>
  <c r="E160" i="3"/>
  <c r="E159" i="3"/>
  <c r="E158" i="3"/>
  <c r="E157" i="3"/>
  <c r="E156" i="3"/>
  <c r="E154" i="3"/>
  <c r="E153" i="3"/>
  <c r="E152" i="3"/>
  <c r="E151" i="3"/>
  <c r="C40" i="6" s="1"/>
  <c r="E148" i="3"/>
  <c r="E147" i="3"/>
  <c r="E146" i="3"/>
  <c r="E144" i="3"/>
  <c r="E143" i="3"/>
  <c r="E142" i="3"/>
  <c r="E141" i="3"/>
  <c r="E137" i="3"/>
  <c r="E136" i="3"/>
  <c r="E135" i="3"/>
  <c r="E134" i="3"/>
  <c r="E130" i="3"/>
  <c r="E129" i="3"/>
  <c r="E128" i="3"/>
  <c r="E127" i="3"/>
  <c r="E125" i="3"/>
  <c r="E124" i="3"/>
  <c r="E123" i="3"/>
  <c r="E122" i="3"/>
  <c r="E121" i="3"/>
  <c r="E120" i="3"/>
  <c r="E119" i="3"/>
  <c r="E118" i="3"/>
  <c r="E117" i="3"/>
  <c r="C17" i="6" s="1"/>
  <c r="E114" i="3"/>
  <c r="E113" i="3"/>
  <c r="E112" i="3"/>
  <c r="E109" i="3"/>
  <c r="E108" i="3"/>
  <c r="E107" i="3"/>
  <c r="E106" i="3"/>
  <c r="E102" i="3"/>
  <c r="E101" i="3"/>
  <c r="E100" i="3"/>
  <c r="C90" i="5" s="1"/>
  <c r="E96" i="3"/>
  <c r="E95" i="3"/>
  <c r="E94" i="3"/>
  <c r="E93" i="3"/>
  <c r="E92" i="3"/>
  <c r="E90" i="3"/>
  <c r="E89" i="3"/>
  <c r="E88" i="3"/>
  <c r="E87" i="3"/>
  <c r="E86" i="3"/>
  <c r="E83" i="3"/>
  <c r="E82" i="3"/>
  <c r="C75" i="5" s="1"/>
  <c r="E79" i="3"/>
  <c r="E78" i="3"/>
  <c r="E77" i="3"/>
  <c r="E73" i="3"/>
  <c r="E72" i="3"/>
  <c r="E71" i="3"/>
  <c r="E68" i="3"/>
  <c r="E67" i="3"/>
  <c r="E66" i="3"/>
  <c r="E65" i="3"/>
  <c r="E59" i="3"/>
  <c r="E58" i="3"/>
  <c r="E57" i="3"/>
  <c r="E55" i="3"/>
  <c r="E54" i="3"/>
  <c r="E53" i="3"/>
  <c r="E52" i="3"/>
  <c r="E51" i="3"/>
  <c r="E50" i="3"/>
  <c r="E48" i="3"/>
  <c r="E47" i="3"/>
  <c r="E46" i="3"/>
  <c r="E45" i="3"/>
  <c r="E41" i="3"/>
  <c r="E39" i="3"/>
  <c r="E38" i="3"/>
  <c r="E37" i="3"/>
  <c r="E36" i="3"/>
  <c r="E32" i="3"/>
  <c r="E31" i="3"/>
  <c r="E30" i="3"/>
  <c r="E27" i="3"/>
  <c r="E26" i="3"/>
  <c r="C31" i="5" s="1"/>
  <c r="E25" i="3"/>
  <c r="C32" i="5" s="1"/>
  <c r="E22" i="3"/>
  <c r="E19" i="3"/>
  <c r="E18" i="3"/>
  <c r="E17" i="3"/>
  <c r="E16" i="3"/>
  <c r="E15" i="3"/>
  <c r="E14" i="3"/>
  <c r="E13" i="3"/>
  <c r="E12" i="3"/>
  <c r="E11" i="3"/>
  <c r="E10" i="3"/>
  <c r="E7" i="3"/>
  <c r="E6" i="3"/>
  <c r="C17" i="5" s="1"/>
  <c r="I18" i="8" l="1"/>
  <c r="D57" i="8"/>
  <c r="T2" i="13"/>
  <c r="H57" i="8" s="1"/>
  <c r="I23" i="8"/>
  <c r="D62" i="8"/>
  <c r="T7" i="13"/>
  <c r="H62" i="8" s="1"/>
  <c r="F18" i="8"/>
  <c r="K22" i="8"/>
  <c r="K28" i="8"/>
  <c r="I50" i="8"/>
  <c r="R4" i="13"/>
  <c r="D59" i="8" s="1"/>
  <c r="F34" i="9"/>
  <c r="AD8" i="13"/>
  <c r="C23" i="8"/>
  <c r="E59" i="8"/>
  <c r="F29" i="9"/>
  <c r="F32" i="9"/>
  <c r="F33" i="9"/>
  <c r="H21" i="8"/>
  <c r="R6" i="13"/>
  <c r="T6" i="13" s="1"/>
  <c r="H61" i="8" s="1"/>
  <c r="R12" i="13"/>
  <c r="F26" i="9"/>
  <c r="C38" i="9"/>
  <c r="F30" i="9"/>
  <c r="F28" i="9"/>
  <c r="F36" i="9"/>
  <c r="H75" i="5"/>
  <c r="E72" i="5"/>
  <c r="F75" i="5"/>
  <c r="G75" i="5" s="1"/>
  <c r="E82" i="5"/>
  <c r="H90" i="5"/>
  <c r="F90" i="5"/>
  <c r="G90" i="5" s="1"/>
  <c r="I90" i="5" s="1"/>
  <c r="E13" i="5"/>
  <c r="H17" i="5"/>
  <c r="H32" i="5"/>
  <c r="D13" i="13" s="1"/>
  <c r="D14" i="8" s="1"/>
  <c r="F32" i="5"/>
  <c r="G32" i="5" s="1"/>
  <c r="I32" i="5" s="1"/>
  <c r="E27" i="5"/>
  <c r="H31" i="5"/>
  <c r="D12" i="13" s="1"/>
  <c r="D13" i="8" s="1"/>
  <c r="E28" i="5"/>
  <c r="F31" i="5"/>
  <c r="G31" i="5" s="1"/>
  <c r="I31" i="5" s="1"/>
  <c r="C22" i="7"/>
  <c r="C27" i="7"/>
  <c r="C32" i="7"/>
  <c r="C30" i="7"/>
  <c r="C31" i="7"/>
  <c r="C29" i="7"/>
  <c r="C24" i="7"/>
  <c r="C21" i="7"/>
  <c r="C26" i="7"/>
  <c r="C23" i="7"/>
  <c r="C28" i="7"/>
  <c r="C25" i="7"/>
  <c r="C16" i="5"/>
  <c r="C9" i="5"/>
  <c r="C7" i="5"/>
  <c r="C62" i="5"/>
  <c r="C55" i="5"/>
  <c r="C60" i="5"/>
  <c r="C53" i="5"/>
  <c r="C54" i="5"/>
  <c r="C58" i="5"/>
  <c r="C51" i="5"/>
  <c r="C56" i="5"/>
  <c r="C61" i="5"/>
  <c r="C59" i="5"/>
  <c r="C52" i="5"/>
  <c r="C57" i="5"/>
  <c r="C51" i="6"/>
  <c r="C56" i="6"/>
  <c r="C61" i="6"/>
  <c r="C54" i="6"/>
  <c r="C59" i="6"/>
  <c r="C52" i="6"/>
  <c r="C60" i="6"/>
  <c r="C58" i="6"/>
  <c r="C53" i="6"/>
  <c r="C55" i="6"/>
  <c r="C62" i="6"/>
  <c r="C57" i="6"/>
  <c r="E11" i="6"/>
  <c r="H17" i="6"/>
  <c r="F17" i="6"/>
  <c r="H85" i="6"/>
  <c r="E82" i="6"/>
  <c r="F85" i="6"/>
  <c r="G85" i="6" s="1"/>
  <c r="C47" i="5"/>
  <c r="C40" i="5"/>
  <c r="C46" i="5"/>
  <c r="C45" i="5"/>
  <c r="C38" i="5"/>
  <c r="C43" i="5"/>
  <c r="C36" i="5"/>
  <c r="C39" i="5"/>
  <c r="C41" i="5"/>
  <c r="C44" i="5"/>
  <c r="C37" i="5"/>
  <c r="C42" i="5"/>
  <c r="H40" i="6"/>
  <c r="E36" i="6"/>
  <c r="F40" i="6"/>
  <c r="G40" i="6" s="1"/>
  <c r="I40" i="6" s="1"/>
  <c r="E17" i="7"/>
  <c r="F14" i="7"/>
  <c r="I14" i="7"/>
  <c r="C12" i="6"/>
  <c r="C23" i="6"/>
  <c r="C66" i="6"/>
  <c r="C71" i="6"/>
  <c r="C76" i="6"/>
  <c r="C69" i="6"/>
  <c r="C74" i="6"/>
  <c r="C67" i="6"/>
  <c r="C75" i="6"/>
  <c r="C73" i="6"/>
  <c r="C67" i="7"/>
  <c r="C72" i="7"/>
  <c r="C77" i="7"/>
  <c r="C75" i="7"/>
  <c r="C76" i="7"/>
  <c r="C69" i="7"/>
  <c r="C74" i="7"/>
  <c r="C71" i="7"/>
  <c r="C70" i="7"/>
  <c r="C73" i="7"/>
  <c r="C68" i="7"/>
  <c r="C12" i="5"/>
  <c r="C27" i="5"/>
  <c r="C8" i="6"/>
  <c r="C42" i="6"/>
  <c r="C72" i="6"/>
  <c r="C87" i="6"/>
  <c r="C22" i="5"/>
  <c r="C68" i="5"/>
  <c r="C83" i="5"/>
  <c r="B63" i="8"/>
  <c r="B24" i="8"/>
  <c r="B9" i="8"/>
  <c r="C14" i="5"/>
  <c r="C29" i="5"/>
  <c r="C77" i="5"/>
  <c r="C92" i="5"/>
  <c r="C25" i="6"/>
  <c r="C32" i="6"/>
  <c r="C47" i="6"/>
  <c r="C77" i="6"/>
  <c r="C92" i="6"/>
  <c r="C24" i="5"/>
  <c r="D61" i="8"/>
  <c r="I22" i="8"/>
  <c r="B29" i="8"/>
  <c r="B14" i="8"/>
  <c r="B68" i="8"/>
  <c r="B51" i="8"/>
  <c r="C82" i="7"/>
  <c r="C87" i="7"/>
  <c r="C92" i="7"/>
  <c r="C90" i="7"/>
  <c r="C91" i="7"/>
  <c r="C84" i="7"/>
  <c r="C89" i="7"/>
  <c r="C81" i="7"/>
  <c r="C83" i="7"/>
  <c r="C85" i="7"/>
  <c r="C88" i="7"/>
  <c r="C22" i="6"/>
  <c r="G27" i="8"/>
  <c r="K27" i="8"/>
  <c r="C11" i="5"/>
  <c r="C26" i="5"/>
  <c r="C70" i="6"/>
  <c r="C7" i="7"/>
  <c r="C12" i="7"/>
  <c r="C17" i="7"/>
  <c r="C15" i="7"/>
  <c r="C16" i="7"/>
  <c r="C8" i="7"/>
  <c r="C6" i="7"/>
  <c r="C10" i="7"/>
  <c r="C11" i="7"/>
  <c r="C9" i="7"/>
  <c r="C52" i="7"/>
  <c r="C57" i="7"/>
  <c r="C62" i="7"/>
  <c r="C60" i="7"/>
  <c r="C61" i="7"/>
  <c r="C54" i="7"/>
  <c r="C59" i="7"/>
  <c r="C51" i="7"/>
  <c r="C53" i="7"/>
  <c r="C55" i="7"/>
  <c r="C58" i="7"/>
  <c r="C6" i="5"/>
  <c r="C21" i="5"/>
  <c r="C66" i="7"/>
  <c r="B43" i="8"/>
  <c r="I20" i="8"/>
  <c r="C21" i="6"/>
  <c r="C26" i="6"/>
  <c r="C31" i="6"/>
  <c r="C24" i="6"/>
  <c r="C29" i="6"/>
  <c r="C30" i="6"/>
  <c r="C28" i="6"/>
  <c r="C66" i="5"/>
  <c r="C71" i="5"/>
  <c r="C76" i="5"/>
  <c r="C69" i="5"/>
  <c r="C74" i="5"/>
  <c r="C73" i="5"/>
  <c r="C81" i="5"/>
  <c r="C86" i="5"/>
  <c r="C91" i="5"/>
  <c r="C84" i="5"/>
  <c r="C89" i="5"/>
  <c r="C88" i="5"/>
  <c r="C13" i="5"/>
  <c r="C28" i="5"/>
  <c r="C72" i="5"/>
  <c r="C87" i="5"/>
  <c r="C56" i="7"/>
  <c r="C81" i="6"/>
  <c r="C86" i="6"/>
  <c r="C91" i="6"/>
  <c r="C84" i="6"/>
  <c r="C89" i="6"/>
  <c r="C82" i="6"/>
  <c r="C90" i="6"/>
  <c r="C88" i="6"/>
  <c r="C36" i="6"/>
  <c r="C41" i="6"/>
  <c r="C46" i="6"/>
  <c r="C39" i="6"/>
  <c r="C44" i="6"/>
  <c r="C37" i="6"/>
  <c r="C45" i="6"/>
  <c r="C43" i="6"/>
  <c r="C8" i="5"/>
  <c r="C23" i="5"/>
  <c r="C10" i="6"/>
  <c r="H25" i="8"/>
  <c r="R9" i="13"/>
  <c r="B65" i="8"/>
  <c r="B48" i="8"/>
  <c r="B26" i="8"/>
  <c r="B11" i="8"/>
  <c r="C37" i="7"/>
  <c r="C42" i="7"/>
  <c r="C47" i="7"/>
  <c r="C45" i="7"/>
  <c r="C46" i="7"/>
  <c r="C44" i="7"/>
  <c r="C39" i="7"/>
  <c r="C36" i="7"/>
  <c r="C41" i="7"/>
  <c r="C38" i="7"/>
  <c r="C43" i="7"/>
  <c r="C40" i="7"/>
  <c r="C15" i="5"/>
  <c r="C30" i="5"/>
  <c r="C86" i="7"/>
  <c r="C6" i="6"/>
  <c r="C11" i="6"/>
  <c r="C16" i="6"/>
  <c r="C9" i="6"/>
  <c r="C14" i="6"/>
  <c r="C15" i="6"/>
  <c r="C13" i="6"/>
  <c r="C10" i="5"/>
  <c r="C25" i="5"/>
  <c r="C67" i="5"/>
  <c r="C70" i="5"/>
  <c r="C85" i="5"/>
  <c r="C7" i="6"/>
  <c r="C27" i="6"/>
  <c r="C38" i="6"/>
  <c r="C68" i="6"/>
  <c r="C83" i="6"/>
  <c r="C13" i="7"/>
  <c r="C82" i="5"/>
  <c r="B61" i="8"/>
  <c r="B41" i="8"/>
  <c r="B22" i="8"/>
  <c r="B7" i="8"/>
  <c r="K25" i="8"/>
  <c r="K44" i="8"/>
  <c r="E64" i="8"/>
  <c r="F35" i="9"/>
  <c r="C19" i="10"/>
  <c r="C15" i="10"/>
  <c r="B7" i="11" s="1"/>
  <c r="I7" i="11" s="1"/>
  <c r="J7" i="11" s="1"/>
  <c r="C18" i="10"/>
  <c r="C14" i="10"/>
  <c r="B6" i="11" s="1"/>
  <c r="I6" i="11" s="1"/>
  <c r="J6" i="11" s="1"/>
  <c r="C16" i="10"/>
  <c r="B8" i="11" s="1"/>
  <c r="I8" i="11" s="1"/>
  <c r="J8" i="11" s="1"/>
  <c r="C17" i="10"/>
  <c r="B9" i="11" s="1"/>
  <c r="I9" i="11" s="1"/>
  <c r="J9" i="11" s="1"/>
  <c r="D38" i="9"/>
  <c r="R3" i="13"/>
  <c r="K19" i="8"/>
  <c r="C19" i="8"/>
  <c r="E38" i="9"/>
  <c r="D21" i="8"/>
  <c r="R5" i="13"/>
  <c r="R11" i="13"/>
  <c r="R13" i="13"/>
  <c r="AD13" i="13"/>
  <c r="I51" i="8"/>
  <c r="B7" i="9"/>
  <c r="F37" i="9"/>
  <c r="H6" i="9"/>
  <c r="H7" i="9"/>
  <c r="R8" i="13"/>
  <c r="K24" i="8"/>
  <c r="R10" i="13"/>
  <c r="C26" i="8"/>
  <c r="H16" i="9"/>
  <c r="AD6" i="13"/>
  <c r="K18" i="8"/>
  <c r="K29" i="8"/>
  <c r="B12" i="8"/>
  <c r="B27" i="8"/>
  <c r="I28" i="8" l="1"/>
  <c r="T12" i="13"/>
  <c r="H67" i="8" s="1"/>
  <c r="D67" i="8"/>
  <c r="T4" i="13"/>
  <c r="H59" i="8" s="1"/>
  <c r="F38" i="9"/>
  <c r="H25" i="5"/>
  <c r="D6" i="13" s="1"/>
  <c r="D7" i="8" s="1"/>
  <c r="E22" i="5"/>
  <c r="F25" i="5"/>
  <c r="G25" i="5" s="1"/>
  <c r="I25" i="5" s="1"/>
  <c r="F74" i="7"/>
  <c r="I74" i="7"/>
  <c r="E76" i="7"/>
  <c r="E40" i="5"/>
  <c r="F44" i="5"/>
  <c r="G44" i="5" s="1"/>
  <c r="I44" i="5" s="1"/>
  <c r="H44" i="5"/>
  <c r="H67" i="5"/>
  <c r="F67" i="5"/>
  <c r="G67" i="5" s="1"/>
  <c r="I67" i="5" s="1"/>
  <c r="E77" i="5"/>
  <c r="E9" i="5"/>
  <c r="H15" i="5"/>
  <c r="I37" i="7"/>
  <c r="E36" i="7"/>
  <c r="F37" i="7"/>
  <c r="H45" i="6"/>
  <c r="E38" i="6"/>
  <c r="F45" i="6"/>
  <c r="G45" i="6" s="1"/>
  <c r="F91" i="6"/>
  <c r="G91" i="6" s="1"/>
  <c r="E83" i="6"/>
  <c r="H91" i="6"/>
  <c r="E91" i="5"/>
  <c r="F86" i="5"/>
  <c r="G86" i="5" s="1"/>
  <c r="H86" i="5"/>
  <c r="F31" i="6"/>
  <c r="G31" i="6" s="1"/>
  <c r="I31" i="6" s="1"/>
  <c r="E22" i="6"/>
  <c r="H31" i="6"/>
  <c r="I53" i="7"/>
  <c r="E52" i="7"/>
  <c r="F53" i="7"/>
  <c r="I6" i="7"/>
  <c r="F6" i="7"/>
  <c r="E9" i="7"/>
  <c r="F82" i="7"/>
  <c r="E81" i="7"/>
  <c r="I82" i="7"/>
  <c r="H47" i="6"/>
  <c r="F47" i="6"/>
  <c r="G47" i="6" s="1"/>
  <c r="E42" i="6"/>
  <c r="E70" i="5"/>
  <c r="H68" i="5"/>
  <c r="F68" i="5"/>
  <c r="G68" i="5" s="1"/>
  <c r="E73" i="7"/>
  <c r="I71" i="7"/>
  <c r="F71" i="7"/>
  <c r="E71" i="6"/>
  <c r="F69" i="6"/>
  <c r="G69" i="6" s="1"/>
  <c r="I69" i="6" s="1"/>
  <c r="H69" i="6"/>
  <c r="E36" i="5"/>
  <c r="H42" i="5"/>
  <c r="F42" i="5"/>
  <c r="G42" i="5" s="1"/>
  <c r="I42" i="5" s="1"/>
  <c r="I85" i="6"/>
  <c r="H52" i="6"/>
  <c r="F52" i="6"/>
  <c r="G52" i="6" s="1"/>
  <c r="E58" i="6"/>
  <c r="H58" i="5"/>
  <c r="F58" i="5"/>
  <c r="G58" i="5" s="1"/>
  <c r="I58" i="5" s="1"/>
  <c r="E51" i="5"/>
  <c r="F26" i="7"/>
  <c r="E28" i="7"/>
  <c r="I26" i="7"/>
  <c r="E41" i="6"/>
  <c r="H37" i="6"/>
  <c r="F37" i="6"/>
  <c r="G37" i="6" s="1"/>
  <c r="I37" i="6" s="1"/>
  <c r="E25" i="5"/>
  <c r="F22" i="5"/>
  <c r="G22" i="5" s="1"/>
  <c r="H22" i="5"/>
  <c r="D3" i="13" s="1"/>
  <c r="D4" i="8" s="1"/>
  <c r="E62" i="7"/>
  <c r="F59" i="7"/>
  <c r="I59" i="7"/>
  <c r="H82" i="5"/>
  <c r="F82" i="5"/>
  <c r="G82" i="5" s="1"/>
  <c r="E90" i="5"/>
  <c r="H26" i="6"/>
  <c r="E23" i="6"/>
  <c r="F26" i="6"/>
  <c r="G26" i="6" s="1"/>
  <c r="I26" i="6" s="1"/>
  <c r="H54" i="5"/>
  <c r="E61" i="5"/>
  <c r="F54" i="5"/>
  <c r="G54" i="5" s="1"/>
  <c r="I54" i="5" s="1"/>
  <c r="E32" i="6"/>
  <c r="H21" i="6"/>
  <c r="F21" i="6"/>
  <c r="G21" i="6" s="1"/>
  <c r="E61" i="6"/>
  <c r="F54" i="6"/>
  <c r="G54" i="6" s="1"/>
  <c r="H54" i="6"/>
  <c r="F39" i="6"/>
  <c r="G39" i="6" s="1"/>
  <c r="E44" i="6"/>
  <c r="H39" i="6"/>
  <c r="I76" i="7"/>
  <c r="E74" i="7"/>
  <c r="F76" i="7"/>
  <c r="F60" i="5"/>
  <c r="G60" i="5" s="1"/>
  <c r="I60" i="5" s="1"/>
  <c r="E55" i="5"/>
  <c r="H60" i="5"/>
  <c r="F29" i="7"/>
  <c r="I29" i="7"/>
  <c r="E31" i="7"/>
  <c r="T10" i="13"/>
  <c r="H65" i="8" s="1"/>
  <c r="D65" i="8"/>
  <c r="I26" i="8"/>
  <c r="T11" i="13"/>
  <c r="H66" i="8" s="1"/>
  <c r="D66" i="8"/>
  <c r="I27" i="8"/>
  <c r="I13" i="7"/>
  <c r="E10" i="7"/>
  <c r="F13" i="7"/>
  <c r="E6" i="6"/>
  <c r="H15" i="6"/>
  <c r="F15" i="6"/>
  <c r="E40" i="7"/>
  <c r="F41" i="7"/>
  <c r="I41" i="7"/>
  <c r="F46" i="6"/>
  <c r="G46" i="6" s="1"/>
  <c r="E43" i="6"/>
  <c r="H46" i="6"/>
  <c r="H87" i="5"/>
  <c r="F87" i="5"/>
  <c r="G87" i="5" s="1"/>
  <c r="I87" i="5" s="1"/>
  <c r="E83" i="5"/>
  <c r="E71" i="5"/>
  <c r="F69" i="5"/>
  <c r="G69" i="5" s="1"/>
  <c r="H69" i="5"/>
  <c r="I61" i="7"/>
  <c r="F61" i="7"/>
  <c r="E60" i="7"/>
  <c r="F17" i="7"/>
  <c r="I17" i="7"/>
  <c r="E14" i="7"/>
  <c r="I83" i="7"/>
  <c r="E84" i="7"/>
  <c r="F83" i="7"/>
  <c r="H77" i="5"/>
  <c r="E67" i="5"/>
  <c r="F77" i="5"/>
  <c r="G77" i="5" s="1"/>
  <c r="I77" i="5" s="1"/>
  <c r="E76" i="6"/>
  <c r="H72" i="6"/>
  <c r="F72" i="6"/>
  <c r="G72" i="6" s="1"/>
  <c r="I72" i="6" s="1"/>
  <c r="E77" i="7"/>
  <c r="F75" i="7"/>
  <c r="I75" i="7"/>
  <c r="E26" i="6"/>
  <c r="H23" i="6"/>
  <c r="F23" i="6"/>
  <c r="G23" i="6" s="1"/>
  <c r="H39" i="5"/>
  <c r="F39" i="5"/>
  <c r="G39" i="5" s="1"/>
  <c r="E47" i="5"/>
  <c r="E59" i="6"/>
  <c r="H56" i="6"/>
  <c r="F56" i="6"/>
  <c r="G56" i="6" s="1"/>
  <c r="I56" i="6" s="1"/>
  <c r="E60" i="5"/>
  <c r="H55" i="5"/>
  <c r="F55" i="5"/>
  <c r="G55" i="5" s="1"/>
  <c r="I55" i="5" s="1"/>
  <c r="I31" i="7"/>
  <c r="E29" i="7"/>
  <c r="F31" i="7"/>
  <c r="I8" i="7"/>
  <c r="F8" i="7"/>
  <c r="E7" i="7"/>
  <c r="E42" i="7"/>
  <c r="I43" i="7"/>
  <c r="F43" i="7"/>
  <c r="E67" i="7"/>
  <c r="I69" i="7"/>
  <c r="F69" i="7"/>
  <c r="I38" i="7"/>
  <c r="E39" i="7"/>
  <c r="F38" i="7"/>
  <c r="H87" i="6"/>
  <c r="E89" i="6"/>
  <c r="F87" i="6"/>
  <c r="G87" i="6" s="1"/>
  <c r="G17" i="6"/>
  <c r="I17" i="6" s="1"/>
  <c r="T5" i="13"/>
  <c r="H60" i="8" s="1"/>
  <c r="D60" i="8"/>
  <c r="I21" i="8"/>
  <c r="E91" i="6"/>
  <c r="F83" i="6"/>
  <c r="G83" i="6" s="1"/>
  <c r="I83" i="6" s="1"/>
  <c r="H83" i="6"/>
  <c r="H14" i="6"/>
  <c r="F14" i="6"/>
  <c r="E7" i="6"/>
  <c r="I36" i="7"/>
  <c r="E37" i="7"/>
  <c r="F36" i="7"/>
  <c r="T9" i="13"/>
  <c r="H64" i="8" s="1"/>
  <c r="I25" i="8"/>
  <c r="D64" i="8"/>
  <c r="E37" i="6"/>
  <c r="H41" i="6"/>
  <c r="F41" i="6"/>
  <c r="G41" i="6" s="1"/>
  <c r="H72" i="5"/>
  <c r="F72" i="5"/>
  <c r="G72" i="5" s="1"/>
  <c r="E75" i="5"/>
  <c r="F76" i="5"/>
  <c r="G76" i="5" s="1"/>
  <c r="E66" i="5"/>
  <c r="H76" i="5"/>
  <c r="F60" i="7"/>
  <c r="I60" i="7"/>
  <c r="E61" i="7"/>
  <c r="I12" i="7"/>
  <c r="F12" i="7"/>
  <c r="E11" i="7"/>
  <c r="I81" i="7"/>
  <c r="E82" i="7"/>
  <c r="F81" i="7"/>
  <c r="E24" i="5"/>
  <c r="H29" i="5"/>
  <c r="D10" i="13" s="1"/>
  <c r="D11" i="8" s="1"/>
  <c r="F29" i="5"/>
  <c r="G29" i="5" s="1"/>
  <c r="I29" i="5" s="1"/>
  <c r="H42" i="6"/>
  <c r="F42" i="6"/>
  <c r="G42" i="6" s="1"/>
  <c r="E47" i="6"/>
  <c r="F77" i="7"/>
  <c r="I77" i="7"/>
  <c r="E75" i="7"/>
  <c r="H12" i="6"/>
  <c r="E9" i="6"/>
  <c r="F12" i="6"/>
  <c r="H36" i="5"/>
  <c r="F36" i="5"/>
  <c r="G36" i="5" s="1"/>
  <c r="I36" i="5" s="1"/>
  <c r="E42" i="5"/>
  <c r="E57" i="6"/>
  <c r="H51" i="6"/>
  <c r="F51" i="6"/>
  <c r="G51" i="6" s="1"/>
  <c r="I51" i="6" s="1"/>
  <c r="H62" i="5"/>
  <c r="E53" i="5"/>
  <c r="F62" i="5"/>
  <c r="G62" i="5" s="1"/>
  <c r="E32" i="7"/>
  <c r="F30" i="7"/>
  <c r="I30" i="7"/>
  <c r="F40" i="7"/>
  <c r="E41" i="7"/>
  <c r="I40" i="7"/>
  <c r="H32" i="6"/>
  <c r="F32" i="6"/>
  <c r="G32" i="6" s="1"/>
  <c r="E21" i="6"/>
  <c r="I16" i="7"/>
  <c r="E15" i="7"/>
  <c r="F16" i="7"/>
  <c r="E57" i="7"/>
  <c r="I56" i="7"/>
  <c r="F56" i="7"/>
  <c r="E75" i="6"/>
  <c r="H66" i="6"/>
  <c r="F66" i="6"/>
  <c r="G66" i="6" s="1"/>
  <c r="I66" i="6" s="1"/>
  <c r="D63" i="8"/>
  <c r="I24" i="8"/>
  <c r="T8" i="13"/>
  <c r="H63" i="8" s="1"/>
  <c r="F68" i="6"/>
  <c r="G68" i="6" s="1"/>
  <c r="I68" i="6" s="1"/>
  <c r="E70" i="6"/>
  <c r="H68" i="6"/>
  <c r="F9" i="6"/>
  <c r="H9" i="6"/>
  <c r="E12" i="6"/>
  <c r="E38" i="7"/>
  <c r="F39" i="7"/>
  <c r="I39" i="7"/>
  <c r="E40" i="6"/>
  <c r="H36" i="6"/>
  <c r="F36" i="6"/>
  <c r="G36" i="6" s="1"/>
  <c r="I36" i="6" s="1"/>
  <c r="H28" i="5"/>
  <c r="D9" i="13" s="1"/>
  <c r="D10" i="8" s="1"/>
  <c r="F28" i="5"/>
  <c r="G28" i="5" s="1"/>
  <c r="I28" i="5" s="1"/>
  <c r="E31" i="5"/>
  <c r="E69" i="5"/>
  <c r="F71" i="5"/>
  <c r="G71" i="5" s="1"/>
  <c r="H71" i="5"/>
  <c r="F62" i="7"/>
  <c r="I62" i="7"/>
  <c r="E59" i="7"/>
  <c r="E8" i="7"/>
  <c r="I7" i="7"/>
  <c r="F7" i="7"/>
  <c r="F89" i="7"/>
  <c r="E90" i="7"/>
  <c r="I89" i="7"/>
  <c r="E8" i="5"/>
  <c r="F8" i="5" s="1"/>
  <c r="H14" i="5"/>
  <c r="E13" i="6"/>
  <c r="H8" i="6"/>
  <c r="F8" i="6"/>
  <c r="E70" i="7"/>
  <c r="F72" i="7"/>
  <c r="I72" i="7"/>
  <c r="H43" i="5"/>
  <c r="F43" i="5"/>
  <c r="G43" i="5" s="1"/>
  <c r="I43" i="5" s="1"/>
  <c r="E37" i="5"/>
  <c r="H57" i="6"/>
  <c r="F57" i="6"/>
  <c r="G57" i="6" s="1"/>
  <c r="I57" i="6" s="1"/>
  <c r="E51" i="6"/>
  <c r="H57" i="5"/>
  <c r="F57" i="5"/>
  <c r="G57" i="5" s="1"/>
  <c r="I57" i="5" s="1"/>
  <c r="E52" i="5"/>
  <c r="E11" i="5"/>
  <c r="F11" i="5" s="1"/>
  <c r="H7" i="5"/>
  <c r="F32" i="7"/>
  <c r="I32" i="7"/>
  <c r="E30" i="7"/>
  <c r="H86" i="6"/>
  <c r="F86" i="6"/>
  <c r="G86" i="6" s="1"/>
  <c r="I86" i="6" s="1"/>
  <c r="E81" i="6"/>
  <c r="F76" i="6"/>
  <c r="G76" i="6" s="1"/>
  <c r="E72" i="6"/>
  <c r="H76" i="6"/>
  <c r="E86" i="6"/>
  <c r="H81" i="6"/>
  <c r="F81" i="6"/>
  <c r="G81" i="6" s="1"/>
  <c r="I81" i="6" s="1"/>
  <c r="F24" i="7"/>
  <c r="E22" i="7"/>
  <c r="I24" i="7"/>
  <c r="H74" i="5"/>
  <c r="F74" i="5"/>
  <c r="G74" i="5" s="1"/>
  <c r="I74" i="5" s="1"/>
  <c r="E73" i="5"/>
  <c r="E45" i="5"/>
  <c r="H41" i="5"/>
  <c r="F41" i="5"/>
  <c r="G41" i="5" s="1"/>
  <c r="I41" i="5" s="1"/>
  <c r="F38" i="6"/>
  <c r="G38" i="6" s="1"/>
  <c r="E45" i="6"/>
  <c r="H38" i="6"/>
  <c r="F16" i="6"/>
  <c r="E10" i="6"/>
  <c r="H16" i="6"/>
  <c r="F44" i="7"/>
  <c r="E45" i="7"/>
  <c r="I44" i="7"/>
  <c r="F88" i="6"/>
  <c r="G88" i="6" s="1"/>
  <c r="E90" i="6"/>
  <c r="H88" i="6"/>
  <c r="H13" i="5"/>
  <c r="F13" i="5"/>
  <c r="E17" i="5"/>
  <c r="F17" i="5" s="1"/>
  <c r="E76" i="5"/>
  <c r="H66" i="5"/>
  <c r="F66" i="5"/>
  <c r="G66" i="5" s="1"/>
  <c r="I66" i="7"/>
  <c r="E68" i="7"/>
  <c r="F66" i="7"/>
  <c r="F57" i="7"/>
  <c r="I57" i="7"/>
  <c r="E56" i="7"/>
  <c r="E83" i="7"/>
  <c r="F84" i="7"/>
  <c r="I84" i="7"/>
  <c r="H27" i="5"/>
  <c r="D8" i="13" s="1"/>
  <c r="D9" i="8" s="1"/>
  <c r="F27" i="5"/>
  <c r="G27" i="5" s="1"/>
  <c r="I27" i="5" s="1"/>
  <c r="E32" i="5"/>
  <c r="E69" i="7"/>
  <c r="F67" i="7"/>
  <c r="I67" i="7"/>
  <c r="H14" i="7"/>
  <c r="G14" i="7"/>
  <c r="F38" i="5"/>
  <c r="G38" i="5" s="1"/>
  <c r="E46" i="5"/>
  <c r="H38" i="5"/>
  <c r="H62" i="6"/>
  <c r="F62" i="6"/>
  <c r="G62" i="6" s="1"/>
  <c r="I62" i="6" s="1"/>
  <c r="E53" i="6"/>
  <c r="F52" i="5"/>
  <c r="G52" i="5" s="1"/>
  <c r="I52" i="5" s="1"/>
  <c r="H52" i="5"/>
  <c r="E57" i="5"/>
  <c r="E15" i="5"/>
  <c r="F15" i="5" s="1"/>
  <c r="H9" i="5"/>
  <c r="F9" i="5"/>
  <c r="E25" i="7"/>
  <c r="F27" i="7"/>
  <c r="I27" i="7"/>
  <c r="E89" i="5"/>
  <c r="H81" i="5"/>
  <c r="F81" i="5"/>
  <c r="G81" i="5" s="1"/>
  <c r="I81" i="5" s="1"/>
  <c r="H59" i="6"/>
  <c r="E56" i="6"/>
  <c r="F59" i="6"/>
  <c r="G59" i="6" s="1"/>
  <c r="E74" i="5"/>
  <c r="F73" i="5"/>
  <c r="G73" i="5" s="1"/>
  <c r="H73" i="5"/>
  <c r="F53" i="5"/>
  <c r="G53" i="5" s="1"/>
  <c r="E62" i="5"/>
  <c r="H53" i="5"/>
  <c r="T13" i="13"/>
  <c r="H68" i="8" s="1"/>
  <c r="D68" i="8"/>
  <c r="I29" i="8"/>
  <c r="E51" i="7"/>
  <c r="F54" i="7"/>
  <c r="I54" i="7"/>
  <c r="F61" i="6"/>
  <c r="G61" i="6" s="1"/>
  <c r="I61" i="6" s="1"/>
  <c r="E54" i="6"/>
  <c r="H61" i="6"/>
  <c r="H27" i="6"/>
  <c r="F27" i="6"/>
  <c r="G27" i="6" s="1"/>
  <c r="E30" i="6"/>
  <c r="H11" i="6"/>
  <c r="F11" i="6"/>
  <c r="E17" i="6"/>
  <c r="E47" i="7"/>
  <c r="I46" i="7"/>
  <c r="F46" i="7"/>
  <c r="E16" i="6"/>
  <c r="H10" i="6"/>
  <c r="F10" i="6"/>
  <c r="H90" i="6"/>
  <c r="F90" i="6"/>
  <c r="G90" i="6" s="1"/>
  <c r="E88" i="6"/>
  <c r="E84" i="5"/>
  <c r="F88" i="5"/>
  <c r="G88" i="5" s="1"/>
  <c r="H88" i="5"/>
  <c r="E29" i="6"/>
  <c r="F28" i="6"/>
  <c r="G28" i="6" s="1"/>
  <c r="H28" i="6"/>
  <c r="H21" i="5"/>
  <c r="D2" i="13" s="1"/>
  <c r="D3" i="8" s="1"/>
  <c r="F21" i="5"/>
  <c r="G21" i="5" s="1"/>
  <c r="E26" i="5"/>
  <c r="E53" i="7"/>
  <c r="F52" i="7"/>
  <c r="I52" i="7"/>
  <c r="H70" i="6"/>
  <c r="E68" i="6"/>
  <c r="F70" i="6"/>
  <c r="G70" i="6" s="1"/>
  <c r="I70" i="6" s="1"/>
  <c r="E92" i="7"/>
  <c r="I91" i="7"/>
  <c r="F91" i="7"/>
  <c r="H12" i="5"/>
  <c r="E16" i="5"/>
  <c r="F16" i="5" s="1"/>
  <c r="F73" i="6"/>
  <c r="G73" i="6" s="1"/>
  <c r="I73" i="6" s="1"/>
  <c r="H73" i="6"/>
  <c r="E77" i="6"/>
  <c r="F45" i="5"/>
  <c r="G45" i="5" s="1"/>
  <c r="E41" i="5"/>
  <c r="H45" i="5"/>
  <c r="H55" i="6"/>
  <c r="E60" i="6"/>
  <c r="F55" i="6"/>
  <c r="G55" i="6" s="1"/>
  <c r="F59" i="5"/>
  <c r="G59" i="5" s="1"/>
  <c r="I59" i="5" s="1"/>
  <c r="H59" i="5"/>
  <c r="E56" i="5"/>
  <c r="H16" i="5"/>
  <c r="E12" i="5"/>
  <c r="F12" i="5" s="1"/>
  <c r="E24" i="7"/>
  <c r="I22" i="7"/>
  <c r="F22" i="7"/>
  <c r="E43" i="5"/>
  <c r="H37" i="5"/>
  <c r="F37" i="5"/>
  <c r="G37" i="5" s="1"/>
  <c r="I37" i="5" s="1"/>
  <c r="H44" i="6"/>
  <c r="F44" i="6"/>
  <c r="G44" i="6" s="1"/>
  <c r="E39" i="6"/>
  <c r="E69" i="6"/>
  <c r="H71" i="6"/>
  <c r="F71" i="6"/>
  <c r="G71" i="6" s="1"/>
  <c r="I71" i="6" s="1"/>
  <c r="F15" i="7"/>
  <c r="E16" i="7"/>
  <c r="I15" i="7"/>
  <c r="C16" i="11"/>
  <c r="C14" i="11"/>
  <c r="G15" i="11"/>
  <c r="G13" i="11"/>
  <c r="E15" i="11"/>
  <c r="E13" i="11"/>
  <c r="G16" i="11"/>
  <c r="F16" i="11"/>
  <c r="F14" i="11"/>
  <c r="E16" i="11"/>
  <c r="E14" i="11"/>
  <c r="D16" i="11"/>
  <c r="D14" i="11"/>
  <c r="G14" i="11"/>
  <c r="F13" i="11"/>
  <c r="D13" i="11"/>
  <c r="C13" i="11"/>
  <c r="F15" i="11"/>
  <c r="C15" i="11"/>
  <c r="D15" i="11"/>
  <c r="H7" i="6"/>
  <c r="E14" i="6"/>
  <c r="F7" i="6"/>
  <c r="H6" i="6"/>
  <c r="F6" i="6"/>
  <c r="E15" i="6"/>
  <c r="F45" i="7"/>
  <c r="I45" i="7"/>
  <c r="E44" i="7"/>
  <c r="E30" i="5"/>
  <c r="F23" i="5"/>
  <c r="G23" i="5" s="1"/>
  <c r="H23" i="5"/>
  <c r="D4" i="13" s="1"/>
  <c r="D5" i="8" s="1"/>
  <c r="H82" i="6"/>
  <c r="F82" i="6"/>
  <c r="G82" i="6" s="1"/>
  <c r="E85" i="6"/>
  <c r="H89" i="5"/>
  <c r="F89" i="5"/>
  <c r="G89" i="5" s="1"/>
  <c r="E81" i="5"/>
  <c r="E27" i="6"/>
  <c r="H30" i="6"/>
  <c r="F30" i="6"/>
  <c r="G30" i="6" s="1"/>
  <c r="I30" i="6" s="1"/>
  <c r="E10" i="5"/>
  <c r="F10" i="5" s="1"/>
  <c r="H6" i="5"/>
  <c r="E6" i="7"/>
  <c r="I9" i="7"/>
  <c r="F9" i="7"/>
  <c r="H26" i="5"/>
  <c r="D7" i="13" s="1"/>
  <c r="D8" i="8" s="1"/>
  <c r="F26" i="5"/>
  <c r="G26" i="5" s="1"/>
  <c r="E21" i="5"/>
  <c r="F90" i="7"/>
  <c r="E89" i="7"/>
  <c r="I90" i="7"/>
  <c r="H24" i="5"/>
  <c r="D5" i="13" s="1"/>
  <c r="D6" i="8" s="1"/>
  <c r="F24" i="5"/>
  <c r="G24" i="5" s="1"/>
  <c r="I24" i="5" s="1"/>
  <c r="E29" i="5"/>
  <c r="I68" i="7"/>
  <c r="E66" i="7"/>
  <c r="F68" i="7"/>
  <c r="H75" i="6"/>
  <c r="E66" i="6"/>
  <c r="F75" i="6"/>
  <c r="G75" i="6" s="1"/>
  <c r="E38" i="5"/>
  <c r="H46" i="5"/>
  <c r="F46" i="5"/>
  <c r="G46" i="5" s="1"/>
  <c r="I46" i="5" s="1"/>
  <c r="F53" i="6"/>
  <c r="G53" i="6" s="1"/>
  <c r="E62" i="6"/>
  <c r="H53" i="6"/>
  <c r="H61" i="5"/>
  <c r="E54" i="5"/>
  <c r="F61" i="5"/>
  <c r="G61" i="5" s="1"/>
  <c r="E27" i="7"/>
  <c r="F25" i="7"/>
  <c r="I25" i="7"/>
  <c r="I75" i="5"/>
  <c r="H10" i="9"/>
  <c r="H9" i="9"/>
  <c r="H12" i="9"/>
  <c r="H11" i="9"/>
  <c r="E31" i="6"/>
  <c r="H22" i="6"/>
  <c r="F22" i="6"/>
  <c r="G22" i="6" s="1"/>
  <c r="E6" i="5"/>
  <c r="F6" i="5" s="1"/>
  <c r="H10" i="5"/>
  <c r="E24" i="6"/>
  <c r="H25" i="6"/>
  <c r="F25" i="6"/>
  <c r="G25" i="6" s="1"/>
  <c r="F13" i="6"/>
  <c r="E8" i="6"/>
  <c r="H13" i="6"/>
  <c r="H92" i="5"/>
  <c r="E85" i="5"/>
  <c r="F92" i="5"/>
  <c r="G92" i="5" s="1"/>
  <c r="H85" i="5"/>
  <c r="E92" i="5"/>
  <c r="F85" i="5"/>
  <c r="G85" i="5" s="1"/>
  <c r="I85" i="5" s="1"/>
  <c r="E85" i="7"/>
  <c r="I86" i="7"/>
  <c r="F86" i="7"/>
  <c r="F47" i="7"/>
  <c r="I47" i="7"/>
  <c r="E46" i="7"/>
  <c r="E14" i="5"/>
  <c r="F14" i="5" s="1"/>
  <c r="H8" i="5"/>
  <c r="H89" i="6"/>
  <c r="F89" i="6"/>
  <c r="G89" i="6" s="1"/>
  <c r="I89" i="6" s="1"/>
  <c r="E87" i="6"/>
  <c r="F84" i="5"/>
  <c r="G84" i="5" s="1"/>
  <c r="H84" i="5"/>
  <c r="E88" i="5"/>
  <c r="H29" i="6"/>
  <c r="F29" i="6"/>
  <c r="G29" i="6" s="1"/>
  <c r="I29" i="6" s="1"/>
  <c r="E28" i="6"/>
  <c r="I58" i="7"/>
  <c r="E55" i="7"/>
  <c r="F58" i="7"/>
  <c r="E12" i="7"/>
  <c r="I11" i="7"/>
  <c r="F11" i="7"/>
  <c r="H11" i="5"/>
  <c r="E7" i="5"/>
  <c r="F7" i="5" s="1"/>
  <c r="F92" i="7"/>
  <c r="I92" i="7"/>
  <c r="E91" i="7"/>
  <c r="E84" i="6"/>
  <c r="H92" i="6"/>
  <c r="F92" i="6"/>
  <c r="G92" i="6" s="1"/>
  <c r="I73" i="7"/>
  <c r="F73" i="7"/>
  <c r="E71" i="7"/>
  <c r="H67" i="6"/>
  <c r="E74" i="6"/>
  <c r="F67" i="6"/>
  <c r="G67" i="6" s="1"/>
  <c r="I67" i="6" s="1"/>
  <c r="E44" i="5"/>
  <c r="H40" i="5"/>
  <c r="F40" i="5"/>
  <c r="G40" i="5" s="1"/>
  <c r="I40" i="5" s="1"/>
  <c r="E52" i="6"/>
  <c r="F58" i="6"/>
  <c r="G58" i="6" s="1"/>
  <c r="I58" i="6" s="1"/>
  <c r="H58" i="6"/>
  <c r="H56" i="5"/>
  <c r="F56" i="5"/>
  <c r="G56" i="5" s="1"/>
  <c r="I56" i="5" s="1"/>
  <c r="E59" i="5"/>
  <c r="I28" i="7"/>
  <c r="F28" i="7"/>
  <c r="E26" i="7"/>
  <c r="I51" i="7"/>
  <c r="E54" i="7"/>
  <c r="F51" i="7"/>
  <c r="I21" i="7"/>
  <c r="E23" i="7"/>
  <c r="F21" i="7"/>
  <c r="H15" i="9"/>
  <c r="H14" i="9"/>
  <c r="H13" i="9"/>
  <c r="E87" i="7"/>
  <c r="I88" i="7"/>
  <c r="F88" i="7"/>
  <c r="F85" i="7"/>
  <c r="I85" i="7"/>
  <c r="E86" i="7"/>
  <c r="T3" i="13"/>
  <c r="D58" i="8"/>
  <c r="I19" i="8"/>
  <c r="H70" i="5"/>
  <c r="E68" i="5"/>
  <c r="F70" i="5"/>
  <c r="G70" i="5" s="1"/>
  <c r="I70" i="5" s="1"/>
  <c r="F30" i="5"/>
  <c r="G30" i="5" s="1"/>
  <c r="E23" i="5"/>
  <c r="H30" i="5"/>
  <c r="D11" i="13" s="1"/>
  <c r="D12" i="8" s="1"/>
  <c r="F42" i="7"/>
  <c r="E43" i="7"/>
  <c r="I42" i="7"/>
  <c r="E46" i="6"/>
  <c r="F43" i="6"/>
  <c r="G43" i="6" s="1"/>
  <c r="I43" i="6" s="1"/>
  <c r="H43" i="6"/>
  <c r="F84" i="6"/>
  <c r="G84" i="6" s="1"/>
  <c r="H84" i="6"/>
  <c r="E92" i="6"/>
  <c r="F91" i="5"/>
  <c r="G91" i="5" s="1"/>
  <c r="E86" i="5"/>
  <c r="H91" i="5"/>
  <c r="F24" i="6"/>
  <c r="G24" i="6" s="1"/>
  <c r="H24" i="6"/>
  <c r="E25" i="6"/>
  <c r="F55" i="7"/>
  <c r="I55" i="7"/>
  <c r="E58" i="7"/>
  <c r="F10" i="7"/>
  <c r="E13" i="7"/>
  <c r="I10" i="7"/>
  <c r="F87" i="7"/>
  <c r="I87" i="7"/>
  <c r="E88" i="7"/>
  <c r="H77" i="6"/>
  <c r="F77" i="6"/>
  <c r="G77" i="6" s="1"/>
  <c r="I77" i="6" s="1"/>
  <c r="E73" i="6"/>
  <c r="E87" i="5"/>
  <c r="H83" i="5"/>
  <c r="F83" i="5"/>
  <c r="G83" i="5" s="1"/>
  <c r="E72" i="7"/>
  <c r="F70" i="7"/>
  <c r="I70" i="7"/>
  <c r="H74" i="6"/>
  <c r="F74" i="6"/>
  <c r="G74" i="6" s="1"/>
  <c r="I74" i="6" s="1"/>
  <c r="E67" i="6"/>
  <c r="E39" i="5"/>
  <c r="H47" i="5"/>
  <c r="F47" i="5"/>
  <c r="G47" i="5" s="1"/>
  <c r="I47" i="5" s="1"/>
  <c r="H60" i="6"/>
  <c r="F60" i="6"/>
  <c r="G60" i="6" s="1"/>
  <c r="E55" i="6"/>
  <c r="H51" i="5"/>
  <c r="E58" i="5"/>
  <c r="F51" i="5"/>
  <c r="G51" i="5" s="1"/>
  <c r="I51" i="5" s="1"/>
  <c r="I23" i="7"/>
  <c r="E21" i="7"/>
  <c r="F23" i="7"/>
  <c r="J3" i="13" l="1"/>
  <c r="J4" i="8" s="1"/>
  <c r="G7" i="5"/>
  <c r="I7" i="5" s="1"/>
  <c r="J6" i="13"/>
  <c r="J7" i="8" s="1"/>
  <c r="G10" i="5"/>
  <c r="I10" i="5" s="1"/>
  <c r="J8" i="13"/>
  <c r="J9" i="8" s="1"/>
  <c r="G12" i="5"/>
  <c r="I12" i="5" s="1"/>
  <c r="J11" i="13"/>
  <c r="J12" i="8" s="1"/>
  <c r="G15" i="5"/>
  <c r="I15" i="5" s="1"/>
  <c r="J10" i="13"/>
  <c r="J11" i="8" s="1"/>
  <c r="G14" i="5"/>
  <c r="I14" i="5" s="1"/>
  <c r="G55" i="7"/>
  <c r="H55" i="7"/>
  <c r="H12" i="7"/>
  <c r="G12" i="7"/>
  <c r="H7" i="7"/>
  <c r="G7" i="7"/>
  <c r="H47" i="7"/>
  <c r="G47" i="7"/>
  <c r="H84" i="7"/>
  <c r="G84" i="7"/>
  <c r="J9" i="13"/>
  <c r="J10" i="8" s="1"/>
  <c r="G13" i="5"/>
  <c r="I13" i="5" s="1"/>
  <c r="H72" i="7"/>
  <c r="G72" i="7"/>
  <c r="I32" i="6"/>
  <c r="I42" i="6"/>
  <c r="H75" i="7"/>
  <c r="G75" i="7"/>
  <c r="I22" i="5"/>
  <c r="I52" i="6"/>
  <c r="I68" i="5"/>
  <c r="H53" i="7"/>
  <c r="G53" i="7"/>
  <c r="I45" i="6"/>
  <c r="I23" i="5"/>
  <c r="H15" i="7"/>
  <c r="G15" i="7"/>
  <c r="H42" i="7"/>
  <c r="G42" i="7"/>
  <c r="H23" i="7"/>
  <c r="G23" i="7"/>
  <c r="H88" i="7"/>
  <c r="G88" i="7"/>
  <c r="H86" i="7"/>
  <c r="G86" i="7"/>
  <c r="I25" i="6"/>
  <c r="J12" i="13"/>
  <c r="J13" i="8" s="1"/>
  <c r="G16" i="5"/>
  <c r="I16" i="5" s="1"/>
  <c r="G52" i="7"/>
  <c r="H52" i="7"/>
  <c r="I90" i="6"/>
  <c r="I27" i="6"/>
  <c r="H27" i="7"/>
  <c r="G27" i="7"/>
  <c r="I38" i="6"/>
  <c r="H60" i="7"/>
  <c r="G60" i="7"/>
  <c r="H43" i="7"/>
  <c r="G43" i="7"/>
  <c r="H17" i="7"/>
  <c r="G17" i="7"/>
  <c r="I46" i="6"/>
  <c r="H59" i="7"/>
  <c r="G59" i="7"/>
  <c r="H24" i="7"/>
  <c r="G24" i="7"/>
  <c r="G6" i="7"/>
  <c r="H6" i="7"/>
  <c r="H76" i="7"/>
  <c r="G76" i="7"/>
  <c r="I24" i="6"/>
  <c r="C12" i="13"/>
  <c r="H87" i="7"/>
  <c r="G87" i="7"/>
  <c r="I91" i="5"/>
  <c r="I30" i="5"/>
  <c r="C7" i="13"/>
  <c r="I84" i="5"/>
  <c r="I75" i="6"/>
  <c r="S6" i="13"/>
  <c r="J22" i="8" s="1"/>
  <c r="G10" i="6"/>
  <c r="I10" i="6" s="1"/>
  <c r="J5" i="13"/>
  <c r="J6" i="8" s="1"/>
  <c r="G9" i="5"/>
  <c r="I9" i="5" s="1"/>
  <c r="H39" i="7"/>
  <c r="G39" i="7"/>
  <c r="S13" i="13"/>
  <c r="J29" i="8" s="1"/>
  <c r="G61" i="7"/>
  <c r="H61" i="7"/>
  <c r="H41" i="7"/>
  <c r="G41" i="7"/>
  <c r="G37" i="7"/>
  <c r="H37" i="7"/>
  <c r="H58" i="8"/>
  <c r="B6" i="9"/>
  <c r="G22" i="7"/>
  <c r="H22" i="7"/>
  <c r="I88" i="5"/>
  <c r="S7" i="13"/>
  <c r="J23" i="8" s="1"/>
  <c r="G11" i="6"/>
  <c r="I11" i="6" s="1"/>
  <c r="S12" i="13"/>
  <c r="J28" i="8" s="1"/>
  <c r="G16" i="6"/>
  <c r="I16" i="6" s="1"/>
  <c r="G32" i="7"/>
  <c r="H32" i="7"/>
  <c r="J13" i="13"/>
  <c r="J14" i="8" s="1"/>
  <c r="G17" i="5"/>
  <c r="G85" i="7"/>
  <c r="H85" i="7"/>
  <c r="J7" i="13"/>
  <c r="J8" i="8" s="1"/>
  <c r="G11" i="5"/>
  <c r="I11" i="5" s="1"/>
  <c r="H90" i="7"/>
  <c r="G90" i="7"/>
  <c r="B9" i="9"/>
  <c r="H11" i="7"/>
  <c r="G11" i="7"/>
  <c r="G25" i="7"/>
  <c r="H25" i="7"/>
  <c r="I26" i="5"/>
  <c r="I89" i="5"/>
  <c r="S2" i="13"/>
  <c r="J18" i="8" s="1"/>
  <c r="G6" i="6"/>
  <c r="I6" i="6" s="1"/>
  <c r="I44" i="6"/>
  <c r="I21" i="5"/>
  <c r="I73" i="5"/>
  <c r="H57" i="7"/>
  <c r="G57" i="7"/>
  <c r="I88" i="6"/>
  <c r="I76" i="6"/>
  <c r="H62" i="7"/>
  <c r="G62" i="7"/>
  <c r="G40" i="7"/>
  <c r="H40" i="7"/>
  <c r="I76" i="5"/>
  <c r="I87" i="6"/>
  <c r="I39" i="6"/>
  <c r="I47" i="6"/>
  <c r="J4" i="13"/>
  <c r="J5" i="8" s="1"/>
  <c r="G8" i="5"/>
  <c r="I8" i="5" s="1"/>
  <c r="H89" i="7"/>
  <c r="G89" i="7"/>
  <c r="I91" i="6"/>
  <c r="I38" i="5"/>
  <c r="C6" i="13"/>
  <c r="G66" i="7"/>
  <c r="H66" i="7"/>
  <c r="H56" i="7"/>
  <c r="G56" i="7"/>
  <c r="S8" i="13"/>
  <c r="J24" i="8" s="1"/>
  <c r="G12" i="6"/>
  <c r="I12" i="6" s="1"/>
  <c r="G81" i="7"/>
  <c r="H81" i="7"/>
  <c r="G8" i="7"/>
  <c r="H8" i="7"/>
  <c r="G15" i="6"/>
  <c r="I15" i="6" s="1"/>
  <c r="S11" i="13"/>
  <c r="J27" i="8" s="1"/>
  <c r="H74" i="7"/>
  <c r="G74" i="7"/>
  <c r="H71" i="7"/>
  <c r="G71" i="7"/>
  <c r="H69" i="7"/>
  <c r="G69" i="7"/>
  <c r="I53" i="6"/>
  <c r="I45" i="5"/>
  <c r="B8" i="9"/>
  <c r="H45" i="7"/>
  <c r="G45" i="7"/>
  <c r="G70" i="7"/>
  <c r="H70" i="7"/>
  <c r="I84" i="6"/>
  <c r="I61" i="5"/>
  <c r="H68" i="7"/>
  <c r="G68" i="7"/>
  <c r="H9" i="7"/>
  <c r="G9" i="7"/>
  <c r="S3" i="13"/>
  <c r="J19" i="8" s="1"/>
  <c r="G7" i="6"/>
  <c r="I7" i="6" s="1"/>
  <c r="I55" i="6"/>
  <c r="G91" i="7"/>
  <c r="H91" i="7"/>
  <c r="H46" i="7"/>
  <c r="G46" i="7"/>
  <c r="I59" i="6"/>
  <c r="G67" i="7"/>
  <c r="H67" i="7"/>
  <c r="C10" i="13"/>
  <c r="I71" i="5"/>
  <c r="H30" i="7"/>
  <c r="G30" i="7"/>
  <c r="I72" i="5"/>
  <c r="S10" i="13"/>
  <c r="J26" i="8" s="1"/>
  <c r="G14" i="6"/>
  <c r="I14" i="6" s="1"/>
  <c r="I39" i="5"/>
  <c r="I69" i="5"/>
  <c r="I54" i="6"/>
  <c r="I82" i="5"/>
  <c r="C11" i="13"/>
  <c r="G51" i="7"/>
  <c r="H51" i="7"/>
  <c r="H28" i="7"/>
  <c r="G28" i="7"/>
  <c r="H73" i="7"/>
  <c r="G73" i="7"/>
  <c r="G10" i="7"/>
  <c r="H10" i="7"/>
  <c r="I83" i="5"/>
  <c r="G21" i="7"/>
  <c r="H21" i="7"/>
  <c r="I92" i="6"/>
  <c r="H58" i="7"/>
  <c r="G58" i="7"/>
  <c r="I92" i="5"/>
  <c r="I22" i="6"/>
  <c r="I82" i="6"/>
  <c r="I28" i="6"/>
  <c r="H54" i="7"/>
  <c r="G54" i="7"/>
  <c r="H44" i="7"/>
  <c r="G44" i="7"/>
  <c r="S5" i="13"/>
  <c r="J21" i="8" s="1"/>
  <c r="G9" i="6"/>
  <c r="I9" i="6" s="1"/>
  <c r="H38" i="7"/>
  <c r="G38" i="7"/>
  <c r="H29" i="7"/>
  <c r="G29" i="7"/>
  <c r="H26" i="7"/>
  <c r="G26" i="7"/>
  <c r="I86" i="5"/>
  <c r="G6" i="5"/>
  <c r="I6" i="5" s="1"/>
  <c r="J2" i="13"/>
  <c r="J3" i="8" s="1"/>
  <c r="H77" i="7"/>
  <c r="G77" i="7"/>
  <c r="H92" i="7"/>
  <c r="G92" i="7"/>
  <c r="S9" i="13"/>
  <c r="J25" i="8" s="1"/>
  <c r="G13" i="6"/>
  <c r="I13" i="6" s="1"/>
  <c r="I53" i="5"/>
  <c r="S4" i="13"/>
  <c r="J20" i="8" s="1"/>
  <c r="G8" i="6"/>
  <c r="I8" i="6" s="1"/>
  <c r="G36" i="7"/>
  <c r="H36" i="7"/>
  <c r="I60" i="6"/>
  <c r="I66" i="5"/>
  <c r="H16" i="7"/>
  <c r="G16" i="7"/>
  <c r="I62" i="5"/>
  <c r="I41" i="6"/>
  <c r="H31" i="7"/>
  <c r="G31" i="7"/>
  <c r="I23" i="6"/>
  <c r="H83" i="7"/>
  <c r="G83" i="7"/>
  <c r="H13" i="7"/>
  <c r="G13" i="7"/>
  <c r="I21" i="6"/>
  <c r="G82" i="7"/>
  <c r="H82" i="7"/>
  <c r="C8" i="13" l="1"/>
  <c r="I8" i="13" s="1"/>
  <c r="C4" i="13"/>
  <c r="C3" i="13"/>
  <c r="C5" i="13"/>
  <c r="I11" i="13"/>
  <c r="C12" i="8"/>
  <c r="K12" i="8"/>
  <c r="C6" i="8"/>
  <c r="I5" i="13"/>
  <c r="K6" i="8"/>
  <c r="C9" i="13"/>
  <c r="K8" i="8"/>
  <c r="I7" i="13"/>
  <c r="C8" i="8"/>
  <c r="C9" i="8"/>
  <c r="I17" i="5"/>
  <c r="C13" i="13"/>
  <c r="C2" i="13"/>
  <c r="K4" i="8"/>
  <c r="I3" i="13"/>
  <c r="C4" i="8"/>
  <c r="I6" i="13"/>
  <c r="K7" i="8"/>
  <c r="C7" i="8"/>
  <c r="K13" i="8"/>
  <c r="I12" i="13"/>
  <c r="C13" i="8"/>
  <c r="I10" i="13"/>
  <c r="C11" i="8"/>
  <c r="K11" i="8"/>
  <c r="I4" i="13"/>
  <c r="C5" i="8"/>
  <c r="K5" i="8"/>
  <c r="K9" i="8" l="1"/>
  <c r="I8" i="8"/>
  <c r="C62" i="8"/>
  <c r="K7" i="13"/>
  <c r="G62" i="8" s="1"/>
  <c r="AE7" i="13"/>
  <c r="K10" i="8"/>
  <c r="C10" i="8"/>
  <c r="I9" i="13"/>
  <c r="AE8" i="13"/>
  <c r="C63" i="8"/>
  <c r="I9" i="8"/>
  <c r="K8" i="13"/>
  <c r="G63" i="8" s="1"/>
  <c r="AE5" i="13"/>
  <c r="C60" i="8"/>
  <c r="K5" i="13"/>
  <c r="G60" i="8" s="1"/>
  <c r="I6" i="8"/>
  <c r="K14" i="8"/>
  <c r="I13" i="13"/>
  <c r="C14" i="8"/>
  <c r="K4" i="13"/>
  <c r="G59" i="8" s="1"/>
  <c r="AE4" i="13"/>
  <c r="C59" i="8"/>
  <c r="I5" i="8"/>
  <c r="AE10" i="13"/>
  <c r="C65" i="8"/>
  <c r="K10" i="13"/>
  <c r="G65" i="8" s="1"/>
  <c r="I11" i="8"/>
  <c r="AE6" i="13"/>
  <c r="I7" i="8"/>
  <c r="K6" i="13"/>
  <c r="G61" i="8" s="1"/>
  <c r="C61" i="8"/>
  <c r="C58" i="8"/>
  <c r="AE3" i="13"/>
  <c r="K3" i="13"/>
  <c r="G58" i="8" s="1"/>
  <c r="I4" i="8"/>
  <c r="I2" i="13"/>
  <c r="K3" i="8"/>
  <c r="C3" i="8"/>
  <c r="K12" i="13"/>
  <c r="G67" i="8" s="1"/>
  <c r="AE12" i="13"/>
  <c r="C67" i="8"/>
  <c r="I13" i="8"/>
  <c r="C66" i="8"/>
  <c r="K11" i="13"/>
  <c r="G66" i="8" s="1"/>
  <c r="I12" i="8"/>
  <c r="AE11" i="13"/>
  <c r="F58" i="8" l="1"/>
  <c r="AF3" i="13"/>
  <c r="I41" i="9"/>
  <c r="I42" i="9"/>
  <c r="F59" i="8"/>
  <c r="AF4" i="13"/>
  <c r="I46" i="9"/>
  <c r="F63" i="8"/>
  <c r="AF8" i="13"/>
  <c r="I3" i="8"/>
  <c r="K2" i="13"/>
  <c r="AE2" i="13"/>
  <c r="C57" i="8"/>
  <c r="AE13" i="13"/>
  <c r="C68" i="8"/>
  <c r="K13" i="13"/>
  <c r="G68" i="8" s="1"/>
  <c r="I14" i="8"/>
  <c r="I45" i="9"/>
  <c r="F62" i="8"/>
  <c r="AF7" i="13"/>
  <c r="K9" i="13"/>
  <c r="G64" i="8" s="1"/>
  <c r="AE9" i="13"/>
  <c r="C64" i="8"/>
  <c r="I10" i="8"/>
  <c r="I50" i="9"/>
  <c r="AF12" i="13"/>
  <c r="F67" i="8"/>
  <c r="AF5" i="13"/>
  <c r="I43" i="9"/>
  <c r="F60" i="8"/>
  <c r="I48" i="9"/>
  <c r="AF10" i="13"/>
  <c r="F65" i="8"/>
  <c r="F66" i="8"/>
  <c r="AF11" i="13"/>
  <c r="I49" i="9"/>
  <c r="F61" i="8"/>
  <c r="AF6" i="13"/>
  <c r="I44" i="9"/>
  <c r="AF9" i="13" l="1"/>
  <c r="I47" i="9"/>
  <c r="F64" i="8"/>
  <c r="F57" i="8"/>
  <c r="I40" i="9"/>
  <c r="AF2" i="13"/>
  <c r="B5" i="9"/>
  <c r="G57" i="8"/>
  <c r="AF13" i="13"/>
  <c r="I51" i="9"/>
  <c r="F68" i="8"/>
  <c r="F5" i="9" l="1"/>
  <c r="E5" i="9"/>
  <c r="B17" i="9" l="1"/>
  <c r="B5" i="10" s="1"/>
  <c r="B14" i="10" s="1"/>
  <c r="A6" i="11" s="1"/>
  <c r="E6" i="9"/>
  <c r="B18" i="9" l="1"/>
  <c r="B6" i="10" s="1"/>
  <c r="B15" i="10" s="1"/>
  <c r="A7" i="11" s="1"/>
  <c r="F6" i="9"/>
  <c r="E7" i="9"/>
  <c r="E8" i="9" s="1"/>
  <c r="A22" i="11"/>
  <c r="B13" i="11"/>
  <c r="B20" i="9" l="1"/>
  <c r="B8" i="10" s="1"/>
  <c r="B17" i="10" s="1"/>
  <c r="A9" i="11" s="1"/>
  <c r="F8" i="9"/>
  <c r="E9" i="9"/>
  <c r="J45" i="9" s="1"/>
  <c r="K45" i="9" s="1"/>
  <c r="F7" i="9"/>
  <c r="B19" i="9"/>
  <c r="B7" i="10" s="1"/>
  <c r="B16" i="10" s="1"/>
  <c r="A8" i="11" s="1"/>
  <c r="A23" i="11"/>
  <c r="B14" i="11"/>
  <c r="J46" i="9" l="1"/>
  <c r="K46" i="9" s="1"/>
  <c r="J49" i="9"/>
  <c r="K49" i="9" s="1"/>
  <c r="J42" i="9"/>
  <c r="K42" i="9" s="1"/>
  <c r="A24" i="11"/>
  <c r="B15" i="11"/>
  <c r="F9" i="9"/>
  <c r="B21" i="9"/>
  <c r="B9" i="10" s="1"/>
  <c r="B18" i="10" s="1"/>
  <c r="J41" i="9"/>
  <c r="K41" i="9" s="1"/>
  <c r="J47" i="9"/>
  <c r="K47" i="9" s="1"/>
  <c r="J51" i="9"/>
  <c r="K51" i="9" s="1"/>
  <c r="J50" i="9"/>
  <c r="K50" i="9" s="1"/>
  <c r="J44" i="9"/>
  <c r="K44" i="9" s="1"/>
  <c r="J48" i="9"/>
  <c r="K48" i="9" s="1"/>
  <c r="J43" i="9"/>
  <c r="K43" i="9" s="1"/>
  <c r="J40" i="9"/>
  <c r="K40" i="9" s="1"/>
  <c r="A25" i="11"/>
  <c r="B16" i="1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<sst xmlns="http://schemas.openxmlformats.org/spreadsheetml/2006/main" count="3395" uniqueCount="346">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</sst>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12" borderId="0" xfId="0" applyFont="1" applyFill="1"/>
    <xf numFmtId="0" fontId="1" fillId="11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6" fillId="5" borderId="1" xfId="0" applyFont="1" applyFill="1" applyBorder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1" fillId="2" borderId="0" xfId="0" applyFont="1" applyFill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J26" sqref="J26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5" t="s">
        <v>0</v>
      </c>
      <c r="B1" s="5"/>
      <c r="C1" s="5"/>
      <c r="D1" s="5"/>
    </row>
    <row r="2" spans="1:4" ht="15" customHeight="1" x14ac:dyDescent="0.25">
      <c r="A2" s="9" t="s">
        <v>1</v>
      </c>
      <c r="B2" s="9" t="s">
        <v>2</v>
      </c>
      <c r="C2" s="9" t="s">
        <v>3</v>
      </c>
      <c r="D2" s="9" t="s">
        <v>4</v>
      </c>
    </row>
    <row r="3" spans="1:4" ht="15" customHeight="1" x14ac:dyDescent="0.25">
      <c r="A3">
        <v>1</v>
      </c>
      <c r="B3" s="10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10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10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10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10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10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10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10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10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10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10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10" t="s">
        <v>22</v>
      </c>
      <c r="C14" t="s">
        <v>18</v>
      </c>
      <c r="D14" t="s">
        <v>19</v>
      </c>
    </row>
    <row r="16" spans="1:4" ht="15" customHeight="1" x14ac:dyDescent="0.25">
      <c r="A16" s="11" t="s">
        <v>23</v>
      </c>
      <c r="B16" s="10">
        <v>1</v>
      </c>
    </row>
    <row r="17" spans="1:1" ht="15" customHeight="1" x14ac:dyDescent="0.25">
      <c r="A17" s="12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4" t="s">
        <v>25</v>
      </c>
      <c r="B1" s="4"/>
      <c r="C1" s="4"/>
      <c r="D1" s="4"/>
      <c r="E1" s="4"/>
      <c r="F1" s="4"/>
    </row>
    <row r="2" spans="1:6" ht="15" customHeight="1" x14ac:dyDescent="0.25">
      <c r="A2" s="11" t="s">
        <v>26</v>
      </c>
    </row>
    <row r="3" spans="1:6" ht="15" customHeight="1" x14ac:dyDescent="0.25">
      <c r="A3" s="9" t="s">
        <v>27</v>
      </c>
      <c r="B3" s="9" t="s">
        <v>28</v>
      </c>
      <c r="C3" s="9" t="s">
        <v>29</v>
      </c>
      <c r="D3" s="9" t="s">
        <v>30</v>
      </c>
      <c r="E3" s="9" t="s">
        <v>28</v>
      </c>
      <c r="F3" s="9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11" t="s">
        <v>31</v>
      </c>
    </row>
    <row r="12" spans="1:6" ht="15" customHeight="1" x14ac:dyDescent="0.25">
      <c r="A12" s="9" t="s">
        <v>27</v>
      </c>
      <c r="B12" s="9" t="s">
        <v>28</v>
      </c>
      <c r="C12" s="9" t="s">
        <v>29</v>
      </c>
      <c r="D12" s="9" t="s">
        <v>30</v>
      </c>
      <c r="E12" s="9" t="s">
        <v>28</v>
      </c>
      <c r="F12" s="9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11" t="s">
        <v>32</v>
      </c>
    </row>
    <row r="21" spans="1:6" ht="15" customHeight="1" x14ac:dyDescent="0.25">
      <c r="A21" s="9" t="s">
        <v>27</v>
      </c>
      <c r="B21" s="9" t="s">
        <v>28</v>
      </c>
      <c r="C21" s="9" t="s">
        <v>29</v>
      </c>
      <c r="D21" s="9" t="s">
        <v>30</v>
      </c>
      <c r="E21" s="9" t="s">
        <v>28</v>
      </c>
      <c r="F21" s="9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11" t="s">
        <v>33</v>
      </c>
    </row>
    <row r="30" spans="1:6" ht="15" customHeight="1" x14ac:dyDescent="0.25">
      <c r="A30" s="9" t="s">
        <v>27</v>
      </c>
      <c r="B30" s="9" t="s">
        <v>28</v>
      </c>
      <c r="C30" s="9" t="s">
        <v>29</v>
      </c>
      <c r="D30" s="9" t="s">
        <v>30</v>
      </c>
      <c r="E30" s="9" t="s">
        <v>28</v>
      </c>
      <c r="F30" s="9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11" t="s">
        <v>34</v>
      </c>
    </row>
    <row r="39" spans="1:6" ht="15" customHeight="1" x14ac:dyDescent="0.25">
      <c r="A39" s="9" t="s">
        <v>27</v>
      </c>
      <c r="B39" s="9" t="s">
        <v>28</v>
      </c>
      <c r="C39" s="9" t="s">
        <v>29</v>
      </c>
      <c r="D39" s="9" t="s">
        <v>30</v>
      </c>
      <c r="E39" s="9" t="s">
        <v>28</v>
      </c>
      <c r="F39" s="9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11" t="s">
        <v>35</v>
      </c>
    </row>
    <row r="48" spans="1:6" ht="15" customHeight="1" x14ac:dyDescent="0.25">
      <c r="A48" s="9" t="s">
        <v>27</v>
      </c>
      <c r="B48" s="9" t="s">
        <v>28</v>
      </c>
      <c r="C48" s="9" t="s">
        <v>29</v>
      </c>
      <c r="D48" s="9" t="s">
        <v>30</v>
      </c>
      <c r="E48" s="9" t="s">
        <v>28</v>
      </c>
      <c r="F48" s="9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4" t="s">
        <v>36</v>
      </c>
      <c r="B56" s="4"/>
      <c r="C56" s="4"/>
      <c r="D56" s="4"/>
      <c r="E56" s="4"/>
      <c r="F56" s="4"/>
    </row>
    <row r="57" spans="1:6" ht="15" customHeight="1" x14ac:dyDescent="0.25">
      <c r="A57" s="11" t="s">
        <v>37</v>
      </c>
    </row>
    <row r="58" spans="1:6" ht="15" customHeight="1" x14ac:dyDescent="0.25">
      <c r="A58" s="9" t="s">
        <v>27</v>
      </c>
      <c r="B58" s="9" t="s">
        <v>28</v>
      </c>
      <c r="C58" s="9" t="s">
        <v>29</v>
      </c>
      <c r="D58" s="9" t="s">
        <v>30</v>
      </c>
      <c r="E58" s="9" t="s">
        <v>28</v>
      </c>
      <c r="F58" s="9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11" t="s">
        <v>38</v>
      </c>
    </row>
    <row r="67" spans="1:6" ht="15" customHeight="1" x14ac:dyDescent="0.25">
      <c r="A67" s="9" t="s">
        <v>27</v>
      </c>
      <c r="B67" s="9" t="s">
        <v>28</v>
      </c>
      <c r="C67" s="9" t="s">
        <v>29</v>
      </c>
      <c r="D67" s="9" t="s">
        <v>30</v>
      </c>
      <c r="E67" s="9" t="s">
        <v>28</v>
      </c>
      <c r="F67" s="9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11" t="s">
        <v>39</v>
      </c>
    </row>
    <row r="76" spans="1:6" ht="15" customHeight="1" x14ac:dyDescent="0.25">
      <c r="A76" s="9" t="s">
        <v>27</v>
      </c>
      <c r="B76" s="9" t="s">
        <v>28</v>
      </c>
      <c r="C76" s="9" t="s">
        <v>29</v>
      </c>
      <c r="D76" s="9" t="s">
        <v>30</v>
      </c>
      <c r="E76" s="9" t="s">
        <v>28</v>
      </c>
      <c r="F76" s="9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11" t="s">
        <v>40</v>
      </c>
    </row>
    <row r="85" spans="1:6" ht="15" customHeight="1" x14ac:dyDescent="0.25">
      <c r="A85" s="9" t="s">
        <v>27</v>
      </c>
      <c r="B85" s="9" t="s">
        <v>28</v>
      </c>
      <c r="C85" s="9" t="s">
        <v>29</v>
      </c>
      <c r="D85" s="9" t="s">
        <v>30</v>
      </c>
      <c r="E85" s="9" t="s">
        <v>28</v>
      </c>
      <c r="F85" s="9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11" t="s">
        <v>41</v>
      </c>
    </row>
    <row r="94" spans="1:6" ht="15" customHeight="1" x14ac:dyDescent="0.25">
      <c r="A94" s="9" t="s">
        <v>27</v>
      </c>
      <c r="B94" s="9" t="s">
        <v>28</v>
      </c>
      <c r="C94" s="9" t="s">
        <v>29</v>
      </c>
      <c r="D94" s="9" t="s">
        <v>30</v>
      </c>
      <c r="E94" s="9" t="s">
        <v>28</v>
      </c>
      <c r="F94" s="9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11" t="s">
        <v>42</v>
      </c>
    </row>
    <row r="103" spans="1:6" ht="15" customHeight="1" x14ac:dyDescent="0.25">
      <c r="A103" s="9" t="s">
        <v>27</v>
      </c>
      <c r="B103" s="9" t="s">
        <v>28</v>
      </c>
      <c r="C103" s="9" t="s">
        <v>29</v>
      </c>
      <c r="D103" s="9" t="s">
        <v>30</v>
      </c>
      <c r="E103" s="9" t="s">
        <v>28</v>
      </c>
      <c r="F103" s="9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4" t="s">
        <v>43</v>
      </c>
      <c r="B111" s="4"/>
      <c r="C111" s="4"/>
      <c r="D111" s="4"/>
      <c r="E111" s="4"/>
      <c r="F111" s="4"/>
    </row>
    <row r="112" spans="1:6" ht="15" customHeight="1" x14ac:dyDescent="0.25">
      <c r="A112" s="11" t="s">
        <v>44</v>
      </c>
    </row>
    <row r="113" spans="1:6" ht="15" customHeight="1" x14ac:dyDescent="0.25">
      <c r="A113" s="9" t="s">
        <v>27</v>
      </c>
      <c r="B113" s="9" t="s">
        <v>28</v>
      </c>
      <c r="C113" s="9" t="s">
        <v>29</v>
      </c>
      <c r="D113" s="9" t="s">
        <v>30</v>
      </c>
      <c r="E113" s="9" t="s">
        <v>28</v>
      </c>
      <c r="F113" s="9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11" t="s">
        <v>45</v>
      </c>
    </row>
    <row r="122" spans="1:6" ht="15" customHeight="1" x14ac:dyDescent="0.25">
      <c r="A122" s="9" t="s">
        <v>27</v>
      </c>
      <c r="B122" s="9" t="s">
        <v>28</v>
      </c>
      <c r="C122" s="9" t="s">
        <v>29</v>
      </c>
      <c r="D122" s="9" t="s">
        <v>30</v>
      </c>
      <c r="E122" s="9" t="s">
        <v>28</v>
      </c>
      <c r="F122" s="9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11" t="s">
        <v>46</v>
      </c>
    </row>
    <row r="131" spans="1:6" ht="15" customHeight="1" x14ac:dyDescent="0.25">
      <c r="A131" s="9" t="s">
        <v>27</v>
      </c>
      <c r="B131" s="9" t="s">
        <v>28</v>
      </c>
      <c r="C131" s="9" t="s">
        <v>29</v>
      </c>
      <c r="D131" s="9" t="s">
        <v>30</v>
      </c>
      <c r="E131" s="9" t="s">
        <v>28</v>
      </c>
      <c r="F131" s="9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11" t="s">
        <v>47</v>
      </c>
    </row>
    <row r="140" spans="1:6" ht="15" customHeight="1" x14ac:dyDescent="0.25">
      <c r="A140" s="9" t="s">
        <v>27</v>
      </c>
      <c r="B140" s="9" t="s">
        <v>28</v>
      </c>
      <c r="C140" s="9" t="s">
        <v>29</v>
      </c>
      <c r="D140" s="9" t="s">
        <v>30</v>
      </c>
      <c r="E140" s="9" t="s">
        <v>28</v>
      </c>
      <c r="F140" s="9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11" t="s">
        <v>48</v>
      </c>
    </row>
    <row r="149" spans="1:6" ht="15" customHeight="1" x14ac:dyDescent="0.25">
      <c r="A149" s="9" t="s">
        <v>27</v>
      </c>
      <c r="B149" s="9" t="s">
        <v>28</v>
      </c>
      <c r="C149" s="9" t="s">
        <v>29</v>
      </c>
      <c r="D149" s="9" t="s">
        <v>30</v>
      </c>
      <c r="E149" s="9" t="s">
        <v>28</v>
      </c>
      <c r="F149" s="9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11" t="s">
        <v>49</v>
      </c>
    </row>
    <row r="158" spans="1:6" ht="15" customHeight="1" x14ac:dyDescent="0.25">
      <c r="A158" s="9" t="s">
        <v>27</v>
      </c>
      <c r="B158" s="9" t="s">
        <v>28</v>
      </c>
      <c r="C158" s="9" t="s">
        <v>29</v>
      </c>
      <c r="D158" s="9" t="s">
        <v>30</v>
      </c>
      <c r="E158" s="9" t="s">
        <v>28</v>
      </c>
      <c r="F158" s="9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zoomScaleNormal="100" workbookViewId="0">
      <selection activeCell="K22" sqref="K22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8" t="s">
        <v>50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</row>
    <row r="2" spans="1:17" ht="15" customHeight="1" x14ac:dyDescent="0.25">
      <c r="A2" s="7" t="s">
        <v>51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4" spans="1:17" ht="15" customHeight="1" x14ac:dyDescent="0.25">
      <c r="A4" s="6" t="s">
        <v>52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17" ht="15" customHeight="1" x14ac:dyDescent="0.25">
      <c r="A5" s="14" t="s">
        <v>27</v>
      </c>
      <c r="B5" s="14" t="s">
        <v>53</v>
      </c>
      <c r="C5" s="14" t="s">
        <v>54</v>
      </c>
      <c r="D5" s="14" t="s">
        <v>55</v>
      </c>
      <c r="E5" s="14" t="s">
        <v>56</v>
      </c>
      <c r="F5" s="14" t="s">
        <v>5</v>
      </c>
      <c r="G5" s="14" t="s">
        <v>8</v>
      </c>
      <c r="H5" s="14" t="s">
        <v>9</v>
      </c>
      <c r="I5" s="14" t="s">
        <v>10</v>
      </c>
      <c r="J5" s="14" t="s">
        <v>11</v>
      </c>
      <c r="K5" s="14" t="s">
        <v>14</v>
      </c>
      <c r="L5" s="14" t="s">
        <v>15</v>
      </c>
      <c r="M5" s="14" t="s">
        <v>16</v>
      </c>
      <c r="N5" s="14" t="s">
        <v>17</v>
      </c>
      <c r="O5" s="14" t="s">
        <v>20</v>
      </c>
      <c r="P5" s="14" t="s">
        <v>21</v>
      </c>
      <c r="Q5" s="14" t="s">
        <v>22</v>
      </c>
    </row>
    <row r="6" spans="1:17" ht="15" customHeight="1" x14ac:dyDescent="0.25">
      <c r="A6" s="15">
        <v>1</v>
      </c>
      <c r="B6" s="15" t="s">
        <v>57</v>
      </c>
      <c r="C6" s="16" t="s">
        <v>54</v>
      </c>
      <c r="D6" s="15" t="s">
        <v>58</v>
      </c>
      <c r="E6" s="17" t="str">
        <f>'NFL Schedule'!J3</f>
        <v>NE</v>
      </c>
      <c r="F6" s="18" t="s">
        <v>57</v>
      </c>
      <c r="G6" s="18" t="s">
        <v>58</v>
      </c>
      <c r="H6" s="18" t="s">
        <v>58</v>
      </c>
      <c r="I6" s="18" t="s">
        <v>58</v>
      </c>
      <c r="J6" s="18" t="s">
        <v>57</v>
      </c>
      <c r="K6" s="18" t="s">
        <v>58</v>
      </c>
      <c r="L6" s="18" t="s">
        <v>58</v>
      </c>
      <c r="M6" s="18" t="s">
        <v>58</v>
      </c>
      <c r="N6" s="18" t="s">
        <v>57</v>
      </c>
      <c r="O6" s="18" t="s">
        <v>57</v>
      </c>
      <c r="P6" s="18" t="s">
        <v>58</v>
      </c>
      <c r="Q6" s="18" t="s">
        <v>57</v>
      </c>
    </row>
    <row r="7" spans="1:17" ht="15" customHeight="1" x14ac:dyDescent="0.25">
      <c r="A7" s="15">
        <v>2</v>
      </c>
      <c r="B7" s="15" t="s">
        <v>59</v>
      </c>
      <c r="C7" s="16" t="s">
        <v>54</v>
      </c>
      <c r="D7" s="15" t="s">
        <v>60</v>
      </c>
      <c r="E7" s="17" t="str">
        <f>'NFL Schedule'!J4</f>
        <v>SF</v>
      </c>
      <c r="F7" s="18" t="s">
        <v>60</v>
      </c>
      <c r="G7" s="18" t="s">
        <v>60</v>
      </c>
      <c r="H7" s="18" t="s">
        <v>60</v>
      </c>
      <c r="I7" s="18" t="s">
        <v>60</v>
      </c>
      <c r="J7" s="18" t="s">
        <v>59</v>
      </c>
      <c r="K7" s="18" t="s">
        <v>60</v>
      </c>
      <c r="L7" s="18" t="s">
        <v>60</v>
      </c>
      <c r="M7" s="18" t="s">
        <v>60</v>
      </c>
      <c r="N7" s="18" t="s">
        <v>59</v>
      </c>
      <c r="O7" s="18" t="s">
        <v>60</v>
      </c>
      <c r="P7" s="18" t="s">
        <v>60</v>
      </c>
      <c r="Q7" s="18" t="s">
        <v>60</v>
      </c>
    </row>
    <row r="8" spans="1:17" ht="15" customHeight="1" x14ac:dyDescent="0.25">
      <c r="A8" s="15">
        <v>3</v>
      </c>
      <c r="B8" s="15" t="s">
        <v>61</v>
      </c>
      <c r="C8" s="16" t="s">
        <v>54</v>
      </c>
      <c r="D8" s="15" t="s">
        <v>62</v>
      </c>
      <c r="E8" s="17" t="str">
        <f>'NFL Schedule'!J5</f>
        <v>CHI</v>
      </c>
      <c r="F8" s="18" t="s">
        <v>61</v>
      </c>
      <c r="G8" s="18" t="s">
        <v>61</v>
      </c>
      <c r="H8" s="18" t="s">
        <v>61</v>
      </c>
      <c r="I8" s="18" t="s">
        <v>61</v>
      </c>
      <c r="J8" s="18" t="s">
        <v>61</v>
      </c>
      <c r="K8" s="18" t="s">
        <v>62</v>
      </c>
      <c r="L8" s="18" t="s">
        <v>61</v>
      </c>
      <c r="M8" s="18" t="s">
        <v>61</v>
      </c>
      <c r="N8" s="18" t="s">
        <v>62</v>
      </c>
      <c r="O8" s="18" t="s">
        <v>61</v>
      </c>
      <c r="P8" s="18" t="s">
        <v>62</v>
      </c>
      <c r="Q8" s="18" t="s">
        <v>61</v>
      </c>
    </row>
    <row r="9" spans="1:17" ht="15" customHeight="1" x14ac:dyDescent="0.25">
      <c r="A9" s="15">
        <v>4</v>
      </c>
      <c r="B9" s="15" t="s">
        <v>63</v>
      </c>
      <c r="C9" s="16" t="s">
        <v>54</v>
      </c>
      <c r="D9" s="15" t="s">
        <v>64</v>
      </c>
      <c r="E9" s="17" t="str">
        <f>'NFL Schedule'!J6</f>
        <v>CIN</v>
      </c>
      <c r="F9" s="18" t="s">
        <v>64</v>
      </c>
      <c r="G9" s="18" t="s">
        <v>63</v>
      </c>
      <c r="H9" s="18" t="s">
        <v>64</v>
      </c>
      <c r="I9" s="18" t="s">
        <v>63</v>
      </c>
      <c r="J9" s="18" t="s">
        <v>64</v>
      </c>
      <c r="K9" s="18" t="s">
        <v>64</v>
      </c>
      <c r="L9" s="18" t="s">
        <v>64</v>
      </c>
      <c r="M9" s="18" t="s">
        <v>64</v>
      </c>
      <c r="N9" s="18" t="s">
        <v>63</v>
      </c>
      <c r="O9" s="18" t="s">
        <v>64</v>
      </c>
      <c r="P9" s="18" t="s">
        <v>64</v>
      </c>
      <c r="Q9" s="18" t="s">
        <v>63</v>
      </c>
    </row>
    <row r="10" spans="1:17" ht="15" customHeight="1" x14ac:dyDescent="0.25">
      <c r="A10" s="15">
        <v>5</v>
      </c>
      <c r="B10" s="15" t="s">
        <v>65</v>
      </c>
      <c r="C10" s="16" t="s">
        <v>54</v>
      </c>
      <c r="D10" s="15" t="s">
        <v>66</v>
      </c>
      <c r="E10" s="17" t="str">
        <f>'NFL Schedule'!J7</f>
        <v>NO</v>
      </c>
      <c r="F10" s="18" t="s">
        <v>66</v>
      </c>
      <c r="G10" s="18" t="s">
        <v>66</v>
      </c>
      <c r="H10" s="18" t="s">
        <v>66</v>
      </c>
      <c r="I10" s="18" t="s">
        <v>66</v>
      </c>
      <c r="J10" s="18" t="s">
        <v>65</v>
      </c>
      <c r="K10" s="18" t="s">
        <v>66</v>
      </c>
      <c r="L10" s="18" t="s">
        <v>66</v>
      </c>
      <c r="M10" s="18" t="s">
        <v>66</v>
      </c>
      <c r="N10" s="18" t="s">
        <v>66</v>
      </c>
      <c r="O10" s="18" t="s">
        <v>66</v>
      </c>
      <c r="P10" s="18" t="s">
        <v>66</v>
      </c>
      <c r="Q10" s="18" t="s">
        <v>66</v>
      </c>
    </row>
    <row r="11" spans="1:17" ht="15" customHeight="1" x14ac:dyDescent="0.25">
      <c r="A11" s="15">
        <v>6</v>
      </c>
      <c r="B11" s="15" t="s">
        <v>67</v>
      </c>
      <c r="C11" s="16" t="s">
        <v>54</v>
      </c>
      <c r="D11" s="15" t="s">
        <v>68</v>
      </c>
      <c r="E11" s="17" t="str">
        <f>'NFL Schedule'!J8</f>
        <v>BUF</v>
      </c>
      <c r="F11" s="18" t="s">
        <v>68</v>
      </c>
      <c r="G11" s="18" t="s">
        <v>67</v>
      </c>
      <c r="H11" s="18" t="s">
        <v>67</v>
      </c>
      <c r="I11" s="18" t="s">
        <v>68</v>
      </c>
      <c r="J11" s="18" t="s">
        <v>67</v>
      </c>
      <c r="K11" s="18" t="s">
        <v>67</v>
      </c>
      <c r="L11" s="18" t="s">
        <v>67</v>
      </c>
      <c r="M11" s="18" t="s">
        <v>67</v>
      </c>
      <c r="N11" s="18" t="s">
        <v>67</v>
      </c>
      <c r="O11" s="18" t="s">
        <v>67</v>
      </c>
      <c r="P11" s="18" t="s">
        <v>67</v>
      </c>
      <c r="Q11" s="18" t="s">
        <v>67</v>
      </c>
    </row>
    <row r="12" spans="1:17" ht="15" customHeight="1" x14ac:dyDescent="0.25">
      <c r="A12" s="15">
        <v>7</v>
      </c>
      <c r="B12" s="15" t="s">
        <v>69</v>
      </c>
      <c r="C12" s="16" t="s">
        <v>54</v>
      </c>
      <c r="D12" s="15" t="s">
        <v>70</v>
      </c>
      <c r="E12" s="17" t="str">
        <f>'NFL Schedule'!J9</f>
        <v>BAL</v>
      </c>
      <c r="F12" s="18" t="s">
        <v>69</v>
      </c>
      <c r="G12" s="18" t="s">
        <v>69</v>
      </c>
      <c r="H12" s="18" t="s">
        <v>69</v>
      </c>
      <c r="I12" s="18" t="s">
        <v>69</v>
      </c>
      <c r="J12" s="18" t="s">
        <v>69</v>
      </c>
      <c r="K12" s="18" t="s">
        <v>69</v>
      </c>
      <c r="L12" s="18" t="s">
        <v>69</v>
      </c>
      <c r="M12" s="18" t="s">
        <v>69</v>
      </c>
      <c r="N12" s="18" t="s">
        <v>69</v>
      </c>
      <c r="O12" s="18" t="s">
        <v>69</v>
      </c>
      <c r="P12" s="18" t="s">
        <v>69</v>
      </c>
      <c r="Q12" s="18" t="s">
        <v>69</v>
      </c>
    </row>
    <row r="13" spans="1:17" ht="15" customHeight="1" x14ac:dyDescent="0.25">
      <c r="A13" s="15">
        <v>8</v>
      </c>
      <c r="B13" s="15" t="s">
        <v>71</v>
      </c>
      <c r="C13" s="16" t="s">
        <v>54</v>
      </c>
      <c r="D13" s="15" t="s">
        <v>72</v>
      </c>
      <c r="E13" s="17" t="str">
        <f>'NFL Schedule'!J10</f>
        <v>JAX</v>
      </c>
      <c r="F13" s="18" t="s">
        <v>72</v>
      </c>
      <c r="G13" s="18" t="s">
        <v>72</v>
      </c>
      <c r="H13" s="18" t="s">
        <v>72</v>
      </c>
      <c r="I13" s="18" t="s">
        <v>72</v>
      </c>
      <c r="J13" s="18" t="s">
        <v>72</v>
      </c>
      <c r="K13" s="18" t="s">
        <v>72</v>
      </c>
      <c r="L13" s="18" t="s">
        <v>72</v>
      </c>
      <c r="M13" s="18" t="s">
        <v>72</v>
      </c>
      <c r="N13" s="18" t="s">
        <v>71</v>
      </c>
      <c r="O13" s="18" t="s">
        <v>72</v>
      </c>
      <c r="P13" s="18" t="s">
        <v>72</v>
      </c>
      <c r="Q13" s="18" t="s">
        <v>72</v>
      </c>
    </row>
    <row r="14" spans="1:17" ht="15" customHeight="1" x14ac:dyDescent="0.25">
      <c r="A14" s="15">
        <v>9</v>
      </c>
      <c r="B14" s="15" t="s">
        <v>73</v>
      </c>
      <c r="C14" s="16" t="s">
        <v>54</v>
      </c>
      <c r="D14" s="15" t="s">
        <v>74</v>
      </c>
      <c r="E14" s="17" t="str">
        <f>'NFL Schedule'!J11</f>
        <v>PIT</v>
      </c>
      <c r="F14" s="18" t="s">
        <v>73</v>
      </c>
      <c r="G14" s="18" t="s">
        <v>74</v>
      </c>
      <c r="H14" s="18" t="s">
        <v>74</v>
      </c>
      <c r="I14" s="18" t="s">
        <v>74</v>
      </c>
      <c r="J14" s="18" t="s">
        <v>73</v>
      </c>
      <c r="K14" s="18" t="s">
        <v>74</v>
      </c>
      <c r="L14" s="18" t="s">
        <v>74</v>
      </c>
      <c r="M14" s="18" t="s">
        <v>74</v>
      </c>
      <c r="N14" s="18" t="s">
        <v>74</v>
      </c>
      <c r="O14" s="18" t="s">
        <v>74</v>
      </c>
      <c r="P14" s="18" t="s">
        <v>74</v>
      </c>
      <c r="Q14" s="18" t="s">
        <v>73</v>
      </c>
    </row>
    <row r="15" spans="1:17" ht="15" customHeight="1" x14ac:dyDescent="0.25">
      <c r="A15" s="15">
        <v>10</v>
      </c>
      <c r="B15" s="15" t="s">
        <v>75</v>
      </c>
      <c r="C15" s="16" t="s">
        <v>54</v>
      </c>
      <c r="D15" s="15" t="s">
        <v>76</v>
      </c>
      <c r="E15" s="17" t="str">
        <f>'NFL Schedule'!J12</f>
        <v>NYJ</v>
      </c>
      <c r="F15" s="18" t="s">
        <v>76</v>
      </c>
      <c r="G15" s="18" t="s">
        <v>76</v>
      </c>
      <c r="H15" s="18" t="s">
        <v>76</v>
      </c>
      <c r="I15" s="18" t="s">
        <v>76</v>
      </c>
      <c r="J15" s="18" t="s">
        <v>75</v>
      </c>
      <c r="K15" s="18" t="s">
        <v>75</v>
      </c>
      <c r="L15" s="18" t="s">
        <v>76</v>
      </c>
      <c r="M15" s="18" t="s">
        <v>76</v>
      </c>
      <c r="N15" s="18" t="s">
        <v>75</v>
      </c>
      <c r="O15" s="18" t="s">
        <v>75</v>
      </c>
      <c r="P15" s="18" t="s">
        <v>75</v>
      </c>
      <c r="Q15" s="18" t="s">
        <v>76</v>
      </c>
    </row>
    <row r="16" spans="1:17" ht="15" customHeight="1" x14ac:dyDescent="0.25">
      <c r="A16" s="15">
        <v>11</v>
      </c>
      <c r="B16" s="15" t="s">
        <v>77</v>
      </c>
      <c r="C16" s="16" t="s">
        <v>54</v>
      </c>
      <c r="D16" s="15" t="s">
        <v>78</v>
      </c>
      <c r="E16" s="17" t="str">
        <f>'NFL Schedule'!J13</f>
        <v>ARI</v>
      </c>
      <c r="F16" s="18" t="s">
        <v>78</v>
      </c>
      <c r="G16" s="18" t="s">
        <v>78</v>
      </c>
      <c r="H16" s="18" t="s">
        <v>78</v>
      </c>
      <c r="I16" s="18" t="s">
        <v>78</v>
      </c>
      <c r="J16" s="18" t="s">
        <v>77</v>
      </c>
      <c r="K16" s="18" t="s">
        <v>78</v>
      </c>
      <c r="L16" s="18" t="s">
        <v>78</v>
      </c>
      <c r="M16" s="18" t="s">
        <v>77</v>
      </c>
      <c r="N16" s="18" t="s">
        <v>77</v>
      </c>
      <c r="O16" s="18" t="s">
        <v>78</v>
      </c>
      <c r="P16" s="18" t="s">
        <v>78</v>
      </c>
      <c r="Q16" s="18" t="s">
        <v>78</v>
      </c>
    </row>
    <row r="17" spans="1:17" ht="15" customHeight="1" x14ac:dyDescent="0.25">
      <c r="A17" s="15">
        <v>12</v>
      </c>
      <c r="B17" s="15" t="s">
        <v>79</v>
      </c>
      <c r="C17" s="16" t="s">
        <v>54</v>
      </c>
      <c r="D17" s="15" t="s">
        <v>80</v>
      </c>
      <c r="E17" s="17" t="str">
        <f>'NFL Schedule'!J14</f>
        <v>LV</v>
      </c>
      <c r="F17" s="18" t="s">
        <v>79</v>
      </c>
      <c r="G17" s="18" t="s">
        <v>79</v>
      </c>
      <c r="H17" s="18" t="s">
        <v>80</v>
      </c>
      <c r="I17" s="18" t="s">
        <v>80</v>
      </c>
      <c r="J17" s="18" t="s">
        <v>79</v>
      </c>
      <c r="K17" s="18" t="s">
        <v>79</v>
      </c>
      <c r="L17" s="18" t="s">
        <v>80</v>
      </c>
      <c r="M17" s="18" t="s">
        <v>80</v>
      </c>
      <c r="N17" s="18" t="s">
        <v>79</v>
      </c>
      <c r="O17" s="18" t="s">
        <v>80</v>
      </c>
      <c r="P17" s="18" t="s">
        <v>80</v>
      </c>
      <c r="Q17" s="18" t="s">
        <v>80</v>
      </c>
    </row>
    <row r="18" spans="1:17" ht="15" customHeight="1" x14ac:dyDescent="0.25">
      <c r="A18" s="15">
        <v>13</v>
      </c>
      <c r="B18" s="15" t="s">
        <v>81</v>
      </c>
      <c r="C18" s="16" t="s">
        <v>54</v>
      </c>
      <c r="D18" s="15" t="s">
        <v>82</v>
      </c>
      <c r="E18" s="17" t="str">
        <f>'NFL Schedule'!J15</f>
        <v>MIN</v>
      </c>
      <c r="F18" s="18" t="s">
        <v>81</v>
      </c>
      <c r="G18" s="18" t="s">
        <v>82</v>
      </c>
      <c r="H18" s="18" t="s">
        <v>81</v>
      </c>
      <c r="I18" s="18" t="s">
        <v>81</v>
      </c>
      <c r="J18" s="18" t="s">
        <v>81</v>
      </c>
      <c r="K18" s="18" t="s">
        <v>81</v>
      </c>
      <c r="L18" s="18" t="s">
        <v>81</v>
      </c>
      <c r="M18" s="18" t="s">
        <v>81</v>
      </c>
      <c r="N18" s="18" t="s">
        <v>81</v>
      </c>
      <c r="O18" s="18" t="s">
        <v>82</v>
      </c>
      <c r="P18" s="18" t="s">
        <v>82</v>
      </c>
      <c r="Q18" s="18" t="s">
        <v>81</v>
      </c>
    </row>
    <row r="19" spans="1:17" ht="15" customHeight="1" x14ac:dyDescent="0.25">
      <c r="A19" s="15">
        <v>14</v>
      </c>
      <c r="B19" s="15" t="s">
        <v>83</v>
      </c>
      <c r="C19" s="16" t="s">
        <v>54</v>
      </c>
      <c r="D19" s="15" t="s">
        <v>84</v>
      </c>
      <c r="E19" s="17" t="str">
        <f>'NFL Schedule'!J16</f>
        <v>WAS</v>
      </c>
      <c r="F19" s="18" t="s">
        <v>84</v>
      </c>
      <c r="G19" s="18" t="s">
        <v>84</v>
      </c>
      <c r="H19" s="18" t="s">
        <v>84</v>
      </c>
      <c r="I19" s="18" t="s">
        <v>84</v>
      </c>
      <c r="J19" s="18" t="s">
        <v>84</v>
      </c>
      <c r="K19" s="18" t="s">
        <v>84</v>
      </c>
      <c r="L19" s="18" t="s">
        <v>84</v>
      </c>
      <c r="M19" s="18" t="s">
        <v>84</v>
      </c>
      <c r="N19" s="18" t="s">
        <v>83</v>
      </c>
      <c r="O19" s="18" t="s">
        <v>83</v>
      </c>
      <c r="P19" s="18" t="s">
        <v>83</v>
      </c>
      <c r="Q19" s="18" t="s">
        <v>83</v>
      </c>
    </row>
    <row r="20" spans="1:17" ht="15" customHeight="1" x14ac:dyDescent="0.25">
      <c r="A20" s="15">
        <v>15</v>
      </c>
      <c r="B20" s="15" t="s">
        <v>85</v>
      </c>
      <c r="C20" s="16" t="s">
        <v>54</v>
      </c>
      <c r="D20" s="15" t="s">
        <v>86</v>
      </c>
      <c r="E20" s="17" t="str">
        <f>'NFL Schedule'!J17</f>
        <v>NYG</v>
      </c>
      <c r="F20" s="18" t="s">
        <v>85</v>
      </c>
      <c r="G20" s="18" t="s">
        <v>85</v>
      </c>
      <c r="H20" s="18" t="s">
        <v>86</v>
      </c>
      <c r="I20" s="18" t="s">
        <v>85</v>
      </c>
      <c r="J20" s="18" t="s">
        <v>85</v>
      </c>
      <c r="K20" s="18" t="s">
        <v>85</v>
      </c>
      <c r="L20" s="18" t="s">
        <v>85</v>
      </c>
      <c r="M20" s="18" t="s">
        <v>85</v>
      </c>
      <c r="N20" s="18" t="s">
        <v>85</v>
      </c>
      <c r="O20" s="18" t="s">
        <v>85</v>
      </c>
      <c r="P20" s="18" t="s">
        <v>86</v>
      </c>
      <c r="Q20" s="18" t="s">
        <v>86</v>
      </c>
    </row>
    <row r="21" spans="1:17" ht="15" customHeight="1" x14ac:dyDescent="0.25">
      <c r="A21" s="15">
        <v>16</v>
      </c>
      <c r="B21" s="15" t="s">
        <v>87</v>
      </c>
      <c r="C21" s="16" t="s">
        <v>54</v>
      </c>
      <c r="D21" s="15" t="s">
        <v>88</v>
      </c>
      <c r="E21" s="17" t="str">
        <f>'NFL Schedule'!J18</f>
        <v>KC</v>
      </c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</row>
    <row r="22" spans="1:17" x14ac:dyDescent="0.25">
      <c r="A22" s="19" t="s">
        <v>63</v>
      </c>
      <c r="B22" s="20" t="s">
        <v>89</v>
      </c>
      <c r="E22" s="21">
        <f>'NFL Schedule'!E19</f>
        <v>51</v>
      </c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</row>
    <row r="23" spans="1:17" ht="15" customHeight="1" x14ac:dyDescent="0.25">
      <c r="A23" s="6" t="s">
        <v>90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spans="1:17" ht="15" customHeight="1" x14ac:dyDescent="0.25">
      <c r="A24" s="14" t="s">
        <v>27</v>
      </c>
      <c r="B24" s="14" t="s">
        <v>53</v>
      </c>
      <c r="C24" s="14" t="s">
        <v>54</v>
      </c>
      <c r="D24" s="14" t="s">
        <v>55</v>
      </c>
      <c r="E24" s="14" t="s">
        <v>56</v>
      </c>
      <c r="F24" s="14" t="s">
        <v>5</v>
      </c>
      <c r="G24" s="14" t="s">
        <v>8</v>
      </c>
      <c r="H24" s="14" t="s">
        <v>9</v>
      </c>
      <c r="I24" s="14" t="s">
        <v>10</v>
      </c>
      <c r="J24" s="14" t="s">
        <v>11</v>
      </c>
      <c r="K24" s="14" t="s">
        <v>14</v>
      </c>
      <c r="L24" s="14" t="s">
        <v>15</v>
      </c>
      <c r="M24" s="14" t="s">
        <v>16</v>
      </c>
      <c r="N24" s="14" t="s">
        <v>17</v>
      </c>
      <c r="O24" s="14" t="s">
        <v>20</v>
      </c>
      <c r="P24" s="14" t="s">
        <v>21</v>
      </c>
      <c r="Q24" s="14" t="s">
        <v>22</v>
      </c>
    </row>
    <row r="25" spans="1:17" ht="15" customHeight="1" x14ac:dyDescent="0.25">
      <c r="A25" s="15">
        <v>1</v>
      </c>
      <c r="B25" s="15" t="s">
        <v>66</v>
      </c>
      <c r="C25" s="16" t="s">
        <v>54</v>
      </c>
      <c r="D25" s="15" t="s">
        <v>67</v>
      </c>
      <c r="E25" s="17" t="str">
        <f>'NFL Schedule'!J22</f>
        <v/>
      </c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</row>
    <row r="26" spans="1:17" ht="15" customHeight="1" x14ac:dyDescent="0.25">
      <c r="A26" s="15">
        <v>2</v>
      </c>
      <c r="B26" s="15" t="s">
        <v>62</v>
      </c>
      <c r="C26" s="16" t="s">
        <v>54</v>
      </c>
      <c r="D26" s="15" t="s">
        <v>73</v>
      </c>
      <c r="E26" s="17" t="str">
        <f>'NFL Schedule'!J23</f>
        <v/>
      </c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</row>
    <row r="27" spans="1:17" ht="15" customHeight="1" x14ac:dyDescent="0.25">
      <c r="A27" s="15">
        <v>3</v>
      </c>
      <c r="B27" s="15" t="s">
        <v>65</v>
      </c>
      <c r="C27" s="16" t="s">
        <v>54</v>
      </c>
      <c r="D27" s="15" t="s">
        <v>69</v>
      </c>
      <c r="E27" s="17" t="str">
        <f>'NFL Schedule'!J24</f>
        <v/>
      </c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</row>
    <row r="28" spans="1:17" ht="15" customHeight="1" x14ac:dyDescent="0.25">
      <c r="A28" s="15">
        <v>4</v>
      </c>
      <c r="B28" s="15" t="s">
        <v>82</v>
      </c>
      <c r="C28" s="16" t="s">
        <v>54</v>
      </c>
      <c r="D28" s="15" t="s">
        <v>61</v>
      </c>
      <c r="E28" s="17" t="str">
        <f>'NFL Schedule'!J25</f>
        <v/>
      </c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</row>
    <row r="29" spans="1:17" ht="15" customHeight="1" x14ac:dyDescent="0.25">
      <c r="A29" s="15">
        <v>5</v>
      </c>
      <c r="B29" s="15" t="s">
        <v>64</v>
      </c>
      <c r="C29" s="16" t="s">
        <v>54</v>
      </c>
      <c r="D29" s="15" t="s">
        <v>68</v>
      </c>
      <c r="E29" s="17" t="str">
        <f>'NFL Schedule'!J26</f>
        <v/>
      </c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</row>
    <row r="30" spans="1:17" ht="15" customHeight="1" x14ac:dyDescent="0.25">
      <c r="A30" s="15">
        <v>6</v>
      </c>
      <c r="B30" s="15" t="s">
        <v>74</v>
      </c>
      <c r="C30" s="16" t="s">
        <v>54</v>
      </c>
      <c r="D30" s="15" t="s">
        <v>57</v>
      </c>
      <c r="E30" s="17" t="str">
        <f>'NFL Schedule'!J27</f>
        <v/>
      </c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</row>
    <row r="31" spans="1:17" ht="15" customHeight="1" x14ac:dyDescent="0.25">
      <c r="A31" s="15">
        <v>7</v>
      </c>
      <c r="B31" s="15" t="s">
        <v>81</v>
      </c>
      <c r="C31" s="16" t="s">
        <v>54</v>
      </c>
      <c r="D31" s="15" t="s">
        <v>75</v>
      </c>
      <c r="E31" s="17" t="str">
        <f>'NFL Schedule'!J28</f>
        <v/>
      </c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</row>
    <row r="32" spans="1:17" ht="15" customHeight="1" x14ac:dyDescent="0.25">
      <c r="A32" s="15">
        <v>8</v>
      </c>
      <c r="B32" s="15" t="s">
        <v>71</v>
      </c>
      <c r="C32" s="16" t="s">
        <v>54</v>
      </c>
      <c r="D32" s="15" t="s">
        <v>63</v>
      </c>
      <c r="E32" s="17" t="str">
        <f>'NFL Schedule'!J29</f>
        <v/>
      </c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</row>
    <row r="33" spans="1:17" ht="15" customHeight="1" x14ac:dyDescent="0.25">
      <c r="A33" s="15">
        <v>9</v>
      </c>
      <c r="B33" s="15" t="s">
        <v>84</v>
      </c>
      <c r="C33" s="16" t="s">
        <v>54</v>
      </c>
      <c r="D33" s="15" t="s">
        <v>76</v>
      </c>
      <c r="E33" s="17" t="str">
        <f>'NFL Schedule'!J30</f>
        <v/>
      </c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</row>
    <row r="34" spans="1:17" ht="15" customHeight="1" x14ac:dyDescent="0.25">
      <c r="A34" s="15">
        <v>10</v>
      </c>
      <c r="B34" s="15" t="s">
        <v>72</v>
      </c>
      <c r="C34" s="16" t="s">
        <v>54</v>
      </c>
      <c r="D34" s="15" t="s">
        <v>87</v>
      </c>
      <c r="E34" s="17" t="str">
        <f>'NFL Schedule'!J31</f>
        <v/>
      </c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</row>
    <row r="35" spans="1:17" ht="15" customHeight="1" x14ac:dyDescent="0.25">
      <c r="A35" s="15">
        <v>11</v>
      </c>
      <c r="B35" s="15" t="s">
        <v>80</v>
      </c>
      <c r="C35" s="16" t="s">
        <v>54</v>
      </c>
      <c r="D35" s="15" t="s">
        <v>78</v>
      </c>
      <c r="E35" s="17" t="str">
        <f>'NFL Schedule'!J32</f>
        <v/>
      </c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</row>
    <row r="36" spans="1:17" ht="15" customHeight="1" x14ac:dyDescent="0.25">
      <c r="A36" s="15">
        <v>12</v>
      </c>
      <c r="B36" s="15" t="s">
        <v>58</v>
      </c>
      <c r="C36" s="16" t="s">
        <v>54</v>
      </c>
      <c r="D36" s="15" t="s">
        <v>77</v>
      </c>
      <c r="E36" s="17" t="str">
        <f>'NFL Schedule'!J33</f>
        <v/>
      </c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</row>
    <row r="37" spans="1:17" ht="15" customHeight="1" x14ac:dyDescent="0.25">
      <c r="A37" s="15">
        <v>13</v>
      </c>
      <c r="B37" s="15" t="s">
        <v>83</v>
      </c>
      <c r="C37" s="16" t="s">
        <v>54</v>
      </c>
      <c r="D37" s="15" t="s">
        <v>85</v>
      </c>
      <c r="E37" s="17" t="str">
        <f>'NFL Schedule'!J34</f>
        <v/>
      </c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</row>
    <row r="38" spans="1:17" ht="15" customHeight="1" x14ac:dyDescent="0.25">
      <c r="A38" s="15">
        <v>14</v>
      </c>
      <c r="B38" s="15" t="s">
        <v>79</v>
      </c>
      <c r="C38" s="16" t="s">
        <v>54</v>
      </c>
      <c r="D38" s="15" t="s">
        <v>59</v>
      </c>
      <c r="E38" s="17" t="str">
        <f>'NFL Schedule'!J35</f>
        <v/>
      </c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</row>
    <row r="39" spans="1:17" ht="15" customHeight="1" x14ac:dyDescent="0.25">
      <c r="A39" s="15">
        <v>15</v>
      </c>
      <c r="B39" s="15" t="s">
        <v>70</v>
      </c>
      <c r="C39" s="16" t="s">
        <v>54</v>
      </c>
      <c r="D39" s="15" t="s">
        <v>88</v>
      </c>
      <c r="E39" s="17" t="str">
        <f>'NFL Schedule'!J36</f>
        <v/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</row>
    <row r="40" spans="1:17" ht="15" customHeight="1" x14ac:dyDescent="0.25">
      <c r="A40" s="15">
        <v>16</v>
      </c>
      <c r="B40" s="15" t="s">
        <v>86</v>
      </c>
      <c r="C40" s="16" t="s">
        <v>54</v>
      </c>
      <c r="D40" s="15" t="s">
        <v>60</v>
      </c>
      <c r="E40" s="17" t="str">
        <f>'NFL Schedule'!J37</f>
        <v/>
      </c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</row>
    <row r="41" spans="1:17" x14ac:dyDescent="0.25">
      <c r="A41" s="19" t="s">
        <v>63</v>
      </c>
      <c r="B41" s="20" t="s">
        <v>89</v>
      </c>
      <c r="E41" s="21" t="str">
        <f>'NFL Schedule'!E38</f>
        <v/>
      </c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</row>
    <row r="42" spans="1:17" ht="15" customHeight="1" x14ac:dyDescent="0.25">
      <c r="A42" s="6" t="s">
        <v>91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</row>
    <row r="43" spans="1:17" ht="15" customHeight="1" x14ac:dyDescent="0.25">
      <c r="A43" s="14" t="s">
        <v>27</v>
      </c>
      <c r="B43" s="14" t="s">
        <v>53</v>
      </c>
      <c r="C43" s="14" t="s">
        <v>54</v>
      </c>
      <c r="D43" s="14" t="s">
        <v>55</v>
      </c>
      <c r="E43" s="14" t="s">
        <v>56</v>
      </c>
      <c r="F43" s="14" t="s">
        <v>5</v>
      </c>
      <c r="G43" s="14" t="s">
        <v>8</v>
      </c>
      <c r="H43" s="14" t="s">
        <v>9</v>
      </c>
      <c r="I43" s="14" t="s">
        <v>10</v>
      </c>
      <c r="J43" s="14" t="s">
        <v>11</v>
      </c>
      <c r="K43" s="14" t="s">
        <v>14</v>
      </c>
      <c r="L43" s="14" t="s">
        <v>15</v>
      </c>
      <c r="M43" s="14" t="s">
        <v>16</v>
      </c>
      <c r="N43" s="14" t="s">
        <v>17</v>
      </c>
      <c r="O43" s="14" t="s">
        <v>20</v>
      </c>
      <c r="P43" s="14" t="s">
        <v>21</v>
      </c>
      <c r="Q43" s="14" t="s">
        <v>22</v>
      </c>
    </row>
    <row r="44" spans="1:17" ht="15" customHeight="1" x14ac:dyDescent="0.25">
      <c r="A44" s="15">
        <v>1</v>
      </c>
      <c r="B44" s="15" t="s">
        <v>73</v>
      </c>
      <c r="C44" s="16" t="s">
        <v>54</v>
      </c>
      <c r="D44" s="15" t="s">
        <v>81</v>
      </c>
      <c r="E44" s="17" t="str">
        <f>'NFL Schedule'!J41</f>
        <v/>
      </c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</row>
    <row r="45" spans="1:17" ht="15" customHeight="1" x14ac:dyDescent="0.25">
      <c r="A45" s="15">
        <v>2</v>
      </c>
      <c r="B45" s="15" t="s">
        <v>78</v>
      </c>
      <c r="C45" s="16" t="s">
        <v>54</v>
      </c>
      <c r="D45" s="15" t="s">
        <v>67</v>
      </c>
      <c r="E45" s="17" t="str">
        <f>'NFL Schedule'!J42</f>
        <v/>
      </c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</row>
    <row r="46" spans="1:17" ht="15" customHeight="1" x14ac:dyDescent="0.25">
      <c r="A46" s="15">
        <v>3</v>
      </c>
      <c r="B46" s="15" t="s">
        <v>62</v>
      </c>
      <c r="C46" s="16" t="s">
        <v>54</v>
      </c>
      <c r="D46" s="15" t="s">
        <v>71</v>
      </c>
      <c r="E46" s="17" t="str">
        <f>'NFL Schedule'!J43</f>
        <v/>
      </c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</row>
    <row r="47" spans="1:17" ht="15" customHeight="1" x14ac:dyDescent="0.25">
      <c r="A47" s="15">
        <v>4</v>
      </c>
      <c r="B47" s="15" t="s">
        <v>75</v>
      </c>
      <c r="C47" s="16" t="s">
        <v>54</v>
      </c>
      <c r="D47" s="15" t="s">
        <v>66</v>
      </c>
      <c r="E47" s="17" t="str">
        <f>'NFL Schedule'!J44</f>
        <v/>
      </c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</row>
    <row r="48" spans="1:17" ht="15" customHeight="1" x14ac:dyDescent="0.25">
      <c r="A48" s="15">
        <v>5</v>
      </c>
      <c r="B48" s="15" t="s">
        <v>68</v>
      </c>
      <c r="C48" s="16" t="s">
        <v>54</v>
      </c>
      <c r="D48" s="15" t="s">
        <v>70</v>
      </c>
      <c r="E48" s="17" t="str">
        <f>'NFL Schedule'!J45</f>
        <v/>
      </c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</row>
    <row r="49" spans="1:17" ht="15" customHeight="1" x14ac:dyDescent="0.25">
      <c r="A49" s="15">
        <v>6</v>
      </c>
      <c r="B49" s="15" t="s">
        <v>88</v>
      </c>
      <c r="C49" s="16" t="s">
        <v>54</v>
      </c>
      <c r="D49" s="15" t="s">
        <v>79</v>
      </c>
      <c r="E49" s="17" t="str">
        <f>'NFL Schedule'!J46</f>
        <v/>
      </c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</row>
    <row r="50" spans="1:17" ht="15" customHeight="1" x14ac:dyDescent="0.25">
      <c r="A50" s="15">
        <v>7</v>
      </c>
      <c r="B50" s="15" t="s">
        <v>76</v>
      </c>
      <c r="C50" s="16" t="s">
        <v>54</v>
      </c>
      <c r="D50" s="15" t="s">
        <v>86</v>
      </c>
      <c r="E50" s="17" t="str">
        <f>'NFL Schedule'!J47</f>
        <v/>
      </c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</row>
    <row r="51" spans="1:17" ht="15" customHeight="1" x14ac:dyDescent="0.25">
      <c r="A51" s="15">
        <v>8</v>
      </c>
      <c r="B51" s="15" t="s">
        <v>64</v>
      </c>
      <c r="C51" s="16" t="s">
        <v>54</v>
      </c>
      <c r="D51" s="15" t="s">
        <v>74</v>
      </c>
      <c r="E51" s="17" t="str">
        <f>'NFL Schedule'!J48</f>
        <v/>
      </c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</row>
    <row r="52" spans="1:17" ht="15" customHeight="1" x14ac:dyDescent="0.25">
      <c r="A52" s="15">
        <v>9</v>
      </c>
      <c r="B52" s="15" t="s">
        <v>58</v>
      </c>
      <c r="C52" s="16" t="s">
        <v>54</v>
      </c>
      <c r="D52" s="15" t="s">
        <v>83</v>
      </c>
      <c r="E52" s="17" t="str">
        <f>'NFL Schedule'!J49</f>
        <v/>
      </c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</row>
    <row r="53" spans="1:17" ht="15" customHeight="1" x14ac:dyDescent="0.25">
      <c r="A53" s="15">
        <v>10</v>
      </c>
      <c r="B53" s="15" t="s">
        <v>57</v>
      </c>
      <c r="C53" s="16" t="s">
        <v>54</v>
      </c>
      <c r="D53" s="15" t="s">
        <v>72</v>
      </c>
      <c r="E53" s="17" t="str">
        <f>'NFL Schedule'!J50</f>
        <v/>
      </c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</row>
    <row r="54" spans="1:17" ht="15" customHeight="1" x14ac:dyDescent="0.25">
      <c r="A54" s="15">
        <v>11</v>
      </c>
      <c r="B54" s="15" t="s">
        <v>77</v>
      </c>
      <c r="C54" s="16" t="s">
        <v>54</v>
      </c>
      <c r="D54" s="15" t="s">
        <v>59</v>
      </c>
      <c r="E54" s="17" t="str">
        <f>'NFL Schedule'!J51</f>
        <v/>
      </c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</row>
    <row r="55" spans="1:17" ht="15" customHeight="1" x14ac:dyDescent="0.25">
      <c r="A55" s="15">
        <v>12</v>
      </c>
      <c r="B55" s="15" t="s">
        <v>82</v>
      </c>
      <c r="C55" s="16" t="s">
        <v>54</v>
      </c>
      <c r="D55" s="15" t="s">
        <v>63</v>
      </c>
      <c r="E55" s="17" t="str">
        <f>'NFL Schedule'!J52</f>
        <v/>
      </c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</row>
    <row r="56" spans="1:17" ht="15" customHeight="1" x14ac:dyDescent="0.25">
      <c r="A56" s="15">
        <v>13</v>
      </c>
      <c r="B56" s="15" t="s">
        <v>69</v>
      </c>
      <c r="C56" s="16" t="s">
        <v>54</v>
      </c>
      <c r="D56" s="15" t="s">
        <v>85</v>
      </c>
      <c r="E56" s="17" t="str">
        <f>'NFL Schedule'!J53</f>
        <v/>
      </c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</row>
    <row r="57" spans="1:17" ht="15" customHeight="1" x14ac:dyDescent="0.25">
      <c r="A57" s="15">
        <v>14</v>
      </c>
      <c r="B57" s="15" t="s">
        <v>80</v>
      </c>
      <c r="C57" s="16" t="s">
        <v>54</v>
      </c>
      <c r="D57" s="15" t="s">
        <v>65</v>
      </c>
      <c r="E57" s="17" t="str">
        <f>'NFL Schedule'!J54</f>
        <v/>
      </c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</row>
    <row r="58" spans="1:17" ht="15" customHeight="1" x14ac:dyDescent="0.25">
      <c r="A58" s="15">
        <v>15</v>
      </c>
      <c r="B58" s="15" t="s">
        <v>60</v>
      </c>
      <c r="C58" s="16" t="s">
        <v>54</v>
      </c>
      <c r="D58" s="15" t="s">
        <v>87</v>
      </c>
      <c r="E58" s="17" t="str">
        <f>'NFL Schedule'!J55</f>
        <v/>
      </c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</row>
    <row r="59" spans="1:17" ht="15" customHeight="1" x14ac:dyDescent="0.25">
      <c r="A59" s="15">
        <v>16</v>
      </c>
      <c r="B59" s="15" t="s">
        <v>84</v>
      </c>
      <c r="C59" s="16" t="s">
        <v>54</v>
      </c>
      <c r="D59" s="15" t="s">
        <v>61</v>
      </c>
      <c r="E59" s="17" t="str">
        <f>'NFL Schedule'!J56</f>
        <v/>
      </c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</row>
    <row r="60" spans="1:17" x14ac:dyDescent="0.25">
      <c r="A60" s="19" t="s">
        <v>63</v>
      </c>
      <c r="B60" s="20" t="s">
        <v>89</v>
      </c>
      <c r="E60" s="21" t="str">
        <f>'NFL Schedule'!E57</f>
        <v/>
      </c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</row>
    <row r="61" spans="1:17" ht="15" customHeight="1" x14ac:dyDescent="0.25">
      <c r="A61" s="6" t="s">
        <v>92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 spans="1:17" ht="15" customHeight="1" x14ac:dyDescent="0.25">
      <c r="A62" s="14" t="s">
        <v>27</v>
      </c>
      <c r="B62" s="14" t="s">
        <v>53</v>
      </c>
      <c r="C62" s="14" t="s">
        <v>54</v>
      </c>
      <c r="D62" s="14" t="s">
        <v>55</v>
      </c>
      <c r="E62" s="14" t="s">
        <v>56</v>
      </c>
      <c r="F62" s="14" t="s">
        <v>5</v>
      </c>
      <c r="G62" s="14" t="s">
        <v>8</v>
      </c>
      <c r="H62" s="14" t="s">
        <v>9</v>
      </c>
      <c r="I62" s="14" t="s">
        <v>10</v>
      </c>
      <c r="J62" s="14" t="s">
        <v>11</v>
      </c>
      <c r="K62" s="14" t="s">
        <v>14</v>
      </c>
      <c r="L62" s="14" t="s">
        <v>15</v>
      </c>
      <c r="M62" s="14" t="s">
        <v>16</v>
      </c>
      <c r="N62" s="14" t="s">
        <v>17</v>
      </c>
      <c r="O62" s="14" t="s">
        <v>20</v>
      </c>
      <c r="P62" s="14" t="s">
        <v>21</v>
      </c>
      <c r="Q62" s="14" t="s">
        <v>22</v>
      </c>
    </row>
    <row r="63" spans="1:17" ht="15" customHeight="1" x14ac:dyDescent="0.25">
      <c r="A63" s="15">
        <v>1</v>
      </c>
      <c r="B63" s="15" t="s">
        <v>74</v>
      </c>
      <c r="C63" s="16" t="s">
        <v>54</v>
      </c>
      <c r="D63" s="15" t="s">
        <v>71</v>
      </c>
      <c r="E63" s="17" t="str">
        <f>'NFL Schedule'!J60</f>
        <v/>
      </c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</row>
    <row r="64" spans="1:17" ht="15" customHeight="1" x14ac:dyDescent="0.25">
      <c r="A64" s="15">
        <v>2</v>
      </c>
      <c r="B64" s="15" t="s">
        <v>70</v>
      </c>
      <c r="C64" s="16" t="s">
        <v>54</v>
      </c>
      <c r="D64" s="15" t="s">
        <v>83</v>
      </c>
      <c r="E64" s="17" t="str">
        <f>'NFL Schedule'!J61</f>
        <v/>
      </c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</row>
    <row r="65" spans="1:17" ht="15" customHeight="1" x14ac:dyDescent="0.25">
      <c r="A65" s="15">
        <v>3</v>
      </c>
      <c r="B65" s="15" t="s">
        <v>57</v>
      </c>
      <c r="C65" s="16" t="s">
        <v>54</v>
      </c>
      <c r="D65" s="15" t="s">
        <v>67</v>
      </c>
      <c r="E65" s="17" t="str">
        <f>'NFL Schedule'!J62</f>
        <v/>
      </c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spans="1:17" ht="15" customHeight="1" x14ac:dyDescent="0.25">
      <c r="A66" s="15">
        <v>4</v>
      </c>
      <c r="B66" s="15" t="s">
        <v>75</v>
      </c>
      <c r="C66" s="16" t="s">
        <v>54</v>
      </c>
      <c r="D66" s="15" t="s">
        <v>61</v>
      </c>
      <c r="E66" s="17" t="str">
        <f>'NFL Schedule'!J63</f>
        <v/>
      </c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</row>
    <row r="67" spans="1:17" ht="15" customHeight="1" x14ac:dyDescent="0.25">
      <c r="A67" s="15">
        <v>5</v>
      </c>
      <c r="B67" s="15" t="s">
        <v>72</v>
      </c>
      <c r="C67" s="16" t="s">
        <v>54</v>
      </c>
      <c r="D67" s="15" t="s">
        <v>64</v>
      </c>
      <c r="E67" s="17" t="str">
        <f>'NFL Schedule'!J64</f>
        <v/>
      </c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</row>
    <row r="68" spans="1:17" ht="15" customHeight="1" x14ac:dyDescent="0.25">
      <c r="A68" s="15">
        <v>6</v>
      </c>
      <c r="B68" s="15" t="s">
        <v>77</v>
      </c>
      <c r="C68" s="16" t="s">
        <v>54</v>
      </c>
      <c r="D68" s="15" t="s">
        <v>86</v>
      </c>
      <c r="E68" s="17" t="str">
        <f>'NFL Schedule'!J65</f>
        <v/>
      </c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</row>
    <row r="69" spans="1:17" ht="15" customHeight="1" x14ac:dyDescent="0.25">
      <c r="A69" s="15">
        <v>7</v>
      </c>
      <c r="B69" s="15" t="s">
        <v>60</v>
      </c>
      <c r="C69" s="16" t="s">
        <v>54</v>
      </c>
      <c r="D69" s="15" t="s">
        <v>84</v>
      </c>
      <c r="E69" s="17" t="str">
        <f>'NFL Schedule'!J66</f>
        <v/>
      </c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</row>
    <row r="70" spans="1:17" ht="15" customHeight="1" x14ac:dyDescent="0.25">
      <c r="A70" s="15">
        <v>8</v>
      </c>
      <c r="B70" s="15" t="s">
        <v>81</v>
      </c>
      <c r="C70" s="16" t="s">
        <v>54</v>
      </c>
      <c r="D70" s="15" t="s">
        <v>63</v>
      </c>
      <c r="E70" s="17" t="str">
        <f>'NFL Schedule'!J67</f>
        <v/>
      </c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</row>
    <row r="71" spans="1:17" ht="15" customHeight="1" x14ac:dyDescent="0.25">
      <c r="A71" s="15">
        <v>9</v>
      </c>
      <c r="B71" s="15" t="s">
        <v>76</v>
      </c>
      <c r="C71" s="16" t="s">
        <v>54</v>
      </c>
      <c r="D71" s="15" t="s">
        <v>69</v>
      </c>
      <c r="E71" s="17" t="str">
        <f>'NFL Schedule'!J68</f>
        <v/>
      </c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</row>
    <row r="72" spans="1:17" ht="15" customHeight="1" x14ac:dyDescent="0.25">
      <c r="A72" s="15">
        <v>10</v>
      </c>
      <c r="B72" s="15" t="s">
        <v>85</v>
      </c>
      <c r="C72" s="16" t="s">
        <v>54</v>
      </c>
      <c r="D72" s="15" t="s">
        <v>68</v>
      </c>
      <c r="E72" s="17" t="str">
        <f>'NFL Schedule'!J69</f>
        <v/>
      </c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</row>
    <row r="73" spans="1:17" ht="15" customHeight="1" x14ac:dyDescent="0.25">
      <c r="A73" s="15">
        <v>11</v>
      </c>
      <c r="B73" s="15" t="s">
        <v>79</v>
      </c>
      <c r="C73" s="16" t="s">
        <v>54</v>
      </c>
      <c r="D73" s="15" t="s">
        <v>82</v>
      </c>
      <c r="E73" s="17" t="str">
        <f>'NFL Schedule'!J70</f>
        <v/>
      </c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</row>
    <row r="74" spans="1:17" ht="15" customHeight="1" x14ac:dyDescent="0.25">
      <c r="A74" s="15">
        <v>12</v>
      </c>
      <c r="B74" s="15" t="s">
        <v>88</v>
      </c>
      <c r="C74" s="16" t="s">
        <v>54</v>
      </c>
      <c r="D74" s="15" t="s">
        <v>80</v>
      </c>
      <c r="E74" s="17" t="str">
        <f>'NFL Schedule'!J71</f>
        <v/>
      </c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</row>
    <row r="75" spans="1:17" ht="15" customHeight="1" x14ac:dyDescent="0.25">
      <c r="A75" s="15">
        <v>13</v>
      </c>
      <c r="B75" s="15" t="s">
        <v>87</v>
      </c>
      <c r="C75" s="16" t="s">
        <v>54</v>
      </c>
      <c r="D75" s="15" t="s">
        <v>59</v>
      </c>
      <c r="E75" s="17" t="str">
        <f>'NFL Schedule'!J72</f>
        <v/>
      </c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</row>
    <row r="76" spans="1:17" ht="15" customHeight="1" x14ac:dyDescent="0.25">
      <c r="A76" s="15">
        <v>14</v>
      </c>
      <c r="B76" s="15" t="s">
        <v>78</v>
      </c>
      <c r="C76" s="16" t="s">
        <v>54</v>
      </c>
      <c r="D76" s="15" t="s">
        <v>58</v>
      </c>
      <c r="E76" s="17" t="str">
        <f>'NFL Schedule'!J73</f>
        <v/>
      </c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</row>
    <row r="77" spans="1:17" ht="15" customHeight="1" x14ac:dyDescent="0.25">
      <c r="A77" s="15">
        <v>15</v>
      </c>
      <c r="B77" s="15" t="s">
        <v>66</v>
      </c>
      <c r="C77" s="16" t="s">
        <v>54</v>
      </c>
      <c r="D77" s="15" t="s">
        <v>62</v>
      </c>
      <c r="E77" s="17" t="str">
        <f>'NFL Schedule'!J74</f>
        <v/>
      </c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</row>
    <row r="78" spans="1:17" ht="15" customHeight="1" x14ac:dyDescent="0.25">
      <c r="A78" s="15">
        <v>16</v>
      </c>
      <c r="B78" s="15" t="s">
        <v>73</v>
      </c>
      <c r="C78" s="16" t="s">
        <v>54</v>
      </c>
      <c r="D78" s="15" t="s">
        <v>65</v>
      </c>
      <c r="E78" s="17" t="str">
        <f>'NFL Schedule'!J75</f>
        <v/>
      </c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</row>
    <row r="79" spans="1:17" x14ac:dyDescent="0.25">
      <c r="A79" s="19" t="s">
        <v>63</v>
      </c>
      <c r="B79" s="20" t="s">
        <v>89</v>
      </c>
      <c r="E79" s="21" t="str">
        <f>'NFL Schedule'!E76</f>
        <v/>
      </c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</row>
    <row r="80" spans="1:17" ht="15" customHeight="1" x14ac:dyDescent="0.25">
      <c r="A80" s="6" t="s">
        <v>93</v>
      </c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 spans="1:17" ht="15" customHeight="1" x14ac:dyDescent="0.25">
      <c r="A81" s="14" t="s">
        <v>27</v>
      </c>
      <c r="B81" s="14" t="s">
        <v>53</v>
      </c>
      <c r="C81" s="14" t="s">
        <v>54</v>
      </c>
      <c r="D81" s="14" t="s">
        <v>55</v>
      </c>
      <c r="E81" s="14" t="s">
        <v>56</v>
      </c>
      <c r="F81" s="14" t="s">
        <v>5</v>
      </c>
      <c r="G81" s="14" t="s">
        <v>8</v>
      </c>
      <c r="H81" s="14" t="s">
        <v>9</v>
      </c>
      <c r="I81" s="14" t="s">
        <v>10</v>
      </c>
      <c r="J81" s="14" t="s">
        <v>11</v>
      </c>
      <c r="K81" s="14" t="s">
        <v>14</v>
      </c>
      <c r="L81" s="14" t="s">
        <v>15</v>
      </c>
      <c r="M81" s="14" t="s">
        <v>16</v>
      </c>
      <c r="N81" s="14" t="s">
        <v>17</v>
      </c>
      <c r="O81" s="14" t="s">
        <v>20</v>
      </c>
      <c r="P81" s="14" t="s">
        <v>21</v>
      </c>
      <c r="Q81" s="14" t="s">
        <v>22</v>
      </c>
    </row>
    <row r="82" spans="1:17" ht="15" customHeight="1" x14ac:dyDescent="0.25">
      <c r="A82" s="15">
        <v>1</v>
      </c>
      <c r="B82" s="15" t="s">
        <v>63</v>
      </c>
      <c r="C82" s="16" t="s">
        <v>54</v>
      </c>
      <c r="D82" s="15" t="s">
        <v>85</v>
      </c>
      <c r="E82" s="17" t="str">
        <f>'NFL Schedule'!J79</f>
        <v/>
      </c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</row>
    <row r="83" spans="1:17" ht="15" customHeight="1" x14ac:dyDescent="0.25">
      <c r="A83" s="15">
        <v>2</v>
      </c>
      <c r="B83" s="15" t="s">
        <v>84</v>
      </c>
      <c r="C83" s="16" t="s">
        <v>54</v>
      </c>
      <c r="D83" s="15" t="s">
        <v>72</v>
      </c>
      <c r="E83" s="17" t="str">
        <f>'NFL Schedule'!J80</f>
        <v/>
      </c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</row>
    <row r="84" spans="1:17" ht="15" customHeight="1" x14ac:dyDescent="0.25">
      <c r="A84" s="15">
        <v>3</v>
      </c>
      <c r="B84" s="15" t="s">
        <v>68</v>
      </c>
      <c r="C84" s="16" t="s">
        <v>54</v>
      </c>
      <c r="D84" s="15" t="s">
        <v>76</v>
      </c>
      <c r="E84" s="17" t="str">
        <f>'NFL Schedule'!J81</f>
        <v/>
      </c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</row>
    <row r="85" spans="1:17" ht="15" customHeight="1" x14ac:dyDescent="0.25">
      <c r="A85" s="15">
        <v>4</v>
      </c>
      <c r="B85" s="15" t="s">
        <v>64</v>
      </c>
      <c r="C85" s="16" t="s">
        <v>54</v>
      </c>
      <c r="D85" s="15" t="s">
        <v>79</v>
      </c>
      <c r="E85" s="17" t="str">
        <f>'NFL Schedule'!J82</f>
        <v/>
      </c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</row>
    <row r="86" spans="1:17" ht="15" customHeight="1" x14ac:dyDescent="0.25">
      <c r="A86" s="15">
        <v>5</v>
      </c>
      <c r="B86" s="15" t="s">
        <v>80</v>
      </c>
      <c r="C86" s="16" t="s">
        <v>54</v>
      </c>
      <c r="D86" s="15" t="s">
        <v>57</v>
      </c>
      <c r="E86" s="17" t="str">
        <f>'NFL Schedule'!J83</f>
        <v/>
      </c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</row>
    <row r="87" spans="1:17" ht="15" customHeight="1" x14ac:dyDescent="0.25">
      <c r="A87" s="15">
        <v>6</v>
      </c>
      <c r="B87" s="15" t="s">
        <v>82</v>
      </c>
      <c r="C87" s="16" t="s">
        <v>54</v>
      </c>
      <c r="D87" s="15" t="s">
        <v>65</v>
      </c>
      <c r="E87" s="17" t="str">
        <f>'NFL Schedule'!J84</f>
        <v/>
      </c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</row>
    <row r="88" spans="1:17" ht="15" customHeight="1" x14ac:dyDescent="0.25">
      <c r="A88" s="15">
        <v>7</v>
      </c>
      <c r="B88" s="15" t="s">
        <v>71</v>
      </c>
      <c r="C88" s="16" t="s">
        <v>54</v>
      </c>
      <c r="D88" s="15" t="s">
        <v>75</v>
      </c>
      <c r="E88" s="17" t="str">
        <f>'NFL Schedule'!J85</f>
        <v/>
      </c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</row>
    <row r="89" spans="1:17" ht="15" customHeight="1" x14ac:dyDescent="0.25">
      <c r="A89" s="15">
        <v>8</v>
      </c>
      <c r="B89" s="15" t="s">
        <v>70</v>
      </c>
      <c r="C89" s="16" t="s">
        <v>54</v>
      </c>
      <c r="D89" s="15" t="s">
        <v>74</v>
      </c>
      <c r="E89" s="17" t="str">
        <f>'NFL Schedule'!J86</f>
        <v/>
      </c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</row>
    <row r="90" spans="1:17" ht="15" customHeight="1" x14ac:dyDescent="0.25">
      <c r="A90" s="15">
        <v>9</v>
      </c>
      <c r="B90" s="15" t="s">
        <v>86</v>
      </c>
      <c r="C90" s="16" t="s">
        <v>54</v>
      </c>
      <c r="D90" s="15" t="s">
        <v>83</v>
      </c>
      <c r="E90" s="17" t="str">
        <f>'NFL Schedule'!J87</f>
        <v/>
      </c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</row>
    <row r="91" spans="1:17" ht="15" customHeight="1" x14ac:dyDescent="0.25">
      <c r="A91" s="15">
        <v>10</v>
      </c>
      <c r="B91" s="15" t="s">
        <v>87</v>
      </c>
      <c r="C91" s="16" t="s">
        <v>54</v>
      </c>
      <c r="D91" s="15" t="s">
        <v>78</v>
      </c>
      <c r="E91" s="17" t="str">
        <f>'NFL Schedule'!J88</f>
        <v/>
      </c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</row>
    <row r="92" spans="1:17" ht="15" customHeight="1" x14ac:dyDescent="0.25">
      <c r="A92" s="15">
        <v>11</v>
      </c>
      <c r="B92" s="15" t="s">
        <v>61</v>
      </c>
      <c r="C92" s="16" t="s">
        <v>54</v>
      </c>
      <c r="D92" s="15" t="s">
        <v>81</v>
      </c>
      <c r="E92" s="17" t="str">
        <f>'NFL Schedule'!J89</f>
        <v/>
      </c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</row>
    <row r="93" spans="1:17" ht="15" customHeight="1" x14ac:dyDescent="0.25">
      <c r="A93" s="15">
        <v>12</v>
      </c>
      <c r="B93" s="15" t="s">
        <v>66</v>
      </c>
      <c r="C93" s="16" t="s">
        <v>54</v>
      </c>
      <c r="D93" s="15" t="s">
        <v>77</v>
      </c>
      <c r="E93" s="17" t="str">
        <f>'NFL Schedule'!J90</f>
        <v/>
      </c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</row>
    <row r="94" spans="1:17" ht="15" customHeight="1" x14ac:dyDescent="0.25">
      <c r="A94" s="15">
        <v>13</v>
      </c>
      <c r="B94" s="15" t="s">
        <v>59</v>
      </c>
      <c r="C94" s="16" t="s">
        <v>54</v>
      </c>
      <c r="D94" s="15" t="s">
        <v>58</v>
      </c>
      <c r="E94" s="17" t="str">
        <f>'NFL Schedule'!J91</f>
        <v/>
      </c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</row>
    <row r="95" spans="1:17" ht="15" customHeight="1" x14ac:dyDescent="0.25">
      <c r="A95" s="15">
        <v>14</v>
      </c>
      <c r="B95" s="15" t="s">
        <v>69</v>
      </c>
      <c r="C95" s="16" t="s">
        <v>54</v>
      </c>
      <c r="D95" s="15" t="s">
        <v>73</v>
      </c>
      <c r="E95" s="17" t="str">
        <f>'NFL Schedule'!J92</f>
        <v/>
      </c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</row>
    <row r="96" spans="1:17" ht="15" customHeight="1" x14ac:dyDescent="0.25">
      <c r="A96" s="15">
        <v>15</v>
      </c>
      <c r="B96" s="15" t="s">
        <v>67</v>
      </c>
      <c r="C96" s="16" t="s">
        <v>54</v>
      </c>
      <c r="D96" s="15" t="s">
        <v>60</v>
      </c>
      <c r="E96" s="17" t="str">
        <f>'NFL Schedule'!J93</f>
        <v/>
      </c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</row>
    <row r="97" spans="1:17" x14ac:dyDescent="0.25">
      <c r="A97" s="19" t="s">
        <v>63</v>
      </c>
      <c r="B97" s="20" t="s">
        <v>89</v>
      </c>
      <c r="E97" s="21" t="str">
        <f>'NFL Schedule'!E94</f>
        <v/>
      </c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</row>
    <row r="98" spans="1:17" ht="15" customHeight="1" x14ac:dyDescent="0.25">
      <c r="A98" s="6" t="s">
        <v>94</v>
      </c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 spans="1:17" ht="15" customHeight="1" x14ac:dyDescent="0.25">
      <c r="A99" s="14" t="s">
        <v>27</v>
      </c>
      <c r="B99" s="14" t="s">
        <v>53</v>
      </c>
      <c r="C99" s="14" t="s">
        <v>54</v>
      </c>
      <c r="D99" s="14" t="s">
        <v>55</v>
      </c>
      <c r="E99" s="14" t="s">
        <v>56</v>
      </c>
      <c r="F99" s="14" t="s">
        <v>5</v>
      </c>
      <c r="G99" s="14" t="s">
        <v>8</v>
      </c>
      <c r="H99" s="14" t="s">
        <v>9</v>
      </c>
      <c r="I99" s="14" t="s">
        <v>10</v>
      </c>
      <c r="J99" s="14" t="s">
        <v>11</v>
      </c>
      <c r="K99" s="14" t="s">
        <v>14</v>
      </c>
      <c r="L99" s="14" t="s">
        <v>15</v>
      </c>
      <c r="M99" s="14" t="s">
        <v>16</v>
      </c>
      <c r="N99" s="14" t="s">
        <v>17</v>
      </c>
      <c r="O99" s="14" t="s">
        <v>20</v>
      </c>
      <c r="P99" s="14" t="s">
        <v>21</v>
      </c>
      <c r="Q99" s="14" t="s">
        <v>22</v>
      </c>
    </row>
    <row r="100" spans="1:17" ht="15" customHeight="1" x14ac:dyDescent="0.25">
      <c r="A100" s="15">
        <v>1</v>
      </c>
      <c r="B100" s="15" t="s">
        <v>58</v>
      </c>
      <c r="C100" s="16" t="s">
        <v>54</v>
      </c>
      <c r="D100" s="15" t="s">
        <v>87</v>
      </c>
      <c r="E100" s="17" t="str">
        <f>'NFL Schedule'!J97</f>
        <v/>
      </c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</row>
    <row r="101" spans="1:17" ht="15" customHeight="1" x14ac:dyDescent="0.25">
      <c r="A101" s="15">
        <v>2</v>
      </c>
      <c r="B101" s="15" t="s">
        <v>68</v>
      </c>
      <c r="C101" s="16" t="s">
        <v>54</v>
      </c>
      <c r="D101" s="15" t="s">
        <v>72</v>
      </c>
      <c r="E101" s="17" t="str">
        <f>'NFL Schedule'!J98</f>
        <v/>
      </c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</row>
    <row r="102" spans="1:17" ht="15" customHeight="1" x14ac:dyDescent="0.25">
      <c r="A102" s="15">
        <v>3</v>
      </c>
      <c r="B102" s="15" t="s">
        <v>61</v>
      </c>
      <c r="C102" s="16" t="s">
        <v>54</v>
      </c>
      <c r="D102" s="15" t="s">
        <v>73</v>
      </c>
      <c r="E102" s="17" t="str">
        <f>'NFL Schedule'!J99</f>
        <v/>
      </c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</row>
    <row r="103" spans="1:17" ht="15" customHeight="1" x14ac:dyDescent="0.25">
      <c r="A103" s="15">
        <v>4</v>
      </c>
      <c r="B103" s="15" t="s">
        <v>69</v>
      </c>
      <c r="C103" s="16" t="s">
        <v>54</v>
      </c>
      <c r="D103" s="15" t="s">
        <v>71</v>
      </c>
      <c r="E103" s="17" t="str">
        <f>'NFL Schedule'!J100</f>
        <v/>
      </c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</row>
    <row r="104" spans="1:17" ht="15" customHeight="1" x14ac:dyDescent="0.25">
      <c r="A104" s="15">
        <v>5</v>
      </c>
      <c r="B104" s="15" t="s">
        <v>76</v>
      </c>
      <c r="C104" s="16" t="s">
        <v>54</v>
      </c>
      <c r="D104" s="15" t="s">
        <v>70</v>
      </c>
      <c r="E104" s="17" t="str">
        <f>'NFL Schedule'!J101</f>
        <v/>
      </c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</row>
    <row r="105" spans="1:17" ht="15" customHeight="1" x14ac:dyDescent="0.25">
      <c r="A105" s="15">
        <v>6</v>
      </c>
      <c r="B105" s="15" t="s">
        <v>75</v>
      </c>
      <c r="C105" s="16" t="s">
        <v>54</v>
      </c>
      <c r="D105" s="15" t="s">
        <v>57</v>
      </c>
      <c r="E105" s="17" t="str">
        <f>'NFL Schedule'!J102</f>
        <v/>
      </c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</row>
    <row r="106" spans="1:17" ht="15" customHeight="1" x14ac:dyDescent="0.25">
      <c r="A106" s="15">
        <v>7</v>
      </c>
      <c r="B106" s="15" t="s">
        <v>65</v>
      </c>
      <c r="C106" s="16" t="s">
        <v>54</v>
      </c>
      <c r="D106" s="15" t="s">
        <v>86</v>
      </c>
      <c r="E106" s="17" t="str">
        <f>'NFL Schedule'!J103</f>
        <v/>
      </c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</row>
    <row r="107" spans="1:17" ht="15" customHeight="1" x14ac:dyDescent="0.25">
      <c r="A107" s="15">
        <v>8</v>
      </c>
      <c r="B107" s="15" t="s">
        <v>62</v>
      </c>
      <c r="C107" s="16" t="s">
        <v>54</v>
      </c>
      <c r="D107" s="15" t="s">
        <v>84</v>
      </c>
      <c r="E107" s="17" t="str">
        <f>'NFL Schedule'!J104</f>
        <v/>
      </c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</row>
    <row r="108" spans="1:17" ht="15" customHeight="1" x14ac:dyDescent="0.25">
      <c r="A108" s="15">
        <v>9</v>
      </c>
      <c r="B108" s="15" t="s">
        <v>74</v>
      </c>
      <c r="C108" s="16" t="s">
        <v>54</v>
      </c>
      <c r="D108" s="15" t="s">
        <v>63</v>
      </c>
      <c r="E108" s="17" t="str">
        <f>'NFL Schedule'!J105</f>
        <v/>
      </c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</row>
    <row r="109" spans="1:17" ht="15" customHeight="1" x14ac:dyDescent="0.25">
      <c r="A109" s="15">
        <v>10</v>
      </c>
      <c r="B109" s="15" t="s">
        <v>77</v>
      </c>
      <c r="C109" s="16" t="s">
        <v>54</v>
      </c>
      <c r="D109" s="15" t="s">
        <v>78</v>
      </c>
      <c r="E109" s="17" t="str">
        <f>'NFL Schedule'!J106</f>
        <v/>
      </c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</row>
    <row r="110" spans="1:17" ht="15" customHeight="1" x14ac:dyDescent="0.25">
      <c r="A110" s="15">
        <v>11</v>
      </c>
      <c r="B110" s="15" t="s">
        <v>60</v>
      </c>
      <c r="C110" s="16" t="s">
        <v>54</v>
      </c>
      <c r="D110" s="15" t="s">
        <v>88</v>
      </c>
      <c r="E110" s="17" t="str">
        <f>'NFL Schedule'!J107</f>
        <v/>
      </c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</row>
    <row r="111" spans="1:17" ht="15" customHeight="1" x14ac:dyDescent="0.25">
      <c r="A111" s="15">
        <v>12</v>
      </c>
      <c r="B111" s="15" t="s">
        <v>67</v>
      </c>
      <c r="C111" s="16" t="s">
        <v>54</v>
      </c>
      <c r="D111" s="15" t="s">
        <v>80</v>
      </c>
      <c r="E111" s="17" t="str">
        <f>'NFL Schedule'!J108</f>
        <v/>
      </c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</row>
    <row r="112" spans="1:17" ht="15" customHeight="1" x14ac:dyDescent="0.25">
      <c r="A112" s="15">
        <v>13</v>
      </c>
      <c r="B112" s="15" t="s">
        <v>85</v>
      </c>
      <c r="C112" s="16" t="s">
        <v>54</v>
      </c>
      <c r="D112" s="15" t="s">
        <v>81</v>
      </c>
      <c r="E112" s="17" t="str">
        <f>'NFL Schedule'!J109</f>
        <v/>
      </c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</row>
    <row r="113" spans="1:17" ht="15" customHeight="1" x14ac:dyDescent="0.25">
      <c r="A113" s="15">
        <v>14</v>
      </c>
      <c r="B113" s="15" t="s">
        <v>83</v>
      </c>
      <c r="C113" s="16" t="s">
        <v>54</v>
      </c>
      <c r="D113" s="15" t="s">
        <v>59</v>
      </c>
      <c r="E113" s="17" t="str">
        <f>'NFL Schedule'!J110</f>
        <v/>
      </c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</row>
    <row r="114" spans="1:17" x14ac:dyDescent="0.25">
      <c r="A114" s="19" t="s">
        <v>63</v>
      </c>
      <c r="B114" s="20" t="s">
        <v>89</v>
      </c>
      <c r="E114" s="21" t="str">
        <f>'NFL Schedule'!E111</f>
        <v/>
      </c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</row>
    <row r="115" spans="1:17" ht="15" customHeight="1" x14ac:dyDescent="0.25">
      <c r="A115" s="6" t="s">
        <v>95</v>
      </c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 spans="1:17" ht="15" customHeight="1" x14ac:dyDescent="0.25">
      <c r="A116" s="14" t="s">
        <v>27</v>
      </c>
      <c r="B116" s="14" t="s">
        <v>53</v>
      </c>
      <c r="C116" s="14" t="s">
        <v>54</v>
      </c>
      <c r="D116" s="14" t="s">
        <v>55</v>
      </c>
      <c r="E116" s="14" t="s">
        <v>56</v>
      </c>
      <c r="F116" s="14" t="s">
        <v>5</v>
      </c>
      <c r="G116" s="14" t="s">
        <v>8</v>
      </c>
      <c r="H116" s="14" t="s">
        <v>9</v>
      </c>
      <c r="I116" s="14" t="s">
        <v>10</v>
      </c>
      <c r="J116" s="14" t="s">
        <v>11</v>
      </c>
      <c r="K116" s="14" t="s">
        <v>14</v>
      </c>
      <c r="L116" s="14" t="s">
        <v>15</v>
      </c>
      <c r="M116" s="14" t="s">
        <v>16</v>
      </c>
      <c r="N116" s="14" t="s">
        <v>17</v>
      </c>
      <c r="O116" s="14" t="s">
        <v>20</v>
      </c>
      <c r="P116" s="14" t="s">
        <v>21</v>
      </c>
      <c r="Q116" s="14" t="s">
        <v>22</v>
      </c>
    </row>
    <row r="117" spans="1:17" ht="15" customHeight="1" x14ac:dyDescent="0.25">
      <c r="A117" s="15">
        <v>1</v>
      </c>
      <c r="B117" s="15" t="s">
        <v>57</v>
      </c>
      <c r="C117" s="16" t="s">
        <v>54</v>
      </c>
      <c r="D117" s="15" t="s">
        <v>61</v>
      </c>
      <c r="E117" s="17" t="str">
        <f>'NFL Schedule'!J114</f>
        <v/>
      </c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</row>
    <row r="118" spans="1:17" ht="15" customHeight="1" x14ac:dyDescent="0.25">
      <c r="A118" s="15">
        <v>2</v>
      </c>
      <c r="B118" s="15" t="s">
        <v>74</v>
      </c>
      <c r="C118" s="16" t="s">
        <v>54</v>
      </c>
      <c r="D118" s="15" t="s">
        <v>65</v>
      </c>
      <c r="E118" s="17" t="str">
        <f>'NFL Schedule'!J115</f>
        <v/>
      </c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</row>
    <row r="119" spans="1:17" ht="15" customHeight="1" x14ac:dyDescent="0.25">
      <c r="A119" s="15">
        <v>3</v>
      </c>
      <c r="B119" s="15" t="s">
        <v>59</v>
      </c>
      <c r="C119" s="16" t="s">
        <v>54</v>
      </c>
      <c r="D119" s="15" t="s">
        <v>73</v>
      </c>
      <c r="E119" s="17" t="str">
        <f>'NFL Schedule'!J116</f>
        <v/>
      </c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</row>
    <row r="120" spans="1:17" ht="15" customHeight="1" x14ac:dyDescent="0.25">
      <c r="A120" s="15">
        <v>4</v>
      </c>
      <c r="B120" s="15" t="s">
        <v>71</v>
      </c>
      <c r="C120" s="16" t="s">
        <v>54</v>
      </c>
      <c r="D120" s="15" t="s">
        <v>76</v>
      </c>
      <c r="E120" s="17" t="str">
        <f>'NFL Schedule'!J117</f>
        <v/>
      </c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</row>
    <row r="121" spans="1:17" ht="15" customHeight="1" x14ac:dyDescent="0.25">
      <c r="A121" s="15">
        <v>5</v>
      </c>
      <c r="B121" s="15" t="s">
        <v>70</v>
      </c>
      <c r="C121" s="16" t="s">
        <v>54</v>
      </c>
      <c r="D121" s="15" t="s">
        <v>82</v>
      </c>
      <c r="E121" s="17" t="str">
        <f>'NFL Schedule'!J118</f>
        <v/>
      </c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</row>
    <row r="122" spans="1:17" ht="15" customHeight="1" x14ac:dyDescent="0.25">
      <c r="A122" s="15">
        <v>6</v>
      </c>
      <c r="B122" s="15" t="s">
        <v>79</v>
      </c>
      <c r="C122" s="16" t="s">
        <v>54</v>
      </c>
      <c r="D122" s="15" t="s">
        <v>75</v>
      </c>
      <c r="E122" s="17" t="str">
        <f>'NFL Schedule'!J119</f>
        <v/>
      </c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</row>
    <row r="123" spans="1:17" ht="15" customHeight="1" x14ac:dyDescent="0.25">
      <c r="A123" s="15">
        <v>7</v>
      </c>
      <c r="B123" s="15" t="s">
        <v>63</v>
      </c>
      <c r="C123" s="16" t="s">
        <v>54</v>
      </c>
      <c r="D123" s="15" t="s">
        <v>62</v>
      </c>
      <c r="E123" s="17" t="str">
        <f>'NFL Schedule'!J120</f>
        <v/>
      </c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</row>
    <row r="124" spans="1:17" ht="15" customHeight="1" x14ac:dyDescent="0.25">
      <c r="A124" s="15">
        <v>8</v>
      </c>
      <c r="B124" s="15" t="s">
        <v>64</v>
      </c>
      <c r="C124" s="16" t="s">
        <v>54</v>
      </c>
      <c r="D124" s="15" t="s">
        <v>69</v>
      </c>
      <c r="E124" s="17" t="str">
        <f>'NFL Schedule'!J121</f>
        <v/>
      </c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</row>
    <row r="125" spans="1:17" ht="15" customHeight="1" x14ac:dyDescent="0.25">
      <c r="A125" s="15">
        <v>9</v>
      </c>
      <c r="B125" s="15" t="s">
        <v>86</v>
      </c>
      <c r="C125" s="16" t="s">
        <v>54</v>
      </c>
      <c r="D125" s="15" t="s">
        <v>68</v>
      </c>
      <c r="E125" s="17" t="str">
        <f>'NFL Schedule'!J122</f>
        <v/>
      </c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</row>
    <row r="126" spans="1:17" ht="15" customHeight="1" x14ac:dyDescent="0.25">
      <c r="A126" s="15">
        <v>10</v>
      </c>
      <c r="B126" s="15" t="s">
        <v>87</v>
      </c>
      <c r="C126" s="16" t="s">
        <v>54</v>
      </c>
      <c r="D126" s="15" t="s">
        <v>77</v>
      </c>
      <c r="E126" s="17" t="str">
        <f>'NFL Schedule'!J123</f>
        <v/>
      </c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</row>
    <row r="127" spans="1:17" ht="15" customHeight="1" x14ac:dyDescent="0.25">
      <c r="A127" s="15">
        <v>11</v>
      </c>
      <c r="B127" s="15" t="s">
        <v>81</v>
      </c>
      <c r="C127" s="16" t="s">
        <v>54</v>
      </c>
      <c r="D127" s="15" t="s">
        <v>66</v>
      </c>
      <c r="E127" s="17" t="str">
        <f>'NFL Schedule'!J124</f>
        <v/>
      </c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</row>
    <row r="128" spans="1:17" ht="15" customHeight="1" x14ac:dyDescent="0.25">
      <c r="A128" s="15">
        <v>12</v>
      </c>
      <c r="B128" s="15" t="s">
        <v>60</v>
      </c>
      <c r="C128" s="16" t="s">
        <v>54</v>
      </c>
      <c r="D128" s="15" t="s">
        <v>80</v>
      </c>
      <c r="E128" s="17" t="str">
        <f>'NFL Schedule'!J125</f>
        <v/>
      </c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</row>
    <row r="129" spans="1:17" ht="15" customHeight="1" x14ac:dyDescent="0.25">
      <c r="A129" s="15">
        <v>13</v>
      </c>
      <c r="B129" s="15" t="s">
        <v>88</v>
      </c>
      <c r="C129" s="16" t="s">
        <v>54</v>
      </c>
      <c r="D129" s="15" t="s">
        <v>58</v>
      </c>
      <c r="E129" s="17" t="str">
        <f>'NFL Schedule'!J126</f>
        <v/>
      </c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</row>
    <row r="130" spans="1:17" ht="15" customHeight="1" x14ac:dyDescent="0.25">
      <c r="A130" s="15">
        <v>14</v>
      </c>
      <c r="B130" s="15" t="s">
        <v>85</v>
      </c>
      <c r="C130" s="16" t="s">
        <v>54</v>
      </c>
      <c r="D130" s="15" t="s">
        <v>84</v>
      </c>
      <c r="E130" s="17" t="str">
        <f>'NFL Schedule'!J127</f>
        <v/>
      </c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</row>
    <row r="131" spans="1:17" x14ac:dyDescent="0.25">
      <c r="A131" s="19" t="s">
        <v>63</v>
      </c>
      <c r="B131" s="20" t="s">
        <v>89</v>
      </c>
      <c r="E131" s="21" t="str">
        <f>'NFL Schedule'!E128</f>
        <v/>
      </c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</row>
    <row r="132" spans="1:17" ht="15" customHeight="1" x14ac:dyDescent="0.25">
      <c r="A132" s="6" t="s">
        <v>96</v>
      </c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 spans="1:17" ht="15" customHeight="1" x14ac:dyDescent="0.25">
      <c r="A133" s="14" t="s">
        <v>27</v>
      </c>
      <c r="B133" s="14" t="s">
        <v>53</v>
      </c>
      <c r="C133" s="14" t="s">
        <v>54</v>
      </c>
      <c r="D133" s="14" t="s">
        <v>55</v>
      </c>
      <c r="E133" s="14" t="s">
        <v>56</v>
      </c>
      <c r="F133" s="14" t="s">
        <v>5</v>
      </c>
      <c r="G133" s="14" t="s">
        <v>8</v>
      </c>
      <c r="H133" s="14" t="s">
        <v>9</v>
      </c>
      <c r="I133" s="14" t="s">
        <v>10</v>
      </c>
      <c r="J133" s="14" t="s">
        <v>11</v>
      </c>
      <c r="K133" s="14" t="s">
        <v>14</v>
      </c>
      <c r="L133" s="14" t="s">
        <v>15</v>
      </c>
      <c r="M133" s="14" t="s">
        <v>16</v>
      </c>
      <c r="N133" s="14" t="s">
        <v>17</v>
      </c>
      <c r="O133" s="14" t="s">
        <v>20</v>
      </c>
      <c r="P133" s="14" t="s">
        <v>21</v>
      </c>
      <c r="Q133" s="14" t="s">
        <v>22</v>
      </c>
    </row>
    <row r="134" spans="1:17" ht="15" customHeight="1" x14ac:dyDescent="0.25">
      <c r="A134" s="15">
        <v>1</v>
      </c>
      <c r="B134" s="15" t="s">
        <v>62</v>
      </c>
      <c r="C134" s="16" t="s">
        <v>54</v>
      </c>
      <c r="D134" s="15" t="s">
        <v>81</v>
      </c>
      <c r="E134" s="17" t="str">
        <f>'NFL Schedule'!J131</f>
        <v/>
      </c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</row>
    <row r="135" spans="1:17" ht="15" customHeight="1" x14ac:dyDescent="0.25">
      <c r="A135" s="15">
        <v>2</v>
      </c>
      <c r="B135" s="15" t="s">
        <v>69</v>
      </c>
      <c r="C135" s="16" t="s">
        <v>54</v>
      </c>
      <c r="D135" s="15" t="s">
        <v>67</v>
      </c>
      <c r="E135" s="17" t="str">
        <f>'NFL Schedule'!J132</f>
        <v/>
      </c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</row>
    <row r="136" spans="1:17" ht="15" customHeight="1" x14ac:dyDescent="0.25">
      <c r="A136" s="15">
        <v>3</v>
      </c>
      <c r="B136" s="15" t="s">
        <v>76</v>
      </c>
      <c r="C136" s="16" t="s">
        <v>54</v>
      </c>
      <c r="D136" s="15" t="s">
        <v>64</v>
      </c>
      <c r="E136" s="17" t="str">
        <f>'NFL Schedule'!J133</f>
        <v/>
      </c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</row>
    <row r="137" spans="1:17" ht="15" customHeight="1" x14ac:dyDescent="0.25">
      <c r="A137" s="15">
        <v>4</v>
      </c>
      <c r="B137" s="15" t="s">
        <v>77</v>
      </c>
      <c r="C137" s="16" t="s">
        <v>54</v>
      </c>
      <c r="D137" s="15" t="s">
        <v>85</v>
      </c>
      <c r="E137" s="17" t="str">
        <f>'NFL Schedule'!J134</f>
        <v/>
      </c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</row>
    <row r="138" spans="1:17" ht="15" customHeight="1" x14ac:dyDescent="0.25">
      <c r="A138" s="15">
        <v>5</v>
      </c>
      <c r="B138" s="15" t="s">
        <v>82</v>
      </c>
      <c r="C138" s="16" t="s">
        <v>54</v>
      </c>
      <c r="D138" s="15" t="s">
        <v>66</v>
      </c>
      <c r="E138" s="17" t="str">
        <f>'NFL Schedule'!J135</f>
        <v/>
      </c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</row>
    <row r="139" spans="1:17" ht="15" customHeight="1" x14ac:dyDescent="0.25">
      <c r="A139" s="15">
        <v>6</v>
      </c>
      <c r="B139" s="15" t="s">
        <v>80</v>
      </c>
      <c r="C139" s="16" t="s">
        <v>54</v>
      </c>
      <c r="D139" s="15" t="s">
        <v>75</v>
      </c>
      <c r="E139" s="17" t="str">
        <f>'NFL Schedule'!J136</f>
        <v/>
      </c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</row>
    <row r="140" spans="1:17" ht="15" customHeight="1" x14ac:dyDescent="0.25">
      <c r="A140" s="15">
        <v>7</v>
      </c>
      <c r="B140" s="15" t="s">
        <v>71</v>
      </c>
      <c r="C140" s="16" t="s">
        <v>54</v>
      </c>
      <c r="D140" s="15" t="s">
        <v>74</v>
      </c>
      <c r="E140" s="17" t="str">
        <f>'NFL Schedule'!J137</f>
        <v/>
      </c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</row>
    <row r="141" spans="1:17" ht="15" customHeight="1" x14ac:dyDescent="0.25">
      <c r="A141" s="15">
        <v>8</v>
      </c>
      <c r="B141" s="15" t="s">
        <v>73</v>
      </c>
      <c r="C141" s="16" t="s">
        <v>54</v>
      </c>
      <c r="D141" s="15" t="s">
        <v>63</v>
      </c>
      <c r="E141" s="17" t="str">
        <f>'NFL Schedule'!J138</f>
        <v/>
      </c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</row>
    <row r="142" spans="1:17" ht="15" customHeight="1" x14ac:dyDescent="0.25">
      <c r="A142" s="15">
        <v>9</v>
      </c>
      <c r="B142" s="15" t="s">
        <v>70</v>
      </c>
      <c r="C142" s="16" t="s">
        <v>54</v>
      </c>
      <c r="D142" s="15" t="s">
        <v>72</v>
      </c>
      <c r="E142" s="17" t="str">
        <f>'NFL Schedule'!J139</f>
        <v/>
      </c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</row>
    <row r="143" spans="1:17" ht="15" customHeight="1" x14ac:dyDescent="0.25">
      <c r="A143" s="15">
        <v>10</v>
      </c>
      <c r="B143" s="15" t="s">
        <v>60</v>
      </c>
      <c r="C143" s="16" t="s">
        <v>54</v>
      </c>
      <c r="D143" s="15" t="s">
        <v>78</v>
      </c>
      <c r="E143" s="17" t="str">
        <f>'NFL Schedule'!J140</f>
        <v/>
      </c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</row>
    <row r="144" spans="1:17" ht="15" customHeight="1" x14ac:dyDescent="0.25">
      <c r="A144" s="15">
        <v>11</v>
      </c>
      <c r="B144" s="15" t="s">
        <v>88</v>
      </c>
      <c r="C144" s="16" t="s">
        <v>54</v>
      </c>
      <c r="D144" s="15" t="s">
        <v>87</v>
      </c>
      <c r="E144" s="17" t="str">
        <f>'NFL Schedule'!J141</f>
        <v/>
      </c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</row>
    <row r="145" spans="1:17" ht="15" customHeight="1" x14ac:dyDescent="0.25">
      <c r="A145" s="15">
        <v>12</v>
      </c>
      <c r="B145" s="15" t="s">
        <v>57</v>
      </c>
      <c r="C145" s="16" t="s">
        <v>54</v>
      </c>
      <c r="D145" s="15" t="s">
        <v>79</v>
      </c>
      <c r="E145" s="17" t="str">
        <f>'NFL Schedule'!J142</f>
        <v/>
      </c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</row>
    <row r="146" spans="1:17" ht="15" customHeight="1" x14ac:dyDescent="0.25">
      <c r="A146" s="15">
        <v>13</v>
      </c>
      <c r="B146" s="15" t="s">
        <v>84</v>
      </c>
      <c r="C146" s="16" t="s">
        <v>54</v>
      </c>
      <c r="D146" s="15" t="s">
        <v>83</v>
      </c>
      <c r="E146" s="17" t="str">
        <f>'NFL Schedule'!J143</f>
        <v/>
      </c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</row>
    <row r="147" spans="1:17" ht="15" customHeight="1" x14ac:dyDescent="0.25">
      <c r="A147" s="15">
        <v>14</v>
      </c>
      <c r="B147" s="15" t="s">
        <v>61</v>
      </c>
      <c r="C147" s="16" t="s">
        <v>54</v>
      </c>
      <c r="D147" s="15" t="s">
        <v>58</v>
      </c>
      <c r="E147" s="17" t="str">
        <f>'NFL Schedule'!J144</f>
        <v/>
      </c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</row>
    <row r="148" spans="1:17" x14ac:dyDescent="0.25">
      <c r="A148" s="19" t="s">
        <v>63</v>
      </c>
      <c r="B148" s="20" t="s">
        <v>89</v>
      </c>
      <c r="E148" s="21" t="str">
        <f>'NFL Schedule'!E145</f>
        <v/>
      </c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</row>
    <row r="149" spans="1:17" ht="15" customHeight="1" x14ac:dyDescent="0.25">
      <c r="A149" s="6" t="s">
        <v>97</v>
      </c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 spans="1:17" ht="15" customHeight="1" x14ac:dyDescent="0.25">
      <c r="A150" s="14" t="s">
        <v>27</v>
      </c>
      <c r="B150" s="14" t="s">
        <v>53</v>
      </c>
      <c r="C150" s="14" t="s">
        <v>54</v>
      </c>
      <c r="D150" s="14" t="s">
        <v>55</v>
      </c>
      <c r="E150" s="14" t="s">
        <v>56</v>
      </c>
      <c r="F150" s="14" t="s">
        <v>5</v>
      </c>
      <c r="G150" s="14" t="s">
        <v>8</v>
      </c>
      <c r="H150" s="14" t="s">
        <v>9</v>
      </c>
      <c r="I150" s="14" t="s">
        <v>10</v>
      </c>
      <c r="J150" s="14" t="s">
        <v>11</v>
      </c>
      <c r="K150" s="14" t="s">
        <v>14</v>
      </c>
      <c r="L150" s="14" t="s">
        <v>15</v>
      </c>
      <c r="M150" s="14" t="s">
        <v>16</v>
      </c>
      <c r="N150" s="14" t="s">
        <v>17</v>
      </c>
      <c r="O150" s="14" t="s">
        <v>20</v>
      </c>
      <c r="P150" s="14" t="s">
        <v>21</v>
      </c>
      <c r="Q150" s="14" t="s">
        <v>22</v>
      </c>
    </row>
    <row r="151" spans="1:17" ht="15" customHeight="1" x14ac:dyDescent="0.25">
      <c r="A151" s="15">
        <v>1</v>
      </c>
      <c r="B151" s="15" t="s">
        <v>72</v>
      </c>
      <c r="C151" s="16" t="s">
        <v>54</v>
      </c>
      <c r="D151" s="15" t="s">
        <v>69</v>
      </c>
      <c r="E151" s="17" t="str">
        <f>'NFL Schedule'!J148</f>
        <v/>
      </c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</row>
    <row r="152" spans="1:17" ht="15" customHeight="1" x14ac:dyDescent="0.25">
      <c r="A152" s="15">
        <v>2</v>
      </c>
      <c r="B152" s="15" t="s">
        <v>64</v>
      </c>
      <c r="C152" s="16" t="s">
        <v>54</v>
      </c>
      <c r="D152" s="15" t="s">
        <v>73</v>
      </c>
      <c r="E152" s="17" t="str">
        <f>'NFL Schedule'!J149</f>
        <v/>
      </c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</row>
    <row r="153" spans="1:17" ht="15" customHeight="1" x14ac:dyDescent="0.25">
      <c r="A153" s="15">
        <v>3</v>
      </c>
      <c r="B153" s="15" t="s">
        <v>85</v>
      </c>
      <c r="C153" s="16" t="s">
        <v>54</v>
      </c>
      <c r="D153" s="15" t="s">
        <v>70</v>
      </c>
      <c r="E153" s="17" t="str">
        <f>'NFL Schedule'!J150</f>
        <v/>
      </c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</row>
    <row r="154" spans="1:17" ht="15" customHeight="1" x14ac:dyDescent="0.25">
      <c r="A154" s="15">
        <v>4</v>
      </c>
      <c r="B154" s="15" t="s">
        <v>75</v>
      </c>
      <c r="C154" s="16" t="s">
        <v>54</v>
      </c>
      <c r="D154" s="15" t="s">
        <v>88</v>
      </c>
      <c r="E154" s="17" t="str">
        <f>'NFL Schedule'!J151</f>
        <v/>
      </c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</row>
    <row r="155" spans="1:17" ht="15" customHeight="1" x14ac:dyDescent="0.25">
      <c r="A155" s="15">
        <v>5</v>
      </c>
      <c r="B155" s="15" t="s">
        <v>66</v>
      </c>
      <c r="C155" s="16" t="s">
        <v>54</v>
      </c>
      <c r="D155" s="15" t="s">
        <v>79</v>
      </c>
      <c r="E155" s="17" t="str">
        <f>'NFL Schedule'!J152</f>
        <v/>
      </c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</row>
    <row r="156" spans="1:17" ht="15" customHeight="1" x14ac:dyDescent="0.25">
      <c r="A156" s="15">
        <v>6</v>
      </c>
      <c r="B156" s="15" t="s">
        <v>71</v>
      </c>
      <c r="C156" s="16" t="s">
        <v>54</v>
      </c>
      <c r="D156" s="15" t="s">
        <v>65</v>
      </c>
      <c r="E156" s="17" t="str">
        <f>'NFL Schedule'!J153</f>
        <v/>
      </c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</row>
    <row r="157" spans="1:17" ht="15" customHeight="1" x14ac:dyDescent="0.25">
      <c r="A157" s="15">
        <v>7</v>
      </c>
      <c r="B157" s="15" t="s">
        <v>86</v>
      </c>
      <c r="C157" s="16" t="s">
        <v>54</v>
      </c>
      <c r="D157" s="15" t="s">
        <v>84</v>
      </c>
      <c r="E157" s="17" t="str">
        <f>'NFL Schedule'!J154</f>
        <v/>
      </c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</row>
    <row r="158" spans="1:17" ht="15" customHeight="1" x14ac:dyDescent="0.25">
      <c r="A158" s="15">
        <v>8</v>
      </c>
      <c r="B158" s="15" t="s">
        <v>60</v>
      </c>
      <c r="C158" s="16" t="s">
        <v>54</v>
      </c>
      <c r="D158" s="15" t="s">
        <v>83</v>
      </c>
      <c r="E158" s="17" t="str">
        <f>'NFL Schedule'!J155</f>
        <v/>
      </c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</row>
    <row r="159" spans="1:17" ht="15" customHeight="1" x14ac:dyDescent="0.25">
      <c r="A159" s="15">
        <v>9</v>
      </c>
      <c r="B159" s="15" t="s">
        <v>87</v>
      </c>
      <c r="C159" s="16" t="s">
        <v>54</v>
      </c>
      <c r="D159" s="15" t="s">
        <v>62</v>
      </c>
      <c r="E159" s="17" t="str">
        <f>'NFL Schedule'!J156</f>
        <v/>
      </c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</row>
    <row r="160" spans="1:17" ht="15" customHeight="1" x14ac:dyDescent="0.25">
      <c r="A160" s="15">
        <v>10</v>
      </c>
      <c r="B160" s="15" t="s">
        <v>68</v>
      </c>
      <c r="C160" s="16" t="s">
        <v>54</v>
      </c>
      <c r="D160" s="15" t="s">
        <v>78</v>
      </c>
      <c r="E160" s="17" t="str">
        <f>'NFL Schedule'!J157</f>
        <v/>
      </c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</row>
    <row r="161" spans="1:17" ht="15" customHeight="1" x14ac:dyDescent="0.25">
      <c r="A161" s="15">
        <v>11</v>
      </c>
      <c r="B161" s="15" t="s">
        <v>80</v>
      </c>
      <c r="C161" s="16" t="s">
        <v>54</v>
      </c>
      <c r="D161" s="15" t="s">
        <v>59</v>
      </c>
      <c r="E161" s="17" t="str">
        <f>'NFL Schedule'!J158</f>
        <v/>
      </c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</row>
    <row r="162" spans="1:17" ht="15" customHeight="1" x14ac:dyDescent="0.25">
      <c r="A162" s="15">
        <v>12</v>
      </c>
      <c r="B162" s="15" t="s">
        <v>81</v>
      </c>
      <c r="C162" s="16" t="s">
        <v>54</v>
      </c>
      <c r="D162" s="15" t="s">
        <v>57</v>
      </c>
      <c r="E162" s="17" t="str">
        <f>'NFL Schedule'!J159</f>
        <v/>
      </c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</row>
    <row r="163" spans="1:17" ht="15" customHeight="1" x14ac:dyDescent="0.25">
      <c r="A163" s="15">
        <v>13</v>
      </c>
      <c r="B163" s="15" t="s">
        <v>77</v>
      </c>
      <c r="C163" s="16" t="s">
        <v>54</v>
      </c>
      <c r="D163" s="15" t="s">
        <v>58</v>
      </c>
      <c r="E163" s="17" t="str">
        <f>'NFL Schedule'!J160</f>
        <v/>
      </c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</row>
    <row r="164" spans="1:17" ht="15" customHeight="1" x14ac:dyDescent="0.25">
      <c r="A164" s="15">
        <v>14</v>
      </c>
      <c r="B164" s="15" t="s">
        <v>63</v>
      </c>
      <c r="C164" s="16" t="s">
        <v>54</v>
      </c>
      <c r="D164" s="15" t="s">
        <v>61</v>
      </c>
      <c r="E164" s="17" t="str">
        <f>'NFL Schedule'!J161</f>
        <v/>
      </c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</row>
    <row r="165" spans="1:17" ht="15" customHeight="1" x14ac:dyDescent="0.25">
      <c r="A165" s="15">
        <v>15</v>
      </c>
      <c r="B165" s="15" t="s">
        <v>67</v>
      </c>
      <c r="C165" s="16" t="s">
        <v>54</v>
      </c>
      <c r="D165" s="15" t="s">
        <v>82</v>
      </c>
      <c r="E165" s="17" t="str">
        <f>'NFL Schedule'!J162</f>
        <v/>
      </c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</row>
    <row r="166" spans="1:17" x14ac:dyDescent="0.25">
      <c r="A166" s="19" t="s">
        <v>63</v>
      </c>
      <c r="B166" s="20" t="s">
        <v>89</v>
      </c>
      <c r="E166" s="21" t="str">
        <f>'NFL Schedule'!E163</f>
        <v/>
      </c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</row>
    <row r="167" spans="1:17" ht="15" customHeight="1" x14ac:dyDescent="0.25">
      <c r="A167" s="6" t="s">
        <v>98</v>
      </c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 spans="1:17" ht="15" customHeight="1" x14ac:dyDescent="0.25">
      <c r="A168" s="14" t="s">
        <v>27</v>
      </c>
      <c r="B168" s="14" t="s">
        <v>53</v>
      </c>
      <c r="C168" s="14" t="s">
        <v>54</v>
      </c>
      <c r="D168" s="14" t="s">
        <v>55</v>
      </c>
      <c r="E168" s="14" t="s">
        <v>56</v>
      </c>
      <c r="F168" s="14" t="s">
        <v>5</v>
      </c>
      <c r="G168" s="14" t="s">
        <v>8</v>
      </c>
      <c r="H168" s="14" t="s">
        <v>9</v>
      </c>
      <c r="I168" s="14" t="s">
        <v>10</v>
      </c>
      <c r="J168" s="14" t="s">
        <v>11</v>
      </c>
      <c r="K168" s="14" t="s">
        <v>14</v>
      </c>
      <c r="L168" s="14" t="s">
        <v>15</v>
      </c>
      <c r="M168" s="14" t="s">
        <v>16</v>
      </c>
      <c r="N168" s="14" t="s">
        <v>17</v>
      </c>
      <c r="O168" s="14" t="s">
        <v>20</v>
      </c>
      <c r="P168" s="14" t="s">
        <v>21</v>
      </c>
      <c r="Q168" s="14" t="s">
        <v>22</v>
      </c>
    </row>
    <row r="169" spans="1:17" ht="15" customHeight="1" x14ac:dyDescent="0.25">
      <c r="A169" s="15">
        <v>1</v>
      </c>
      <c r="B169" s="15" t="s">
        <v>83</v>
      </c>
      <c r="C169" s="16" t="s">
        <v>54</v>
      </c>
      <c r="D169" s="15" t="s">
        <v>86</v>
      </c>
      <c r="E169" s="17" t="str">
        <f>'NFL Schedule'!J166</f>
        <v/>
      </c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</row>
    <row r="170" spans="1:17" ht="15" customHeight="1" x14ac:dyDescent="0.25">
      <c r="A170" s="15">
        <v>2</v>
      </c>
      <c r="B170" s="15" t="s">
        <v>57</v>
      </c>
      <c r="C170" s="16" t="s">
        <v>54</v>
      </c>
      <c r="D170" s="15" t="s">
        <v>66</v>
      </c>
      <c r="E170" s="17" t="str">
        <f>'NFL Schedule'!J167</f>
        <v/>
      </c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</row>
    <row r="171" spans="1:17" ht="15" customHeight="1" x14ac:dyDescent="0.25">
      <c r="A171" s="15">
        <v>3</v>
      </c>
      <c r="B171" s="15" t="s">
        <v>88</v>
      </c>
      <c r="C171" s="16" t="s">
        <v>54</v>
      </c>
      <c r="D171" s="15" t="s">
        <v>73</v>
      </c>
      <c r="E171" s="17" t="str">
        <f>'NFL Schedule'!J168</f>
        <v/>
      </c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</row>
    <row r="172" spans="1:17" ht="15" customHeight="1" x14ac:dyDescent="0.25">
      <c r="A172" s="15">
        <v>4</v>
      </c>
      <c r="B172" s="15" t="s">
        <v>68</v>
      </c>
      <c r="C172" s="16" t="s">
        <v>54</v>
      </c>
      <c r="D172" s="15" t="s">
        <v>71</v>
      </c>
      <c r="E172" s="17" t="str">
        <f>'NFL Schedule'!J169</f>
        <v/>
      </c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</row>
    <row r="173" spans="1:17" ht="15" customHeight="1" x14ac:dyDescent="0.25">
      <c r="A173" s="15">
        <v>5</v>
      </c>
      <c r="B173" s="15" t="s">
        <v>82</v>
      </c>
      <c r="C173" s="16" t="s">
        <v>54</v>
      </c>
      <c r="D173" s="15" t="s">
        <v>81</v>
      </c>
      <c r="E173" s="17" t="str">
        <f>'NFL Schedule'!J170</f>
        <v/>
      </c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</row>
    <row r="174" spans="1:17" ht="15" customHeight="1" x14ac:dyDescent="0.25">
      <c r="A174" s="15">
        <v>6</v>
      </c>
      <c r="B174" s="15" t="s">
        <v>72</v>
      </c>
      <c r="C174" s="16" t="s">
        <v>54</v>
      </c>
      <c r="D174" s="15" t="s">
        <v>76</v>
      </c>
      <c r="E174" s="17" t="str">
        <f>'NFL Schedule'!J171</f>
        <v/>
      </c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</row>
    <row r="175" spans="1:17" ht="15" customHeight="1" x14ac:dyDescent="0.25">
      <c r="A175" s="15">
        <v>7</v>
      </c>
      <c r="B175" s="15" t="s">
        <v>79</v>
      </c>
      <c r="C175" s="16" t="s">
        <v>54</v>
      </c>
      <c r="D175" s="15" t="s">
        <v>70</v>
      </c>
      <c r="E175" s="17" t="str">
        <f>'NFL Schedule'!J172</f>
        <v/>
      </c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</row>
    <row r="176" spans="1:17" ht="15" customHeight="1" x14ac:dyDescent="0.25">
      <c r="A176" s="15">
        <v>8</v>
      </c>
      <c r="B176" s="15" t="s">
        <v>62</v>
      </c>
      <c r="C176" s="16" t="s">
        <v>54</v>
      </c>
      <c r="D176" s="15" t="s">
        <v>65</v>
      </c>
      <c r="E176" s="17" t="str">
        <f>'NFL Schedule'!J173</f>
        <v/>
      </c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</row>
    <row r="177" spans="1:17" ht="15" customHeight="1" x14ac:dyDescent="0.25">
      <c r="A177" s="15">
        <v>9</v>
      </c>
      <c r="B177" s="15" t="s">
        <v>67</v>
      </c>
      <c r="C177" s="16" t="s">
        <v>54</v>
      </c>
      <c r="D177" s="15" t="s">
        <v>75</v>
      </c>
      <c r="E177" s="17" t="str">
        <f>'NFL Schedule'!J174</f>
        <v/>
      </c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</row>
    <row r="178" spans="1:17" ht="15" customHeight="1" x14ac:dyDescent="0.25">
      <c r="A178" s="15">
        <v>10</v>
      </c>
      <c r="B178" s="15" t="s">
        <v>58</v>
      </c>
      <c r="C178" s="16" t="s">
        <v>54</v>
      </c>
      <c r="D178" s="15" t="s">
        <v>80</v>
      </c>
      <c r="E178" s="17" t="str">
        <f>'NFL Schedule'!J175</f>
        <v/>
      </c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</row>
    <row r="179" spans="1:17" ht="15" customHeight="1" x14ac:dyDescent="0.25">
      <c r="A179" s="15">
        <v>11</v>
      </c>
      <c r="B179" s="15" t="s">
        <v>60</v>
      </c>
      <c r="C179" s="16" t="s">
        <v>54</v>
      </c>
      <c r="D179" s="15" t="s">
        <v>77</v>
      </c>
      <c r="E179" s="17" t="str">
        <f>'NFL Schedule'!J176</f>
        <v/>
      </c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</row>
    <row r="180" spans="1:17" ht="15" customHeight="1" x14ac:dyDescent="0.25">
      <c r="A180" s="15">
        <v>12</v>
      </c>
      <c r="B180" s="15" t="s">
        <v>59</v>
      </c>
      <c r="C180" s="16" t="s">
        <v>54</v>
      </c>
      <c r="D180" s="15" t="s">
        <v>85</v>
      </c>
      <c r="E180" s="17" t="str">
        <f>'NFL Schedule'!J177</f>
        <v/>
      </c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</row>
    <row r="181" spans="1:17" ht="15" customHeight="1" x14ac:dyDescent="0.25">
      <c r="A181" s="15">
        <v>13</v>
      </c>
      <c r="B181" s="15" t="s">
        <v>74</v>
      </c>
      <c r="C181" s="16" t="s">
        <v>54</v>
      </c>
      <c r="D181" s="15" t="s">
        <v>64</v>
      </c>
      <c r="E181" s="17" t="str">
        <f>'NFL Schedule'!J178</f>
        <v/>
      </c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</row>
    <row r="182" spans="1:17" ht="15" customHeight="1" x14ac:dyDescent="0.25">
      <c r="A182" s="15">
        <v>14</v>
      </c>
      <c r="B182" s="15" t="s">
        <v>78</v>
      </c>
      <c r="C182" s="16" t="s">
        <v>54</v>
      </c>
      <c r="D182" s="15" t="s">
        <v>69</v>
      </c>
      <c r="E182" s="17" t="str">
        <f>'NFL Schedule'!J179</f>
        <v/>
      </c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</row>
    <row r="183" spans="1:17" x14ac:dyDescent="0.25">
      <c r="A183" s="19" t="s">
        <v>63</v>
      </c>
      <c r="B183" s="20" t="s">
        <v>89</v>
      </c>
      <c r="E183" s="21" t="str">
        <f>'NFL Schedule'!E180</f>
        <v/>
      </c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</row>
    <row r="184" spans="1:17" ht="15" customHeight="1" x14ac:dyDescent="0.25">
      <c r="A184" s="6" t="s">
        <v>99</v>
      </c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</row>
    <row r="185" spans="1:17" ht="15" customHeight="1" x14ac:dyDescent="0.25">
      <c r="A185" s="14" t="s">
        <v>27</v>
      </c>
      <c r="B185" s="14" t="s">
        <v>53</v>
      </c>
      <c r="C185" s="14" t="s">
        <v>54</v>
      </c>
      <c r="D185" s="14" t="s">
        <v>55</v>
      </c>
      <c r="E185" s="14" t="s">
        <v>56</v>
      </c>
      <c r="F185" s="14" t="s">
        <v>5</v>
      </c>
      <c r="G185" s="14" t="s">
        <v>8</v>
      </c>
      <c r="H185" s="14" t="s">
        <v>9</v>
      </c>
      <c r="I185" s="14" t="s">
        <v>10</v>
      </c>
      <c r="J185" s="14" t="s">
        <v>11</v>
      </c>
      <c r="K185" s="14" t="s">
        <v>14</v>
      </c>
      <c r="L185" s="14" t="s">
        <v>15</v>
      </c>
      <c r="M185" s="14" t="s">
        <v>16</v>
      </c>
      <c r="N185" s="14" t="s">
        <v>17</v>
      </c>
      <c r="O185" s="14" t="s">
        <v>20</v>
      </c>
      <c r="P185" s="14" t="s">
        <v>21</v>
      </c>
      <c r="Q185" s="14" t="s">
        <v>22</v>
      </c>
    </row>
    <row r="186" spans="1:17" ht="15" customHeight="1" x14ac:dyDescent="0.25">
      <c r="A186" s="15">
        <v>1</v>
      </c>
      <c r="B186" s="15" t="s">
        <v>70</v>
      </c>
      <c r="C186" s="16" t="s">
        <v>54</v>
      </c>
      <c r="D186" s="15" t="s">
        <v>68</v>
      </c>
      <c r="E186" s="17" t="str">
        <f>'NFL Schedule'!J183</f>
        <v/>
      </c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</row>
    <row r="187" spans="1:17" ht="15" customHeight="1" x14ac:dyDescent="0.25">
      <c r="A187" s="15">
        <v>2</v>
      </c>
      <c r="B187" s="15" t="s">
        <v>79</v>
      </c>
      <c r="C187" s="16" t="s">
        <v>54</v>
      </c>
      <c r="D187" s="15" t="s">
        <v>67</v>
      </c>
      <c r="E187" s="17" t="str">
        <f>'NFL Schedule'!J184</f>
        <v/>
      </c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</row>
    <row r="188" spans="1:17" ht="15" customHeight="1" x14ac:dyDescent="0.25">
      <c r="A188" s="15">
        <v>3</v>
      </c>
      <c r="B188" s="15" t="s">
        <v>65</v>
      </c>
      <c r="C188" s="16" t="s">
        <v>54</v>
      </c>
      <c r="D188" s="15" t="s">
        <v>61</v>
      </c>
      <c r="E188" s="17" t="str">
        <f>'NFL Schedule'!J185</f>
        <v/>
      </c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</row>
    <row r="189" spans="1:17" ht="15" customHeight="1" x14ac:dyDescent="0.25">
      <c r="A189" s="15">
        <v>4</v>
      </c>
      <c r="B189" s="15" t="s">
        <v>76</v>
      </c>
      <c r="C189" s="16" t="s">
        <v>54</v>
      </c>
      <c r="D189" s="15" t="s">
        <v>85</v>
      </c>
      <c r="E189" s="17" t="str">
        <f>'NFL Schedule'!J186</f>
        <v/>
      </c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</row>
    <row r="190" spans="1:17" ht="15" customHeight="1" x14ac:dyDescent="0.25">
      <c r="A190" s="15">
        <v>5</v>
      </c>
      <c r="B190" s="15" t="s">
        <v>63</v>
      </c>
      <c r="C190" s="16" t="s">
        <v>54</v>
      </c>
      <c r="D190" s="15" t="s">
        <v>66</v>
      </c>
      <c r="E190" s="17" t="str">
        <f>'NFL Schedule'!J187</f>
        <v/>
      </c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</row>
    <row r="191" spans="1:17" ht="15" customHeight="1" x14ac:dyDescent="0.25">
      <c r="A191" s="15">
        <v>6</v>
      </c>
      <c r="B191" s="15" t="s">
        <v>77</v>
      </c>
      <c r="C191" s="16" t="s">
        <v>54</v>
      </c>
      <c r="D191" s="15" t="s">
        <v>88</v>
      </c>
      <c r="E191" s="17" t="str">
        <f>'NFL Schedule'!J188</f>
        <v/>
      </c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</row>
    <row r="192" spans="1:17" ht="15" customHeight="1" x14ac:dyDescent="0.25">
      <c r="A192" s="15">
        <v>7</v>
      </c>
      <c r="B192" s="15" t="s">
        <v>72</v>
      </c>
      <c r="C192" s="16" t="s">
        <v>54</v>
      </c>
      <c r="D192" s="15" t="s">
        <v>86</v>
      </c>
      <c r="E192" s="17" t="str">
        <f>'NFL Schedule'!J189</f>
        <v/>
      </c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</row>
    <row r="193" spans="1:17" ht="15" customHeight="1" x14ac:dyDescent="0.25">
      <c r="A193" s="15">
        <v>8</v>
      </c>
      <c r="B193" s="15" t="s">
        <v>69</v>
      </c>
      <c r="C193" s="16" t="s">
        <v>54</v>
      </c>
      <c r="D193" s="15" t="s">
        <v>62</v>
      </c>
      <c r="E193" s="17" t="str">
        <f>'NFL Schedule'!J190</f>
        <v/>
      </c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</row>
    <row r="194" spans="1:17" ht="15" customHeight="1" x14ac:dyDescent="0.25">
      <c r="A194" s="15">
        <v>9</v>
      </c>
      <c r="B194" s="15" t="s">
        <v>75</v>
      </c>
      <c r="C194" s="16" t="s">
        <v>54</v>
      </c>
      <c r="D194" s="15" t="s">
        <v>78</v>
      </c>
      <c r="E194" s="17" t="str">
        <f>'NFL Schedule'!J191</f>
        <v/>
      </c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</row>
    <row r="195" spans="1:17" ht="15" customHeight="1" x14ac:dyDescent="0.25">
      <c r="A195" s="15">
        <v>10</v>
      </c>
      <c r="B195" s="15" t="s">
        <v>80</v>
      </c>
      <c r="C195" s="16" t="s">
        <v>54</v>
      </c>
      <c r="D195" s="15" t="s">
        <v>87</v>
      </c>
      <c r="E195" s="17" t="str">
        <f>'NFL Schedule'!J192</f>
        <v/>
      </c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</row>
    <row r="196" spans="1:17" ht="15" customHeight="1" x14ac:dyDescent="0.25">
      <c r="A196" s="15">
        <v>11</v>
      </c>
      <c r="B196" s="15" t="s">
        <v>74</v>
      </c>
      <c r="C196" s="16" t="s">
        <v>54</v>
      </c>
      <c r="D196" s="15" t="s">
        <v>84</v>
      </c>
      <c r="E196" s="17" t="str">
        <f>'NFL Schedule'!J193</f>
        <v/>
      </c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</row>
    <row r="197" spans="1:17" ht="15" customHeight="1" x14ac:dyDescent="0.25">
      <c r="A197" s="15">
        <v>12</v>
      </c>
      <c r="B197" s="15" t="s">
        <v>82</v>
      </c>
      <c r="C197" s="16" t="s">
        <v>54</v>
      </c>
      <c r="D197" s="15" t="s">
        <v>59</v>
      </c>
      <c r="E197" s="17" t="str">
        <f>'NFL Schedule'!J194</f>
        <v/>
      </c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</row>
    <row r="198" spans="1:17" ht="15" customHeight="1" x14ac:dyDescent="0.25">
      <c r="A198" s="15">
        <v>13</v>
      </c>
      <c r="B198" s="15" t="s">
        <v>64</v>
      </c>
      <c r="C198" s="16" t="s">
        <v>54</v>
      </c>
      <c r="D198" s="15" t="s">
        <v>83</v>
      </c>
      <c r="E198" s="17" t="str">
        <f>'NFL Schedule'!J195</f>
        <v/>
      </c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</row>
    <row r="199" spans="1:17" x14ac:dyDescent="0.25">
      <c r="A199" s="19" t="s">
        <v>63</v>
      </c>
      <c r="B199" s="20" t="s">
        <v>89</v>
      </c>
      <c r="E199" s="21" t="str">
        <f>'NFL Schedule'!E196</f>
        <v/>
      </c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</row>
    <row r="200" spans="1:17" ht="15" customHeight="1" x14ac:dyDescent="0.25">
      <c r="A200" s="6" t="s">
        <v>100</v>
      </c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</row>
    <row r="201" spans="1:17" ht="15" customHeight="1" x14ac:dyDescent="0.25">
      <c r="A201" s="14" t="s">
        <v>27</v>
      </c>
      <c r="B201" s="14" t="s">
        <v>53</v>
      </c>
      <c r="C201" s="14" t="s">
        <v>54</v>
      </c>
      <c r="D201" s="14" t="s">
        <v>55</v>
      </c>
      <c r="E201" s="14" t="s">
        <v>56</v>
      </c>
      <c r="F201" s="14" t="s">
        <v>5</v>
      </c>
      <c r="G201" s="14" t="s">
        <v>8</v>
      </c>
      <c r="H201" s="14" t="s">
        <v>9</v>
      </c>
      <c r="I201" s="14" t="s">
        <v>10</v>
      </c>
      <c r="J201" s="14" t="s">
        <v>11</v>
      </c>
      <c r="K201" s="14" t="s">
        <v>14</v>
      </c>
      <c r="L201" s="14" t="s">
        <v>15</v>
      </c>
      <c r="M201" s="14" t="s">
        <v>16</v>
      </c>
      <c r="N201" s="14" t="s">
        <v>17</v>
      </c>
      <c r="O201" s="14" t="s">
        <v>20</v>
      </c>
      <c r="P201" s="14" t="s">
        <v>21</v>
      </c>
      <c r="Q201" s="14" t="s">
        <v>22</v>
      </c>
    </row>
    <row r="202" spans="1:17" ht="15" customHeight="1" x14ac:dyDescent="0.25">
      <c r="A202" s="15">
        <v>1</v>
      </c>
      <c r="B202" s="15" t="s">
        <v>81</v>
      </c>
      <c r="C202" s="16" t="s">
        <v>54</v>
      </c>
      <c r="D202" s="15" t="s">
        <v>60</v>
      </c>
      <c r="E202" s="17" t="str">
        <f>'NFL Schedule'!J199</f>
        <v/>
      </c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</row>
    <row r="203" spans="1:17" ht="15" customHeight="1" x14ac:dyDescent="0.25">
      <c r="A203" s="15">
        <v>2</v>
      </c>
      <c r="B203" s="15" t="s">
        <v>61</v>
      </c>
      <c r="C203" s="16" t="s">
        <v>54</v>
      </c>
      <c r="D203" s="15" t="s">
        <v>66</v>
      </c>
      <c r="E203" s="17" t="str">
        <f>'NFL Schedule'!J200</f>
        <v/>
      </c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</row>
    <row r="204" spans="1:17" ht="15" customHeight="1" x14ac:dyDescent="0.25">
      <c r="A204" s="15">
        <v>3</v>
      </c>
      <c r="B204" s="15" t="s">
        <v>84</v>
      </c>
      <c r="C204" s="16" t="s">
        <v>54</v>
      </c>
      <c r="D204" s="15" t="s">
        <v>85</v>
      </c>
      <c r="E204" s="17" t="str">
        <f>'NFL Schedule'!J201</f>
        <v/>
      </c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</row>
    <row r="205" spans="1:17" ht="15" customHeight="1" x14ac:dyDescent="0.25">
      <c r="A205" s="15">
        <v>4</v>
      </c>
      <c r="B205" s="15" t="s">
        <v>88</v>
      </c>
      <c r="C205" s="16" t="s">
        <v>54</v>
      </c>
      <c r="D205" s="15" t="s">
        <v>67</v>
      </c>
      <c r="E205" s="17" t="str">
        <f>'NFL Schedule'!J202</f>
        <v/>
      </c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</row>
    <row r="206" spans="1:17" ht="15" customHeight="1" x14ac:dyDescent="0.25">
      <c r="A206" s="15">
        <v>5</v>
      </c>
      <c r="B206" s="15" t="s">
        <v>87</v>
      </c>
      <c r="C206" s="16" t="s">
        <v>54</v>
      </c>
      <c r="D206" s="15" t="s">
        <v>74</v>
      </c>
      <c r="E206" s="17" t="str">
        <f>'NFL Schedule'!J203</f>
        <v/>
      </c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</row>
    <row r="207" spans="1:17" ht="15" customHeight="1" x14ac:dyDescent="0.25">
      <c r="A207" s="15">
        <v>6</v>
      </c>
      <c r="B207" s="15" t="s">
        <v>65</v>
      </c>
      <c r="C207" s="16" t="s">
        <v>54</v>
      </c>
      <c r="D207" s="15" t="s">
        <v>64</v>
      </c>
      <c r="E207" s="17" t="str">
        <f>'NFL Schedule'!J204</f>
        <v/>
      </c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</row>
    <row r="208" spans="1:17" ht="15" customHeight="1" x14ac:dyDescent="0.25">
      <c r="A208" s="15">
        <v>7</v>
      </c>
      <c r="B208" s="15" t="s">
        <v>80</v>
      </c>
      <c r="C208" s="16" t="s">
        <v>54</v>
      </c>
      <c r="D208" s="15" t="s">
        <v>71</v>
      </c>
      <c r="E208" s="17" t="str">
        <f>'NFL Schedule'!J205</f>
        <v/>
      </c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</row>
    <row r="209" spans="1:17" ht="15" customHeight="1" x14ac:dyDescent="0.25">
      <c r="A209" s="15">
        <v>8</v>
      </c>
      <c r="B209" s="15" t="s">
        <v>86</v>
      </c>
      <c r="C209" s="16" t="s">
        <v>54</v>
      </c>
      <c r="D209" s="15" t="s">
        <v>70</v>
      </c>
      <c r="E209" s="17" t="str">
        <f>'NFL Schedule'!J206</f>
        <v/>
      </c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</row>
    <row r="210" spans="1:17" ht="15" customHeight="1" x14ac:dyDescent="0.25">
      <c r="A210" s="15">
        <v>9</v>
      </c>
      <c r="B210" s="15" t="s">
        <v>75</v>
      </c>
      <c r="C210" s="16" t="s">
        <v>54</v>
      </c>
      <c r="D210" s="15" t="s">
        <v>79</v>
      </c>
      <c r="E210" s="17" t="str">
        <f>'NFL Schedule'!J207</f>
        <v/>
      </c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</row>
    <row r="211" spans="1:17" ht="15" customHeight="1" x14ac:dyDescent="0.25">
      <c r="A211" s="15">
        <v>10</v>
      </c>
      <c r="B211" s="15" t="s">
        <v>73</v>
      </c>
      <c r="C211" s="16" t="s">
        <v>54</v>
      </c>
      <c r="D211" s="15" t="s">
        <v>82</v>
      </c>
      <c r="E211" s="17" t="str">
        <f>'NFL Schedule'!J208</f>
        <v/>
      </c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</row>
    <row r="212" spans="1:17" ht="15" customHeight="1" x14ac:dyDescent="0.25">
      <c r="A212" s="15">
        <v>11</v>
      </c>
      <c r="B212" s="15" t="s">
        <v>69</v>
      </c>
      <c r="C212" s="16" t="s">
        <v>54</v>
      </c>
      <c r="D212" s="15" t="s">
        <v>68</v>
      </c>
      <c r="E212" s="17" t="str">
        <f>'NFL Schedule'!J209</f>
        <v/>
      </c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</row>
    <row r="213" spans="1:17" ht="15" customHeight="1" x14ac:dyDescent="0.25">
      <c r="A213" s="15">
        <v>12</v>
      </c>
      <c r="B213" s="15" t="s">
        <v>76</v>
      </c>
      <c r="C213" s="16" t="s">
        <v>54</v>
      </c>
      <c r="D213" s="15" t="s">
        <v>72</v>
      </c>
      <c r="E213" s="17" t="str">
        <f>'NFL Schedule'!J210</f>
        <v/>
      </c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</row>
    <row r="214" spans="1:17" ht="15" customHeight="1" x14ac:dyDescent="0.25">
      <c r="A214" s="15">
        <v>13</v>
      </c>
      <c r="B214" s="15" t="s">
        <v>83</v>
      </c>
      <c r="C214" s="16" t="s">
        <v>54</v>
      </c>
      <c r="D214" s="15" t="s">
        <v>77</v>
      </c>
      <c r="E214" s="17" t="str">
        <f>'NFL Schedule'!J211</f>
        <v/>
      </c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</row>
    <row r="215" spans="1:17" ht="15" customHeight="1" x14ac:dyDescent="0.25">
      <c r="A215" s="15">
        <v>14</v>
      </c>
      <c r="B215" s="15" t="s">
        <v>58</v>
      </c>
      <c r="C215" s="16" t="s">
        <v>54</v>
      </c>
      <c r="D215" s="15" t="s">
        <v>59</v>
      </c>
      <c r="E215" s="17" t="str">
        <f>'NFL Schedule'!J212</f>
        <v/>
      </c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</row>
    <row r="216" spans="1:17" ht="15" customHeight="1" x14ac:dyDescent="0.25">
      <c r="A216" s="15">
        <v>15</v>
      </c>
      <c r="B216" s="15" t="s">
        <v>57</v>
      </c>
      <c r="C216" s="16" t="s">
        <v>54</v>
      </c>
      <c r="D216" s="15" t="s">
        <v>78</v>
      </c>
      <c r="E216" s="17" t="str">
        <f>'NFL Schedule'!J213</f>
        <v/>
      </c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</row>
    <row r="217" spans="1:17" ht="15" customHeight="1" x14ac:dyDescent="0.25">
      <c r="A217" s="15">
        <v>16</v>
      </c>
      <c r="B217" s="15" t="s">
        <v>62</v>
      </c>
      <c r="C217" s="16" t="s">
        <v>54</v>
      </c>
      <c r="D217" s="15" t="s">
        <v>63</v>
      </c>
      <c r="E217" s="17" t="str">
        <f>'NFL Schedule'!J214</f>
        <v/>
      </c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</row>
    <row r="218" spans="1:17" x14ac:dyDescent="0.25">
      <c r="A218" s="19" t="s">
        <v>63</v>
      </c>
      <c r="B218" s="20" t="s">
        <v>89</v>
      </c>
      <c r="E218" s="21" t="str">
        <f>'NFL Schedule'!E215</f>
        <v/>
      </c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</row>
    <row r="219" spans="1:17" ht="15" customHeight="1" x14ac:dyDescent="0.25">
      <c r="A219" s="6" t="s">
        <v>101</v>
      </c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</row>
    <row r="220" spans="1:17" ht="15" customHeight="1" x14ac:dyDescent="0.25">
      <c r="A220" s="14" t="s">
        <v>27</v>
      </c>
      <c r="B220" s="14" t="s">
        <v>53</v>
      </c>
      <c r="C220" s="14" t="s">
        <v>54</v>
      </c>
      <c r="D220" s="14" t="s">
        <v>55</v>
      </c>
      <c r="E220" s="14" t="s">
        <v>56</v>
      </c>
      <c r="F220" s="14" t="s">
        <v>5</v>
      </c>
      <c r="G220" s="14" t="s">
        <v>8</v>
      </c>
      <c r="H220" s="14" t="s">
        <v>9</v>
      </c>
      <c r="I220" s="14" t="s">
        <v>10</v>
      </c>
      <c r="J220" s="14" t="s">
        <v>11</v>
      </c>
      <c r="K220" s="14" t="s">
        <v>14</v>
      </c>
      <c r="L220" s="14" t="s">
        <v>15</v>
      </c>
      <c r="M220" s="14" t="s">
        <v>16</v>
      </c>
      <c r="N220" s="14" t="s">
        <v>17</v>
      </c>
      <c r="O220" s="14" t="s">
        <v>20</v>
      </c>
      <c r="P220" s="14" t="s">
        <v>21</v>
      </c>
      <c r="Q220" s="14" t="s">
        <v>22</v>
      </c>
    </row>
    <row r="221" spans="1:17" ht="15" customHeight="1" x14ac:dyDescent="0.25">
      <c r="A221" s="15">
        <v>1</v>
      </c>
      <c r="B221" s="15" t="s">
        <v>88</v>
      </c>
      <c r="C221" s="16" t="s">
        <v>54</v>
      </c>
      <c r="D221" s="15" t="s">
        <v>78</v>
      </c>
      <c r="E221" s="17" t="str">
        <f>'NFL Schedule'!J218</f>
        <v/>
      </c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</row>
    <row r="222" spans="1:17" ht="15" customHeight="1" x14ac:dyDescent="0.25">
      <c r="A222" s="15">
        <v>2</v>
      </c>
      <c r="B222" s="15" t="s">
        <v>66</v>
      </c>
      <c r="C222" s="16" t="s">
        <v>54</v>
      </c>
      <c r="D222" s="15" t="s">
        <v>73</v>
      </c>
      <c r="E222" s="17" t="str">
        <f>'NFL Schedule'!J219</f>
        <v/>
      </c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</row>
    <row r="223" spans="1:17" ht="15" customHeight="1" x14ac:dyDescent="0.25">
      <c r="A223" s="15">
        <v>3</v>
      </c>
      <c r="B223" s="15" t="s">
        <v>72</v>
      </c>
      <c r="C223" s="16" t="s">
        <v>54</v>
      </c>
      <c r="D223" s="15" t="s">
        <v>61</v>
      </c>
      <c r="E223" s="17" t="str">
        <f>'NFL Schedule'!J220</f>
        <v/>
      </c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</row>
    <row r="224" spans="1:17" ht="15" customHeight="1" x14ac:dyDescent="0.25">
      <c r="A224" s="15">
        <v>4</v>
      </c>
      <c r="B224" s="15" t="s">
        <v>64</v>
      </c>
      <c r="C224" s="16" t="s">
        <v>54</v>
      </c>
      <c r="D224" s="15" t="s">
        <v>71</v>
      </c>
      <c r="E224" s="17" t="str">
        <f>'NFL Schedule'!J221</f>
        <v/>
      </c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</row>
    <row r="225" spans="1:17" ht="15" customHeight="1" x14ac:dyDescent="0.25">
      <c r="A225" s="15">
        <v>5</v>
      </c>
      <c r="B225" s="15" t="s">
        <v>83</v>
      </c>
      <c r="C225" s="16" t="s">
        <v>54</v>
      </c>
      <c r="D225" s="15" t="s">
        <v>76</v>
      </c>
      <c r="E225" s="17" t="str">
        <f>'NFL Schedule'!J222</f>
        <v/>
      </c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</row>
    <row r="226" spans="1:17" ht="15" customHeight="1" x14ac:dyDescent="0.25">
      <c r="A226" s="15">
        <v>6</v>
      </c>
      <c r="B226" s="15" t="s">
        <v>81</v>
      </c>
      <c r="C226" s="16" t="s">
        <v>54</v>
      </c>
      <c r="D226" s="15" t="s">
        <v>65</v>
      </c>
      <c r="E226" s="17" t="str">
        <f>'NFL Schedule'!J223</f>
        <v/>
      </c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</row>
    <row r="227" spans="1:17" ht="15" customHeight="1" x14ac:dyDescent="0.25">
      <c r="A227" s="15">
        <v>7</v>
      </c>
      <c r="B227" s="15" t="s">
        <v>59</v>
      </c>
      <c r="C227" s="16" t="s">
        <v>54</v>
      </c>
      <c r="D227" s="15" t="s">
        <v>86</v>
      </c>
      <c r="E227" s="17" t="str">
        <f>'NFL Schedule'!J224</f>
        <v/>
      </c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</row>
    <row r="228" spans="1:17" ht="15" customHeight="1" x14ac:dyDescent="0.25">
      <c r="A228" s="15">
        <v>8</v>
      </c>
      <c r="B228" s="15" t="s">
        <v>60</v>
      </c>
      <c r="C228" s="16" t="s">
        <v>54</v>
      </c>
      <c r="D228" s="15" t="s">
        <v>63</v>
      </c>
      <c r="E228" s="17" t="str">
        <f>'NFL Schedule'!J225</f>
        <v/>
      </c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</row>
    <row r="229" spans="1:17" ht="15" customHeight="1" x14ac:dyDescent="0.25">
      <c r="A229" s="15">
        <v>9</v>
      </c>
      <c r="B229" s="15" t="s">
        <v>79</v>
      </c>
      <c r="C229" s="16" t="s">
        <v>54</v>
      </c>
      <c r="D229" s="15" t="s">
        <v>87</v>
      </c>
      <c r="E229" s="17" t="str">
        <f>'NFL Schedule'!J226</f>
        <v/>
      </c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</row>
    <row r="230" spans="1:17" ht="15" customHeight="1" x14ac:dyDescent="0.25">
      <c r="A230" s="15">
        <v>10</v>
      </c>
      <c r="B230" s="15" t="s">
        <v>84</v>
      </c>
      <c r="C230" s="16" t="s">
        <v>54</v>
      </c>
      <c r="D230" s="15" t="s">
        <v>77</v>
      </c>
      <c r="E230" s="17" t="str">
        <f>'NFL Schedule'!J227</f>
        <v/>
      </c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</row>
    <row r="231" spans="1:17" ht="15" customHeight="1" x14ac:dyDescent="0.25">
      <c r="A231" s="15">
        <v>11</v>
      </c>
      <c r="B231" s="15" t="s">
        <v>62</v>
      </c>
      <c r="C231" s="16" t="s">
        <v>54</v>
      </c>
      <c r="D231" s="15" t="s">
        <v>82</v>
      </c>
      <c r="E231" s="17" t="str">
        <f>'NFL Schedule'!J228</f>
        <v/>
      </c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</row>
    <row r="232" spans="1:17" ht="15" customHeight="1" x14ac:dyDescent="0.25">
      <c r="A232" s="15">
        <v>12</v>
      </c>
      <c r="B232" s="15" t="s">
        <v>67</v>
      </c>
      <c r="C232" s="16" t="s">
        <v>54</v>
      </c>
      <c r="D232" s="15" t="s">
        <v>57</v>
      </c>
      <c r="E232" s="17" t="str">
        <f>'NFL Schedule'!J229</f>
        <v/>
      </c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</row>
    <row r="233" spans="1:17" ht="15" customHeight="1" x14ac:dyDescent="0.25">
      <c r="A233" s="15">
        <v>13</v>
      </c>
      <c r="B233" s="15" t="s">
        <v>68</v>
      </c>
      <c r="C233" s="16" t="s">
        <v>54</v>
      </c>
      <c r="D233" s="15" t="s">
        <v>74</v>
      </c>
      <c r="E233" s="17" t="str">
        <f>'NFL Schedule'!J230</f>
        <v/>
      </c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</row>
    <row r="234" spans="1:17" ht="15" customHeight="1" x14ac:dyDescent="0.25">
      <c r="A234" s="15">
        <v>14</v>
      </c>
      <c r="B234" s="15" t="s">
        <v>85</v>
      </c>
      <c r="C234" s="16" t="s">
        <v>54</v>
      </c>
      <c r="D234" s="15" t="s">
        <v>58</v>
      </c>
      <c r="E234" s="17" t="str">
        <f>'NFL Schedule'!J231</f>
        <v/>
      </c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</row>
    <row r="235" spans="1:17" x14ac:dyDescent="0.25">
      <c r="A235" s="19" t="s">
        <v>63</v>
      </c>
      <c r="B235" s="20" t="s">
        <v>89</v>
      </c>
      <c r="E235" s="21" t="str">
        <f>'NFL Schedule'!E232</f>
        <v/>
      </c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</row>
    <row r="236" spans="1:17" ht="15" customHeight="1" x14ac:dyDescent="0.25">
      <c r="A236" s="6" t="s">
        <v>102</v>
      </c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</row>
    <row r="237" spans="1:17" ht="15" customHeight="1" x14ac:dyDescent="0.25">
      <c r="A237" s="14" t="s">
        <v>27</v>
      </c>
      <c r="B237" s="14" t="s">
        <v>53</v>
      </c>
      <c r="C237" s="14" t="s">
        <v>54</v>
      </c>
      <c r="D237" s="14" t="s">
        <v>55</v>
      </c>
      <c r="E237" s="14" t="s">
        <v>56</v>
      </c>
      <c r="F237" s="14" t="s">
        <v>5</v>
      </c>
      <c r="G237" s="14" t="s">
        <v>8</v>
      </c>
      <c r="H237" s="14" t="s">
        <v>9</v>
      </c>
      <c r="I237" s="14" t="s">
        <v>10</v>
      </c>
      <c r="J237" s="14" t="s">
        <v>11</v>
      </c>
      <c r="K237" s="14" t="s">
        <v>14</v>
      </c>
      <c r="L237" s="14" t="s">
        <v>15</v>
      </c>
      <c r="M237" s="14" t="s">
        <v>16</v>
      </c>
      <c r="N237" s="14" t="s">
        <v>17</v>
      </c>
      <c r="O237" s="14" t="s">
        <v>20</v>
      </c>
      <c r="P237" s="14" t="s">
        <v>21</v>
      </c>
      <c r="Q237" s="14" t="s">
        <v>22</v>
      </c>
    </row>
    <row r="238" spans="1:17" ht="15" customHeight="1" x14ac:dyDescent="0.25">
      <c r="A238" s="15">
        <v>1</v>
      </c>
      <c r="B238" s="15" t="s">
        <v>82</v>
      </c>
      <c r="C238" s="16" t="s">
        <v>54</v>
      </c>
      <c r="D238" s="15" t="s">
        <v>57</v>
      </c>
      <c r="E238" s="17" t="str">
        <f>'NFL Schedule'!J235</f>
        <v/>
      </c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</row>
    <row r="239" spans="1:17" ht="15" customHeight="1" x14ac:dyDescent="0.25">
      <c r="A239" s="15">
        <v>2</v>
      </c>
      <c r="B239" s="15" t="s">
        <v>73</v>
      </c>
      <c r="C239" s="16" t="s">
        <v>54</v>
      </c>
      <c r="D239" s="15" t="s">
        <v>71</v>
      </c>
      <c r="E239" s="17" t="str">
        <f>'NFL Schedule'!J236</f>
        <v/>
      </c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</row>
    <row r="240" spans="1:17" ht="15" customHeight="1" x14ac:dyDescent="0.25">
      <c r="A240" s="15">
        <v>3</v>
      </c>
      <c r="B240" s="15" t="s">
        <v>76</v>
      </c>
      <c r="C240" s="16" t="s">
        <v>54</v>
      </c>
      <c r="D240" s="15" t="s">
        <v>66</v>
      </c>
      <c r="E240" s="17" t="str">
        <f>'NFL Schedule'!J237</f>
        <v/>
      </c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</row>
    <row r="241" spans="1:17" ht="15" customHeight="1" x14ac:dyDescent="0.25">
      <c r="A241" s="15">
        <v>4</v>
      </c>
      <c r="B241" s="15" t="s">
        <v>61</v>
      </c>
      <c r="C241" s="16" t="s">
        <v>54</v>
      </c>
      <c r="D241" s="15" t="s">
        <v>79</v>
      </c>
      <c r="E241" s="17" t="str">
        <f>'NFL Schedule'!J238</f>
        <v/>
      </c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</row>
    <row r="242" spans="1:17" ht="15" customHeight="1" x14ac:dyDescent="0.25">
      <c r="A242" s="15">
        <v>5</v>
      </c>
      <c r="B242" s="15" t="s">
        <v>87</v>
      </c>
      <c r="C242" s="16" t="s">
        <v>54</v>
      </c>
      <c r="D242" s="15" t="s">
        <v>75</v>
      </c>
      <c r="E242" s="17" t="str">
        <f>'NFL Schedule'!J239</f>
        <v/>
      </c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</row>
    <row r="243" spans="1:17" ht="15" customHeight="1" x14ac:dyDescent="0.25">
      <c r="A243" s="15">
        <v>6</v>
      </c>
      <c r="B243" s="15" t="s">
        <v>70</v>
      </c>
      <c r="C243" s="16" t="s">
        <v>54</v>
      </c>
      <c r="D243" s="15" t="s">
        <v>84</v>
      </c>
      <c r="E243" s="17" t="str">
        <f>'NFL Schedule'!J240</f>
        <v/>
      </c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</row>
    <row r="244" spans="1:17" ht="15" customHeight="1" x14ac:dyDescent="0.25">
      <c r="A244" s="15">
        <v>7</v>
      </c>
      <c r="B244" s="15" t="s">
        <v>68</v>
      </c>
      <c r="C244" s="16" t="s">
        <v>54</v>
      </c>
      <c r="D244" s="15" t="s">
        <v>83</v>
      </c>
      <c r="E244" s="17" t="str">
        <f>'NFL Schedule'!J241</f>
        <v/>
      </c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</row>
    <row r="245" spans="1:17" ht="15" customHeight="1" x14ac:dyDescent="0.25">
      <c r="A245" s="15">
        <v>8</v>
      </c>
      <c r="B245" s="15" t="s">
        <v>65</v>
      </c>
      <c r="C245" s="16" t="s">
        <v>54</v>
      </c>
      <c r="D245" s="15" t="s">
        <v>62</v>
      </c>
      <c r="E245" s="17" t="str">
        <f>'NFL Schedule'!J242</f>
        <v/>
      </c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</row>
    <row r="246" spans="1:17" ht="15" customHeight="1" x14ac:dyDescent="0.25">
      <c r="A246" s="15">
        <v>9</v>
      </c>
      <c r="B246" s="15" t="s">
        <v>63</v>
      </c>
      <c r="C246" s="16" t="s">
        <v>54</v>
      </c>
      <c r="D246" s="15" t="s">
        <v>69</v>
      </c>
      <c r="E246" s="17" t="str">
        <f>'NFL Schedule'!J243</f>
        <v/>
      </c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</row>
    <row r="247" spans="1:17" ht="15" customHeight="1" x14ac:dyDescent="0.25">
      <c r="A247" s="15">
        <v>10</v>
      </c>
      <c r="B247" s="15" t="s">
        <v>78</v>
      </c>
      <c r="C247" s="16" t="s">
        <v>54</v>
      </c>
      <c r="D247" s="15" t="s">
        <v>80</v>
      </c>
      <c r="E247" s="17" t="str">
        <f>'NFL Schedule'!J244</f>
        <v/>
      </c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</row>
    <row r="248" spans="1:17" ht="15" customHeight="1" x14ac:dyDescent="0.25">
      <c r="A248" s="15">
        <v>11</v>
      </c>
      <c r="B248" s="15" t="s">
        <v>88</v>
      </c>
      <c r="C248" s="16" t="s">
        <v>54</v>
      </c>
      <c r="D248" s="15" t="s">
        <v>64</v>
      </c>
      <c r="E248" s="17" t="str">
        <f>'NFL Schedule'!J245</f>
        <v/>
      </c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</row>
    <row r="249" spans="1:17" ht="15" customHeight="1" x14ac:dyDescent="0.25">
      <c r="A249" s="15">
        <v>12</v>
      </c>
      <c r="B249" s="15" t="s">
        <v>60</v>
      </c>
      <c r="C249" s="16" t="s">
        <v>54</v>
      </c>
      <c r="D249" s="15" t="s">
        <v>59</v>
      </c>
      <c r="E249" s="17" t="str">
        <f>'NFL Schedule'!J246</f>
        <v/>
      </c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</row>
    <row r="250" spans="1:17" ht="15" customHeight="1" x14ac:dyDescent="0.25">
      <c r="A250" s="15">
        <v>13</v>
      </c>
      <c r="B250" s="15" t="s">
        <v>86</v>
      </c>
      <c r="C250" s="16" t="s">
        <v>54</v>
      </c>
      <c r="D250" s="15" t="s">
        <v>58</v>
      </c>
      <c r="E250" s="17" t="str">
        <f>'NFL Schedule'!J247</f>
        <v/>
      </c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</row>
    <row r="251" spans="1:17" ht="15" customHeight="1" x14ac:dyDescent="0.25">
      <c r="A251" s="15">
        <v>14</v>
      </c>
      <c r="B251" s="15" t="s">
        <v>67</v>
      </c>
      <c r="C251" s="16" t="s">
        <v>54</v>
      </c>
      <c r="D251" s="15" t="s">
        <v>81</v>
      </c>
      <c r="E251" s="17" t="str">
        <f>'NFL Schedule'!J248</f>
        <v/>
      </c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</row>
    <row r="252" spans="1:17" ht="15" customHeight="1" x14ac:dyDescent="0.25">
      <c r="A252" s="15">
        <v>15</v>
      </c>
      <c r="B252" s="15" t="s">
        <v>74</v>
      </c>
      <c r="C252" s="16" t="s">
        <v>54</v>
      </c>
      <c r="D252" s="15" t="s">
        <v>72</v>
      </c>
      <c r="E252" s="17" t="str">
        <f>'NFL Schedule'!J249</f>
        <v/>
      </c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</row>
    <row r="253" spans="1:17" x14ac:dyDescent="0.25">
      <c r="A253" s="19" t="s">
        <v>63</v>
      </c>
      <c r="B253" s="20" t="s">
        <v>89</v>
      </c>
      <c r="E253" s="21" t="str">
        <f>'NFL Schedule'!E250</f>
        <v/>
      </c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</row>
    <row r="254" spans="1:17" ht="15" customHeight="1" x14ac:dyDescent="0.25">
      <c r="A254" s="6" t="s">
        <v>103</v>
      </c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</row>
    <row r="255" spans="1:17" ht="15" customHeight="1" x14ac:dyDescent="0.25">
      <c r="A255" s="14" t="s">
        <v>27</v>
      </c>
      <c r="B255" s="14" t="s">
        <v>53</v>
      </c>
      <c r="C255" s="14" t="s">
        <v>54</v>
      </c>
      <c r="D255" s="14" t="s">
        <v>55</v>
      </c>
      <c r="E255" s="14" t="s">
        <v>56</v>
      </c>
      <c r="F255" s="14" t="s">
        <v>5</v>
      </c>
      <c r="G255" s="14" t="s">
        <v>8</v>
      </c>
      <c r="H255" s="14" t="s">
        <v>9</v>
      </c>
      <c r="I255" s="14" t="s">
        <v>10</v>
      </c>
      <c r="J255" s="14" t="s">
        <v>11</v>
      </c>
      <c r="K255" s="14" t="s">
        <v>14</v>
      </c>
      <c r="L255" s="14" t="s">
        <v>15</v>
      </c>
      <c r="M255" s="14" t="s">
        <v>16</v>
      </c>
      <c r="N255" s="14" t="s">
        <v>17</v>
      </c>
      <c r="O255" s="14" t="s">
        <v>20</v>
      </c>
      <c r="P255" s="14" t="s">
        <v>21</v>
      </c>
      <c r="Q255" s="14" t="s">
        <v>22</v>
      </c>
    </row>
    <row r="256" spans="1:17" ht="15" customHeight="1" x14ac:dyDescent="0.25">
      <c r="A256" s="15">
        <v>1</v>
      </c>
      <c r="B256" s="15" t="s">
        <v>59</v>
      </c>
      <c r="C256" s="16" t="s">
        <v>54</v>
      </c>
      <c r="D256" s="15" t="s">
        <v>78</v>
      </c>
      <c r="E256" s="17" t="str">
        <f>'NFL Schedule'!J253</f>
        <v/>
      </c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</row>
    <row r="257" spans="1:17" ht="15" customHeight="1" x14ac:dyDescent="0.25">
      <c r="A257" s="15">
        <v>2</v>
      </c>
      <c r="B257" s="15" t="s">
        <v>58</v>
      </c>
      <c r="C257" s="16" t="s">
        <v>54</v>
      </c>
      <c r="D257" s="15" t="s">
        <v>84</v>
      </c>
      <c r="E257" s="17" t="str">
        <f>'NFL Schedule'!J254</f>
        <v/>
      </c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</row>
    <row r="258" spans="1:17" ht="15" customHeight="1" x14ac:dyDescent="0.25">
      <c r="A258" s="15">
        <v>3</v>
      </c>
      <c r="B258" s="15" t="s">
        <v>61</v>
      </c>
      <c r="C258" s="16" t="s">
        <v>54</v>
      </c>
      <c r="D258" s="15" t="s">
        <v>67</v>
      </c>
      <c r="E258" s="17" t="str">
        <f>'NFL Schedule'!J255</f>
        <v/>
      </c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</row>
    <row r="259" spans="1:17" ht="15" customHeight="1" x14ac:dyDescent="0.25">
      <c r="A259" s="15">
        <v>4</v>
      </c>
      <c r="B259" s="15" t="s">
        <v>79</v>
      </c>
      <c r="C259" s="16" t="s">
        <v>54</v>
      </c>
      <c r="D259" s="15" t="s">
        <v>81</v>
      </c>
      <c r="E259" s="17" t="str">
        <f>'NFL Schedule'!J256</f>
        <v/>
      </c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</row>
    <row r="260" spans="1:17" ht="15" customHeight="1" x14ac:dyDescent="0.25">
      <c r="A260" s="15">
        <v>5</v>
      </c>
      <c r="B260" s="15" t="s">
        <v>70</v>
      </c>
      <c r="C260" s="16" t="s">
        <v>54</v>
      </c>
      <c r="D260" s="15" t="s">
        <v>76</v>
      </c>
      <c r="E260" s="17" t="str">
        <f>'NFL Schedule'!J257</f>
        <v/>
      </c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</row>
    <row r="261" spans="1:17" ht="15" customHeight="1" x14ac:dyDescent="0.25">
      <c r="A261" s="15">
        <v>6</v>
      </c>
      <c r="B261" s="15" t="s">
        <v>71</v>
      </c>
      <c r="C261" s="16" t="s">
        <v>54</v>
      </c>
      <c r="D261" s="15" t="s">
        <v>86</v>
      </c>
      <c r="E261" s="17" t="str">
        <f>'NFL Schedule'!J258</f>
        <v/>
      </c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</row>
    <row r="262" spans="1:17" ht="15" customHeight="1" x14ac:dyDescent="0.25">
      <c r="A262" s="15">
        <v>7</v>
      </c>
      <c r="B262" s="15" t="s">
        <v>69</v>
      </c>
      <c r="C262" s="16" t="s">
        <v>54</v>
      </c>
      <c r="D262" s="15" t="s">
        <v>74</v>
      </c>
      <c r="E262" s="17" t="str">
        <f>'NFL Schedule'!J259</f>
        <v/>
      </c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</row>
    <row r="263" spans="1:17" ht="15" customHeight="1" x14ac:dyDescent="0.25">
      <c r="A263" s="15">
        <v>8</v>
      </c>
      <c r="B263" s="15" t="s">
        <v>65</v>
      </c>
      <c r="C263" s="16" t="s">
        <v>54</v>
      </c>
      <c r="D263" s="15" t="s">
        <v>63</v>
      </c>
      <c r="E263" s="17" t="str">
        <f>'NFL Schedule'!J260</f>
        <v/>
      </c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</row>
    <row r="264" spans="1:17" ht="15" customHeight="1" x14ac:dyDescent="0.25">
      <c r="A264" s="15">
        <v>9</v>
      </c>
      <c r="B264" s="15" t="s">
        <v>73</v>
      </c>
      <c r="C264" s="16" t="s">
        <v>54</v>
      </c>
      <c r="D264" s="15" t="s">
        <v>83</v>
      </c>
      <c r="E264" s="17" t="str">
        <f>'NFL Schedule'!J261</f>
        <v/>
      </c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</row>
    <row r="265" spans="1:17" ht="15" customHeight="1" x14ac:dyDescent="0.25">
      <c r="A265" s="15">
        <v>10</v>
      </c>
      <c r="B265" s="15" t="s">
        <v>64</v>
      </c>
      <c r="C265" s="16" t="s">
        <v>54</v>
      </c>
      <c r="D265" s="15" t="s">
        <v>62</v>
      </c>
      <c r="E265" s="17" t="str">
        <f>'NFL Schedule'!J262</f>
        <v/>
      </c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</row>
    <row r="266" spans="1:17" ht="15" customHeight="1" x14ac:dyDescent="0.25">
      <c r="A266" s="15">
        <v>11</v>
      </c>
      <c r="B266" s="15" t="s">
        <v>72</v>
      </c>
      <c r="C266" s="16" t="s">
        <v>54</v>
      </c>
      <c r="D266" s="15" t="s">
        <v>68</v>
      </c>
      <c r="E266" s="17" t="str">
        <f>'NFL Schedule'!J263</f>
        <v/>
      </c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</row>
    <row r="267" spans="1:17" ht="15" customHeight="1" x14ac:dyDescent="0.25">
      <c r="A267" s="15">
        <v>12</v>
      </c>
      <c r="B267" s="15" t="s">
        <v>75</v>
      </c>
      <c r="C267" s="16" t="s">
        <v>54</v>
      </c>
      <c r="D267" s="15" t="s">
        <v>77</v>
      </c>
      <c r="E267" s="17" t="str">
        <f>'NFL Schedule'!J264</f>
        <v/>
      </c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</row>
    <row r="268" spans="1:17" ht="15" customHeight="1" x14ac:dyDescent="0.25">
      <c r="A268" s="15">
        <v>13</v>
      </c>
      <c r="B268" s="15" t="s">
        <v>87</v>
      </c>
      <c r="C268" s="16" t="s">
        <v>54</v>
      </c>
      <c r="D268" s="15" t="s">
        <v>80</v>
      </c>
      <c r="E268" s="17" t="str">
        <f>'NFL Schedule'!J265</f>
        <v/>
      </c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</row>
    <row r="269" spans="1:17" ht="15" customHeight="1" x14ac:dyDescent="0.25">
      <c r="A269" s="15">
        <v>14</v>
      </c>
      <c r="B269" s="15" t="s">
        <v>85</v>
      </c>
      <c r="C269" s="16" t="s">
        <v>54</v>
      </c>
      <c r="D269" s="15" t="s">
        <v>60</v>
      </c>
      <c r="E269" s="17" t="str">
        <f>'NFL Schedule'!J266</f>
        <v/>
      </c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</row>
    <row r="270" spans="1:17" ht="15" customHeight="1" x14ac:dyDescent="0.25">
      <c r="A270" s="15">
        <v>15</v>
      </c>
      <c r="B270" s="15" t="s">
        <v>66</v>
      </c>
      <c r="C270" s="16" t="s">
        <v>54</v>
      </c>
      <c r="D270" s="15" t="s">
        <v>82</v>
      </c>
      <c r="E270" s="17" t="str">
        <f>'NFL Schedule'!J267</f>
        <v/>
      </c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</row>
    <row r="271" spans="1:17" ht="15" customHeight="1" x14ac:dyDescent="0.25">
      <c r="A271" s="15">
        <v>16</v>
      </c>
      <c r="B271" s="15" t="s">
        <v>57</v>
      </c>
      <c r="C271" s="16" t="s">
        <v>54</v>
      </c>
      <c r="D271" s="15" t="s">
        <v>88</v>
      </c>
      <c r="E271" s="17" t="str">
        <f>'NFL Schedule'!J268</f>
        <v/>
      </c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</row>
    <row r="272" spans="1:17" x14ac:dyDescent="0.25">
      <c r="A272" s="19" t="s">
        <v>63</v>
      </c>
      <c r="B272" s="20" t="s">
        <v>89</v>
      </c>
      <c r="E272" s="21" t="str">
        <f>'NFL Schedule'!E269</f>
        <v/>
      </c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</row>
    <row r="273" spans="1:17" ht="15" customHeight="1" x14ac:dyDescent="0.25">
      <c r="A273" s="6" t="s">
        <v>104</v>
      </c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</row>
    <row r="274" spans="1:17" ht="15" customHeight="1" x14ac:dyDescent="0.25">
      <c r="A274" s="14" t="s">
        <v>27</v>
      </c>
      <c r="B274" s="14" t="s">
        <v>53</v>
      </c>
      <c r="C274" s="14" t="s">
        <v>54</v>
      </c>
      <c r="D274" s="14" t="s">
        <v>55</v>
      </c>
      <c r="E274" s="14" t="s">
        <v>56</v>
      </c>
      <c r="F274" s="14" t="s">
        <v>5</v>
      </c>
      <c r="G274" s="14" t="s">
        <v>8</v>
      </c>
      <c r="H274" s="14" t="s">
        <v>9</v>
      </c>
      <c r="I274" s="14" t="s">
        <v>10</v>
      </c>
      <c r="J274" s="14" t="s">
        <v>11</v>
      </c>
      <c r="K274" s="14" t="s">
        <v>14</v>
      </c>
      <c r="L274" s="14" t="s">
        <v>15</v>
      </c>
      <c r="M274" s="14" t="s">
        <v>16</v>
      </c>
      <c r="N274" s="14" t="s">
        <v>17</v>
      </c>
      <c r="O274" s="14" t="s">
        <v>20</v>
      </c>
      <c r="P274" s="14" t="s">
        <v>21</v>
      </c>
      <c r="Q274" s="14" t="s">
        <v>22</v>
      </c>
    </row>
    <row r="275" spans="1:17" ht="15" customHeight="1" x14ac:dyDescent="0.25">
      <c r="A275" s="15">
        <v>1</v>
      </c>
      <c r="B275" s="15" t="s">
        <v>68</v>
      </c>
      <c r="C275" s="16" t="s">
        <v>54</v>
      </c>
      <c r="D275" s="15" t="s">
        <v>84</v>
      </c>
      <c r="E275" s="17" t="str">
        <f>'NFL Schedule'!J272</f>
        <v/>
      </c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</row>
    <row r="276" spans="1:17" ht="15" customHeight="1" x14ac:dyDescent="0.25">
      <c r="A276" s="15">
        <v>2</v>
      </c>
      <c r="B276" s="15" t="s">
        <v>81</v>
      </c>
      <c r="C276" s="16" t="s">
        <v>54</v>
      </c>
      <c r="D276" s="15" t="s">
        <v>61</v>
      </c>
      <c r="E276" s="17" t="str">
        <f>'NFL Schedule'!J273</f>
        <v/>
      </c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</row>
    <row r="277" spans="1:17" ht="15" customHeight="1" x14ac:dyDescent="0.25">
      <c r="A277" s="15">
        <v>3</v>
      </c>
      <c r="B277" s="15" t="s">
        <v>67</v>
      </c>
      <c r="C277" s="16" t="s">
        <v>54</v>
      </c>
      <c r="D277" s="15" t="s">
        <v>87</v>
      </c>
      <c r="E277" s="17" t="str">
        <f>'NFL Schedule'!J274</f>
        <v/>
      </c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</row>
    <row r="278" spans="1:17" ht="15" customHeight="1" x14ac:dyDescent="0.25">
      <c r="A278" s="15">
        <v>4</v>
      </c>
      <c r="B278" s="15" t="s">
        <v>60</v>
      </c>
      <c r="C278" s="16" t="s">
        <v>54</v>
      </c>
      <c r="D278" s="15" t="s">
        <v>58</v>
      </c>
      <c r="E278" s="17" t="str">
        <f>'NFL Schedule'!J275</f>
        <v/>
      </c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</row>
    <row r="279" spans="1:17" ht="15" customHeight="1" x14ac:dyDescent="0.25">
      <c r="A279" s="15">
        <v>5</v>
      </c>
      <c r="B279" s="15" t="s">
        <v>78</v>
      </c>
      <c r="C279" s="16" t="s">
        <v>54</v>
      </c>
      <c r="D279" s="15" t="s">
        <v>79</v>
      </c>
      <c r="E279" s="17" t="str">
        <f>'NFL Schedule'!J276</f>
        <v/>
      </c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</row>
    <row r="280" spans="1:17" ht="15" customHeight="1" x14ac:dyDescent="0.25">
      <c r="A280" s="15">
        <v>6</v>
      </c>
      <c r="B280" s="15" t="s">
        <v>77</v>
      </c>
      <c r="C280" s="16" t="s">
        <v>54</v>
      </c>
      <c r="D280" s="15" t="s">
        <v>65</v>
      </c>
      <c r="E280" s="17" t="str">
        <f>'NFL Schedule'!J277</f>
        <v/>
      </c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</row>
    <row r="281" spans="1:17" ht="15" customHeight="1" x14ac:dyDescent="0.25">
      <c r="A281" s="15">
        <v>7</v>
      </c>
      <c r="B281" s="15" t="s">
        <v>57</v>
      </c>
      <c r="C281" s="16" t="s">
        <v>54</v>
      </c>
      <c r="D281" s="15" t="s">
        <v>75</v>
      </c>
      <c r="E281" s="17" t="str">
        <f>'NFL Schedule'!J278</f>
        <v/>
      </c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</row>
    <row r="282" spans="1:17" ht="15" customHeight="1" x14ac:dyDescent="0.25">
      <c r="A282" s="15">
        <v>8</v>
      </c>
      <c r="B282" s="15" t="s">
        <v>71</v>
      </c>
      <c r="C282" s="16" t="s">
        <v>54</v>
      </c>
      <c r="D282" s="15" t="s">
        <v>69</v>
      </c>
      <c r="E282" s="17" t="str">
        <f>'NFL Schedule'!J279</f>
        <v/>
      </c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</row>
    <row r="283" spans="1:17" ht="15" customHeight="1" x14ac:dyDescent="0.25">
      <c r="A283" s="15">
        <v>9</v>
      </c>
      <c r="B283" s="15" t="s">
        <v>76</v>
      </c>
      <c r="C283" s="16" t="s">
        <v>54</v>
      </c>
      <c r="D283" s="15" t="s">
        <v>80</v>
      </c>
      <c r="E283" s="17" t="str">
        <f>'NFL Schedule'!J280</f>
        <v/>
      </c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</row>
    <row r="284" spans="1:17" ht="15" customHeight="1" x14ac:dyDescent="0.25">
      <c r="A284" s="15">
        <v>10</v>
      </c>
      <c r="B284" s="15" t="s">
        <v>59</v>
      </c>
      <c r="C284" s="16" t="s">
        <v>54</v>
      </c>
      <c r="D284" s="15" t="s">
        <v>88</v>
      </c>
      <c r="E284" s="17" t="str">
        <f>'NFL Schedule'!J281</f>
        <v/>
      </c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</row>
    <row r="285" spans="1:17" ht="15" customHeight="1" x14ac:dyDescent="0.25">
      <c r="A285" s="15">
        <v>11</v>
      </c>
      <c r="B285" s="15" t="s">
        <v>72</v>
      </c>
      <c r="C285" s="16" t="s">
        <v>54</v>
      </c>
      <c r="D285" s="15" t="s">
        <v>85</v>
      </c>
      <c r="E285" s="17" t="str">
        <f>'NFL Schedule'!J282</f>
        <v/>
      </c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</row>
    <row r="286" spans="1:17" ht="15" customHeight="1" x14ac:dyDescent="0.25">
      <c r="A286" s="15">
        <v>12</v>
      </c>
      <c r="B286" s="15" t="s">
        <v>86</v>
      </c>
      <c r="C286" s="16" t="s">
        <v>54</v>
      </c>
      <c r="D286" s="15" t="s">
        <v>66</v>
      </c>
      <c r="E286" s="17" t="str">
        <f>'NFL Schedule'!J283</f>
        <v/>
      </c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</row>
    <row r="287" spans="1:17" ht="15" customHeight="1" x14ac:dyDescent="0.25">
      <c r="A287" s="15">
        <v>13</v>
      </c>
      <c r="B287" s="15" t="s">
        <v>63</v>
      </c>
      <c r="C287" s="16" t="s">
        <v>54</v>
      </c>
      <c r="D287" s="15" t="s">
        <v>73</v>
      </c>
      <c r="E287" s="17" t="str">
        <f>'NFL Schedule'!J284</f>
        <v/>
      </c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</row>
    <row r="288" spans="1:17" ht="15" customHeight="1" x14ac:dyDescent="0.25">
      <c r="A288" s="15">
        <v>14</v>
      </c>
      <c r="B288" s="15" t="s">
        <v>64</v>
      </c>
      <c r="C288" s="16" t="s">
        <v>54</v>
      </c>
      <c r="D288" s="15" t="s">
        <v>70</v>
      </c>
      <c r="E288" s="17" t="str">
        <f>'NFL Schedule'!J285</f>
        <v/>
      </c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</row>
    <row r="289" spans="1:17" ht="15" customHeight="1" x14ac:dyDescent="0.25">
      <c r="A289" s="15">
        <v>15</v>
      </c>
      <c r="B289" s="15" t="s">
        <v>83</v>
      </c>
      <c r="C289" s="16" t="s">
        <v>54</v>
      </c>
      <c r="D289" s="15" t="s">
        <v>82</v>
      </c>
      <c r="E289" s="17" t="str">
        <f>'NFL Schedule'!J286</f>
        <v/>
      </c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</row>
    <row r="290" spans="1:17" ht="15" customHeight="1" x14ac:dyDescent="0.25">
      <c r="A290" s="15">
        <v>16</v>
      </c>
      <c r="B290" s="15" t="s">
        <v>62</v>
      </c>
      <c r="C290" s="16" t="s">
        <v>54</v>
      </c>
      <c r="D290" s="15" t="s">
        <v>74</v>
      </c>
      <c r="E290" s="17" t="str">
        <f>'NFL Schedule'!J287</f>
        <v/>
      </c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</row>
    <row r="291" spans="1:17" x14ac:dyDescent="0.25">
      <c r="A291" s="19" t="s">
        <v>63</v>
      </c>
      <c r="B291" s="20" t="s">
        <v>89</v>
      </c>
      <c r="E291" s="21" t="str">
        <f>'NFL Schedule'!E288</f>
        <v/>
      </c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</row>
    <row r="292" spans="1:17" ht="15" customHeight="1" x14ac:dyDescent="0.25">
      <c r="A292" s="6" t="s">
        <v>105</v>
      </c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</row>
    <row r="293" spans="1:17" ht="15" customHeight="1" x14ac:dyDescent="0.25">
      <c r="A293" s="14" t="s">
        <v>27</v>
      </c>
      <c r="B293" s="14" t="s">
        <v>53</v>
      </c>
      <c r="C293" s="14" t="s">
        <v>54</v>
      </c>
      <c r="D293" s="14" t="s">
        <v>55</v>
      </c>
      <c r="E293" s="14" t="s">
        <v>56</v>
      </c>
      <c r="F293" s="14" t="s">
        <v>5</v>
      </c>
      <c r="G293" s="14" t="s">
        <v>8</v>
      </c>
      <c r="H293" s="14" t="s">
        <v>9</v>
      </c>
      <c r="I293" s="14" t="s">
        <v>10</v>
      </c>
      <c r="J293" s="14" t="s">
        <v>11</v>
      </c>
      <c r="K293" s="14" t="s">
        <v>14</v>
      </c>
      <c r="L293" s="14" t="s">
        <v>15</v>
      </c>
      <c r="M293" s="14" t="s">
        <v>16</v>
      </c>
      <c r="N293" s="14" t="s">
        <v>17</v>
      </c>
      <c r="O293" s="14" t="s">
        <v>20</v>
      </c>
      <c r="P293" s="14" t="s">
        <v>21</v>
      </c>
      <c r="Q293" s="14" t="s">
        <v>22</v>
      </c>
    </row>
    <row r="294" spans="1:17" ht="15" customHeight="1" x14ac:dyDescent="0.25">
      <c r="A294" s="15">
        <v>1</v>
      </c>
      <c r="B294" s="15" t="s">
        <v>69</v>
      </c>
      <c r="C294" s="16" t="s">
        <v>54</v>
      </c>
      <c r="D294" s="15" t="s">
        <v>64</v>
      </c>
      <c r="E294" s="17" t="str">
        <f>'NFL Schedule'!J291</f>
        <v/>
      </c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</row>
    <row r="295" spans="1:17" ht="15" customHeight="1" x14ac:dyDescent="0.25">
      <c r="A295" s="15">
        <v>2</v>
      </c>
      <c r="B295" s="15" t="s">
        <v>65</v>
      </c>
      <c r="C295" s="16" t="s">
        <v>54</v>
      </c>
      <c r="D295" s="15" t="s">
        <v>73</v>
      </c>
      <c r="E295" s="17" t="str">
        <f>'NFL Schedule'!J292</f>
        <v/>
      </c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</row>
    <row r="296" spans="1:17" ht="15" customHeight="1" x14ac:dyDescent="0.25">
      <c r="A296" s="15">
        <v>3</v>
      </c>
      <c r="B296" s="15" t="s">
        <v>70</v>
      </c>
      <c r="C296" s="16" t="s">
        <v>54</v>
      </c>
      <c r="D296" s="15" t="s">
        <v>71</v>
      </c>
      <c r="E296" s="17" t="str">
        <f>'NFL Schedule'!J293</f>
        <v/>
      </c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</row>
    <row r="297" spans="1:17" ht="15" customHeight="1" x14ac:dyDescent="0.25">
      <c r="A297" s="15">
        <v>4</v>
      </c>
      <c r="B297" s="15" t="s">
        <v>86</v>
      </c>
      <c r="C297" s="16" t="s">
        <v>54</v>
      </c>
      <c r="D297" s="15" t="s">
        <v>85</v>
      </c>
      <c r="E297" s="17" t="str">
        <f>'NFL Schedule'!J294</f>
        <v/>
      </c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</row>
    <row r="298" spans="1:17" ht="15" customHeight="1" x14ac:dyDescent="0.25">
      <c r="A298" s="15">
        <v>5</v>
      </c>
      <c r="B298" s="15" t="s">
        <v>74</v>
      </c>
      <c r="C298" s="16" t="s">
        <v>54</v>
      </c>
      <c r="D298" s="15" t="s">
        <v>76</v>
      </c>
      <c r="E298" s="17" t="str">
        <f>'NFL Schedule'!J295</f>
        <v/>
      </c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</row>
    <row r="299" spans="1:17" ht="15" customHeight="1" x14ac:dyDescent="0.25">
      <c r="A299" s="15">
        <v>6</v>
      </c>
      <c r="B299" s="15" t="s">
        <v>67</v>
      </c>
      <c r="C299" s="16" t="s">
        <v>54</v>
      </c>
      <c r="D299" s="15" t="s">
        <v>79</v>
      </c>
      <c r="E299" s="17" t="str">
        <f>'NFL Schedule'!J296</f>
        <v/>
      </c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</row>
    <row r="300" spans="1:17" ht="15" customHeight="1" x14ac:dyDescent="0.25">
      <c r="A300" s="15">
        <v>7</v>
      </c>
      <c r="B300" s="15" t="s">
        <v>82</v>
      </c>
      <c r="C300" s="16" t="s">
        <v>54</v>
      </c>
      <c r="D300" s="15" t="s">
        <v>75</v>
      </c>
      <c r="E300" s="17" t="str">
        <f>'NFL Schedule'!J297</f>
        <v/>
      </c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</row>
    <row r="301" spans="1:17" ht="15" customHeight="1" x14ac:dyDescent="0.25">
      <c r="A301" s="15">
        <v>8</v>
      </c>
      <c r="B301" s="15" t="s">
        <v>58</v>
      </c>
      <c r="C301" s="16" t="s">
        <v>54</v>
      </c>
      <c r="D301" s="15" t="s">
        <v>62</v>
      </c>
      <c r="E301" s="17" t="str">
        <f>'NFL Schedule'!J298</f>
        <v/>
      </c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</row>
    <row r="302" spans="1:17" ht="15" customHeight="1" x14ac:dyDescent="0.25">
      <c r="A302" s="15">
        <v>9</v>
      </c>
      <c r="B302" s="15" t="s">
        <v>80</v>
      </c>
      <c r="C302" s="16" t="s">
        <v>54</v>
      </c>
      <c r="D302" s="15" t="s">
        <v>77</v>
      </c>
      <c r="E302" s="17" t="str">
        <f>'NFL Schedule'!J299</f>
        <v/>
      </c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</row>
    <row r="303" spans="1:17" ht="15" customHeight="1" x14ac:dyDescent="0.25">
      <c r="A303" s="15">
        <v>10</v>
      </c>
      <c r="B303" s="15" t="s">
        <v>66</v>
      </c>
      <c r="C303" s="16" t="s">
        <v>54</v>
      </c>
      <c r="D303" s="15" t="s">
        <v>61</v>
      </c>
      <c r="E303" s="17" t="str">
        <f>'NFL Schedule'!J300</f>
        <v/>
      </c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</row>
    <row r="304" spans="1:17" ht="15" customHeight="1" x14ac:dyDescent="0.25">
      <c r="A304" s="15">
        <v>11</v>
      </c>
      <c r="B304" s="15" t="s">
        <v>84</v>
      </c>
      <c r="C304" s="16" t="s">
        <v>54</v>
      </c>
      <c r="D304" s="15" t="s">
        <v>59</v>
      </c>
      <c r="E304" s="17" t="str">
        <f>'NFL Schedule'!J301</f>
        <v/>
      </c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</row>
    <row r="305" spans="1:17" ht="15" customHeight="1" x14ac:dyDescent="0.25">
      <c r="A305" s="15">
        <v>12</v>
      </c>
      <c r="B305" s="15" t="s">
        <v>68</v>
      </c>
      <c r="C305" s="16" t="s">
        <v>54</v>
      </c>
      <c r="D305" s="15" t="s">
        <v>81</v>
      </c>
      <c r="E305" s="17" t="str">
        <f>'NFL Schedule'!J302</f>
        <v/>
      </c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</row>
    <row r="306" spans="1:17" ht="15" customHeight="1" x14ac:dyDescent="0.25">
      <c r="A306" s="15">
        <v>13</v>
      </c>
      <c r="B306" s="15" t="s">
        <v>87</v>
      </c>
      <c r="C306" s="16" t="s">
        <v>54</v>
      </c>
      <c r="D306" s="15" t="s">
        <v>57</v>
      </c>
      <c r="E306" s="17" t="str">
        <f>'NFL Schedule'!J303</f>
        <v/>
      </c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</row>
    <row r="307" spans="1:17" ht="15" customHeight="1" x14ac:dyDescent="0.25">
      <c r="A307" s="15">
        <v>14</v>
      </c>
      <c r="B307" s="15" t="s">
        <v>88</v>
      </c>
      <c r="C307" s="16" t="s">
        <v>54</v>
      </c>
      <c r="D307" s="15" t="s">
        <v>78</v>
      </c>
      <c r="E307" s="17" t="str">
        <f>'NFL Schedule'!J304</f>
        <v/>
      </c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</row>
    <row r="308" spans="1:17" ht="15" customHeight="1" x14ac:dyDescent="0.25">
      <c r="A308" s="15">
        <v>15</v>
      </c>
      <c r="B308" s="15" t="s">
        <v>60</v>
      </c>
      <c r="C308" s="16" t="s">
        <v>54</v>
      </c>
      <c r="D308" s="15" t="s">
        <v>63</v>
      </c>
      <c r="E308" s="17" t="str">
        <f>'NFL Schedule'!J305</f>
        <v/>
      </c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</row>
    <row r="309" spans="1:17" ht="15" customHeight="1" x14ac:dyDescent="0.25">
      <c r="A309" s="15">
        <v>16</v>
      </c>
      <c r="B309" s="15" t="s">
        <v>83</v>
      </c>
      <c r="C309" s="16" t="s">
        <v>54</v>
      </c>
      <c r="D309" s="15" t="s">
        <v>72</v>
      </c>
      <c r="E309" s="17" t="str">
        <f>'NFL Schedule'!J306</f>
        <v/>
      </c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</row>
    <row r="310" spans="1:17" x14ac:dyDescent="0.25">
      <c r="A310" s="19" t="s">
        <v>63</v>
      </c>
      <c r="B310" s="20" t="s">
        <v>89</v>
      </c>
      <c r="E310" s="21" t="str">
        <f>'NFL Schedule'!E307</f>
        <v/>
      </c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</row>
    <row r="311" spans="1:17" ht="15" customHeight="1" x14ac:dyDescent="0.25">
      <c r="A311" s="6" t="s">
        <v>106</v>
      </c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 spans="1:17" ht="15" customHeight="1" x14ac:dyDescent="0.25">
      <c r="A312" s="14" t="s">
        <v>27</v>
      </c>
      <c r="B312" s="14" t="s">
        <v>53</v>
      </c>
      <c r="C312" s="14" t="s">
        <v>54</v>
      </c>
      <c r="D312" s="14" t="s">
        <v>55</v>
      </c>
      <c r="E312" s="14" t="s">
        <v>56</v>
      </c>
      <c r="F312" s="14" t="s">
        <v>5</v>
      </c>
      <c r="G312" s="14" t="s">
        <v>8</v>
      </c>
      <c r="H312" s="14" t="s">
        <v>9</v>
      </c>
      <c r="I312" s="14" t="s">
        <v>10</v>
      </c>
      <c r="J312" s="14" t="s">
        <v>11</v>
      </c>
      <c r="K312" s="14" t="s">
        <v>14</v>
      </c>
      <c r="L312" s="14" t="s">
        <v>15</v>
      </c>
      <c r="M312" s="14" t="s">
        <v>16</v>
      </c>
      <c r="N312" s="14" t="s">
        <v>17</v>
      </c>
      <c r="O312" s="14" t="s">
        <v>20</v>
      </c>
      <c r="P312" s="14" t="s">
        <v>21</v>
      </c>
      <c r="Q312" s="14" t="s">
        <v>22</v>
      </c>
    </row>
    <row r="313" spans="1:17" ht="15" customHeight="1" x14ac:dyDescent="0.25">
      <c r="A313" s="15">
        <v>1</v>
      </c>
      <c r="B313" s="15" t="s">
        <v>75</v>
      </c>
      <c r="C313" s="16" t="s">
        <v>54</v>
      </c>
      <c r="D313" s="15" t="s">
        <v>67</v>
      </c>
      <c r="E313" s="17" t="str">
        <f>'NFL Schedule'!J310</f>
        <v/>
      </c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</row>
    <row r="314" spans="1:17" ht="15" customHeight="1" x14ac:dyDescent="0.25">
      <c r="A314" s="15">
        <v>2</v>
      </c>
      <c r="B314" s="15" t="s">
        <v>71</v>
      </c>
      <c r="C314" s="16" t="s">
        <v>54</v>
      </c>
      <c r="D314" s="15" t="s">
        <v>64</v>
      </c>
      <c r="E314" s="17" t="str">
        <f>'NFL Schedule'!J311</f>
        <v/>
      </c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</row>
    <row r="315" spans="1:17" ht="15" customHeight="1" x14ac:dyDescent="0.25">
      <c r="A315" s="15">
        <v>3</v>
      </c>
      <c r="B315" s="15" t="s">
        <v>60</v>
      </c>
      <c r="C315" s="16" t="s">
        <v>54</v>
      </c>
      <c r="D315" s="15" t="s">
        <v>87</v>
      </c>
      <c r="E315" s="17" t="str">
        <f>'NFL Schedule'!J312</f>
        <v/>
      </c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</row>
    <row r="316" spans="1:17" ht="15" customHeight="1" x14ac:dyDescent="0.25">
      <c r="A316" s="15">
        <v>4</v>
      </c>
      <c r="B316" s="15" t="s">
        <v>66</v>
      </c>
      <c r="C316" s="16" t="s">
        <v>54</v>
      </c>
      <c r="D316" s="15" t="s">
        <v>81</v>
      </c>
      <c r="E316" s="17" t="str">
        <f>'NFL Schedule'!J313</f>
        <v/>
      </c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</row>
    <row r="317" spans="1:17" ht="15" customHeight="1" x14ac:dyDescent="0.25">
      <c r="A317" s="15">
        <v>5</v>
      </c>
      <c r="B317" s="15" t="s">
        <v>72</v>
      </c>
      <c r="C317" s="16" t="s">
        <v>54</v>
      </c>
      <c r="D317" s="15" t="s">
        <v>70</v>
      </c>
      <c r="E317" s="17" t="str">
        <f>'NFL Schedule'!J314</f>
        <v/>
      </c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</row>
    <row r="318" spans="1:17" ht="15" customHeight="1" x14ac:dyDescent="0.25">
      <c r="A318" s="15">
        <v>6</v>
      </c>
      <c r="B318" s="15" t="s">
        <v>80</v>
      </c>
      <c r="C318" s="16" t="s">
        <v>54</v>
      </c>
      <c r="D318" s="15" t="s">
        <v>88</v>
      </c>
      <c r="E318" s="17" t="str">
        <f>'NFL Schedule'!J315</f>
        <v/>
      </c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</row>
    <row r="319" spans="1:17" ht="15" customHeight="1" x14ac:dyDescent="0.25">
      <c r="A319" s="15">
        <v>7</v>
      </c>
      <c r="B319" s="15" t="s">
        <v>58</v>
      </c>
      <c r="C319" s="16" t="s">
        <v>54</v>
      </c>
      <c r="D319" s="15" t="s">
        <v>78</v>
      </c>
      <c r="E319" s="17" t="str">
        <f>'NFL Schedule'!J316</f>
        <v/>
      </c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</row>
    <row r="320" spans="1:17" ht="15" customHeight="1" x14ac:dyDescent="0.25">
      <c r="A320" s="15">
        <v>8</v>
      </c>
      <c r="B320" s="15" t="s">
        <v>61</v>
      </c>
      <c r="C320" s="16" t="s">
        <v>54</v>
      </c>
      <c r="D320" s="15" t="s">
        <v>82</v>
      </c>
      <c r="E320" s="17" t="str">
        <f>'NFL Schedule'!J317</f>
        <v/>
      </c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</row>
    <row r="321" spans="1:17" ht="15" customHeight="1" x14ac:dyDescent="0.25">
      <c r="A321" s="15">
        <v>9</v>
      </c>
      <c r="B321" s="15" t="s">
        <v>79</v>
      </c>
      <c r="C321" s="16" t="s">
        <v>54</v>
      </c>
      <c r="D321" s="15" t="s">
        <v>57</v>
      </c>
      <c r="E321" s="17" t="str">
        <f>'NFL Schedule'!J318</f>
        <v/>
      </c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</row>
    <row r="322" spans="1:17" ht="15" customHeight="1" x14ac:dyDescent="0.25">
      <c r="A322" s="15">
        <v>10</v>
      </c>
      <c r="B322" s="15" t="s">
        <v>63</v>
      </c>
      <c r="C322" s="16" t="s">
        <v>54</v>
      </c>
      <c r="D322" s="15" t="s">
        <v>65</v>
      </c>
      <c r="E322" s="17" t="str">
        <f>'NFL Schedule'!J319</f>
        <v/>
      </c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</row>
    <row r="323" spans="1:17" ht="15" customHeight="1" x14ac:dyDescent="0.25">
      <c r="A323" s="15">
        <v>11</v>
      </c>
      <c r="B323" s="15" t="s">
        <v>84</v>
      </c>
      <c r="C323" s="16" t="s">
        <v>54</v>
      </c>
      <c r="D323" s="15" t="s">
        <v>86</v>
      </c>
      <c r="E323" s="17" t="str">
        <f>'NFL Schedule'!J320</f>
        <v/>
      </c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</row>
    <row r="324" spans="1:17" ht="15" customHeight="1" x14ac:dyDescent="0.25">
      <c r="A324" s="15">
        <v>12</v>
      </c>
      <c r="B324" s="15" t="s">
        <v>59</v>
      </c>
      <c r="C324" s="16" t="s">
        <v>54</v>
      </c>
      <c r="D324" s="15" t="s">
        <v>77</v>
      </c>
      <c r="E324" s="17" t="str">
        <f>'NFL Schedule'!J321</f>
        <v/>
      </c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</row>
    <row r="325" spans="1:17" ht="15" customHeight="1" x14ac:dyDescent="0.25">
      <c r="A325" s="15">
        <v>13</v>
      </c>
      <c r="B325" s="15" t="s">
        <v>85</v>
      </c>
      <c r="C325" s="16" t="s">
        <v>54</v>
      </c>
      <c r="D325" s="15" t="s">
        <v>83</v>
      </c>
      <c r="E325" s="17" t="str">
        <f>'NFL Schedule'!J322</f>
        <v/>
      </c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</row>
    <row r="326" spans="1:17" ht="15" customHeight="1" x14ac:dyDescent="0.25">
      <c r="A326" s="15">
        <v>14</v>
      </c>
      <c r="B326" s="15" t="s">
        <v>73</v>
      </c>
      <c r="C326" s="16" t="s">
        <v>54</v>
      </c>
      <c r="D326" s="15" t="s">
        <v>62</v>
      </c>
      <c r="E326" s="17" t="str">
        <f>'NFL Schedule'!J323</f>
        <v/>
      </c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</row>
    <row r="327" spans="1:17" ht="15" customHeight="1" x14ac:dyDescent="0.25">
      <c r="A327" s="15">
        <v>15</v>
      </c>
      <c r="B327" s="15" t="s">
        <v>74</v>
      </c>
      <c r="C327" s="16" t="s">
        <v>54</v>
      </c>
      <c r="D327" s="15" t="s">
        <v>69</v>
      </c>
      <c r="E327" s="17" t="str">
        <f>'NFL Schedule'!J324</f>
        <v/>
      </c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</row>
    <row r="328" spans="1:17" ht="15" customHeight="1" x14ac:dyDescent="0.25">
      <c r="A328" s="15">
        <v>16</v>
      </c>
      <c r="B328" s="15" t="s">
        <v>76</v>
      </c>
      <c r="C328" s="16" t="s">
        <v>54</v>
      </c>
      <c r="D328" s="15" t="s">
        <v>68</v>
      </c>
      <c r="E328" s="17" t="str">
        <f>'NFL Schedule'!J325</f>
        <v/>
      </c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</row>
    <row r="329" spans="1:17" x14ac:dyDescent="0.25">
      <c r="A329" s="19" t="s">
        <v>63</v>
      </c>
      <c r="B329" s="20" t="s">
        <v>89</v>
      </c>
      <c r="E329" s="21" t="str">
        <f>'NFL Schedule'!E326</f>
        <v/>
      </c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</row>
  </sheetData>
  <mergeCells count="20">
    <mergeCell ref="A236:Q236"/>
    <mergeCell ref="A254:Q254"/>
    <mergeCell ref="A273:Q273"/>
    <mergeCell ref="A292:Q292"/>
    <mergeCell ref="A311:Q311"/>
    <mergeCell ref="A149:Q149"/>
    <mergeCell ref="A167:Q167"/>
    <mergeCell ref="A184:Q184"/>
    <mergeCell ref="A200:Q200"/>
    <mergeCell ref="A219:Q219"/>
    <mergeCell ref="A61:Q61"/>
    <mergeCell ref="A80:Q80"/>
    <mergeCell ref="A98:Q98"/>
    <mergeCell ref="A115:Q115"/>
    <mergeCell ref="A132:Q132"/>
    <mergeCell ref="A1:Q1"/>
    <mergeCell ref="A2:Q2"/>
    <mergeCell ref="A4:Q4"/>
    <mergeCell ref="A23:Q23"/>
    <mergeCell ref="A42:Q42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tabSelected="1" zoomScaleNormal="100" workbookViewId="0">
      <selection activeCell="I18" sqref="I18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E18">
        <v>25</v>
      </c>
      <c r="F18" t="s">
        <v>88</v>
      </c>
      <c r="G18">
        <v>26</v>
      </c>
      <c r="H18">
        <v>-2.5</v>
      </c>
      <c r="I18" t="str">
        <f t="shared" si="0"/>
        <v>KC</v>
      </c>
      <c r="J18" t="str">
        <f t="shared" si="1"/>
        <v>KC</v>
      </c>
    </row>
    <row r="19" spans="1:10" x14ac:dyDescent="0.25">
      <c r="D19" s="23" t="s">
        <v>89</v>
      </c>
      <c r="E19" s="24">
        <f>IF(AND(E18&lt;&gt;"",G18&lt;&gt;""),E18+G18,"")</f>
        <v>51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F22" t="s">
        <v>67</v>
      </c>
      <c r="I22" t="str">
        <f t="shared" ref="I22:I37" si="2">IF(OR(E22="",G22=""),"",IF(E22&gt;G22,D22,IF(G22&gt;E22,F22,"TIE")))</f>
        <v/>
      </c>
      <c r="J22" t="str">
        <f t="shared" ref="J22:J37" si="3">IF(OR(E22="",G22="",H22=""),"",IF(E22+H22&gt;G22,D22,IF(E22+H22&lt;G22,F22,"PUSH")))</f>
        <v/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F23" t="s">
        <v>73</v>
      </c>
      <c r="I23" t="str">
        <f t="shared" si="2"/>
        <v/>
      </c>
      <c r="J23" t="str">
        <f t="shared" si="3"/>
        <v/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F24" t="s">
        <v>69</v>
      </c>
      <c r="I24" t="str">
        <f t="shared" si="2"/>
        <v/>
      </c>
      <c r="J24" t="str">
        <f t="shared" si="3"/>
        <v/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F25" t="s">
        <v>61</v>
      </c>
      <c r="I25" t="str">
        <f t="shared" si="2"/>
        <v/>
      </c>
      <c r="J25" t="str">
        <f t="shared" si="3"/>
        <v/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F26" t="s">
        <v>68</v>
      </c>
      <c r="I26" t="str">
        <f t="shared" si="2"/>
        <v/>
      </c>
      <c r="J26" t="str">
        <f t="shared" si="3"/>
        <v/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F27" t="s">
        <v>57</v>
      </c>
      <c r="I27" t="str">
        <f t="shared" si="2"/>
        <v/>
      </c>
      <c r="J27" t="str">
        <f t="shared" si="3"/>
        <v/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F28" t="s">
        <v>75</v>
      </c>
      <c r="I28" t="str">
        <f t="shared" si="2"/>
        <v/>
      </c>
      <c r="J28" t="str">
        <f t="shared" si="3"/>
        <v/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F29" t="s">
        <v>63</v>
      </c>
      <c r="I29" t="str">
        <f t="shared" si="2"/>
        <v/>
      </c>
      <c r="J29" t="str">
        <f t="shared" si="3"/>
        <v/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F30" t="s">
        <v>76</v>
      </c>
      <c r="I30" t="str">
        <f t="shared" si="2"/>
        <v/>
      </c>
      <c r="J30" t="str">
        <f t="shared" si="3"/>
        <v/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F31" t="s">
        <v>87</v>
      </c>
      <c r="I31" t="str">
        <f t="shared" si="2"/>
        <v/>
      </c>
      <c r="J31" t="str">
        <f t="shared" si="3"/>
        <v/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F32" t="s">
        <v>78</v>
      </c>
      <c r="I32" t="str">
        <f t="shared" si="2"/>
        <v/>
      </c>
      <c r="J32" t="str">
        <f t="shared" si="3"/>
        <v/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F33" t="s">
        <v>77</v>
      </c>
      <c r="I33" t="str">
        <f t="shared" si="2"/>
        <v/>
      </c>
      <c r="J33" t="str">
        <f t="shared" si="3"/>
        <v/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F34" t="s">
        <v>85</v>
      </c>
      <c r="I34" t="str">
        <f t="shared" si="2"/>
        <v/>
      </c>
      <c r="J34" t="str">
        <f t="shared" si="3"/>
        <v/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F35" t="s">
        <v>59</v>
      </c>
      <c r="I35" t="str">
        <f t="shared" si="2"/>
        <v/>
      </c>
      <c r="J35" t="str">
        <f t="shared" si="3"/>
        <v/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F36" t="s">
        <v>88</v>
      </c>
      <c r="I36" t="str">
        <f t="shared" si="2"/>
        <v/>
      </c>
      <c r="J36" t="str">
        <f t="shared" si="3"/>
        <v/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F37" t="s">
        <v>60</v>
      </c>
      <c r="I37" t="str">
        <f t="shared" si="2"/>
        <v/>
      </c>
      <c r="J37" t="str">
        <f t="shared" si="3"/>
        <v/>
      </c>
    </row>
    <row r="38" spans="1:10" x14ac:dyDescent="0.25">
      <c r="D38" s="23" t="s">
        <v>89</v>
      </c>
      <c r="E38" s="24" t="str">
        <f>IF(AND(E37&lt;&gt;"",G37&lt;&gt;""),E37+G37,"")</f>
        <v/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F41" t="s">
        <v>81</v>
      </c>
      <c r="I41" t="str">
        <f t="shared" ref="I41:I56" si="4">IF(OR(E41="",G41=""),"",IF(E41&gt;G41,D41,IF(G41&gt;E41,F41,"TIE")))</f>
        <v/>
      </c>
      <c r="J41" t="str">
        <f t="shared" ref="J41:J56" si="5">IF(OR(E41="",G41="",H41=""),"",IF(E41+H41&gt;G41,D41,IF(E41+H41&lt;G41,F41,"PUSH")))</f>
        <v/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F42" t="s">
        <v>67</v>
      </c>
      <c r="I42" t="str">
        <f t="shared" si="4"/>
        <v/>
      </c>
      <c r="J42" t="str">
        <f t="shared" si="5"/>
        <v/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F43" t="s">
        <v>71</v>
      </c>
      <c r="I43" t="str">
        <f t="shared" si="4"/>
        <v/>
      </c>
      <c r="J43" t="str">
        <f t="shared" si="5"/>
        <v/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F44" t="s">
        <v>66</v>
      </c>
      <c r="I44" t="str">
        <f t="shared" si="4"/>
        <v/>
      </c>
      <c r="J44" t="str">
        <f t="shared" si="5"/>
        <v/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F45" t="s">
        <v>70</v>
      </c>
      <c r="I45" t="str">
        <f t="shared" si="4"/>
        <v/>
      </c>
      <c r="J45" t="str">
        <f t="shared" si="5"/>
        <v/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F46" t="s">
        <v>79</v>
      </c>
      <c r="I46" t="str">
        <f t="shared" si="4"/>
        <v/>
      </c>
      <c r="J46" t="str">
        <f t="shared" si="5"/>
        <v/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F47" t="s">
        <v>86</v>
      </c>
      <c r="I47" t="str">
        <f t="shared" si="4"/>
        <v/>
      </c>
      <c r="J47" t="str">
        <f t="shared" si="5"/>
        <v/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F48" t="s">
        <v>74</v>
      </c>
      <c r="I48" t="str">
        <f t="shared" si="4"/>
        <v/>
      </c>
      <c r="J48" t="str">
        <f t="shared" si="5"/>
        <v/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F49" t="s">
        <v>83</v>
      </c>
      <c r="I49" t="str">
        <f t="shared" si="4"/>
        <v/>
      </c>
      <c r="J49" t="str">
        <f t="shared" si="5"/>
        <v/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F50" t="s">
        <v>72</v>
      </c>
      <c r="I50" t="str">
        <f t="shared" si="4"/>
        <v/>
      </c>
      <c r="J50" t="str">
        <f t="shared" si="5"/>
        <v/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F51" t="s">
        <v>59</v>
      </c>
      <c r="I51" t="str">
        <f t="shared" si="4"/>
        <v/>
      </c>
      <c r="J51" t="str">
        <f t="shared" si="5"/>
        <v/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F52" t="s">
        <v>63</v>
      </c>
      <c r="I52" t="str">
        <f t="shared" si="4"/>
        <v/>
      </c>
      <c r="J52" t="str">
        <f t="shared" si="5"/>
        <v/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F53" t="s">
        <v>85</v>
      </c>
      <c r="I53" t="str">
        <f t="shared" si="4"/>
        <v/>
      </c>
      <c r="J53" t="str">
        <f t="shared" si="5"/>
        <v/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F54" t="s">
        <v>65</v>
      </c>
      <c r="I54" t="str">
        <f t="shared" si="4"/>
        <v/>
      </c>
      <c r="J54" t="str">
        <f t="shared" si="5"/>
        <v/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F55" t="s">
        <v>87</v>
      </c>
      <c r="I55" t="str">
        <f t="shared" si="4"/>
        <v/>
      </c>
      <c r="J55" t="str">
        <f t="shared" si="5"/>
        <v/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F56" t="s">
        <v>61</v>
      </c>
      <c r="I56" t="str">
        <f t="shared" si="4"/>
        <v/>
      </c>
      <c r="J56" t="str">
        <f t="shared" si="5"/>
        <v/>
      </c>
    </row>
    <row r="57" spans="1:10" x14ac:dyDescent="0.25">
      <c r="D57" s="23" t="s">
        <v>89</v>
      </c>
      <c r="E57" s="24" t="str">
        <f>IF(AND(E56&lt;&gt;"",G56&lt;&gt;""),E56+G56,"")</f>
        <v/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F60" t="s">
        <v>71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F61" t="s">
        <v>83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F62" t="s">
        <v>67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F63" t="s">
        <v>61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F64" t="s">
        <v>64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F65" t="s">
        <v>86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F66" t="s">
        <v>84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F67" t="s">
        <v>63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F68" t="s">
        <v>69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F69" t="s">
        <v>68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F70" t="s">
        <v>82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F71" t="s">
        <v>80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F72" t="s">
        <v>59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F73" t="s">
        <v>58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F74" t="s">
        <v>62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F75" t="s">
        <v>65</v>
      </c>
      <c r="I75" t="str">
        <f t="shared" si="6"/>
        <v/>
      </c>
      <c r="J75" t="str">
        <f t="shared" si="7"/>
        <v/>
      </c>
    </row>
    <row r="76" spans="1:10" x14ac:dyDescent="0.25">
      <c r="D76" s="23" t="s">
        <v>89</v>
      </c>
      <c r="E76" s="24" t="str">
        <f>IF(AND(E75&lt;&gt;"",G75&lt;&gt;""),E75+G75,"")</f>
        <v/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F79" t="s">
        <v>85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F80" t="s">
        <v>72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F81" t="s">
        <v>76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F82" t="s">
        <v>79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F83" t="s">
        <v>57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F84" t="s">
        <v>65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F85" t="s">
        <v>75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F86" t="s">
        <v>74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F87" t="s">
        <v>83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F88" t="s">
        <v>78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F89" t="s">
        <v>81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F90" t="s">
        <v>77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F91" t="s">
        <v>58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F92" t="s">
        <v>73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F93" t="s">
        <v>60</v>
      </c>
      <c r="I93" t="str">
        <f t="shared" si="8"/>
        <v/>
      </c>
      <c r="J93" t="str">
        <f t="shared" si="9"/>
        <v/>
      </c>
    </row>
    <row r="94" spans="1:10" x14ac:dyDescent="0.25">
      <c r="D94" s="23" t="s">
        <v>89</v>
      </c>
      <c r="E94" s="24" t="str">
        <f>IF(AND(E93&lt;&gt;"",G93&lt;&gt;""),E93+G93,"")</f>
        <v/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F97" t="s">
        <v>87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F98" t="s">
        <v>72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F99" t="s">
        <v>73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F100" t="s">
        <v>71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F101" t="s">
        <v>70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F102" t="s">
        <v>57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F103" t="s">
        <v>86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F104" t="s">
        <v>84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F105" t="s">
        <v>63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F106" t="s">
        <v>78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60</v>
      </c>
      <c r="F107" t="s">
        <v>88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F108" t="s">
        <v>80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F109" t="s">
        <v>81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23" t="s">
        <v>89</v>
      </c>
      <c r="E111" s="24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23" t="s">
        <v>89</v>
      </c>
      <c r="E128" s="24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23" t="s">
        <v>89</v>
      </c>
      <c r="E145" s="24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23" t="s">
        <v>89</v>
      </c>
      <c r="E163" s="24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23" t="s">
        <v>89</v>
      </c>
      <c r="E180" s="24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23" t="s">
        <v>89</v>
      </c>
      <c r="E196" s="24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23" t="s">
        <v>89</v>
      </c>
      <c r="E215" s="24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23" t="s">
        <v>89</v>
      </c>
      <c r="E232" s="24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23" t="s">
        <v>89</v>
      </c>
      <c r="E250" s="24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23" t="s">
        <v>89</v>
      </c>
      <c r="E269" s="24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23" t="s">
        <v>89</v>
      </c>
      <c r="E288" s="24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23" t="s">
        <v>89</v>
      </c>
      <c r="E307" s="24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23" t="s">
        <v>89</v>
      </c>
      <c r="E326" s="24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zoomScaleNormal="100" workbookViewId="0">
      <selection activeCell="C10" sqref="C10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4" t="s">
        <v>187</v>
      </c>
      <c r="B1" s="4"/>
      <c r="C1" s="4"/>
      <c r="D1" s="4"/>
      <c r="E1" s="4"/>
      <c r="F1" s="4"/>
      <c r="G1" s="4"/>
      <c r="H1" s="4"/>
      <c r="I1" s="4"/>
    </row>
    <row r="2" spans="1:9" ht="15" customHeight="1" x14ac:dyDescent="0.25">
      <c r="A2" s="12" t="s">
        <v>188</v>
      </c>
    </row>
    <row r="4" spans="1:9" ht="15" customHeight="1" x14ac:dyDescent="0.25">
      <c r="A4" s="25" t="s">
        <v>52</v>
      </c>
    </row>
    <row r="5" spans="1:9" ht="15" customHeight="1" x14ac:dyDescent="0.25">
      <c r="A5" s="9" t="s">
        <v>1</v>
      </c>
      <c r="B5" s="9" t="s">
        <v>2</v>
      </c>
      <c r="C5" s="9" t="s">
        <v>189</v>
      </c>
      <c r="D5" s="9" t="s">
        <v>190</v>
      </c>
      <c r="E5" s="9" t="s">
        <v>191</v>
      </c>
      <c r="F5" s="9" t="s">
        <v>192</v>
      </c>
      <c r="G5" s="9" t="s">
        <v>193</v>
      </c>
      <c r="H5" s="9" t="s">
        <v>194</v>
      </c>
      <c r="I5" s="9" t="s">
        <v>195</v>
      </c>
    </row>
    <row r="6" spans="1:9" ht="15" customHeight="1" x14ac:dyDescent="0.25">
      <c r="A6">
        <v>1</v>
      </c>
      <c r="B6" t="str">
        <f>Roster!B3</f>
        <v>Evan Loeser</v>
      </c>
      <c r="C6" s="10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10">
        <f>SUMPRODUCT(('Picks Detail'!G6:G21&lt;&gt;"")*('Picks Detail'!E6:E21&lt;&gt;"")*('Picks Detail'!G6:G21='Picks Detail'!E6:E21))</f>
        <v>6</v>
      </c>
      <c r="D7">
        <v>6</v>
      </c>
      <c r="E7">
        <f>IFERROR(INDEX(C$6:C$17,MATCH(6,A$6:A$17,0)),0)</f>
        <v>6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T</v>
      </c>
      <c r="G7">
        <f t="shared" si="0"/>
        <v>3</v>
      </c>
      <c r="H7">
        <f t="shared" si="1"/>
        <v>6</v>
      </c>
      <c r="I7">
        <f t="shared" si="2"/>
        <v>9</v>
      </c>
    </row>
    <row r="8" spans="1:9" ht="15" customHeight="1" x14ac:dyDescent="0.25">
      <c r="A8">
        <v>3</v>
      </c>
      <c r="B8" t="str">
        <f>Roster!B5</f>
        <v>Jack Smith</v>
      </c>
      <c r="C8" s="10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T</v>
      </c>
      <c r="G8">
        <f t="shared" si="0"/>
        <v>3</v>
      </c>
      <c r="H8">
        <f t="shared" si="1"/>
        <v>8</v>
      </c>
      <c r="I8">
        <f t="shared" si="2"/>
        <v>11</v>
      </c>
    </row>
    <row r="9" spans="1:9" ht="15" customHeight="1" x14ac:dyDescent="0.25">
      <c r="A9">
        <v>4</v>
      </c>
      <c r="B9" t="str">
        <f>Roster!B6</f>
        <v>Luke Ussery</v>
      </c>
      <c r="C9" s="10">
        <f>SUMPRODUCT(('Picks Detail'!I6:I21&lt;&gt;"")*('Picks Detail'!E6:E21&lt;&gt;"")*('Picks Detail'!I6:I21='Picks Detail'!E6:E21))</f>
        <v>5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5</v>
      </c>
      <c r="I9">
        <f t="shared" si="2"/>
        <v>5</v>
      </c>
    </row>
    <row r="10" spans="1:9" ht="15" customHeight="1" x14ac:dyDescent="0.25">
      <c r="A10">
        <v>5</v>
      </c>
      <c r="B10" t="str">
        <f>Roster!B7</f>
        <v>Mikayla Simmons</v>
      </c>
      <c r="C10" s="10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10">
        <f>SUMPRODUCT(('Picks Detail'!K6:K21&lt;&gt;"")*('Picks Detail'!E6:E21&lt;&gt;"")*('Picks Detail'!K6:K21='Picks Detail'!E6:E21))</f>
        <v>6</v>
      </c>
      <c r="D11">
        <v>2</v>
      </c>
      <c r="E11">
        <f>IFERROR(INDEX(C$6:C$17,MATCH(2,A$6:A$17,0)),0)</f>
        <v>6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T</v>
      </c>
      <c r="G11">
        <f t="shared" si="0"/>
        <v>3</v>
      </c>
      <c r="H11">
        <f t="shared" si="1"/>
        <v>6</v>
      </c>
      <c r="I11">
        <f t="shared" si="2"/>
        <v>9</v>
      </c>
    </row>
    <row r="12" spans="1:9" ht="15" customHeight="1" x14ac:dyDescent="0.25">
      <c r="A12">
        <v>7</v>
      </c>
      <c r="B12" t="str">
        <f>Roster!B9</f>
        <v>Caleb Simmons</v>
      </c>
      <c r="C12" s="10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10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8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T</v>
      </c>
      <c r="G13">
        <f t="shared" si="0"/>
        <v>3</v>
      </c>
      <c r="H13">
        <f t="shared" si="1"/>
        <v>8</v>
      </c>
      <c r="I13">
        <f t="shared" si="2"/>
        <v>11</v>
      </c>
    </row>
    <row r="14" spans="1:9" ht="15" customHeight="1" x14ac:dyDescent="0.25">
      <c r="A14">
        <v>9</v>
      </c>
      <c r="B14" t="str">
        <f>Roster!B11</f>
        <v>Daddy Michael</v>
      </c>
      <c r="C14" s="10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T</v>
      </c>
      <c r="G14">
        <f t="shared" si="0"/>
        <v>3</v>
      </c>
      <c r="H14">
        <f t="shared" si="1"/>
        <v>8</v>
      </c>
      <c r="I14">
        <f t="shared" si="2"/>
        <v>11</v>
      </c>
    </row>
    <row r="15" spans="1:9" ht="15" customHeight="1" x14ac:dyDescent="0.25">
      <c r="A15">
        <v>10</v>
      </c>
      <c r="B15" t="str">
        <f>Roster!B12</f>
        <v>Zach Zarra</v>
      </c>
      <c r="C15" s="10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5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10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10">
        <f>SUMPRODUCT(('Picks Detail'!Q6:Q21&lt;&gt;"")*('Picks Detail'!E6:E21&lt;&gt;"")*('Picks Detail'!Q6:Q21='Picks Detail'!E6:E21))</f>
        <v>8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T</v>
      </c>
      <c r="G17">
        <f t="shared" si="0"/>
        <v>3</v>
      </c>
      <c r="H17">
        <f t="shared" si="1"/>
        <v>8</v>
      </c>
      <c r="I17">
        <f t="shared" si="2"/>
        <v>11</v>
      </c>
    </row>
    <row r="19" spans="1:9" ht="15" customHeight="1" x14ac:dyDescent="0.25">
      <c r="A19" s="25" t="s">
        <v>90</v>
      </c>
    </row>
    <row r="20" spans="1:9" ht="15" customHeight="1" x14ac:dyDescent="0.25">
      <c r="A20" s="9" t="s">
        <v>1</v>
      </c>
      <c r="B20" s="9" t="s">
        <v>2</v>
      </c>
      <c r="C20" s="9" t="s">
        <v>189</v>
      </c>
      <c r="D20" s="9" t="s">
        <v>190</v>
      </c>
      <c r="E20" s="9" t="s">
        <v>191</v>
      </c>
      <c r="F20" s="9" t="s">
        <v>192</v>
      </c>
      <c r="G20" s="9" t="s">
        <v>193</v>
      </c>
      <c r="H20" s="9" t="s">
        <v>194</v>
      </c>
      <c r="I20" s="9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10">
        <f>SUMPRODUCT(('Picks Detail'!F25:F40&lt;&gt;"")*('Picks Detail'!E25:E40&lt;&gt;"")*('Picks Detail'!F25:F40='Picks Detail'!E25:E40))</f>
        <v>0</v>
      </c>
      <c r="D21">
        <v>6</v>
      </c>
      <c r="E21">
        <f>IFERROR(INDEX(C$21:C$32,MATCH(6,A$21:A$32,0)),0)</f>
        <v>0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-</v>
      </c>
      <c r="G21">
        <f t="shared" ref="G21:G32" si="3">IF(F21="W",6,IF(F21="T",3,0))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10">
        <f>SUMPRODUCT(('Picks Detail'!G25:G40&lt;&gt;"")*('Picks Detail'!E25:E40&lt;&gt;"")*('Picks Detail'!G25:G40='Picks Detail'!E25:E40))</f>
        <v>0</v>
      </c>
      <c r="D22">
        <v>5</v>
      </c>
      <c r="E22">
        <f>IFERROR(INDEX(C$21:C$32,MATCH(5,A$21:A$32,0)),0)</f>
        <v>0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10">
        <f>SUMPRODUCT(('Picks Detail'!H25:H40&lt;&gt;"")*('Picks Detail'!E25:E40&lt;&gt;"")*('Picks Detail'!H25:H40='Picks Detail'!E25:E40))</f>
        <v>0</v>
      </c>
      <c r="D23">
        <v>10</v>
      </c>
      <c r="E23">
        <f>IFERROR(INDEX(C$21:C$32,MATCH(10,A$21:A$32,0)),0)</f>
        <v>0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10">
        <f>SUMPRODUCT(('Picks Detail'!I25:I40&lt;&gt;"")*('Picks Detail'!E25:E40&lt;&gt;"")*('Picks Detail'!I25:I40='Picks Detail'!E25:E40))</f>
        <v>0</v>
      </c>
      <c r="D24">
        <v>9</v>
      </c>
      <c r="E24">
        <f>IFERROR(INDEX(C$21:C$32,MATCH(9,A$21:A$32,0)),0)</f>
        <v>0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10">
        <f>SUMPRODUCT(('Picks Detail'!J25:J40&lt;&gt;"")*('Picks Detail'!E25:E40&lt;&gt;"")*('Picks Detail'!J25:J40='Picks Detail'!E25:E40))</f>
        <v>0</v>
      </c>
      <c r="D25">
        <v>2</v>
      </c>
      <c r="E25">
        <f>IFERROR(INDEX(C$21:C$32,MATCH(2,A$21:A$32,0)),0)</f>
        <v>0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10">
        <f>SUMPRODUCT(('Picks Detail'!K25:K40&lt;&gt;"")*('Picks Detail'!E25:E40&lt;&gt;"")*('Picks Detail'!K25:K40='Picks Detail'!E25:E40))</f>
        <v>0</v>
      </c>
      <c r="D26">
        <v>1</v>
      </c>
      <c r="E26">
        <f>IFERROR(INDEX(C$21:C$32,MATCH(1,A$21:A$32,0)),0)</f>
        <v>0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10">
        <f>SUMPRODUCT(('Picks Detail'!L25:L40&lt;&gt;"")*('Picks Detail'!E25:E40&lt;&gt;"")*('Picks Detail'!L25:L40='Picks Detail'!E25:E40))</f>
        <v>0</v>
      </c>
      <c r="D27">
        <v>12</v>
      </c>
      <c r="E27">
        <f>IFERROR(INDEX(C$21:C$32,MATCH(12,A$21:A$32,0)),0)</f>
        <v>0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10">
        <f>SUMPRODUCT(('Picks Detail'!M25:M40&lt;&gt;"")*('Picks Detail'!E25:E40&lt;&gt;"")*('Picks Detail'!M25:M40='Picks Detail'!E25:E40))</f>
        <v>0</v>
      </c>
      <c r="D28">
        <v>11</v>
      </c>
      <c r="E28">
        <f>IFERROR(INDEX(C$21:C$32,MATCH(11,A$21:A$32,0)),0)</f>
        <v>0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10">
        <f>SUMPRODUCT(('Picks Detail'!N25:N40&lt;&gt;"")*('Picks Detail'!E25:E40&lt;&gt;"")*('Picks Detail'!N25:N40='Picks Detail'!E25:E40))</f>
        <v>0</v>
      </c>
      <c r="D29">
        <v>4</v>
      </c>
      <c r="E29">
        <f>IFERROR(INDEX(C$21:C$32,MATCH(4,A$21:A$32,0)),0)</f>
        <v>0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10">
        <f>SUMPRODUCT(('Picks Detail'!O25:O40&lt;&gt;"")*('Picks Detail'!E25:E40&lt;&gt;"")*('Picks Detail'!O25:O40='Picks Detail'!E25:E40))</f>
        <v>0</v>
      </c>
      <c r="D30">
        <v>3</v>
      </c>
      <c r="E30">
        <f>IFERROR(INDEX(C$21:C$32,MATCH(3,A$21:A$32,0)),0)</f>
        <v>0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10">
        <f>SUMPRODUCT(('Picks Detail'!P25:P40&lt;&gt;"")*('Picks Detail'!E25:E40&lt;&gt;"")*('Picks Detail'!P25:P40='Picks Detail'!E25:E40))</f>
        <v>0</v>
      </c>
      <c r="D31">
        <v>8</v>
      </c>
      <c r="E31">
        <f>IFERROR(INDEX(C$21:C$32,MATCH(8,A$21:A$32,0)),0)</f>
        <v>0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10">
        <f>SUMPRODUCT(('Picks Detail'!Q25:Q40&lt;&gt;"")*('Picks Detail'!E25:E40&lt;&gt;"")*('Picks Detail'!Q25:Q40='Picks Detail'!E25:E40))</f>
        <v>0</v>
      </c>
      <c r="D32">
        <v>7</v>
      </c>
      <c r="E32">
        <f>IFERROR(INDEX(C$21:C$32,MATCH(7,A$21:A$32,0)),0)</f>
        <v>0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25" t="s">
        <v>91</v>
      </c>
    </row>
    <row r="35" spans="1:9" ht="15" customHeight="1" x14ac:dyDescent="0.25">
      <c r="A35" s="9" t="s">
        <v>1</v>
      </c>
      <c r="B35" s="9" t="s">
        <v>2</v>
      </c>
      <c r="C35" s="9" t="s">
        <v>189</v>
      </c>
      <c r="D35" s="9" t="s">
        <v>190</v>
      </c>
      <c r="E35" s="9" t="s">
        <v>191</v>
      </c>
      <c r="F35" s="9" t="s">
        <v>192</v>
      </c>
      <c r="G35" s="9" t="s">
        <v>193</v>
      </c>
      <c r="H35" s="9" t="s">
        <v>194</v>
      </c>
      <c r="I35" s="9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10">
        <f>SUMPRODUCT(('Picks Detail'!F44:F59&lt;&gt;"")*('Picks Detail'!E44:E59&lt;&gt;"")*('Picks Detail'!F44:F59='Picks Detail'!E44:E59))</f>
        <v>0</v>
      </c>
      <c r="D36">
        <v>7</v>
      </c>
      <c r="E36">
        <f>IFERROR(INDEX(C$36:C$47,MATCH(7,A$36:A$47,0)),0)</f>
        <v>0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-</v>
      </c>
      <c r="G36">
        <f t="shared" ref="G36:G47" si="6">IF(F36="W",6,IF(F36="T",3,0))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10">
        <f>SUMPRODUCT(('Picks Detail'!G44:G59&lt;&gt;"")*('Picks Detail'!E44:E59&lt;&gt;"")*('Picks Detail'!G44:G59='Picks Detail'!E44:E59))</f>
        <v>0</v>
      </c>
      <c r="D37">
        <v>8</v>
      </c>
      <c r="E37">
        <f>IFERROR(INDEX(C$36:C$47,MATCH(8,A$36:A$47,0)),0)</f>
        <v>0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10">
        <f>SUMPRODUCT(('Picks Detail'!H44:H59&lt;&gt;"")*('Picks Detail'!E44:E59&lt;&gt;"")*('Picks Detail'!H44:H59='Picks Detail'!E44:E59))</f>
        <v>0</v>
      </c>
      <c r="D38">
        <v>11</v>
      </c>
      <c r="E38">
        <f>IFERROR(INDEX(C$36:C$47,MATCH(11,A$36:A$47,0)),0)</f>
        <v>0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10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0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10">
        <f>SUMPRODUCT(('Picks Detail'!J44:J59&lt;&gt;"")*('Picks Detail'!E44:E59&lt;&gt;"")*('Picks Detail'!J44:J59='Picks Detail'!E44:E59))</f>
        <v>0</v>
      </c>
      <c r="D40">
        <v>9</v>
      </c>
      <c r="E40">
        <f>IFERROR(INDEX(C$36:C$47,MATCH(9,A$36:A$47,0)),0)</f>
        <v>0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10">
        <f>SUMPRODUCT(('Picks Detail'!K44:K59&lt;&gt;"")*('Picks Detail'!E44:E59&lt;&gt;"")*('Picks Detail'!K44:K59='Picks Detail'!E44:E59))</f>
        <v>0</v>
      </c>
      <c r="D41">
        <v>10</v>
      </c>
      <c r="E41">
        <f>IFERROR(INDEX(C$36:C$47,MATCH(10,A$36:A$47,0)),0)</f>
        <v>0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10">
        <f>SUMPRODUCT(('Picks Detail'!L44:L59&lt;&gt;"")*('Picks Detail'!E44:E59&lt;&gt;"")*('Picks Detail'!L44:L59='Picks Detail'!E44:E59))</f>
        <v>0</v>
      </c>
      <c r="D42">
        <v>1</v>
      </c>
      <c r="E42">
        <f>IFERROR(INDEX(C$36:C$47,MATCH(1,A$36:A$47,0)),0)</f>
        <v>0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10">
        <f>SUMPRODUCT(('Picks Detail'!M44:M59&lt;&gt;"")*('Picks Detail'!E44:E59&lt;&gt;"")*('Picks Detail'!M44:M59='Picks Detail'!E44:E59))</f>
        <v>0</v>
      </c>
      <c r="D43">
        <v>2</v>
      </c>
      <c r="E43">
        <f>IFERROR(INDEX(C$36:C$47,MATCH(2,A$36:A$47,0)),0)</f>
        <v>0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10">
        <f>SUMPRODUCT(('Picks Detail'!N44:N59&lt;&gt;"")*('Picks Detail'!E44:E59&lt;&gt;"")*('Picks Detail'!N44:N59='Picks Detail'!E44:E59))</f>
        <v>0</v>
      </c>
      <c r="D44">
        <v>5</v>
      </c>
      <c r="E44">
        <f>IFERROR(INDEX(C$36:C$47,MATCH(5,A$36:A$47,0)),0)</f>
        <v>0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10">
        <f>SUMPRODUCT(('Picks Detail'!O44:O59&lt;&gt;"")*('Picks Detail'!E44:E59&lt;&gt;"")*('Picks Detail'!O44:O59='Picks Detail'!E44:E59))</f>
        <v>0</v>
      </c>
      <c r="D45">
        <v>6</v>
      </c>
      <c r="E45">
        <f>IFERROR(INDEX(C$36:C$47,MATCH(6,A$36:A$47,0)),0)</f>
        <v>0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10">
        <f>SUMPRODUCT(('Picks Detail'!P44:P59&lt;&gt;"")*('Picks Detail'!E44:E59&lt;&gt;"")*('Picks Detail'!P44:P59='Picks Detail'!E44:E59))</f>
        <v>0</v>
      </c>
      <c r="D46">
        <v>3</v>
      </c>
      <c r="E46">
        <f>IFERROR(INDEX(C$36:C$47,MATCH(3,A$36:A$47,0)),0)</f>
        <v>0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10">
        <f>SUMPRODUCT(('Picks Detail'!Q44:Q59&lt;&gt;"")*('Picks Detail'!E44:E59&lt;&gt;"")*('Picks Detail'!Q44:Q59='Picks Detail'!E44:E59))</f>
        <v>0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25" t="s">
        <v>92</v>
      </c>
    </row>
    <row r="50" spans="1:9" ht="15" customHeight="1" x14ac:dyDescent="0.25">
      <c r="A50" s="9" t="s">
        <v>1</v>
      </c>
      <c r="B50" s="9" t="s">
        <v>2</v>
      </c>
      <c r="C50" s="9" t="s">
        <v>189</v>
      </c>
      <c r="D50" s="9" t="s">
        <v>190</v>
      </c>
      <c r="E50" s="9" t="s">
        <v>191</v>
      </c>
      <c r="F50" s="9" t="s">
        <v>192</v>
      </c>
      <c r="G50" s="9" t="s">
        <v>193</v>
      </c>
      <c r="H50" s="9" t="s">
        <v>194</v>
      </c>
      <c r="I50" s="9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10">
        <f>SUMPRODUCT(('Picks Detail'!F63:F78&lt;&gt;"")*('Picks Detail'!E63:E78&lt;&gt;"")*('Picks Detail'!F63:F78='Picks Detail'!E63:E78))</f>
        <v>0</v>
      </c>
      <c r="D51">
        <v>8</v>
      </c>
      <c r="E51">
        <f>IFERROR(INDEX(C$51:C$62,MATCH(8,A$51:A$62,0)),0)</f>
        <v>0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-</v>
      </c>
      <c r="G51">
        <f t="shared" ref="G51:G62" si="9">IF(F51="W",6,IF(F51="T",3,0))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10">
        <f>SUMPRODUCT(('Picks Detail'!G63:G78&lt;&gt;"")*('Picks Detail'!E63:E78&lt;&gt;"")*('Picks Detail'!G63:G78='Picks Detail'!E63:E78))</f>
        <v>0</v>
      </c>
      <c r="D52">
        <v>7</v>
      </c>
      <c r="E52">
        <f>IFERROR(INDEX(C$51:C$62,MATCH(7,A$51:A$62,0)),0)</f>
        <v>0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10">
        <f>SUMPRODUCT(('Picks Detail'!H63:H78&lt;&gt;"")*('Picks Detail'!E63:E78&lt;&gt;"")*('Picks Detail'!H63:H78='Picks Detail'!E63:E78))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10">
        <f>SUMPRODUCT(('Picks Detail'!I63:I78&lt;&gt;"")*('Picks Detail'!E63:E78&lt;&gt;"")*('Picks Detail'!I63:I78='Picks Detail'!E63:E78))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10">
        <f>SUMPRODUCT(('Picks Detail'!J63:J78&lt;&gt;"")*('Picks Detail'!E63:E78&lt;&gt;"")*('Picks Detail'!J63:J78='Picks Detail'!E63:E78))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10">
        <f>SUMPRODUCT(('Picks Detail'!K63:K78&lt;&gt;"")*('Picks Detail'!E63:E78&lt;&gt;"")*('Picks Detail'!K63:K78='Picks Detail'!E63:E78))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10">
        <f>SUMPRODUCT(('Picks Detail'!L63:L78&lt;&gt;"")*('Picks Detail'!E63:E78&lt;&gt;"")*('Picks Detail'!L63:L78='Picks Detail'!E63:E78))</f>
        <v>0</v>
      </c>
      <c r="D57">
        <v>2</v>
      </c>
      <c r="E57">
        <f>IFERROR(INDEX(C$51:C$62,MATCH(2,A$51:A$62,0)),0)</f>
        <v>0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10">
        <f>SUMPRODUCT(('Picks Detail'!M63:M78&lt;&gt;"")*('Picks Detail'!E63:E78&lt;&gt;"")*('Picks Detail'!M63:M78='Picks Detail'!E63:E78))</f>
        <v>0</v>
      </c>
      <c r="D58">
        <v>1</v>
      </c>
      <c r="E58">
        <f>IFERROR(INDEX(C$51:C$62,MATCH(1,A$51:A$62,0)),0)</f>
        <v>0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10">
        <f>SUMPRODUCT(('Picks Detail'!N63:N78&lt;&gt;"")*('Picks Detail'!E63:E78&lt;&gt;"")*('Picks Detail'!N63:N78='Picks Detail'!E63:E78))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10">
        <f>SUMPRODUCT(('Picks Detail'!O63:O78&lt;&gt;"")*('Picks Detail'!E63:E78&lt;&gt;"")*('Picks Detail'!O63:O78='Picks Detail'!E63:E78))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10">
        <f>SUMPRODUCT(('Picks Detail'!P63:P78&lt;&gt;"")*('Picks Detail'!E63:E78&lt;&gt;"")*('Picks Detail'!P63:P78='Picks Detail'!E63:E78))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10">
        <f>SUMPRODUCT(('Picks Detail'!Q63:Q78&lt;&gt;"")*('Picks Detail'!E63:E78&lt;&gt;"")*('Picks Detail'!Q63:Q78='Picks Detail'!E63:E78))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25" t="s">
        <v>93</v>
      </c>
    </row>
    <row r="65" spans="1:9" ht="15" customHeight="1" x14ac:dyDescent="0.25">
      <c r="A65" s="9" t="s">
        <v>1</v>
      </c>
      <c r="B65" s="9" t="s">
        <v>2</v>
      </c>
      <c r="C65" s="9" t="s">
        <v>189</v>
      </c>
      <c r="D65" s="9" t="s">
        <v>190</v>
      </c>
      <c r="E65" s="9" t="s">
        <v>191</v>
      </c>
      <c r="F65" s="9" t="s">
        <v>192</v>
      </c>
      <c r="G65" s="9" t="s">
        <v>193</v>
      </c>
      <c r="H65" s="9" t="s">
        <v>194</v>
      </c>
      <c r="I65" s="9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10">
        <f>SUMPRODUCT(('Picks Detail'!F82:F96&lt;&gt;"")*('Picks Detail'!E82:E96&lt;&gt;"")*('Picks Detail'!F82:F96='Picks Detail'!E82:E96))</f>
        <v>0</v>
      </c>
      <c r="D66">
        <v>11</v>
      </c>
      <c r="E66">
        <f>IFERROR(INDEX(C$66:C$77,MATCH(11,A$66:A$77,0)),0)</f>
        <v>0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-</v>
      </c>
      <c r="G66">
        <f t="shared" ref="G66:G77" si="12">IF(F66="W",6,IF(F66="T",3,0))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10">
        <f>SUMPRODUCT(('Picks Detail'!G82:G96&lt;&gt;"")*('Picks Detail'!E82:E96&lt;&gt;"")*('Picks Detail'!G82:G96='Picks Detail'!E82:E96))</f>
        <v>0</v>
      </c>
      <c r="D67">
        <v>12</v>
      </c>
      <c r="E67">
        <f>IFERROR(INDEX(C$66:C$77,MATCH(12,A$66:A$77,0)),0)</f>
        <v>0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10">
        <f>SUMPRODUCT(('Picks Detail'!H82:H96&lt;&gt;"")*('Picks Detail'!E82:E96&lt;&gt;"")*('Picks Detail'!H82:H96='Picks Detail'!E82:E96))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10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10">
        <f>SUMPRODUCT(('Picks Detail'!J82:J96&lt;&gt;"")*('Picks Detail'!E82:E96&lt;&gt;"")*('Picks Detail'!J82:J96='Picks Detail'!E82:E96))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10">
        <f>SUMPRODUCT(('Picks Detail'!K82:K96&lt;&gt;"")*('Picks Detail'!E82:E96&lt;&gt;"")*('Picks Detail'!K82:K96='Picks Detail'!E82:E96))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10">
        <f>SUMPRODUCT(('Picks Detail'!L82:L96&lt;&gt;"")*('Picks Detail'!E82:E96&lt;&gt;"")*('Picks Detail'!L82:L96='Picks Detail'!E82:E96))</f>
        <v>0</v>
      </c>
      <c r="D72">
        <v>10</v>
      </c>
      <c r="E72">
        <f>IFERROR(INDEX(C$66:C$77,MATCH(10,A$66:A$77,0)),0)</f>
        <v>0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10">
        <f>SUMPRODUCT(('Picks Detail'!M82:M96&lt;&gt;"")*('Picks Detail'!E82:E96&lt;&gt;"")*('Picks Detail'!M82:M96='Picks Detail'!E82:E96))</f>
        <v>0</v>
      </c>
      <c r="D73">
        <v>9</v>
      </c>
      <c r="E73">
        <f>IFERROR(INDEX(C$66:C$77,MATCH(9,A$66:A$77,0)),0)</f>
        <v>0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10">
        <f>SUMPRODUCT(('Picks Detail'!N82:N96&lt;&gt;"")*('Picks Detail'!E82:E96&lt;&gt;"")*('Picks Detail'!N82:N96='Picks Detail'!E82:E96))</f>
        <v>0</v>
      </c>
      <c r="D74">
        <v>8</v>
      </c>
      <c r="E74">
        <f>IFERROR(INDEX(C$66:C$77,MATCH(8,A$66:A$77,0)),0)</f>
        <v>0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10">
        <f>SUMPRODUCT(('Picks Detail'!O82:O96&lt;&gt;"")*('Picks Detail'!E82:E96&lt;&gt;"")*('Picks Detail'!O82:O96='Picks Detail'!E82:E96))</f>
        <v>0</v>
      </c>
      <c r="D75">
        <v>7</v>
      </c>
      <c r="E75">
        <f>IFERROR(INDEX(C$66:C$77,MATCH(7,A$66:A$77,0)),0)</f>
        <v>0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10">
        <f>SUMPRODUCT(('Picks Detail'!P82:P96&lt;&gt;"")*('Picks Detail'!E82:E96&lt;&gt;"")*('Picks Detail'!P82:P96='Picks Detail'!E82:E96))</f>
        <v>0</v>
      </c>
      <c r="D76">
        <v>1</v>
      </c>
      <c r="E76">
        <f>IFERROR(INDEX(C$66:C$77,MATCH(1,A$66:A$77,0)),0)</f>
        <v>0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10">
        <f>SUMPRODUCT(('Picks Detail'!Q82:Q96&lt;&gt;"")*('Picks Detail'!E82:E96&lt;&gt;"")*('Picks Detail'!Q82:Q96='Picks Detail'!E82:E96))</f>
        <v>0</v>
      </c>
      <c r="D77">
        <v>2</v>
      </c>
      <c r="E77">
        <f>IFERROR(INDEX(C$66:C$77,MATCH(2,A$66:A$77,0)),0)</f>
        <v>0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25" t="s">
        <v>94</v>
      </c>
    </row>
    <row r="80" spans="1:9" ht="15" customHeight="1" x14ac:dyDescent="0.25">
      <c r="A80" s="9" t="s">
        <v>1</v>
      </c>
      <c r="B80" s="9" t="s">
        <v>2</v>
      </c>
      <c r="C80" s="9" t="s">
        <v>189</v>
      </c>
      <c r="D80" s="9" t="s">
        <v>190</v>
      </c>
      <c r="E80" s="9" t="s">
        <v>191</v>
      </c>
      <c r="F80" s="9" t="s">
        <v>192</v>
      </c>
      <c r="G80" s="9" t="s">
        <v>193</v>
      </c>
      <c r="H80" s="9" t="s">
        <v>194</v>
      </c>
      <c r="I80" s="9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10">
        <f>SUMPRODUCT(('Picks Detail'!F100:F113&lt;&gt;"")*('Picks Detail'!E100:E113&lt;&gt;"")*('Picks Detail'!F100:F113='Picks Detail'!E100:E113))</f>
        <v>0</v>
      </c>
      <c r="D81">
        <v>9</v>
      </c>
      <c r="E81">
        <f>IFERROR(INDEX(C$81:C$92,MATCH(9,A$81:A$92,0)),0)</f>
        <v>0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-</v>
      </c>
      <c r="G81">
        <f t="shared" ref="G81:G92" si="15">IF(F81="W",6,IF(F81="T",3,0))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10">
        <f>SUMPRODUCT(('Picks Detail'!G100:G113&lt;&gt;"")*('Picks Detail'!E100:E113&lt;&gt;"")*('Picks Detail'!G100:G113='Picks Detail'!E100:E113))</f>
        <v>0</v>
      </c>
      <c r="D82">
        <v>10</v>
      </c>
      <c r="E82">
        <f>IFERROR(INDEX(C$81:C$92,MATCH(10,A$81:A$92,0)),0)</f>
        <v>0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10">
        <f>SUMPRODUCT(('Picks Detail'!H100:H113&lt;&gt;"")*('Picks Detail'!E100:E113&lt;&gt;"")*('Picks Detail'!H100:H113='Picks Detail'!E100:E113))</f>
        <v>0</v>
      </c>
      <c r="D83">
        <v>7</v>
      </c>
      <c r="E83">
        <f>IFERROR(INDEX(C$81:C$92,MATCH(7,A$81:A$92,0)),0)</f>
        <v>0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10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0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10">
        <f>SUMPRODUCT(('Picks Detail'!J100:J113&lt;&gt;"")*('Picks Detail'!E100:E113&lt;&gt;"")*('Picks Detail'!J100:J113='Picks Detail'!E100:E113))</f>
        <v>0</v>
      </c>
      <c r="D85">
        <v>12</v>
      </c>
      <c r="E85">
        <f>IFERROR(INDEX(C$81:C$92,MATCH(12,A$81:A$92,0)),0)</f>
        <v>0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10">
        <f>SUMPRODUCT(('Picks Detail'!K100:K113&lt;&gt;"")*('Picks Detail'!E100:E113&lt;&gt;"")*('Picks Detail'!K100:K113='Picks Detail'!E100:E113))</f>
        <v>0</v>
      </c>
      <c r="D86">
        <v>11</v>
      </c>
      <c r="E86">
        <f>IFERROR(INDEX(C$81:C$92,MATCH(11,A$81:A$92,0)),0)</f>
        <v>0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10">
        <f>SUMPRODUCT(('Picks Detail'!L100:L113&lt;&gt;"")*('Picks Detail'!E100:E113&lt;&gt;"")*('Picks Detail'!L100:L113='Picks Detail'!E100:E113))</f>
        <v>0</v>
      </c>
      <c r="D87">
        <v>3</v>
      </c>
      <c r="E87">
        <f>IFERROR(INDEX(C$81:C$92,MATCH(3,A$81:A$92,0)),0)</f>
        <v>0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10">
        <f>SUMPRODUCT(('Picks Detail'!M100:M113&lt;&gt;"")*('Picks Detail'!E100:E113&lt;&gt;"")*('Picks Detail'!M100:M113='Picks Detail'!E100:E113))</f>
        <v>0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10">
        <f>SUMPRODUCT(('Picks Detail'!N100:N113&lt;&gt;"")*('Picks Detail'!E100:E113&lt;&gt;"")*('Picks Detail'!N100:N113='Picks Detail'!E100:E113))</f>
        <v>0</v>
      </c>
      <c r="D89">
        <v>1</v>
      </c>
      <c r="E89">
        <f>IFERROR(INDEX(C$81:C$92,MATCH(1,A$81:A$92,0)),0)</f>
        <v>0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10">
        <f>SUMPRODUCT(('Picks Detail'!O100:O113&lt;&gt;"")*('Picks Detail'!E100:E113&lt;&gt;"")*('Picks Detail'!O100:O113='Picks Detail'!E100:E113))</f>
        <v>0</v>
      </c>
      <c r="D90">
        <v>2</v>
      </c>
      <c r="E90">
        <f>IFERROR(INDEX(C$81:C$92,MATCH(2,A$81:A$92,0)),0)</f>
        <v>0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10">
        <f>SUMPRODUCT(('Picks Detail'!P100:P113&lt;&gt;"")*('Picks Detail'!E100:E113&lt;&gt;"")*('Picks Detail'!P100:P113='Picks Detail'!E100:E113))</f>
        <v>0</v>
      </c>
      <c r="D91">
        <v>6</v>
      </c>
      <c r="E91">
        <f>IFERROR(INDEX(C$81:C$92,MATCH(6,A$81:A$92,0)),0)</f>
        <v>0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10">
        <f>SUMPRODUCT(('Picks Detail'!Q100:Q113&lt;&gt;"")*('Picks Detail'!E100:E113&lt;&gt;"")*('Picks Detail'!Q100:Q113='Picks Detail'!E100:E113))</f>
        <v>0</v>
      </c>
      <c r="D92">
        <v>5</v>
      </c>
      <c r="E92">
        <f>IFERROR(INDEX(C$81:C$92,MATCH(5,A$81:A$92,0)),0)</f>
        <v>0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4" t="s">
        <v>196</v>
      </c>
      <c r="B1" s="4"/>
      <c r="C1" s="4"/>
      <c r="D1" s="4"/>
      <c r="E1" s="4"/>
      <c r="F1" s="4"/>
      <c r="G1" s="4"/>
      <c r="H1" s="4"/>
      <c r="I1" s="4"/>
    </row>
    <row r="2" spans="1:9" ht="15" customHeight="1" x14ac:dyDescent="0.25">
      <c r="A2" s="12" t="s">
        <v>197</v>
      </c>
    </row>
    <row r="4" spans="1:9" ht="15" customHeight="1" x14ac:dyDescent="0.25">
      <c r="A4" s="25" t="s">
        <v>95</v>
      </c>
    </row>
    <row r="5" spans="1:9" ht="15" customHeight="1" x14ac:dyDescent="0.25">
      <c r="A5" s="9" t="s">
        <v>1</v>
      </c>
      <c r="B5" s="9" t="s">
        <v>2</v>
      </c>
      <c r="C5" s="9" t="s">
        <v>198</v>
      </c>
      <c r="D5" s="9" t="s">
        <v>190</v>
      </c>
      <c r="E5" s="9" t="s">
        <v>199</v>
      </c>
      <c r="F5" s="9" t="s">
        <v>192</v>
      </c>
      <c r="G5" s="9" t="s">
        <v>193</v>
      </c>
      <c r="H5" s="9" t="s">
        <v>194</v>
      </c>
      <c r="I5" s="9" t="s">
        <v>195</v>
      </c>
    </row>
    <row r="6" spans="1:9" ht="15" customHeight="1" x14ac:dyDescent="0.25">
      <c r="A6">
        <v>1</v>
      </c>
      <c r="B6" t="str">
        <f>Roster!B3</f>
        <v>Evan Loeser</v>
      </c>
      <c r="C6" s="10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>
        <f t="shared" ref="G6:G17" si="0">IF(F6="W",10,IF(F6="T",5,0))</f>
        <v>0</v>
      </c>
      <c r="H6">
        <f t="shared" ref="H6:H17" si="1">IF(C6="",0,C6)</f>
        <v>0</v>
      </c>
      <c r="I6">
        <f t="shared" ref="I6:I17" si="2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10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10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10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10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10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10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10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10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10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10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10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25" t="s">
        <v>96</v>
      </c>
    </row>
    <row r="20" spans="1:9" ht="15" customHeight="1" x14ac:dyDescent="0.25">
      <c r="A20" s="9" t="s">
        <v>1</v>
      </c>
      <c r="B20" s="9" t="s">
        <v>2</v>
      </c>
      <c r="C20" s="9" t="s">
        <v>198</v>
      </c>
      <c r="D20" s="9" t="s">
        <v>190</v>
      </c>
      <c r="E20" s="9" t="s">
        <v>199</v>
      </c>
      <c r="F20" s="9" t="s">
        <v>192</v>
      </c>
      <c r="G20" s="9" t="s">
        <v>193</v>
      </c>
      <c r="H20" s="9" t="s">
        <v>194</v>
      </c>
      <c r="I20" s="9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10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10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10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10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10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10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10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10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10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10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10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10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25" t="s">
        <v>97</v>
      </c>
    </row>
    <row r="35" spans="1:9" ht="15" customHeight="1" x14ac:dyDescent="0.25">
      <c r="A35" s="9" t="s">
        <v>1</v>
      </c>
      <c r="B35" s="9" t="s">
        <v>2</v>
      </c>
      <c r="C35" s="9" t="s">
        <v>198</v>
      </c>
      <c r="D35" s="9" t="s">
        <v>190</v>
      </c>
      <c r="E35" s="9" t="s">
        <v>199</v>
      </c>
      <c r="F35" s="9" t="s">
        <v>192</v>
      </c>
      <c r="G35" s="9" t="s">
        <v>193</v>
      </c>
      <c r="H35" s="9" t="s">
        <v>194</v>
      </c>
      <c r="I35" s="9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10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10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10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10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10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10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10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10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10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10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10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10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25" t="s">
        <v>98</v>
      </c>
    </row>
    <row r="50" spans="1:9" ht="15" customHeight="1" x14ac:dyDescent="0.25">
      <c r="A50" s="9" t="s">
        <v>1</v>
      </c>
      <c r="B50" s="9" t="s">
        <v>2</v>
      </c>
      <c r="C50" s="9" t="s">
        <v>198</v>
      </c>
      <c r="D50" s="9" t="s">
        <v>190</v>
      </c>
      <c r="E50" s="9" t="s">
        <v>199</v>
      </c>
      <c r="F50" s="9" t="s">
        <v>192</v>
      </c>
      <c r="G50" s="9" t="s">
        <v>193</v>
      </c>
      <c r="H50" s="9" t="s">
        <v>194</v>
      </c>
      <c r="I50" s="9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10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10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10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10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10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10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10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10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10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10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10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10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25" t="s">
        <v>99</v>
      </c>
    </row>
    <row r="65" spans="1:9" ht="15" customHeight="1" x14ac:dyDescent="0.25">
      <c r="A65" s="9" t="s">
        <v>1</v>
      </c>
      <c r="B65" s="9" t="s">
        <v>2</v>
      </c>
      <c r="C65" s="9" t="s">
        <v>198</v>
      </c>
      <c r="D65" s="9" t="s">
        <v>190</v>
      </c>
      <c r="E65" s="9" t="s">
        <v>199</v>
      </c>
      <c r="F65" s="9" t="s">
        <v>192</v>
      </c>
      <c r="G65" s="9" t="s">
        <v>193</v>
      </c>
      <c r="H65" s="9" t="s">
        <v>194</v>
      </c>
      <c r="I65" s="9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10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10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10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10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10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10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10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10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10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10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10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10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25" t="s">
        <v>100</v>
      </c>
    </row>
    <row r="80" spans="1:9" ht="15" customHeight="1" x14ac:dyDescent="0.25">
      <c r="A80" s="9" t="s">
        <v>1</v>
      </c>
      <c r="B80" s="9" t="s">
        <v>2</v>
      </c>
      <c r="C80" s="9" t="s">
        <v>198</v>
      </c>
      <c r="D80" s="9" t="s">
        <v>190</v>
      </c>
      <c r="E80" s="9" t="s">
        <v>199</v>
      </c>
      <c r="F80" s="9" t="s">
        <v>192</v>
      </c>
      <c r="G80" s="9" t="s">
        <v>193</v>
      </c>
      <c r="H80" s="9" t="s">
        <v>194</v>
      </c>
      <c r="I80" s="9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10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10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10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10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10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10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10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10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10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10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10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10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4" t="s">
        <v>200</v>
      </c>
      <c r="B1" s="4"/>
      <c r="C1" s="4"/>
      <c r="D1" s="4"/>
      <c r="E1" s="4"/>
      <c r="F1" s="4"/>
      <c r="G1" s="4"/>
      <c r="H1" s="4"/>
      <c r="I1" s="4"/>
    </row>
    <row r="2" spans="1:9" ht="15" customHeight="1" x14ac:dyDescent="0.25">
      <c r="A2" s="12" t="s">
        <v>201</v>
      </c>
    </row>
    <row r="4" spans="1:9" ht="15" customHeight="1" x14ac:dyDescent="0.25">
      <c r="A4" s="25" t="s">
        <v>101</v>
      </c>
    </row>
    <row r="5" spans="1:9" ht="15" customHeight="1" x14ac:dyDescent="0.25">
      <c r="A5" s="9" t="s">
        <v>1</v>
      </c>
      <c r="B5" s="9" t="s">
        <v>2</v>
      </c>
      <c r="C5" s="9" t="s">
        <v>189</v>
      </c>
      <c r="D5" s="9" t="s">
        <v>190</v>
      </c>
      <c r="E5" s="9" t="s">
        <v>191</v>
      </c>
      <c r="F5" s="9" t="s">
        <v>192</v>
      </c>
      <c r="G5" s="9" t="s">
        <v>202</v>
      </c>
      <c r="H5" s="9" t="s">
        <v>203</v>
      </c>
      <c r="I5" s="9" t="s">
        <v>204</v>
      </c>
    </row>
    <row r="6" spans="1:9" ht="15" customHeight="1" x14ac:dyDescent="0.25">
      <c r="A6">
        <v>1</v>
      </c>
      <c r="B6" t="str">
        <f>Roster!B3</f>
        <v>Evan Loeser</v>
      </c>
      <c r="C6" s="10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10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10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10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10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10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10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10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10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10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10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10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25" t="s">
        <v>102</v>
      </c>
    </row>
    <row r="20" spans="1:9" ht="15" customHeight="1" x14ac:dyDescent="0.25">
      <c r="A20" s="9" t="s">
        <v>1</v>
      </c>
      <c r="B20" s="9" t="s">
        <v>2</v>
      </c>
      <c r="C20" s="9" t="s">
        <v>189</v>
      </c>
      <c r="D20" s="9" t="s">
        <v>190</v>
      </c>
      <c r="E20" s="9" t="s">
        <v>191</v>
      </c>
      <c r="F20" s="9" t="s">
        <v>192</v>
      </c>
      <c r="G20" s="9" t="s">
        <v>202</v>
      </c>
      <c r="H20" s="9" t="s">
        <v>203</v>
      </c>
      <c r="I20" s="9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10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10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10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10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10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10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10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10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10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10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10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10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25" t="s">
        <v>103</v>
      </c>
    </row>
    <row r="35" spans="1:9" ht="15" customHeight="1" x14ac:dyDescent="0.25">
      <c r="A35" s="9" t="s">
        <v>1</v>
      </c>
      <c r="B35" s="9" t="s">
        <v>2</v>
      </c>
      <c r="C35" s="9" t="s">
        <v>189</v>
      </c>
      <c r="D35" s="9" t="s">
        <v>190</v>
      </c>
      <c r="E35" s="9" t="s">
        <v>191</v>
      </c>
      <c r="F35" s="9" t="s">
        <v>192</v>
      </c>
      <c r="G35" s="9" t="s">
        <v>202</v>
      </c>
      <c r="H35" s="9" t="s">
        <v>203</v>
      </c>
      <c r="I35" s="9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10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10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10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10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10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10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10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10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10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10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10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10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25" t="s">
        <v>104</v>
      </c>
    </row>
    <row r="50" spans="1:9" ht="15" customHeight="1" x14ac:dyDescent="0.25">
      <c r="A50" s="9" t="s">
        <v>1</v>
      </c>
      <c r="B50" s="9" t="s">
        <v>2</v>
      </c>
      <c r="C50" s="9" t="s">
        <v>189</v>
      </c>
      <c r="D50" s="9" t="s">
        <v>190</v>
      </c>
      <c r="E50" s="9" t="s">
        <v>191</v>
      </c>
      <c r="F50" s="9" t="s">
        <v>192</v>
      </c>
      <c r="G50" s="9" t="s">
        <v>202</v>
      </c>
      <c r="H50" s="9" t="s">
        <v>203</v>
      </c>
      <c r="I50" s="9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10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10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10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10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10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10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10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10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10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10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10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10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25" t="s">
        <v>105</v>
      </c>
    </row>
    <row r="65" spans="1:9" ht="15" customHeight="1" x14ac:dyDescent="0.25">
      <c r="A65" s="9" t="s">
        <v>1</v>
      </c>
      <c r="B65" s="9" t="s">
        <v>2</v>
      </c>
      <c r="C65" s="9" t="s">
        <v>189</v>
      </c>
      <c r="D65" s="9" t="s">
        <v>190</v>
      </c>
      <c r="E65" s="9" t="s">
        <v>191</v>
      </c>
      <c r="F65" s="9" t="s">
        <v>192</v>
      </c>
      <c r="G65" s="9" t="s">
        <v>202</v>
      </c>
      <c r="H65" s="9" t="s">
        <v>203</v>
      </c>
      <c r="I65" s="9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10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10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10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10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10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10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10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10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10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10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10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10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25" t="s">
        <v>106</v>
      </c>
    </row>
    <row r="80" spans="1:9" ht="15" customHeight="1" x14ac:dyDescent="0.25">
      <c r="A80" s="9" t="s">
        <v>1</v>
      </c>
      <c r="B80" s="9" t="s">
        <v>2</v>
      </c>
      <c r="C80" s="9" t="s">
        <v>189</v>
      </c>
      <c r="D80" s="9" t="s">
        <v>190</v>
      </c>
      <c r="E80" s="9" t="s">
        <v>191</v>
      </c>
      <c r="F80" s="9" t="s">
        <v>192</v>
      </c>
      <c r="G80" s="9" t="s">
        <v>202</v>
      </c>
      <c r="H80" s="9" t="s">
        <v>203</v>
      </c>
      <c r="I80" s="9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10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10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10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10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10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10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10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10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10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10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10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10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4" t="s">
        <v>205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 ht="15" customHeight="1" x14ac:dyDescent="0.25">
      <c r="A2" s="9" t="s">
        <v>206</v>
      </c>
      <c r="B2" s="9" t="s">
        <v>207</v>
      </c>
      <c r="C2" s="9" t="s">
        <v>208</v>
      </c>
      <c r="D2" s="9" t="s">
        <v>209</v>
      </c>
      <c r="E2" s="9" t="s">
        <v>210</v>
      </c>
      <c r="F2" s="9" t="s">
        <v>211</v>
      </c>
      <c r="G2" s="9" t="s">
        <v>212</v>
      </c>
      <c r="H2" s="9" t="s">
        <v>213</v>
      </c>
      <c r="I2" s="9" t="s">
        <v>214</v>
      </c>
      <c r="J2" s="9" t="s">
        <v>215</v>
      </c>
      <c r="K2" s="9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0</v>
      </c>
      <c r="E3">
        <f>Helper!E2</f>
        <v>0</v>
      </c>
      <c r="F3">
        <f>Helper!F2</f>
        <v>0</v>
      </c>
      <c r="G3">
        <f>Helper!G2</f>
        <v>0</v>
      </c>
      <c r="H3">
        <f>Helper!H2</f>
        <v>0</v>
      </c>
      <c r="I3">
        <f>Helper!I2</f>
        <v>5</v>
      </c>
      <c r="J3">
        <f>Helper!J2</f>
        <v>0</v>
      </c>
      <c r="K3">
        <f>MAX(Helper!C2:H2)</f>
        <v>5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6</v>
      </c>
      <c r="D4">
        <f>Helper!D3</f>
        <v>0</v>
      </c>
      <c r="E4">
        <f>Helper!E3</f>
        <v>0</v>
      </c>
      <c r="F4">
        <f>Helper!F3</f>
        <v>0</v>
      </c>
      <c r="G4">
        <f>Helper!G3</f>
        <v>0</v>
      </c>
      <c r="H4">
        <f>Helper!H3</f>
        <v>0</v>
      </c>
      <c r="I4">
        <f>Helper!I3</f>
        <v>6</v>
      </c>
      <c r="J4">
        <f>Helper!J3</f>
        <v>0</v>
      </c>
      <c r="K4">
        <f>MAX(Helper!C3:H3)</f>
        <v>6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8</v>
      </c>
      <c r="D5">
        <f>Helper!D4</f>
        <v>0</v>
      </c>
      <c r="E5">
        <f>Helper!E4</f>
        <v>0</v>
      </c>
      <c r="F5">
        <f>Helper!F4</f>
        <v>0</v>
      </c>
      <c r="G5">
        <f>Helper!G4</f>
        <v>0</v>
      </c>
      <c r="H5">
        <f>Helper!H4</f>
        <v>0</v>
      </c>
      <c r="I5">
        <f>Helper!I4</f>
        <v>8</v>
      </c>
      <c r="J5">
        <f>Helper!J4</f>
        <v>0</v>
      </c>
      <c r="K5">
        <f>MAX(Helper!C4:H4)</f>
        <v>8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5</v>
      </c>
      <c r="D6">
        <f>Helper!D5</f>
        <v>0</v>
      </c>
      <c r="E6">
        <f>Helper!E5</f>
        <v>0</v>
      </c>
      <c r="F6">
        <f>Helper!F5</f>
        <v>0</v>
      </c>
      <c r="G6">
        <f>Helper!G5</f>
        <v>0</v>
      </c>
      <c r="H6">
        <f>Helper!H5</f>
        <v>0</v>
      </c>
      <c r="I6">
        <f>Helper!I5</f>
        <v>5</v>
      </c>
      <c r="J6">
        <f>Helper!J5</f>
        <v>0</v>
      </c>
      <c r="K6">
        <f>MAX(Helper!C5:H5)</f>
        <v>5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10</v>
      </c>
      <c r="D7">
        <f>Helper!D6</f>
        <v>0</v>
      </c>
      <c r="E7">
        <f>Helper!E6</f>
        <v>0</v>
      </c>
      <c r="F7">
        <f>Helper!F6</f>
        <v>0</v>
      </c>
      <c r="G7">
        <f>Helper!G6</f>
        <v>0</v>
      </c>
      <c r="H7">
        <f>Helper!H6</f>
        <v>0</v>
      </c>
      <c r="I7">
        <f>Helper!I6</f>
        <v>10</v>
      </c>
      <c r="J7">
        <f>Helper!J6</f>
        <v>0</v>
      </c>
      <c r="K7">
        <f>MAX(Helper!C6:H6)</f>
        <v>10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6</v>
      </c>
      <c r="D8">
        <f>Helper!D7</f>
        <v>0</v>
      </c>
      <c r="E8">
        <f>Helper!E7</f>
        <v>0</v>
      </c>
      <c r="F8">
        <f>Helper!F7</f>
        <v>0</v>
      </c>
      <c r="G8">
        <f>Helper!G7</f>
        <v>0</v>
      </c>
      <c r="H8">
        <f>Helper!H7</f>
        <v>0</v>
      </c>
      <c r="I8">
        <f>Helper!I7</f>
        <v>6</v>
      </c>
      <c r="J8">
        <f>Helper!J7</f>
        <v>0</v>
      </c>
      <c r="K8">
        <f>MAX(Helper!C7:H7)</f>
        <v>6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0</v>
      </c>
      <c r="E9">
        <f>Helper!E8</f>
        <v>0</v>
      </c>
      <c r="F9">
        <f>Helper!F8</f>
        <v>0</v>
      </c>
      <c r="G9">
        <f>Helper!G8</f>
        <v>0</v>
      </c>
      <c r="H9">
        <f>Helper!H8</f>
        <v>0</v>
      </c>
      <c r="I9">
        <f>Helper!I8</f>
        <v>7</v>
      </c>
      <c r="J9">
        <f>Helper!J8</f>
        <v>0</v>
      </c>
      <c r="K9">
        <f>MAX(Helper!C8:H8)</f>
        <v>7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0</v>
      </c>
      <c r="E10">
        <f>Helper!E9</f>
        <v>0</v>
      </c>
      <c r="F10">
        <f>Helper!F9</f>
        <v>0</v>
      </c>
      <c r="G10">
        <f>Helper!G9</f>
        <v>0</v>
      </c>
      <c r="H10">
        <f>Helper!H9</f>
        <v>0</v>
      </c>
      <c r="I10">
        <f>Helper!I9</f>
        <v>8</v>
      </c>
      <c r="J10">
        <f>Helper!J9</f>
        <v>0</v>
      </c>
      <c r="K10">
        <f>MAX(Helper!C9:H9)</f>
        <v>8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0</v>
      </c>
      <c r="E11">
        <f>Helper!E10</f>
        <v>0</v>
      </c>
      <c r="F11">
        <f>Helper!F10</f>
        <v>0</v>
      </c>
      <c r="G11">
        <f>Helper!G10</f>
        <v>0</v>
      </c>
      <c r="H11">
        <f>Helper!H10</f>
        <v>0</v>
      </c>
      <c r="I11">
        <f>Helper!I10</f>
        <v>8</v>
      </c>
      <c r="J11">
        <f>Helper!J10</f>
        <v>0</v>
      </c>
      <c r="K11">
        <f>MAX(Helper!C10:H10)</f>
        <v>8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11</v>
      </c>
      <c r="D12">
        <f>Helper!D11</f>
        <v>0</v>
      </c>
      <c r="E12">
        <f>Helper!E11</f>
        <v>0</v>
      </c>
      <c r="F12">
        <f>Helper!F11</f>
        <v>0</v>
      </c>
      <c r="G12">
        <f>Helper!G11</f>
        <v>0</v>
      </c>
      <c r="H12">
        <f>Helper!H11</f>
        <v>0</v>
      </c>
      <c r="I12">
        <f>Helper!I11</f>
        <v>11</v>
      </c>
      <c r="J12">
        <f>Helper!J11</f>
        <v>0</v>
      </c>
      <c r="K12">
        <f>MAX(Helper!C11:H11)</f>
        <v>11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10</v>
      </c>
      <c r="D13">
        <f>Helper!D12</f>
        <v>0</v>
      </c>
      <c r="E13">
        <f>Helper!E12</f>
        <v>0</v>
      </c>
      <c r="F13">
        <f>Helper!F12</f>
        <v>0</v>
      </c>
      <c r="G13">
        <f>Helper!G12</f>
        <v>0</v>
      </c>
      <c r="H13">
        <f>Helper!H12</f>
        <v>0</v>
      </c>
      <c r="I13">
        <f>Helper!I12</f>
        <v>10</v>
      </c>
      <c r="J13">
        <f>Helper!J12</f>
        <v>0</v>
      </c>
      <c r="K13">
        <f>MAX(Helper!C12:H12)</f>
        <v>10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8</v>
      </c>
      <c r="D14">
        <f>Helper!D13</f>
        <v>0</v>
      </c>
      <c r="E14">
        <f>Helper!E13</f>
        <v>0</v>
      </c>
      <c r="F14">
        <f>Helper!F13</f>
        <v>0</v>
      </c>
      <c r="G14">
        <f>Helper!G13</f>
        <v>0</v>
      </c>
      <c r="H14">
        <f>Helper!H13</f>
        <v>0</v>
      </c>
      <c r="I14">
        <f>Helper!I13</f>
        <v>8</v>
      </c>
      <c r="J14">
        <f>Helper!J13</f>
        <v>0</v>
      </c>
      <c r="K14">
        <f>MAX(Helper!C13:H13)</f>
        <v>8</v>
      </c>
    </row>
    <row r="16" spans="1:11" ht="17.25" customHeight="1" x14ac:dyDescent="0.25">
      <c r="A16" s="3" t="s">
        <v>217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ht="15" customHeight="1" x14ac:dyDescent="0.25">
      <c r="A17" s="9" t="s">
        <v>206</v>
      </c>
      <c r="B17" s="9" t="s">
        <v>207</v>
      </c>
      <c r="C17" s="9" t="s">
        <v>218</v>
      </c>
      <c r="D17" s="9" t="s">
        <v>219</v>
      </c>
      <c r="E17" s="9" t="s">
        <v>220</v>
      </c>
      <c r="F17" s="9" t="s">
        <v>221</v>
      </c>
      <c r="G17" s="9" t="s">
        <v>222</v>
      </c>
      <c r="H17" s="9" t="s">
        <v>223</v>
      </c>
      <c r="I17" s="9" t="s">
        <v>214</v>
      </c>
      <c r="J17" s="9" t="s">
        <v>215</v>
      </c>
      <c r="K17" s="9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" t="s">
        <v>224</v>
      </c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ht="15" customHeight="1" x14ac:dyDescent="0.25">
      <c r="A32" s="26" t="s">
        <v>225</v>
      </c>
    </row>
    <row r="33" spans="1:11" ht="15" customHeight="1" x14ac:dyDescent="0.25">
      <c r="A33" s="9" t="s">
        <v>206</v>
      </c>
      <c r="B33" s="9" t="s">
        <v>207</v>
      </c>
      <c r="C33" s="9" t="s">
        <v>226</v>
      </c>
      <c r="D33" s="9" t="s">
        <v>227</v>
      </c>
      <c r="E33" s="9" t="s">
        <v>228</v>
      </c>
      <c r="F33" s="9" t="s">
        <v>229</v>
      </c>
      <c r="G33" s="9" t="s">
        <v>230</v>
      </c>
      <c r="H33" s="9" t="s">
        <v>231</v>
      </c>
      <c r="I33" s="9" t="s">
        <v>202</v>
      </c>
      <c r="J33" s="9" t="s">
        <v>203</v>
      </c>
      <c r="K33" s="9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26" t="s">
        <v>233</v>
      </c>
    </row>
    <row r="40" spans="1:11" ht="15" customHeight="1" x14ac:dyDescent="0.25">
      <c r="A40" s="9" t="s">
        <v>206</v>
      </c>
      <c r="B40" s="9" t="s">
        <v>207</v>
      </c>
      <c r="C40" s="9" t="s">
        <v>226</v>
      </c>
      <c r="D40" s="9" t="s">
        <v>227</v>
      </c>
      <c r="E40" s="9" t="s">
        <v>228</v>
      </c>
      <c r="F40" s="9" t="s">
        <v>229</v>
      </c>
      <c r="G40" s="9" t="s">
        <v>230</v>
      </c>
      <c r="H40" s="9" t="s">
        <v>231</v>
      </c>
      <c r="I40" s="9" t="s">
        <v>202</v>
      </c>
      <c r="J40" s="9" t="s">
        <v>203</v>
      </c>
      <c r="K40" s="9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26" t="s">
        <v>234</v>
      </c>
    </row>
    <row r="47" spans="1:11" ht="15" customHeight="1" x14ac:dyDescent="0.25">
      <c r="A47" s="9" t="s">
        <v>206</v>
      </c>
      <c r="B47" s="9" t="s">
        <v>207</v>
      </c>
      <c r="C47" s="9" t="s">
        <v>226</v>
      </c>
      <c r="D47" s="9" t="s">
        <v>227</v>
      </c>
      <c r="E47" s="9" t="s">
        <v>228</v>
      </c>
      <c r="F47" s="9" t="s">
        <v>229</v>
      </c>
      <c r="G47" s="9" t="s">
        <v>230</v>
      </c>
      <c r="H47" s="9" t="s">
        <v>231</v>
      </c>
      <c r="I47" s="9" t="s">
        <v>202</v>
      </c>
      <c r="J47" s="9" t="s">
        <v>203</v>
      </c>
      <c r="K47" s="9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1" t="s">
        <v>235</v>
      </c>
      <c r="B55" s="1"/>
      <c r="C55" s="1"/>
      <c r="D55" s="1"/>
      <c r="E55" s="1"/>
      <c r="F55" s="1"/>
      <c r="G55" s="1"/>
      <c r="H55" s="1"/>
    </row>
    <row r="56" spans="1:11" ht="15" customHeight="1" x14ac:dyDescent="0.25">
      <c r="A56" s="9" t="s">
        <v>206</v>
      </c>
      <c r="B56" s="9" t="s">
        <v>207</v>
      </c>
      <c r="C56" s="9" t="s">
        <v>236</v>
      </c>
      <c r="D56" s="9" t="s">
        <v>237</v>
      </c>
      <c r="E56" s="9" t="s">
        <v>238</v>
      </c>
      <c r="F56" s="9" t="s">
        <v>239</v>
      </c>
      <c r="G56" s="9" t="s">
        <v>240</v>
      </c>
      <c r="H56" s="9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5</v>
      </c>
      <c r="D57">
        <f>Helper!R2</f>
        <v>0</v>
      </c>
      <c r="E57">
        <f>Helper!AC2</f>
        <v>0</v>
      </c>
      <c r="F57">
        <f>Helper!AE2</f>
        <v>5</v>
      </c>
      <c r="G57">
        <f>Helper!K2</f>
        <v>5.0000999999999998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6</v>
      </c>
      <c r="D58">
        <f>Helper!R3</f>
        <v>0</v>
      </c>
      <c r="E58">
        <f>Helper!AC3</f>
        <v>0</v>
      </c>
      <c r="F58">
        <f>Helper!AE3</f>
        <v>6</v>
      </c>
      <c r="G58">
        <f>Helper!K3</f>
        <v>6.0002000000000004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8</v>
      </c>
      <c r="D59">
        <f>Helper!R4</f>
        <v>0</v>
      </c>
      <c r="E59">
        <f>Helper!AC4</f>
        <v>0</v>
      </c>
      <c r="F59">
        <f>Helper!AE4</f>
        <v>8</v>
      </c>
      <c r="G59">
        <f>Helper!K4</f>
        <v>8.0002999999999993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5</v>
      </c>
      <c r="D60">
        <f>Helper!R5</f>
        <v>0</v>
      </c>
      <c r="E60">
        <f>Helper!AC5</f>
        <v>0</v>
      </c>
      <c r="F60">
        <f>Helper!AE5</f>
        <v>5</v>
      </c>
      <c r="G60">
        <f>Helper!K5</f>
        <v>5.0004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10</v>
      </c>
      <c r="D61">
        <f>Helper!R6</f>
        <v>0</v>
      </c>
      <c r="E61">
        <f>Helper!AC6</f>
        <v>0</v>
      </c>
      <c r="F61">
        <f>Helper!AE6</f>
        <v>10</v>
      </c>
      <c r="G61">
        <f>Helper!K6</f>
        <v>10.000500000000001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6</v>
      </c>
      <c r="D62">
        <f>Helper!R7</f>
        <v>0</v>
      </c>
      <c r="E62">
        <f>Helper!AC7</f>
        <v>0</v>
      </c>
      <c r="F62">
        <f>Helper!AE7</f>
        <v>6</v>
      </c>
      <c r="G62">
        <f>Helper!K7</f>
        <v>6.0006000000000004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7</v>
      </c>
      <c r="D63">
        <f>Helper!R8</f>
        <v>0</v>
      </c>
      <c r="E63">
        <f>Helper!AC8</f>
        <v>0</v>
      </c>
      <c r="F63">
        <f>Helper!AE8</f>
        <v>7</v>
      </c>
      <c r="G63">
        <f>Helper!K8</f>
        <v>7.0007000000000001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8</v>
      </c>
      <c r="D64">
        <f>Helper!R9</f>
        <v>0</v>
      </c>
      <c r="E64">
        <f>Helper!AC9</f>
        <v>0</v>
      </c>
      <c r="F64">
        <f>Helper!AE9</f>
        <v>8</v>
      </c>
      <c r="G64">
        <f>Helper!K9</f>
        <v>8.0007999999999999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8</v>
      </c>
      <c r="D65">
        <f>Helper!R10</f>
        <v>0</v>
      </c>
      <c r="E65">
        <f>Helper!AC10</f>
        <v>0</v>
      </c>
      <c r="F65">
        <f>Helper!AE10</f>
        <v>8</v>
      </c>
      <c r="G65">
        <f>Helper!K10</f>
        <v>8.0008999999999997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11</v>
      </c>
      <c r="D66">
        <f>Helper!R11</f>
        <v>0</v>
      </c>
      <c r="E66">
        <f>Helper!AC11</f>
        <v>0</v>
      </c>
      <c r="F66">
        <f>Helper!AE11</f>
        <v>11</v>
      </c>
      <c r="G66">
        <f>Helper!K11</f>
        <v>11.000999999999999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10</v>
      </c>
      <c r="D67">
        <f>Helper!R12</f>
        <v>0</v>
      </c>
      <c r="E67">
        <f>Helper!AC12</f>
        <v>0</v>
      </c>
      <c r="F67">
        <f>Helper!AE12</f>
        <v>10</v>
      </c>
      <c r="G67">
        <f>Helper!K12</f>
        <v>10.001099999999999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8</v>
      </c>
      <c r="D68">
        <f>Helper!R13</f>
        <v>0</v>
      </c>
      <c r="E68">
        <f>Helper!AC13</f>
        <v>0</v>
      </c>
      <c r="F68">
        <f>Helper!AE13</f>
        <v>8</v>
      </c>
      <c r="G68">
        <f>Helper!K13</f>
        <v>8.0012000000000008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3" t="s">
        <v>242</v>
      </c>
    </row>
    <row r="3" spans="1:8" ht="15" customHeight="1" x14ac:dyDescent="0.25">
      <c r="A3" s="27" t="s">
        <v>243</v>
      </c>
    </row>
    <row r="4" spans="1:8" ht="15" customHeight="1" x14ac:dyDescent="0.25">
      <c r="A4" s="9" t="s">
        <v>244</v>
      </c>
      <c r="B4" s="9" t="s">
        <v>245</v>
      </c>
      <c r="C4" s="9" t="s">
        <v>246</v>
      </c>
      <c r="D4" s="9" t="s">
        <v>247</v>
      </c>
      <c r="E4" s="9" t="s">
        <v>248</v>
      </c>
      <c r="F4" s="9" t="s">
        <v>249</v>
      </c>
      <c r="H4" s="28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Zach Zarra</v>
      </c>
      <c r="C5" t="s">
        <v>252</v>
      </c>
      <c r="D5" t="s">
        <v>253</v>
      </c>
      <c r="E5" t="str">
        <f>B5</f>
        <v>Zach Zarra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27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9" t="s">
        <v>244</v>
      </c>
      <c r="B12" s="9" t="s">
        <v>207</v>
      </c>
      <c r="C12" s="9" t="s">
        <v>261</v>
      </c>
      <c r="D12" s="9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Mikayla Simmons</v>
      </c>
      <c r="C13">
        <f>INDEX(I$40:I$51,MATCH(MAX(K$40:K$51),K$40:K$51,0))</f>
        <v>10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27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9" t="s">
        <v>27</v>
      </c>
      <c r="B16" s="9" t="s">
        <v>207</v>
      </c>
      <c r="C16" s="9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Zach Zarra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Mikayla Simmons</v>
      </c>
      <c r="C22" t="str">
        <f>"Wild Card 1"</f>
        <v>Wild Card 1</v>
      </c>
    </row>
    <row r="24" spans="1:6" ht="15" customHeight="1" x14ac:dyDescent="0.25">
      <c r="A24" s="27" t="s">
        <v>266</v>
      </c>
    </row>
    <row r="25" spans="1:6" ht="15" customHeight="1" x14ac:dyDescent="0.25">
      <c r="A25" s="9" t="s">
        <v>27</v>
      </c>
      <c r="B25" s="9" t="s">
        <v>207</v>
      </c>
      <c r="C25" s="9" t="s">
        <v>267</v>
      </c>
      <c r="D25" s="9" t="s">
        <v>268</v>
      </c>
      <c r="E25" s="9" t="s">
        <v>269</v>
      </c>
      <c r="F25" s="9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8" t="s">
        <v>272</v>
      </c>
    </row>
    <row r="40" spans="1:11" ht="15" customHeight="1" x14ac:dyDescent="0.25">
      <c r="H40" t="str">
        <f>Roster!B3</f>
        <v>Evan Loeser</v>
      </c>
      <c r="I40">
        <f>Helper!AE2</f>
        <v>5</v>
      </c>
      <c r="J40" t="b">
        <f t="shared" ref="J40:J51" si="1">OR(H40=$E$5,H40=$E$6,H40=$E$7,H40=$E$8,H40=$E$9)</f>
        <v>0</v>
      </c>
      <c r="K40">
        <f>IF(J40,-1,I40+0.00001)</f>
        <v>5.0000099999999996</v>
      </c>
    </row>
    <row r="41" spans="1:11" ht="15" customHeight="1" x14ac:dyDescent="0.25">
      <c r="H41" t="str">
        <f>Roster!B4</f>
        <v>Chris Simmons</v>
      </c>
      <c r="I41">
        <f>Helper!AE3</f>
        <v>6</v>
      </c>
      <c r="J41" t="b">
        <f t="shared" si="1"/>
        <v>0</v>
      </c>
      <c r="K41">
        <f>IF(J41,-1,I41+0.00002)</f>
        <v>6.0000200000000001</v>
      </c>
    </row>
    <row r="42" spans="1:11" ht="15" customHeight="1" x14ac:dyDescent="0.25">
      <c r="H42" t="str">
        <f>Roster!B5</f>
        <v>Jack Smith</v>
      </c>
      <c r="I42">
        <f>Helper!AE4</f>
        <v>8</v>
      </c>
      <c r="J42" t="b">
        <f t="shared" si="1"/>
        <v>0</v>
      </c>
      <c r="K42">
        <f>IF(J42,-1,I42+0.00003)</f>
        <v>8.0000300000000006</v>
      </c>
    </row>
    <row r="43" spans="1:11" ht="15" customHeight="1" x14ac:dyDescent="0.25">
      <c r="H43" t="str">
        <f>Roster!B6</f>
        <v>Luke Ussery</v>
      </c>
      <c r="I43">
        <f>Helper!AE5</f>
        <v>5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10</v>
      </c>
      <c r="J44" t="b">
        <f t="shared" si="1"/>
        <v>0</v>
      </c>
      <c r="K44">
        <f>IF(J44,-1,I44+0.00005)</f>
        <v>10.00005</v>
      </c>
    </row>
    <row r="45" spans="1:11" ht="15" customHeight="1" x14ac:dyDescent="0.25">
      <c r="H45" t="str">
        <f>Roster!B8</f>
        <v>Alan Loeser</v>
      </c>
      <c r="I45">
        <f>Helper!AE7</f>
        <v>6</v>
      </c>
      <c r="J45" t="b">
        <f t="shared" si="1"/>
        <v>0</v>
      </c>
      <c r="K45">
        <f>IF(J45,-1,I45+0.00006)</f>
        <v>6.0000600000000004</v>
      </c>
    </row>
    <row r="46" spans="1:11" ht="15" customHeight="1" x14ac:dyDescent="0.25">
      <c r="H46" t="str">
        <f>Roster!B9</f>
        <v>Caleb Simmons</v>
      </c>
      <c r="I46">
        <f>Helper!AE8</f>
        <v>7</v>
      </c>
      <c r="J46" t="b">
        <f t="shared" si="1"/>
        <v>0</v>
      </c>
      <c r="K46">
        <f>IF(J46,-1,I46+0.00007)</f>
        <v>7.00007</v>
      </c>
    </row>
    <row r="47" spans="1:11" ht="15" customHeight="1" x14ac:dyDescent="0.25">
      <c r="H47" t="str">
        <f>Roster!B10</f>
        <v>Larry Loeser</v>
      </c>
      <c r="I47">
        <f>Helper!AE9</f>
        <v>8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8</v>
      </c>
      <c r="J48" t="b">
        <f t="shared" si="1"/>
        <v>0</v>
      </c>
      <c r="K48">
        <f>IF(J48,-1,I48+0.00009)</f>
        <v>8.0000900000000001</v>
      </c>
    </row>
    <row r="49" spans="8:11" ht="15" customHeight="1" x14ac:dyDescent="0.25">
      <c r="H49" t="str">
        <f>Roster!B12</f>
        <v>Zach Zarra</v>
      </c>
      <c r="I49">
        <f>Helper!AE11</f>
        <v>11</v>
      </c>
      <c r="J49" t="b">
        <f t="shared" si="1"/>
        <v>1</v>
      </c>
      <c r="K49">
        <f>IF(J49,-1,I49+0.0001)</f>
        <v>-1</v>
      </c>
    </row>
    <row r="50" spans="8:11" ht="15" customHeight="1" x14ac:dyDescent="0.25">
      <c r="H50" t="str">
        <f>Roster!B13</f>
        <v>Jeffrey Loeser</v>
      </c>
      <c r="I50">
        <f>Helper!AE12</f>
        <v>10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8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3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9" t="s">
        <v>27</v>
      </c>
      <c r="B4" s="9" t="s">
        <v>207</v>
      </c>
      <c r="C4" s="9" t="s">
        <v>198</v>
      </c>
      <c r="D4" s="9" t="s">
        <v>275</v>
      </c>
      <c r="E4" s="9" t="s">
        <v>276</v>
      </c>
      <c r="F4" s="9" t="s">
        <v>277</v>
      </c>
      <c r="G4" s="9" t="s">
        <v>278</v>
      </c>
      <c r="H4" s="9" t="s">
        <v>279</v>
      </c>
    </row>
    <row r="5" spans="1:8" ht="15" customHeight="1" x14ac:dyDescent="0.25">
      <c r="A5">
        <v>1</v>
      </c>
      <c r="B5" t="str">
        <f>'Playoff Picture'!B17</f>
        <v>Zach Zarra</v>
      </c>
      <c r="C5" s="10">
        <v>6</v>
      </c>
      <c r="D5">
        <f>C5+0.001</f>
        <v>6.0010000000000003</v>
      </c>
      <c r="E5" s="10">
        <v>0</v>
      </c>
      <c r="F5" s="10">
        <v>0</v>
      </c>
      <c r="G5" s="10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10">
        <v>5</v>
      </c>
      <c r="D6">
        <f>C6+0.002</f>
        <v>5.0019999999999998</v>
      </c>
      <c r="E6" s="10">
        <v>0</v>
      </c>
      <c r="F6" s="10">
        <v>0</v>
      </c>
      <c r="G6" s="10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10">
        <v>4</v>
      </c>
      <c r="D7">
        <f>C7+0.003</f>
        <v>4.0030000000000001</v>
      </c>
      <c r="E7" s="10">
        <v>0</v>
      </c>
      <c r="F7" s="10">
        <v>0</v>
      </c>
      <c r="G7" s="10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10">
        <v>3</v>
      </c>
      <c r="D8">
        <f>C8+0.004</f>
        <v>3.004</v>
      </c>
      <c r="E8" s="10">
        <v>0</v>
      </c>
      <c r="F8" s="10">
        <v>0</v>
      </c>
      <c r="G8" s="10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10">
        <v>2</v>
      </c>
      <c r="D9">
        <f>C9+0.005</f>
        <v>2.0049999999999999</v>
      </c>
      <c r="E9" s="10">
        <v>0</v>
      </c>
      <c r="F9" s="10">
        <v>0</v>
      </c>
      <c r="G9" s="10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Mikayla Simmons</v>
      </c>
      <c r="C10" s="10">
        <v>1</v>
      </c>
      <c r="D10">
        <f>C10+0.006</f>
        <v>1.006</v>
      </c>
      <c r="E10" s="10">
        <v>0</v>
      </c>
      <c r="F10" s="10">
        <v>0</v>
      </c>
      <c r="G10" s="10">
        <v>0</v>
      </c>
      <c r="H10">
        <f t="shared" si="0"/>
        <v>10000001.005999999</v>
      </c>
    </row>
    <row r="12" spans="1:8" ht="15" customHeight="1" x14ac:dyDescent="0.25">
      <c r="A12" s="27" t="s">
        <v>280</v>
      </c>
    </row>
    <row r="13" spans="1:8" ht="15" customHeight="1" x14ac:dyDescent="0.25">
      <c r="A13" s="9" t="s">
        <v>206</v>
      </c>
      <c r="B13" s="9" t="s">
        <v>207</v>
      </c>
      <c r="C13" s="9" t="s">
        <v>198</v>
      </c>
      <c r="D13" s="9"/>
      <c r="E13" s="9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Zach Zarra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Mikayla Simmons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3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27" t="s">
        <v>283</v>
      </c>
    </row>
    <row r="5" spans="1:11" ht="15" customHeight="1" x14ac:dyDescent="0.25">
      <c r="A5" s="9" t="s">
        <v>207</v>
      </c>
      <c r="B5" s="9" t="s">
        <v>284</v>
      </c>
      <c r="C5" s="9" t="s">
        <v>285</v>
      </c>
      <c r="D5" s="9" t="s">
        <v>286</v>
      </c>
      <c r="E5" s="9" t="s">
        <v>287</v>
      </c>
      <c r="F5" s="9" t="s">
        <v>288</v>
      </c>
      <c r="G5" s="9" t="s">
        <v>289</v>
      </c>
      <c r="H5" s="9" t="s">
        <v>290</v>
      </c>
      <c r="I5" s="9" t="s">
        <v>291</v>
      </c>
      <c r="J5" s="9"/>
      <c r="K5" s="9" t="s">
        <v>292</v>
      </c>
    </row>
    <row r="6" spans="1:11" ht="15" customHeight="1" x14ac:dyDescent="0.25">
      <c r="A6" t="str">
        <f>'Playoff Wild Card'!B14</f>
        <v>Zach Zarra</v>
      </c>
      <c r="B6">
        <f>'Playoff Wild Card'!C14</f>
        <v>6</v>
      </c>
      <c r="C6" s="10">
        <v>0</v>
      </c>
      <c r="D6">
        <f>C6*2</f>
        <v>0</v>
      </c>
      <c r="E6" s="10">
        <v>0</v>
      </c>
      <c r="F6">
        <f>E6*4</f>
        <v>0</v>
      </c>
      <c r="G6" s="10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10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10">
        <v>0</v>
      </c>
      <c r="D7">
        <f>C7*2</f>
        <v>0</v>
      </c>
      <c r="E7" s="10">
        <v>0</v>
      </c>
      <c r="F7">
        <f>E7*4</f>
        <v>0</v>
      </c>
      <c r="G7" s="10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10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10">
        <v>0</v>
      </c>
      <c r="D8">
        <f>C8*2</f>
        <v>0</v>
      </c>
      <c r="E8" s="10">
        <v>0</v>
      </c>
      <c r="F8">
        <f>E8*4</f>
        <v>0</v>
      </c>
      <c r="G8" s="10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10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10">
        <v>0</v>
      </c>
      <c r="D9">
        <f>C9*2</f>
        <v>0</v>
      </c>
      <c r="E9" s="10">
        <v>0</v>
      </c>
      <c r="F9">
        <f>E9*4</f>
        <v>0</v>
      </c>
      <c r="G9" s="10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10">
        <v>0</v>
      </c>
    </row>
    <row r="11" spans="1:11" ht="15" customHeight="1" x14ac:dyDescent="0.25">
      <c r="A11" s="27" t="s">
        <v>293</v>
      </c>
    </row>
    <row r="12" spans="1:11" ht="15" customHeight="1" x14ac:dyDescent="0.25">
      <c r="A12" s="9" t="s">
        <v>294</v>
      </c>
      <c r="B12" s="9" t="s">
        <v>207</v>
      </c>
      <c r="C12" s="9" t="s">
        <v>284</v>
      </c>
      <c r="D12" s="9" t="s">
        <v>295</v>
      </c>
      <c r="E12" s="9" t="s">
        <v>296</v>
      </c>
      <c r="F12" s="9" t="s">
        <v>297</v>
      </c>
      <c r="G12" s="9" t="s">
        <v>298</v>
      </c>
      <c r="H12" s="9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Zach Zarra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9" t="s">
        <v>307</v>
      </c>
    </row>
    <row r="20" spans="1:4" ht="15" customHeight="1" x14ac:dyDescent="0.25">
      <c r="A20" s="27" t="s">
        <v>308</v>
      </c>
    </row>
    <row r="21" spans="1:4" ht="15" customHeight="1" x14ac:dyDescent="0.25">
      <c r="A21" s="9" t="s">
        <v>207</v>
      </c>
      <c r="B21" s="9" t="s">
        <v>309</v>
      </c>
      <c r="C21" s="9" t="s">
        <v>310</v>
      </c>
      <c r="D21" s="9" t="s">
        <v>311</v>
      </c>
    </row>
    <row r="22" spans="1:4" ht="15" customHeight="1" x14ac:dyDescent="0.25">
      <c r="A22" t="str">
        <f>A6</f>
        <v>Zach Zarra</v>
      </c>
      <c r="B22" s="10">
        <v>0</v>
      </c>
      <c r="C22" s="10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10">
        <v>0</v>
      </c>
      <c r="C23" s="10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10">
        <v>0</v>
      </c>
      <c r="C24" s="10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10">
        <v>0</v>
      </c>
      <c r="C25" s="10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B24" sqref="B24"/>
    </sheetView>
  </sheetViews>
  <sheetFormatPr defaultColWidth="8.7109375" defaultRowHeight="15" x14ac:dyDescent="0.25"/>
  <cols>
    <col min="1" max="1" width="14" customWidth="1"/>
    <col min="2" max="2" width="24" customWidth="1"/>
    <col min="3" max="3" width="60" customWidth="1"/>
  </cols>
  <sheetData>
    <row r="1" spans="1:3" ht="17.25" customHeight="1" x14ac:dyDescent="0.25">
      <c r="A1" s="13" t="s">
        <v>312</v>
      </c>
    </row>
    <row r="6" spans="1:3" ht="15" customHeight="1" x14ac:dyDescent="0.25">
      <c r="A6" s="9" t="s">
        <v>313</v>
      </c>
      <c r="B6" s="9" t="s">
        <v>314</v>
      </c>
      <c r="C6" s="9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11" t="s">
        <v>28</v>
      </c>
      <c r="B1" s="11" t="s">
        <v>29</v>
      </c>
      <c r="C1" s="11" t="s">
        <v>316</v>
      </c>
      <c r="D1" s="11" t="s">
        <v>317</v>
      </c>
      <c r="E1" s="11" t="s">
        <v>318</v>
      </c>
      <c r="F1" s="11" t="s">
        <v>319</v>
      </c>
      <c r="G1" s="11" t="s">
        <v>320</v>
      </c>
      <c r="H1" s="11" t="s">
        <v>321</v>
      </c>
      <c r="I1" s="11" t="s">
        <v>322</v>
      </c>
      <c r="J1" s="11" t="s">
        <v>323</v>
      </c>
      <c r="K1" s="11" t="s">
        <v>324</v>
      </c>
      <c r="L1" s="11" t="s">
        <v>325</v>
      </c>
      <c r="M1" s="11" t="s">
        <v>326</v>
      </c>
      <c r="N1" s="11" t="s">
        <v>327</v>
      </c>
      <c r="O1" s="11" t="s">
        <v>328</v>
      </c>
      <c r="P1" s="11" t="s">
        <v>329</v>
      </c>
      <c r="Q1" s="11" t="s">
        <v>330</v>
      </c>
      <c r="R1" s="11" t="s">
        <v>331</v>
      </c>
      <c r="S1" s="11" t="s">
        <v>332</v>
      </c>
      <c r="T1" s="11" t="s">
        <v>333</v>
      </c>
      <c r="U1" s="11" t="s">
        <v>334</v>
      </c>
      <c r="V1" s="11" t="s">
        <v>335</v>
      </c>
      <c r="W1" s="11" t="s">
        <v>336</v>
      </c>
      <c r="X1" s="11" t="s">
        <v>337</v>
      </c>
      <c r="Y1" s="11" t="s">
        <v>338</v>
      </c>
      <c r="Z1" s="11" t="s">
        <v>339</v>
      </c>
      <c r="AA1" s="11" t="s">
        <v>340</v>
      </c>
      <c r="AB1" s="11" t="s">
        <v>341</v>
      </c>
      <c r="AC1" s="11" t="s">
        <v>342</v>
      </c>
      <c r="AD1" s="11" t="s">
        <v>343</v>
      </c>
      <c r="AE1" s="11" t="s">
        <v>344</v>
      </c>
      <c r="AF1" s="11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0</v>
      </c>
      <c r="E2">
        <f>IF(Roster!$B$16&gt;=3,'Wk 1-6 Input'!H36,0)+IF(Roster!$B$16&gt;3,'Wk 1-6 Input'!G36,0)</f>
        <v>0</v>
      </c>
      <c r="F2">
        <f>IF(Roster!$B$16&gt;=4,'Wk 1-6 Input'!H51,0)+IF(Roster!$B$16&gt;4,'Wk 1-6 Input'!G51,0)</f>
        <v>0</v>
      </c>
      <c r="G2">
        <f>IF(Roster!$B$16&gt;=5,'Wk 1-6 Input'!H66,0)+IF(Roster!$B$16&gt;5,'Wk 1-6 Input'!G66,0)</f>
        <v>0</v>
      </c>
      <c r="H2">
        <f>IF(Roster!$B$16&gt;=6,'Wk 1-6 Input'!H81,0)+IF(Roster!$B$16&gt;6,'Wk 1-6 Input'!G81,0)</f>
        <v>0</v>
      </c>
      <c r="I2">
        <f t="shared" ref="I2:I13" si="0">SUM(C2:H2)</f>
        <v>5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0</v>
      </c>
      <c r="K2">
        <f>I2+0.0001</f>
        <v>5.0000999999999998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5</v>
      </c>
      <c r="AF2">
        <f>AE2+0.0001</f>
        <v>5.0000999999999998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6</v>
      </c>
      <c r="D3">
        <f>IF(Roster!$B$16&gt;=2,'Wk 1-6 Input'!H22,0)+IF(Roster!$B$16&gt;2,'Wk 1-6 Input'!G22,0)</f>
        <v>0</v>
      </c>
      <c r="E3">
        <f>IF(Roster!$B$16&gt;=3,'Wk 1-6 Input'!H37,0)+IF(Roster!$B$16&gt;3,'Wk 1-6 Input'!G37,0)</f>
        <v>0</v>
      </c>
      <c r="F3">
        <f>IF(Roster!$B$16&gt;=4,'Wk 1-6 Input'!H52,0)+IF(Roster!$B$16&gt;4,'Wk 1-6 Input'!G52,0)</f>
        <v>0</v>
      </c>
      <c r="G3">
        <f>IF(Roster!$B$16&gt;=5,'Wk 1-6 Input'!H67,0)+IF(Roster!$B$16&gt;5,'Wk 1-6 Input'!G67,0)</f>
        <v>0</v>
      </c>
      <c r="H3">
        <f>IF(Roster!$B$16&gt;=6,'Wk 1-6 Input'!H82,0)+IF(Roster!$B$16&gt;6,'Wk 1-6 Input'!G82,0)</f>
        <v>0</v>
      </c>
      <c r="I3">
        <f t="shared" si="0"/>
        <v>6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0</v>
      </c>
      <c r="K3">
        <f>I3+0.0002</f>
        <v>6.0002000000000004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6</v>
      </c>
      <c r="AF3">
        <f>AE3+0.0002</f>
        <v>6.0002000000000004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8</v>
      </c>
      <c r="D4">
        <f>IF(Roster!$B$16&gt;=2,'Wk 1-6 Input'!H23,0)+IF(Roster!$B$16&gt;2,'Wk 1-6 Input'!G23,0)</f>
        <v>0</v>
      </c>
      <c r="E4">
        <f>IF(Roster!$B$16&gt;=3,'Wk 1-6 Input'!H38,0)+IF(Roster!$B$16&gt;3,'Wk 1-6 Input'!G38,0)</f>
        <v>0</v>
      </c>
      <c r="F4">
        <f>IF(Roster!$B$16&gt;=4,'Wk 1-6 Input'!H53,0)+IF(Roster!$B$16&gt;4,'Wk 1-6 Input'!G53,0)</f>
        <v>0</v>
      </c>
      <c r="G4">
        <f>IF(Roster!$B$16&gt;=5,'Wk 1-6 Input'!H68,0)+IF(Roster!$B$16&gt;5,'Wk 1-6 Input'!G68,0)</f>
        <v>0</v>
      </c>
      <c r="H4">
        <f>IF(Roster!$B$16&gt;=6,'Wk 1-6 Input'!H83,0)+IF(Roster!$B$16&gt;6,'Wk 1-6 Input'!G83,0)</f>
        <v>0</v>
      </c>
      <c r="I4">
        <f t="shared" si="0"/>
        <v>8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0</v>
      </c>
      <c r="K4">
        <f>I4+0.0003</f>
        <v>8.0002999999999993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8</v>
      </c>
      <c r="AF4">
        <f>AE4+0.0003</f>
        <v>8.0002999999999993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5</v>
      </c>
      <c r="D5">
        <f>IF(Roster!$B$16&gt;=2,'Wk 1-6 Input'!H24,0)+IF(Roster!$B$16&gt;2,'Wk 1-6 Input'!G24,0)</f>
        <v>0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0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5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0</v>
      </c>
      <c r="K5">
        <f>I5+0.0004</f>
        <v>5.0004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5</v>
      </c>
      <c r="AF5">
        <f>AE5+0.0004</f>
        <v>5.0004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10</v>
      </c>
      <c r="D6">
        <f>IF(Roster!$B$16&gt;=2,'Wk 1-6 Input'!H25,0)+IF(Roster!$B$16&gt;2,'Wk 1-6 Input'!G25,0)</f>
        <v>0</v>
      </c>
      <c r="E6">
        <f>IF(Roster!$B$16&gt;=3,'Wk 1-6 Input'!H40,0)+IF(Roster!$B$16&gt;3,'Wk 1-6 Input'!G40,0)</f>
        <v>0</v>
      </c>
      <c r="F6">
        <f>IF(Roster!$B$16&gt;=4,'Wk 1-6 Input'!H55,0)+IF(Roster!$B$16&gt;4,'Wk 1-6 Input'!G55,0)</f>
        <v>0</v>
      </c>
      <c r="G6">
        <f>IF(Roster!$B$16&gt;=5,'Wk 1-6 Input'!H70,0)+IF(Roster!$B$16&gt;5,'Wk 1-6 Input'!G70,0)</f>
        <v>0</v>
      </c>
      <c r="H6">
        <f>IF(Roster!$B$16&gt;=6,'Wk 1-6 Input'!H85,0)+IF(Roster!$B$16&gt;6,'Wk 1-6 Input'!G85,0)</f>
        <v>0</v>
      </c>
      <c r="I6">
        <f t="shared" si="0"/>
        <v>10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0</v>
      </c>
      <c r="K6">
        <f>I6+0.0005</f>
        <v>10.000500000000001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10</v>
      </c>
      <c r="AF6">
        <f>AE6+0.0005</f>
        <v>10.000500000000001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6</v>
      </c>
      <c r="D7">
        <f>IF(Roster!$B$16&gt;=2,'Wk 1-6 Input'!H26,0)+IF(Roster!$B$16&gt;2,'Wk 1-6 Input'!G26,0)</f>
        <v>0</v>
      </c>
      <c r="E7">
        <f>IF(Roster!$B$16&gt;=3,'Wk 1-6 Input'!H41,0)+IF(Roster!$B$16&gt;3,'Wk 1-6 Input'!G41,0)</f>
        <v>0</v>
      </c>
      <c r="F7">
        <f>IF(Roster!$B$16&gt;=4,'Wk 1-6 Input'!H56,0)+IF(Roster!$B$16&gt;4,'Wk 1-6 Input'!G56,0)</f>
        <v>0</v>
      </c>
      <c r="G7">
        <f>IF(Roster!$B$16&gt;=5,'Wk 1-6 Input'!H71,0)+IF(Roster!$B$16&gt;5,'Wk 1-6 Input'!G71,0)</f>
        <v>0</v>
      </c>
      <c r="H7">
        <f>IF(Roster!$B$16&gt;=6,'Wk 1-6 Input'!H86,0)+IF(Roster!$B$16&gt;6,'Wk 1-6 Input'!G86,0)</f>
        <v>0</v>
      </c>
      <c r="I7">
        <f t="shared" si="0"/>
        <v>6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0</v>
      </c>
      <c r="K7">
        <f>I7+0.0006</f>
        <v>6.0006000000000004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6</v>
      </c>
      <c r="AF7">
        <f>AE7+0.0006</f>
        <v>6.0006000000000004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0</v>
      </c>
      <c r="E8">
        <f>IF(Roster!$B$16&gt;=3,'Wk 1-6 Input'!H42,0)+IF(Roster!$B$16&gt;3,'Wk 1-6 Input'!G42,0)</f>
        <v>0</v>
      </c>
      <c r="F8">
        <f>IF(Roster!$B$16&gt;=4,'Wk 1-6 Input'!H57,0)+IF(Roster!$B$16&gt;4,'Wk 1-6 Input'!G57,0)</f>
        <v>0</v>
      </c>
      <c r="G8">
        <f>IF(Roster!$B$16&gt;=5,'Wk 1-6 Input'!H72,0)+IF(Roster!$B$16&gt;5,'Wk 1-6 Input'!G72,0)</f>
        <v>0</v>
      </c>
      <c r="H8">
        <f>IF(Roster!$B$16&gt;=6,'Wk 1-6 Input'!H87,0)+IF(Roster!$B$16&gt;6,'Wk 1-6 Input'!G87,0)</f>
        <v>0</v>
      </c>
      <c r="I8">
        <f t="shared" si="0"/>
        <v>7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0</v>
      </c>
      <c r="K8">
        <f>I8+0.0007</f>
        <v>7.0007000000000001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7</v>
      </c>
      <c r="AF8">
        <f>AE8+0.0007</f>
        <v>7.0007000000000001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0</v>
      </c>
      <c r="E9">
        <f>IF(Roster!$B$16&gt;=3,'Wk 1-6 Input'!H43,0)+IF(Roster!$B$16&gt;3,'Wk 1-6 Input'!G43,0)</f>
        <v>0</v>
      </c>
      <c r="F9">
        <f>IF(Roster!$B$16&gt;=4,'Wk 1-6 Input'!H58,0)+IF(Roster!$B$16&gt;4,'Wk 1-6 Input'!G58,0)</f>
        <v>0</v>
      </c>
      <c r="G9">
        <f>IF(Roster!$B$16&gt;=5,'Wk 1-6 Input'!H73,0)+IF(Roster!$B$16&gt;5,'Wk 1-6 Input'!G73,0)</f>
        <v>0</v>
      </c>
      <c r="H9">
        <f>IF(Roster!$B$16&gt;=6,'Wk 1-6 Input'!H88,0)+IF(Roster!$B$16&gt;6,'Wk 1-6 Input'!G88,0)</f>
        <v>0</v>
      </c>
      <c r="I9">
        <f t="shared" si="0"/>
        <v>8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8.0007999999999999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8</v>
      </c>
      <c r="AF9">
        <f>AE9+0.0008</f>
        <v>8.0007999999999999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0</v>
      </c>
      <c r="E10">
        <f>IF(Roster!$B$16&gt;=3,'Wk 1-6 Input'!H44,0)+IF(Roster!$B$16&gt;3,'Wk 1-6 Input'!G44,0)</f>
        <v>0</v>
      </c>
      <c r="F10">
        <f>IF(Roster!$B$16&gt;=4,'Wk 1-6 Input'!H59,0)+IF(Roster!$B$16&gt;4,'Wk 1-6 Input'!G59,0)</f>
        <v>0</v>
      </c>
      <c r="G10">
        <f>IF(Roster!$B$16&gt;=5,'Wk 1-6 Input'!H74,0)+IF(Roster!$B$16&gt;5,'Wk 1-6 Input'!G74,0)</f>
        <v>0</v>
      </c>
      <c r="H10">
        <f>IF(Roster!$B$16&gt;=6,'Wk 1-6 Input'!H89,0)+IF(Roster!$B$16&gt;6,'Wk 1-6 Input'!G89,0)</f>
        <v>0</v>
      </c>
      <c r="I10">
        <f t="shared" si="0"/>
        <v>8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0</v>
      </c>
      <c r="K10">
        <f>I10+0.0009</f>
        <v>8.0008999999999997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8</v>
      </c>
      <c r="AF10">
        <f>AE10+0.0009</f>
        <v>8.0008999999999997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11</v>
      </c>
      <c r="D11">
        <f>IF(Roster!$B$16&gt;=2,'Wk 1-6 Input'!H30,0)+IF(Roster!$B$16&gt;2,'Wk 1-6 Input'!G30,0)</f>
        <v>0</v>
      </c>
      <c r="E11">
        <f>IF(Roster!$B$16&gt;=3,'Wk 1-6 Input'!H45,0)+IF(Roster!$B$16&gt;3,'Wk 1-6 Input'!G45,0)</f>
        <v>0</v>
      </c>
      <c r="F11">
        <f>IF(Roster!$B$16&gt;=4,'Wk 1-6 Input'!H60,0)+IF(Roster!$B$16&gt;4,'Wk 1-6 Input'!G60,0)</f>
        <v>0</v>
      </c>
      <c r="G11">
        <f>IF(Roster!$B$16&gt;=5,'Wk 1-6 Input'!H75,0)+IF(Roster!$B$16&gt;5,'Wk 1-6 Input'!G75,0)</f>
        <v>0</v>
      </c>
      <c r="H11">
        <f>IF(Roster!$B$16&gt;=6,'Wk 1-6 Input'!H90,0)+IF(Roster!$B$16&gt;6,'Wk 1-6 Input'!G90,0)</f>
        <v>0</v>
      </c>
      <c r="I11">
        <f t="shared" si="0"/>
        <v>11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0</v>
      </c>
      <c r="K11">
        <f>I11+0.001</f>
        <v>11.000999999999999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11</v>
      </c>
      <c r="AF11">
        <f>AE11+0.001</f>
        <v>11.000999999999999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10</v>
      </c>
      <c r="D12">
        <f>IF(Roster!$B$16&gt;=2,'Wk 1-6 Input'!H31,0)+IF(Roster!$B$16&gt;2,'Wk 1-6 Input'!G31,0)</f>
        <v>0</v>
      </c>
      <c r="E12">
        <f>IF(Roster!$B$16&gt;=3,'Wk 1-6 Input'!H46,0)+IF(Roster!$B$16&gt;3,'Wk 1-6 Input'!G46,0)</f>
        <v>0</v>
      </c>
      <c r="F12">
        <f>IF(Roster!$B$16&gt;=4,'Wk 1-6 Input'!H61,0)+IF(Roster!$B$16&gt;4,'Wk 1-6 Input'!G61,0)</f>
        <v>0</v>
      </c>
      <c r="G12">
        <f>IF(Roster!$B$16&gt;=5,'Wk 1-6 Input'!H76,0)+IF(Roster!$B$16&gt;5,'Wk 1-6 Input'!G76,0)</f>
        <v>0</v>
      </c>
      <c r="H12">
        <f>IF(Roster!$B$16&gt;=6,'Wk 1-6 Input'!H91,0)+IF(Roster!$B$16&gt;6,'Wk 1-6 Input'!G91,0)</f>
        <v>0</v>
      </c>
      <c r="I12">
        <f t="shared" si="0"/>
        <v>10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0</v>
      </c>
      <c r="K12">
        <f>I12+0.0011</f>
        <v>10.001099999999999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10</v>
      </c>
      <c r="AF12">
        <f>AE12+0.0011</f>
        <v>10.001099999999999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8</v>
      </c>
      <c r="D13">
        <f>IF(Roster!$B$16&gt;=2,'Wk 1-6 Input'!H32,0)+IF(Roster!$B$16&gt;2,'Wk 1-6 Input'!G32,0)</f>
        <v>0</v>
      </c>
      <c r="E13">
        <f>IF(Roster!$B$16&gt;=3,'Wk 1-6 Input'!H47,0)+IF(Roster!$B$16&gt;3,'Wk 1-6 Input'!G47,0)</f>
        <v>0</v>
      </c>
      <c r="F13">
        <f>IF(Roster!$B$16&gt;=4,'Wk 1-6 Input'!H62,0)+IF(Roster!$B$16&gt;4,'Wk 1-6 Input'!G62,0)</f>
        <v>0</v>
      </c>
      <c r="G13">
        <f>IF(Roster!$B$16&gt;=5,'Wk 1-6 Input'!H77,0)+IF(Roster!$B$16&gt;5,'Wk 1-6 Input'!G77,0)</f>
        <v>0</v>
      </c>
      <c r="H13">
        <f>IF(Roster!$B$16&gt;=6,'Wk 1-6 Input'!H92,0)+IF(Roster!$B$16&gt;6,'Wk 1-6 Input'!G92,0)</f>
        <v>0</v>
      </c>
      <c r="I13">
        <f t="shared" si="0"/>
        <v>8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0</v>
      </c>
      <c r="K13">
        <f>I13+0.0012</f>
        <v>8.0012000000000008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8</v>
      </c>
      <c r="AF13">
        <f>AE13+0.0012</f>
        <v>8.0012000000000008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2026-09-14T21:16:03Z</dcterms:modified>
  <dc:language>en-US</dc:language>
</cp:coreProperties>
</file>