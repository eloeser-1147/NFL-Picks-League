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04" documentId="11_6034A8D24D14BF460B0C50849224F53B42431133" xr6:coauthVersionLast="47" xr6:coauthVersionMax="47" xr10:uidLastSave="{DE393330-B857-4E66-8FFD-79A02591A362}"/>
  <bookViews>
    <workbookView xWindow="-28920" yWindow="-120" windowWidth="29040" windowHeight="16440" tabRatio="1000" activeTab="2"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C6" i="11" s="1"/>
  <c r="B10" i="3"/>
  <c r="H9" i="3"/>
  <c r="G9" i="3"/>
  <c r="I9" i="3" s="1"/>
  <c r="F9" i="3"/>
  <c r="E9" i="3"/>
  <c r="B9" i="3"/>
  <c r="H8" i="3"/>
  <c r="E8" i="3"/>
  <c r="F8" i="3" s="1"/>
  <c r="G8" i="3" s="1"/>
  <c r="I8" i="3" s="1"/>
  <c r="B8" i="3"/>
  <c r="H7" i="3"/>
  <c r="G7" i="3"/>
  <c r="I7" i="3" s="1"/>
  <c r="F7" i="3"/>
  <c r="E7" i="3"/>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H27" i="5" l="1"/>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13" i="7" l="1"/>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A24" i="10"/>
  <c r="B1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<sst xmlns="http://schemas.openxmlformats.org/spreadsheetml/2006/main" count="804" uniqueCount="281">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</sst>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N24" sqref="N24"/>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17</v>
      </c>
    </row>
    <row r="21" spans="1:4" ht="15" customHeight="1" x14ac:dyDescent="0.25">
      <c r="A21" s="6" t="s">
        <v>280</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1" t="s">
        <v>34</v>
      </c>
      <c r="B1" s="71"/>
      <c r="C1" s="71"/>
      <c r="D1" s="71"/>
      <c r="E1" s="71"/>
      <c r="F1" s="71"/>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1" t="s">
        <v>45</v>
      </c>
      <c r="B68" s="71"/>
      <c r="C68" s="71"/>
      <c r="D68" s="71"/>
      <c r="E68" s="71"/>
      <c r="F68" s="71"/>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1" t="s">
        <v>52</v>
      </c>
      <c r="B135" s="71"/>
      <c r="C135" s="71"/>
      <c r="D135" s="71"/>
      <c r="E135" s="71"/>
      <c r="F135" s="71"/>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tabSelected="1" zoomScaleNormal="100" workbookViewId="0">
      <selection activeCell="L12" sqref="L12"/>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R26" sqref="R26"/>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9" t="s">
        <v>192</v>
      </c>
      <c r="B1" s="79"/>
      <c r="C1" s="79"/>
      <c r="D1" s="79"/>
      <c r="E1" s="79"/>
      <c r="F1" s="79"/>
      <c r="G1" s="79"/>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0</v>
      </c>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16</v>
      </c>
      <c r="C6" s="14">
        <v>0</v>
      </c>
      <c r="D6" s="51">
        <f t="shared" si="0"/>
        <v>2E-3</v>
      </c>
      <c r="E6" s="14"/>
      <c r="F6" s="14">
        <v>0</v>
      </c>
      <c r="G6" s="14">
        <v>0</v>
      </c>
      <c r="H6" s="51">
        <f t="shared" si="1"/>
        <v>10000000.002</v>
      </c>
    </row>
    <row r="7" spans="1:8" ht="15" customHeight="1" x14ac:dyDescent="0.25">
      <c r="A7" s="2">
        <v>3</v>
      </c>
      <c r="B7" s="45" t="str">
        <f>'Playoff Picture'!B21</f>
        <v>Player 4</v>
      </c>
      <c r="C7" s="14">
        <v>0</v>
      </c>
      <c r="D7" s="51">
        <f t="shared" si="0"/>
        <v>3.0000000000000001E-3</v>
      </c>
      <c r="E7" s="14"/>
      <c r="F7" s="14">
        <v>0</v>
      </c>
      <c r="G7" s="14">
        <v>0</v>
      </c>
      <c r="H7" s="51">
        <f t="shared" si="1"/>
        <v>10000000.003</v>
      </c>
    </row>
    <row r="8" spans="1:8" ht="15" customHeight="1" x14ac:dyDescent="0.25">
      <c r="A8" s="2">
        <v>4</v>
      </c>
      <c r="B8" s="45" t="str">
        <f>'Playoff Picture'!B22</f>
        <v>Player 8</v>
      </c>
      <c r="C8" s="14">
        <v>0</v>
      </c>
      <c r="D8" s="51">
        <f t="shared" si="0"/>
        <v>4.0000000000000001E-3</v>
      </c>
      <c r="E8" s="14"/>
      <c r="F8" s="14">
        <v>0</v>
      </c>
      <c r="G8" s="14">
        <v>0</v>
      </c>
      <c r="H8" s="51">
        <f t="shared" si="1"/>
        <v>10000000.004000001</v>
      </c>
    </row>
    <row r="9" spans="1:8" ht="15" customHeight="1" x14ac:dyDescent="0.25">
      <c r="A9" s="2">
        <v>5</v>
      </c>
      <c r="B9" s="45" t="str">
        <f>'Playoff Picture'!B23</f>
        <v>Player 12</v>
      </c>
      <c r="C9" s="14">
        <v>0</v>
      </c>
      <c r="D9" s="51">
        <f t="shared" si="0"/>
        <v>5.0000000000000001E-3</v>
      </c>
      <c r="E9" s="14"/>
      <c r="F9" s="14">
        <v>0</v>
      </c>
      <c r="G9" s="14">
        <v>0</v>
      </c>
      <c r="H9" s="51">
        <f t="shared" si="1"/>
        <v>10000000.005000001</v>
      </c>
    </row>
    <row r="10" spans="1:8" ht="15" customHeight="1" x14ac:dyDescent="0.25">
      <c r="A10" s="2">
        <v>6</v>
      </c>
      <c r="B10" s="45" t="str">
        <f>'Playoff Picture'!B24</f>
        <v>Player 15</v>
      </c>
      <c r="C10" s="14">
        <v>0</v>
      </c>
      <c r="D10" s="51">
        <f t="shared" si="0"/>
        <v>6.0000000000000001E-3</v>
      </c>
      <c r="E10" s="14"/>
      <c r="F10" s="14">
        <v>0</v>
      </c>
      <c r="G10" s="14">
        <v>0</v>
      </c>
      <c r="H10" s="51">
        <f t="shared" si="1"/>
        <v>10000000.005999999</v>
      </c>
    </row>
    <row r="11" spans="1:8" ht="15" customHeight="1" x14ac:dyDescent="0.25">
      <c r="A11" s="2">
        <v>7</v>
      </c>
      <c r="B11" s="45" t="str">
        <f>'Playoff Picture'!B25</f>
        <v>Player 14</v>
      </c>
      <c r="C11" s="14">
        <v>0</v>
      </c>
      <c r="D11" s="51">
        <f t="shared" si="0"/>
        <v>7.0000000000000001E-3</v>
      </c>
      <c r="E11" s="14"/>
      <c r="F11" s="14">
        <v>0</v>
      </c>
      <c r="G11" s="14">
        <v>0</v>
      </c>
      <c r="H11" s="51">
        <f t="shared" si="1"/>
        <v>10000000.006999999</v>
      </c>
    </row>
    <row r="12" spans="1:8" ht="15" customHeight="1" x14ac:dyDescent="0.25">
      <c r="A12" s="2">
        <v>8</v>
      </c>
      <c r="B12" s="45" t="str">
        <f>'Playoff Picture'!B26</f>
        <v>Player 13</v>
      </c>
      <c r="C12" s="14">
        <v>0</v>
      </c>
      <c r="D12" s="51">
        <f t="shared" si="0"/>
        <v>8.0000000000000002E-3</v>
      </c>
      <c r="E12" s="14"/>
      <c r="F12" s="14">
        <v>0</v>
      </c>
      <c r="G12" s="14">
        <v>0</v>
      </c>
      <c r="H12" s="51">
        <f t="shared" si="1"/>
        <v>10000000.007999999</v>
      </c>
    </row>
    <row r="14" spans="1:8" ht="15" customHeight="1" x14ac:dyDescent="0.25">
      <c r="A14" s="78" t="s">
        <v>199</v>
      </c>
      <c r="B14" s="78"/>
      <c r="C14" s="78"/>
      <c r="D14" s="78"/>
      <c r="E14" s="78"/>
      <c r="F14" s="78"/>
      <c r="G14" s="78"/>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13</v>
      </c>
      <c r="C16" s="2">
        <f>INDEX($C$5:$C$12,MATCH(LARGE($H$5:$H$12,1),$H$5:$H$12,0))</f>
        <v>0</v>
      </c>
      <c r="D16" s="2"/>
      <c r="E16" s="36" t="s">
        <v>200</v>
      </c>
    </row>
    <row r="17" spans="1:5" ht="15" customHeight="1" x14ac:dyDescent="0.25">
      <c r="A17" s="44">
        <v>2</v>
      </c>
      <c r="B17" s="44" t="str">
        <f>INDEX($B$5:$B$12,MATCH(LARGE($H$5:$H$12,2),$H$5:$H$12,0))</f>
        <v>Player 14</v>
      </c>
      <c r="C17" s="2">
        <f>INDEX($C$5:$C$12,MATCH(LARGE($H$5:$H$12,2),$H$5:$H$12,0))</f>
        <v>0</v>
      </c>
      <c r="D17" s="2"/>
      <c r="E17" s="36" t="s">
        <v>200</v>
      </c>
    </row>
    <row r="18" spans="1:5" ht="15" customHeight="1" x14ac:dyDescent="0.25">
      <c r="A18" s="44">
        <v>3</v>
      </c>
      <c r="B18" s="44" t="str">
        <f>INDEX($B$5:$B$12,MATCH(LARGE($H$5:$H$12,3),$H$5:$H$12,0))</f>
        <v>Player 15</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16</v>
      </c>
      <c r="C22" s="2">
        <f>INDEX($C$5:$C$12,MATCH(LARGE($H$5:$H$12,7),$H$5:$H$12,0))</f>
        <v>0</v>
      </c>
      <c r="D22" s="2"/>
      <c r="E22" s="53" t="s">
        <v>201</v>
      </c>
    </row>
    <row r="23" spans="1:5" ht="15" customHeight="1" x14ac:dyDescent="0.25">
      <c r="A23" s="44">
        <v>8</v>
      </c>
      <c r="B23" s="44" t="str">
        <f>INDEX($B$5:$B$12,MATCH(LARGE($H$5:$H$12,8),$H$5:$H$12,0))</f>
        <v>Player 1</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13</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14</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15</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6" t="s">
        <v>216</v>
      </c>
      <c r="B11" s="76"/>
      <c r="C11" s="76"/>
      <c r="D11" s="76"/>
      <c r="E11" s="76"/>
      <c r="F11" s="76"/>
      <c r="G11" s="76"/>
      <c r="H11" s="76"/>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15</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14</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13</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8" t="s">
        <v>229</v>
      </c>
      <c r="B20" s="78"/>
      <c r="C20" s="78"/>
      <c r="D20" s="78"/>
    </row>
    <row r="21" spans="1:4" ht="21.75" customHeight="1" x14ac:dyDescent="0.25">
      <c r="A21" s="41" t="s">
        <v>106</v>
      </c>
      <c r="B21" s="41" t="s">
        <v>230</v>
      </c>
      <c r="C21" s="41" t="s">
        <v>231</v>
      </c>
      <c r="D21" s="41" t="s">
        <v>232</v>
      </c>
    </row>
    <row r="22" spans="1:4" ht="15" customHeight="1" x14ac:dyDescent="0.25">
      <c r="A22" s="45" t="str">
        <f>$A$6</f>
        <v>Player 13</v>
      </c>
      <c r="B22" s="14">
        <v>0</v>
      </c>
      <c r="C22" s="14">
        <v>0</v>
      </c>
      <c r="D22" s="44">
        <f>ABS(B22-C22)</f>
        <v>0</v>
      </c>
    </row>
    <row r="23" spans="1:4" ht="15" customHeight="1" x14ac:dyDescent="0.25">
      <c r="A23" s="45" t="str">
        <f>$A$7</f>
        <v>Player 14</v>
      </c>
      <c r="B23" s="14">
        <v>0</v>
      </c>
      <c r="C23" s="2">
        <f>C22</f>
        <v>0</v>
      </c>
      <c r="D23" s="44">
        <f>ABS(B23-C23)</f>
        <v>0</v>
      </c>
    </row>
    <row r="24" spans="1:4" ht="15" customHeight="1" x14ac:dyDescent="0.25">
      <c r="A24" s="45" t="str">
        <f>$A$8</f>
        <v>Player 15</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G18" sqref="G18"/>
    </sheetView>
  </sheetViews>
  <sheetFormatPr defaultColWidth="8.7109375" defaultRowHeight="15" x14ac:dyDescent="0.25"/>
  <cols>
    <col min="1" max="1" width="5" customWidth="1"/>
    <col min="2" max="3" width="14" customWidth="1"/>
  </cols>
  <sheetData>
    <row r="1" spans="1:3" ht="15.75" x14ac:dyDescent="0.25">
      <c r="A1" s="82" t="s">
        <v>95</v>
      </c>
      <c r="B1" s="82"/>
      <c r="C1" s="82"/>
    </row>
    <row r="2" spans="1:3" ht="23.85" customHeight="1" x14ac:dyDescent="0.25">
      <c r="A2" s="83" t="s">
        <v>96</v>
      </c>
      <c r="B2" s="83"/>
      <c r="C2" s="83"/>
    </row>
    <row r="3" spans="1:3" ht="37.35" customHeight="1" x14ac:dyDescent="0.25">
      <c r="A3" s="84" t="s">
        <v>97</v>
      </c>
      <c r="B3" s="84"/>
      <c r="C3" s="84"/>
    </row>
    <row r="5" spans="1:3" x14ac:dyDescent="0.25">
      <c r="A5" s="85" t="s">
        <v>98</v>
      </c>
      <c r="B5" s="85"/>
      <c r="C5" s="85"/>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6" t="s">
        <v>101</v>
      </c>
      <c r="B14" s="86"/>
      <c r="C14" s="86"/>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80" t="s">
        <v>102</v>
      </c>
      <c r="B21" s="80"/>
      <c r="C21" s="80"/>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81" t="s">
        <v>103</v>
      </c>
      <c r="B26" s="81"/>
      <c r="C26" s="81"/>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6" t="s">
        <v>158</v>
      </c>
      <c r="B3" s="76"/>
      <c r="C3" s="76"/>
      <c r="D3" s="76"/>
      <c r="E3" s="76"/>
      <c r="F3" s="76"/>
      <c r="G3" s="76"/>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7" t="s">
        <v>175</v>
      </c>
      <c r="B12" s="77"/>
      <c r="C12" s="77"/>
      <c r="D12" s="77"/>
      <c r="E12" s="77"/>
      <c r="F12" s="77"/>
      <c r="G12" s="77"/>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14</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13</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8" t="s">
        <v>180</v>
      </c>
      <c r="B17" s="78"/>
      <c r="C17" s="78"/>
      <c r="D17" s="78"/>
      <c r="E17" s="78"/>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16</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15</v>
      </c>
      <c r="C24" s="2" t="s">
        <v>185</v>
      </c>
      <c r="D24" s="32"/>
      <c r="E24" s="32"/>
      <c r="F24" s="32"/>
      <c r="G24" s="32"/>
      <c r="H24" s="32"/>
      <c r="I24" s="32"/>
      <c r="J24" s="32"/>
    </row>
    <row r="25" spans="1:10" ht="15" customHeight="1" x14ac:dyDescent="0.25">
      <c r="A25" s="2">
        <v>7</v>
      </c>
      <c r="B25" s="44" t="str">
        <f>B14</f>
        <v>Player 14</v>
      </c>
      <c r="C25" s="2" t="s">
        <v>177</v>
      </c>
      <c r="D25" s="32"/>
      <c r="E25" s="32"/>
      <c r="F25" s="32"/>
      <c r="G25" s="32"/>
      <c r="H25" s="32"/>
      <c r="I25" s="32"/>
      <c r="J25" s="32"/>
    </row>
    <row r="26" spans="1:10" ht="15" customHeight="1" x14ac:dyDescent="0.25">
      <c r="A26" s="2">
        <v>8</v>
      </c>
      <c r="B26" s="44" t="str">
        <f>B15</f>
        <v>Player 13</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6" t="s">
        <v>186</v>
      </c>
      <c r="B28" s="76"/>
      <c r="C28" s="76"/>
      <c r="D28" s="76"/>
      <c r="E28" s="76"/>
      <c r="F28" s="76"/>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35</v>
      </c>
      <c r="F43" s="47">
        <f t="shared" si="3"/>
        <v>35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75</v>
      </c>
      <c r="F44" s="47">
        <f t="shared" si="3"/>
        <v>75</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75" t="s">
        <v>191</v>
      </c>
      <c r="B46" s="7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6" t="s">
        <v>104</v>
      </c>
      <c r="B1" s="76"/>
      <c r="C1" s="76"/>
      <c r="D1" s="76"/>
      <c r="E1" s="76"/>
      <c r="F1" s="76"/>
      <c r="G1" s="76"/>
      <c r="H1" s="76"/>
      <c r="I1" s="76"/>
      <c r="J1" s="76"/>
      <c r="K1" s="76"/>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8" t="s">
        <v>136</v>
      </c>
      <c r="B69" s="78"/>
      <c r="C69" s="78"/>
      <c r="D69" s="78"/>
      <c r="E69" s="78"/>
      <c r="F69" s="78"/>
      <c r="G69" s="78"/>
      <c r="H69" s="78"/>
      <c r="I69" s="78"/>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0</v>
      </c>
      <c r="F71" s="19">
        <f>INDEX(Helper!$AE$2:$AE$17,MATCH(LARGE(Helper!$AM$2:$AM$17,1),Helper!$AM$2:$AM$17,0))</f>
        <v>14</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8" t="s">
        <v>143</v>
      </c>
      <c r="B89" s="78"/>
      <c r="C89" s="78"/>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B7" sqref="B7"/>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278</v>
      </c>
      <c r="C7" s="69" t="s">
        <v>279</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2026-09-04T03:34:04Z</dcterms:modified>
  <dc:language>en-US</dc:language>
</cp:coreProperties>
</file>