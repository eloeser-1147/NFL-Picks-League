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4" documentId="11_DE439499270005C77D6734D2229C51C7E1365EA4" xr6:coauthVersionLast="47" xr6:coauthVersionMax="47" xr10:uidLastSave="{7FB8BBA8-F182-43F9-B3C4-F12BD3AEB144}"/>
  <bookViews>
    <workbookView xWindow="-57720" yWindow="-120" windowWidth="29040" windowHeight="16440" tabRatio="836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D25" i="9"/>
  <c r="C25" i="9"/>
  <c r="D24" i="9"/>
  <c r="L8" i="9" s="1"/>
  <c r="C24" i="9"/>
  <c r="C23" i="9"/>
  <c r="D23" i="9" s="1"/>
  <c r="L7" i="9" s="1"/>
  <c r="D22" i="9"/>
  <c r="L6" i="9" s="1"/>
  <c r="L9" i="9"/>
  <c r="H9" i="9"/>
  <c r="F9" i="9"/>
  <c r="D9" i="9"/>
  <c r="H8" i="9"/>
  <c r="F8" i="9"/>
  <c r="D8" i="9"/>
  <c r="H7" i="9"/>
  <c r="F7" i="9"/>
  <c r="D7" i="9"/>
  <c r="H6" i="9"/>
  <c r="F6" i="9"/>
  <c r="D6" i="9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C22" i="8" s="1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G116" i="5"/>
  <c r="F116" i="5"/>
  <c r="Z17" i="10" s="1"/>
  <c r="E116" i="5"/>
  <c r="B116" i="5"/>
  <c r="I115" i="5"/>
  <c r="H115" i="5"/>
  <c r="F115" i="5"/>
  <c r="Z16" i="10" s="1"/>
  <c r="E115" i="5"/>
  <c r="B115" i="5"/>
  <c r="I114" i="5"/>
  <c r="G114" i="5"/>
  <c r="F114" i="5"/>
  <c r="Z15" i="10" s="1"/>
  <c r="E114" i="5"/>
  <c r="B114" i="5"/>
  <c r="I113" i="5"/>
  <c r="H113" i="5"/>
  <c r="F113" i="5"/>
  <c r="Z14" i="10" s="1"/>
  <c r="E113" i="5"/>
  <c r="B113" i="5"/>
  <c r="I112" i="5"/>
  <c r="F112" i="5"/>
  <c r="Z13" i="10" s="1"/>
  <c r="E112" i="5"/>
  <c r="B112" i="5"/>
  <c r="I111" i="5"/>
  <c r="H111" i="5"/>
  <c r="F111" i="5"/>
  <c r="Z12" i="10" s="1"/>
  <c r="E111" i="5"/>
  <c r="B111" i="5"/>
  <c r="I110" i="5"/>
  <c r="F110" i="5"/>
  <c r="Z11" i="10" s="1"/>
  <c r="E110" i="5"/>
  <c r="B110" i="5"/>
  <c r="I109" i="5"/>
  <c r="H109" i="5"/>
  <c r="F109" i="5"/>
  <c r="Z10" i="10" s="1"/>
  <c r="E109" i="5"/>
  <c r="B109" i="5"/>
  <c r="I108" i="5"/>
  <c r="F108" i="5"/>
  <c r="Z9" i="10" s="1"/>
  <c r="E108" i="5"/>
  <c r="B108" i="5"/>
  <c r="I107" i="5"/>
  <c r="H107" i="5"/>
  <c r="F107" i="5"/>
  <c r="Z8" i="10" s="1"/>
  <c r="E107" i="5"/>
  <c r="B107" i="5"/>
  <c r="I106" i="5"/>
  <c r="F106" i="5"/>
  <c r="Z7" i="10" s="1"/>
  <c r="E106" i="5"/>
  <c r="B106" i="5"/>
  <c r="I105" i="5"/>
  <c r="H105" i="5"/>
  <c r="F105" i="5"/>
  <c r="Z6" i="10" s="1"/>
  <c r="E105" i="5"/>
  <c r="B105" i="5"/>
  <c r="I104" i="5"/>
  <c r="F104" i="5"/>
  <c r="Z5" i="10" s="1"/>
  <c r="E104" i="5"/>
  <c r="B104" i="5"/>
  <c r="I103" i="5"/>
  <c r="F103" i="5"/>
  <c r="Z4" i="10" s="1"/>
  <c r="E103" i="5"/>
  <c r="B103" i="5"/>
  <c r="I102" i="5"/>
  <c r="F102" i="5"/>
  <c r="Z3" i="10" s="1"/>
  <c r="E102" i="5"/>
  <c r="B102" i="5"/>
  <c r="I101" i="5"/>
  <c r="F101" i="5"/>
  <c r="Z2" i="10" s="1"/>
  <c r="E101" i="5"/>
  <c r="B101" i="5"/>
  <c r="I97" i="5"/>
  <c r="F97" i="5"/>
  <c r="Y17" i="10" s="1"/>
  <c r="E97" i="5"/>
  <c r="B97" i="5"/>
  <c r="I96" i="5"/>
  <c r="F96" i="5"/>
  <c r="Y16" i="10" s="1"/>
  <c r="E96" i="5"/>
  <c r="B96" i="5"/>
  <c r="I95" i="5"/>
  <c r="F95" i="5"/>
  <c r="Y15" i="10" s="1"/>
  <c r="E95" i="5"/>
  <c r="B95" i="5"/>
  <c r="I94" i="5"/>
  <c r="F94" i="5"/>
  <c r="Y14" i="10" s="1"/>
  <c r="E94" i="5"/>
  <c r="B94" i="5"/>
  <c r="I93" i="5"/>
  <c r="F93" i="5"/>
  <c r="Y13" i="10" s="1"/>
  <c r="E93" i="5"/>
  <c r="B93" i="5"/>
  <c r="I92" i="5"/>
  <c r="F92" i="5"/>
  <c r="Y12" i="10" s="1"/>
  <c r="E92" i="5"/>
  <c r="B92" i="5"/>
  <c r="I91" i="5"/>
  <c r="F91" i="5"/>
  <c r="Y11" i="10" s="1"/>
  <c r="E91" i="5"/>
  <c r="B91" i="5"/>
  <c r="I90" i="5"/>
  <c r="F90" i="5"/>
  <c r="Y10" i="10" s="1"/>
  <c r="E90" i="5"/>
  <c r="B90" i="5"/>
  <c r="I89" i="5"/>
  <c r="F89" i="5"/>
  <c r="Y9" i="10" s="1"/>
  <c r="E89" i="5"/>
  <c r="B89" i="5"/>
  <c r="I88" i="5"/>
  <c r="F88" i="5"/>
  <c r="Y8" i="10" s="1"/>
  <c r="E88" i="5"/>
  <c r="B88" i="5"/>
  <c r="I87" i="5"/>
  <c r="F87" i="5"/>
  <c r="Y7" i="10" s="1"/>
  <c r="E87" i="5"/>
  <c r="B87" i="5"/>
  <c r="I86" i="5"/>
  <c r="F86" i="5"/>
  <c r="Y6" i="10" s="1"/>
  <c r="E86" i="5"/>
  <c r="B86" i="5"/>
  <c r="I85" i="5"/>
  <c r="F85" i="5"/>
  <c r="Y5" i="10" s="1"/>
  <c r="E85" i="5"/>
  <c r="B85" i="5"/>
  <c r="I84" i="5"/>
  <c r="F84" i="5"/>
  <c r="Y4" i="10" s="1"/>
  <c r="E84" i="5"/>
  <c r="B84" i="5"/>
  <c r="I83" i="5"/>
  <c r="F83" i="5"/>
  <c r="Y3" i="10" s="1"/>
  <c r="E83" i="5"/>
  <c r="B83" i="5"/>
  <c r="I82" i="5"/>
  <c r="F82" i="5"/>
  <c r="Y2" i="10" s="1"/>
  <c r="E82" i="5"/>
  <c r="B82" i="5"/>
  <c r="I78" i="5"/>
  <c r="F78" i="5"/>
  <c r="X17" i="10" s="1"/>
  <c r="E78" i="5"/>
  <c r="B78" i="5"/>
  <c r="I77" i="5"/>
  <c r="F77" i="5"/>
  <c r="X16" i="10" s="1"/>
  <c r="E77" i="5"/>
  <c r="B77" i="5"/>
  <c r="I76" i="5"/>
  <c r="F76" i="5"/>
  <c r="X15" i="10" s="1"/>
  <c r="E76" i="5"/>
  <c r="B76" i="5"/>
  <c r="I75" i="5"/>
  <c r="F75" i="5"/>
  <c r="X14" i="10" s="1"/>
  <c r="E75" i="5"/>
  <c r="B75" i="5"/>
  <c r="I74" i="5"/>
  <c r="F74" i="5"/>
  <c r="X13" i="10" s="1"/>
  <c r="E74" i="5"/>
  <c r="B74" i="5"/>
  <c r="I73" i="5"/>
  <c r="F73" i="5"/>
  <c r="X12" i="10" s="1"/>
  <c r="E73" i="5"/>
  <c r="B73" i="5"/>
  <c r="I72" i="5"/>
  <c r="F72" i="5"/>
  <c r="X11" i="10" s="1"/>
  <c r="E72" i="5"/>
  <c r="B72" i="5"/>
  <c r="I71" i="5"/>
  <c r="F71" i="5"/>
  <c r="X10" i="10" s="1"/>
  <c r="E71" i="5"/>
  <c r="B71" i="5"/>
  <c r="I70" i="5"/>
  <c r="F70" i="5"/>
  <c r="X9" i="10" s="1"/>
  <c r="E70" i="5"/>
  <c r="B70" i="5"/>
  <c r="I69" i="5"/>
  <c r="F69" i="5"/>
  <c r="X8" i="10" s="1"/>
  <c r="E69" i="5"/>
  <c r="B69" i="5"/>
  <c r="I68" i="5"/>
  <c r="F68" i="5"/>
  <c r="X7" i="10" s="1"/>
  <c r="E68" i="5"/>
  <c r="B68" i="5"/>
  <c r="I67" i="5"/>
  <c r="F67" i="5"/>
  <c r="X6" i="10" s="1"/>
  <c r="E67" i="5"/>
  <c r="B67" i="5"/>
  <c r="I66" i="5"/>
  <c r="F66" i="5"/>
  <c r="X5" i="10" s="1"/>
  <c r="E66" i="5"/>
  <c r="B66" i="5"/>
  <c r="I65" i="5"/>
  <c r="F65" i="5"/>
  <c r="X4" i="10" s="1"/>
  <c r="E65" i="5"/>
  <c r="B65" i="5"/>
  <c r="I64" i="5"/>
  <c r="F64" i="5"/>
  <c r="X3" i="10" s="1"/>
  <c r="E64" i="5"/>
  <c r="B64" i="5"/>
  <c r="I63" i="5"/>
  <c r="F63" i="5"/>
  <c r="X2" i="10" s="1"/>
  <c r="E63" i="5"/>
  <c r="B63" i="5"/>
  <c r="I59" i="5"/>
  <c r="F59" i="5"/>
  <c r="W17" i="10" s="1"/>
  <c r="E59" i="5"/>
  <c r="B59" i="5"/>
  <c r="I58" i="5"/>
  <c r="F58" i="5"/>
  <c r="W16" i="10" s="1"/>
  <c r="E58" i="5"/>
  <c r="B58" i="5"/>
  <c r="I57" i="5"/>
  <c r="F57" i="5"/>
  <c r="W15" i="10" s="1"/>
  <c r="E57" i="5"/>
  <c r="B57" i="5"/>
  <c r="I56" i="5"/>
  <c r="F56" i="5"/>
  <c r="W14" i="10" s="1"/>
  <c r="E56" i="5"/>
  <c r="B56" i="5"/>
  <c r="I55" i="5"/>
  <c r="F55" i="5"/>
  <c r="W13" i="10" s="1"/>
  <c r="E55" i="5"/>
  <c r="B55" i="5"/>
  <c r="I54" i="5"/>
  <c r="F54" i="5"/>
  <c r="W12" i="10" s="1"/>
  <c r="E54" i="5"/>
  <c r="B54" i="5"/>
  <c r="I53" i="5"/>
  <c r="F53" i="5"/>
  <c r="W11" i="10" s="1"/>
  <c r="E53" i="5"/>
  <c r="B53" i="5"/>
  <c r="I52" i="5"/>
  <c r="F52" i="5"/>
  <c r="W10" i="10" s="1"/>
  <c r="E52" i="5"/>
  <c r="B52" i="5"/>
  <c r="I51" i="5"/>
  <c r="F51" i="5"/>
  <c r="W9" i="10" s="1"/>
  <c r="E51" i="5"/>
  <c r="B51" i="5"/>
  <c r="I50" i="5"/>
  <c r="F50" i="5"/>
  <c r="E50" i="5"/>
  <c r="B50" i="5"/>
  <c r="I49" i="5"/>
  <c r="F49" i="5"/>
  <c r="E49" i="5"/>
  <c r="B49" i="5"/>
  <c r="I48" i="5"/>
  <c r="F48" i="5"/>
  <c r="E48" i="5"/>
  <c r="B48" i="5"/>
  <c r="I47" i="5"/>
  <c r="F47" i="5"/>
  <c r="E47" i="5"/>
  <c r="B47" i="5"/>
  <c r="I46" i="5"/>
  <c r="F46" i="5"/>
  <c r="E46" i="5"/>
  <c r="B46" i="5"/>
  <c r="I45" i="5"/>
  <c r="F45" i="5"/>
  <c r="E45" i="5"/>
  <c r="B45" i="5"/>
  <c r="I44" i="5"/>
  <c r="F44" i="5"/>
  <c r="E44" i="5"/>
  <c r="B44" i="5"/>
  <c r="I40" i="5"/>
  <c r="F40" i="5"/>
  <c r="E40" i="5"/>
  <c r="B40" i="5"/>
  <c r="I39" i="5"/>
  <c r="F39" i="5"/>
  <c r="E39" i="5"/>
  <c r="B39" i="5"/>
  <c r="I38" i="5"/>
  <c r="F38" i="5"/>
  <c r="E38" i="5"/>
  <c r="B38" i="5"/>
  <c r="I37" i="5"/>
  <c r="F37" i="5"/>
  <c r="E37" i="5"/>
  <c r="B37" i="5"/>
  <c r="I36" i="5"/>
  <c r="F36" i="5"/>
  <c r="E36" i="5"/>
  <c r="B36" i="5"/>
  <c r="I35" i="5"/>
  <c r="F35" i="5"/>
  <c r="E35" i="5"/>
  <c r="B35" i="5"/>
  <c r="I34" i="5"/>
  <c r="F34" i="5"/>
  <c r="E34" i="5"/>
  <c r="B34" i="5"/>
  <c r="I33" i="5"/>
  <c r="F33" i="5"/>
  <c r="E33" i="5"/>
  <c r="B33" i="5"/>
  <c r="I32" i="5"/>
  <c r="F32" i="5"/>
  <c r="E32" i="5"/>
  <c r="B32" i="5"/>
  <c r="I31" i="5"/>
  <c r="F31" i="5"/>
  <c r="E31" i="5"/>
  <c r="B31" i="5"/>
  <c r="I30" i="5"/>
  <c r="F30" i="5"/>
  <c r="E30" i="5"/>
  <c r="B30" i="5"/>
  <c r="I29" i="5"/>
  <c r="F29" i="5"/>
  <c r="E29" i="5"/>
  <c r="B29" i="5"/>
  <c r="I28" i="5"/>
  <c r="F28" i="5"/>
  <c r="E28" i="5"/>
  <c r="B28" i="5"/>
  <c r="I27" i="5"/>
  <c r="F27" i="5"/>
  <c r="E27" i="5"/>
  <c r="B27" i="5"/>
  <c r="I26" i="5"/>
  <c r="F26" i="5"/>
  <c r="E26" i="5"/>
  <c r="B26" i="5"/>
  <c r="I25" i="5"/>
  <c r="F25" i="5"/>
  <c r="E25" i="5"/>
  <c r="B25" i="5"/>
  <c r="I21" i="5"/>
  <c r="AC17" i="10" s="1"/>
  <c r="F21" i="5"/>
  <c r="E21" i="5"/>
  <c r="B21" i="5"/>
  <c r="I20" i="5"/>
  <c r="F20" i="5"/>
  <c r="E20" i="5"/>
  <c r="B20" i="5"/>
  <c r="I19" i="5"/>
  <c r="AC15" i="10" s="1"/>
  <c r="F19" i="5"/>
  <c r="E19" i="5"/>
  <c r="B19" i="5"/>
  <c r="I18" i="5"/>
  <c r="F18" i="5"/>
  <c r="E18" i="5"/>
  <c r="B18" i="5"/>
  <c r="I17" i="5"/>
  <c r="AC13" i="10" s="1"/>
  <c r="F17" i="5"/>
  <c r="E17" i="5"/>
  <c r="B17" i="5"/>
  <c r="I16" i="5"/>
  <c r="AC12" i="10" s="1"/>
  <c r="F16" i="5"/>
  <c r="E16" i="5"/>
  <c r="B16" i="5"/>
  <c r="I15" i="5"/>
  <c r="AC11" i="10" s="1"/>
  <c r="F15" i="5"/>
  <c r="E15" i="5"/>
  <c r="B15" i="5"/>
  <c r="I14" i="5"/>
  <c r="F14" i="5"/>
  <c r="E14" i="5"/>
  <c r="B14" i="5"/>
  <c r="I13" i="5"/>
  <c r="AC9" i="10" s="1"/>
  <c r="F13" i="5"/>
  <c r="E13" i="5"/>
  <c r="B13" i="5"/>
  <c r="I12" i="5"/>
  <c r="F12" i="5"/>
  <c r="E12" i="5"/>
  <c r="B12" i="5"/>
  <c r="I11" i="5"/>
  <c r="AC7" i="10" s="1"/>
  <c r="F11" i="5"/>
  <c r="E11" i="5"/>
  <c r="B11" i="5"/>
  <c r="I10" i="5"/>
  <c r="AC6" i="10" s="1"/>
  <c r="F10" i="5"/>
  <c r="E10" i="5"/>
  <c r="B10" i="5"/>
  <c r="I9" i="5"/>
  <c r="AC5" i="10" s="1"/>
  <c r="F9" i="5"/>
  <c r="E9" i="5"/>
  <c r="B9" i="5"/>
  <c r="I8" i="5"/>
  <c r="AC4" i="10" s="1"/>
  <c r="F8" i="5"/>
  <c r="E8" i="5"/>
  <c r="B8" i="5"/>
  <c r="I7" i="5"/>
  <c r="AC3" i="10" s="1"/>
  <c r="F7" i="5"/>
  <c r="E7" i="5"/>
  <c r="B7" i="5"/>
  <c r="I6" i="5"/>
  <c r="F6" i="5"/>
  <c r="E6" i="5"/>
  <c r="B6" i="5"/>
  <c r="H116" i="4"/>
  <c r="F116" i="4"/>
  <c r="G116" i="4" s="1"/>
  <c r="I116" i="4" s="1"/>
  <c r="Q17" i="10" s="1"/>
  <c r="E116" i="4"/>
  <c r="B116" i="4"/>
  <c r="I115" i="4"/>
  <c r="Q16" i="10" s="1"/>
  <c r="H115" i="4"/>
  <c r="F115" i="4"/>
  <c r="G115" i="4" s="1"/>
  <c r="E115" i="4"/>
  <c r="B115" i="4"/>
  <c r="H114" i="4"/>
  <c r="F114" i="4"/>
  <c r="G114" i="4" s="1"/>
  <c r="I114" i="4" s="1"/>
  <c r="Q15" i="10" s="1"/>
  <c r="E114" i="4"/>
  <c r="B114" i="4"/>
  <c r="I113" i="4"/>
  <c r="Q14" i="10" s="1"/>
  <c r="H113" i="4"/>
  <c r="F113" i="4"/>
  <c r="G113" i="4" s="1"/>
  <c r="E113" i="4"/>
  <c r="B113" i="4"/>
  <c r="H112" i="4"/>
  <c r="F112" i="4"/>
  <c r="G112" i="4" s="1"/>
  <c r="I112" i="4" s="1"/>
  <c r="Q13" i="10" s="1"/>
  <c r="E112" i="4"/>
  <c r="B112" i="4"/>
  <c r="H111" i="4"/>
  <c r="F111" i="4"/>
  <c r="G111" i="4" s="1"/>
  <c r="I111" i="4" s="1"/>
  <c r="Q12" i="10" s="1"/>
  <c r="E111" i="4"/>
  <c r="B111" i="4"/>
  <c r="H110" i="4"/>
  <c r="F110" i="4"/>
  <c r="G110" i="4" s="1"/>
  <c r="I110" i="4" s="1"/>
  <c r="Q11" i="10" s="1"/>
  <c r="E110" i="4"/>
  <c r="B110" i="4"/>
  <c r="H109" i="4"/>
  <c r="F109" i="4"/>
  <c r="G109" i="4" s="1"/>
  <c r="I109" i="4" s="1"/>
  <c r="Q10" i="10" s="1"/>
  <c r="E109" i="4"/>
  <c r="B109" i="4"/>
  <c r="H108" i="4"/>
  <c r="F108" i="4"/>
  <c r="G108" i="4" s="1"/>
  <c r="I108" i="4" s="1"/>
  <c r="Q9" i="10" s="1"/>
  <c r="E108" i="4"/>
  <c r="B108" i="4"/>
  <c r="I107" i="4"/>
  <c r="Q8" i="10" s="1"/>
  <c r="H107" i="4"/>
  <c r="F107" i="4"/>
  <c r="G107" i="4" s="1"/>
  <c r="E107" i="4"/>
  <c r="B107" i="4"/>
  <c r="H106" i="4"/>
  <c r="F106" i="4"/>
  <c r="G106" i="4" s="1"/>
  <c r="I106" i="4" s="1"/>
  <c r="Q7" i="10" s="1"/>
  <c r="E106" i="4"/>
  <c r="B106" i="4"/>
  <c r="I105" i="4"/>
  <c r="Q6" i="10" s="1"/>
  <c r="H105" i="4"/>
  <c r="F105" i="4"/>
  <c r="G105" i="4" s="1"/>
  <c r="E105" i="4"/>
  <c r="B105" i="4"/>
  <c r="H104" i="4"/>
  <c r="F104" i="4"/>
  <c r="G104" i="4" s="1"/>
  <c r="I104" i="4" s="1"/>
  <c r="Q5" i="10" s="1"/>
  <c r="E104" i="4"/>
  <c r="B104" i="4"/>
  <c r="H103" i="4"/>
  <c r="F103" i="4"/>
  <c r="G103" i="4" s="1"/>
  <c r="I103" i="4" s="1"/>
  <c r="Q4" i="10" s="1"/>
  <c r="E103" i="4"/>
  <c r="B103" i="4"/>
  <c r="H102" i="4"/>
  <c r="F102" i="4"/>
  <c r="G102" i="4" s="1"/>
  <c r="I102" i="4" s="1"/>
  <c r="Q3" i="10" s="1"/>
  <c r="E102" i="4"/>
  <c r="B102" i="4"/>
  <c r="H101" i="4"/>
  <c r="F101" i="4"/>
  <c r="G101" i="4" s="1"/>
  <c r="I101" i="4" s="1"/>
  <c r="Q2" i="10" s="1"/>
  <c r="E101" i="4"/>
  <c r="B101" i="4"/>
  <c r="H97" i="4"/>
  <c r="F97" i="4"/>
  <c r="G97" i="4" s="1"/>
  <c r="I97" i="4" s="1"/>
  <c r="P17" i="10" s="1"/>
  <c r="E97" i="4"/>
  <c r="B97" i="4"/>
  <c r="I96" i="4"/>
  <c r="P16" i="10" s="1"/>
  <c r="H96" i="4"/>
  <c r="F96" i="4"/>
  <c r="G96" i="4" s="1"/>
  <c r="E96" i="4"/>
  <c r="B96" i="4"/>
  <c r="H95" i="4"/>
  <c r="F95" i="4"/>
  <c r="G95" i="4" s="1"/>
  <c r="I95" i="4" s="1"/>
  <c r="P15" i="10" s="1"/>
  <c r="E95" i="4"/>
  <c r="B95" i="4"/>
  <c r="I94" i="4"/>
  <c r="P14" i="10" s="1"/>
  <c r="H94" i="4"/>
  <c r="F94" i="4"/>
  <c r="G94" i="4" s="1"/>
  <c r="E94" i="4"/>
  <c r="B94" i="4"/>
  <c r="H93" i="4"/>
  <c r="F93" i="4"/>
  <c r="G93" i="4" s="1"/>
  <c r="I93" i="4" s="1"/>
  <c r="P13" i="10" s="1"/>
  <c r="E93" i="4"/>
  <c r="B93" i="4"/>
  <c r="H92" i="4"/>
  <c r="F92" i="4"/>
  <c r="G92" i="4" s="1"/>
  <c r="I92" i="4" s="1"/>
  <c r="P12" i="10" s="1"/>
  <c r="E92" i="4"/>
  <c r="B92" i="4"/>
  <c r="H91" i="4"/>
  <c r="F91" i="4"/>
  <c r="G91" i="4" s="1"/>
  <c r="I91" i="4" s="1"/>
  <c r="P11" i="10" s="1"/>
  <c r="E91" i="4"/>
  <c r="B91" i="4"/>
  <c r="H90" i="4"/>
  <c r="F90" i="4"/>
  <c r="G90" i="4" s="1"/>
  <c r="I90" i="4" s="1"/>
  <c r="P10" i="10" s="1"/>
  <c r="E90" i="4"/>
  <c r="B90" i="4"/>
  <c r="H89" i="4"/>
  <c r="F89" i="4"/>
  <c r="G89" i="4" s="1"/>
  <c r="I89" i="4" s="1"/>
  <c r="P9" i="10" s="1"/>
  <c r="E89" i="4"/>
  <c r="B89" i="4"/>
  <c r="I88" i="4"/>
  <c r="P8" i="10" s="1"/>
  <c r="H88" i="4"/>
  <c r="F88" i="4"/>
  <c r="G88" i="4" s="1"/>
  <c r="E88" i="4"/>
  <c r="B88" i="4"/>
  <c r="H87" i="4"/>
  <c r="F87" i="4"/>
  <c r="G87" i="4" s="1"/>
  <c r="I87" i="4" s="1"/>
  <c r="P7" i="10" s="1"/>
  <c r="E87" i="4"/>
  <c r="B87" i="4"/>
  <c r="I86" i="4"/>
  <c r="P6" i="10" s="1"/>
  <c r="H86" i="4"/>
  <c r="F86" i="4"/>
  <c r="G86" i="4" s="1"/>
  <c r="E86" i="4"/>
  <c r="B86" i="4"/>
  <c r="H85" i="4"/>
  <c r="F85" i="4"/>
  <c r="G85" i="4" s="1"/>
  <c r="I85" i="4" s="1"/>
  <c r="P5" i="10" s="1"/>
  <c r="E85" i="4"/>
  <c r="B85" i="4"/>
  <c r="H84" i="4"/>
  <c r="F84" i="4"/>
  <c r="G84" i="4" s="1"/>
  <c r="I84" i="4" s="1"/>
  <c r="P4" i="10" s="1"/>
  <c r="E84" i="4"/>
  <c r="B84" i="4"/>
  <c r="H83" i="4"/>
  <c r="F83" i="4"/>
  <c r="G83" i="4" s="1"/>
  <c r="I83" i="4" s="1"/>
  <c r="P3" i="10" s="1"/>
  <c r="E83" i="4"/>
  <c r="B83" i="4"/>
  <c r="H82" i="4"/>
  <c r="F82" i="4"/>
  <c r="G82" i="4" s="1"/>
  <c r="I82" i="4" s="1"/>
  <c r="P2" i="10" s="1"/>
  <c r="E82" i="4"/>
  <c r="B82" i="4"/>
  <c r="H78" i="4"/>
  <c r="F78" i="4"/>
  <c r="G78" i="4" s="1"/>
  <c r="I78" i="4" s="1"/>
  <c r="O17" i="10" s="1"/>
  <c r="E78" i="4"/>
  <c r="B78" i="4"/>
  <c r="I77" i="4"/>
  <c r="O16" i="10" s="1"/>
  <c r="H77" i="4"/>
  <c r="F77" i="4"/>
  <c r="G77" i="4" s="1"/>
  <c r="E77" i="4"/>
  <c r="B77" i="4"/>
  <c r="H76" i="4"/>
  <c r="F76" i="4"/>
  <c r="G76" i="4" s="1"/>
  <c r="I76" i="4" s="1"/>
  <c r="O15" i="10" s="1"/>
  <c r="E76" i="4"/>
  <c r="B76" i="4"/>
  <c r="I75" i="4"/>
  <c r="O14" i="10" s="1"/>
  <c r="H75" i="4"/>
  <c r="F75" i="4"/>
  <c r="G75" i="4" s="1"/>
  <c r="E75" i="4"/>
  <c r="B75" i="4"/>
  <c r="H74" i="4"/>
  <c r="F74" i="4"/>
  <c r="G74" i="4" s="1"/>
  <c r="I74" i="4" s="1"/>
  <c r="O13" i="10" s="1"/>
  <c r="E74" i="4"/>
  <c r="B74" i="4"/>
  <c r="H73" i="4"/>
  <c r="F73" i="4"/>
  <c r="G73" i="4" s="1"/>
  <c r="I73" i="4" s="1"/>
  <c r="O12" i="10" s="1"/>
  <c r="E73" i="4"/>
  <c r="B73" i="4"/>
  <c r="H72" i="4"/>
  <c r="F72" i="4"/>
  <c r="G72" i="4" s="1"/>
  <c r="I72" i="4" s="1"/>
  <c r="O11" i="10" s="1"/>
  <c r="E72" i="4"/>
  <c r="B72" i="4"/>
  <c r="H71" i="4"/>
  <c r="F71" i="4"/>
  <c r="G71" i="4" s="1"/>
  <c r="I71" i="4" s="1"/>
  <c r="O10" i="10" s="1"/>
  <c r="E71" i="4"/>
  <c r="B71" i="4"/>
  <c r="H70" i="4"/>
  <c r="F70" i="4"/>
  <c r="G70" i="4" s="1"/>
  <c r="I70" i="4" s="1"/>
  <c r="O9" i="10" s="1"/>
  <c r="E70" i="4"/>
  <c r="B70" i="4"/>
  <c r="I69" i="4"/>
  <c r="O8" i="10" s="1"/>
  <c r="H69" i="4"/>
  <c r="F69" i="4"/>
  <c r="G69" i="4" s="1"/>
  <c r="E69" i="4"/>
  <c r="B69" i="4"/>
  <c r="H68" i="4"/>
  <c r="F68" i="4"/>
  <c r="G68" i="4" s="1"/>
  <c r="I68" i="4" s="1"/>
  <c r="O7" i="10" s="1"/>
  <c r="E68" i="4"/>
  <c r="B68" i="4"/>
  <c r="I67" i="4"/>
  <c r="O6" i="10" s="1"/>
  <c r="H67" i="4"/>
  <c r="F67" i="4"/>
  <c r="G67" i="4" s="1"/>
  <c r="E67" i="4"/>
  <c r="B67" i="4"/>
  <c r="H66" i="4"/>
  <c r="F66" i="4"/>
  <c r="G66" i="4" s="1"/>
  <c r="I66" i="4" s="1"/>
  <c r="O5" i="10" s="1"/>
  <c r="E66" i="4"/>
  <c r="B66" i="4"/>
  <c r="H65" i="4"/>
  <c r="F65" i="4"/>
  <c r="G65" i="4" s="1"/>
  <c r="I65" i="4" s="1"/>
  <c r="O4" i="10" s="1"/>
  <c r="E65" i="4"/>
  <c r="B65" i="4"/>
  <c r="H64" i="4"/>
  <c r="F64" i="4"/>
  <c r="G64" i="4" s="1"/>
  <c r="I64" i="4" s="1"/>
  <c r="O3" i="10" s="1"/>
  <c r="E64" i="4"/>
  <c r="B64" i="4"/>
  <c r="H63" i="4"/>
  <c r="F63" i="4"/>
  <c r="G63" i="4" s="1"/>
  <c r="I63" i="4" s="1"/>
  <c r="O2" i="10" s="1"/>
  <c r="E63" i="4"/>
  <c r="B63" i="4"/>
  <c r="H59" i="4"/>
  <c r="F59" i="4"/>
  <c r="G59" i="4" s="1"/>
  <c r="I59" i="4" s="1"/>
  <c r="N17" i="10" s="1"/>
  <c r="E59" i="4"/>
  <c r="B59" i="4"/>
  <c r="I58" i="4"/>
  <c r="N16" i="10" s="1"/>
  <c r="H58" i="4"/>
  <c r="F58" i="4"/>
  <c r="G58" i="4" s="1"/>
  <c r="E58" i="4"/>
  <c r="B58" i="4"/>
  <c r="H57" i="4"/>
  <c r="F57" i="4"/>
  <c r="G57" i="4" s="1"/>
  <c r="I57" i="4" s="1"/>
  <c r="N15" i="10" s="1"/>
  <c r="E57" i="4"/>
  <c r="B57" i="4"/>
  <c r="I56" i="4"/>
  <c r="N14" i="10" s="1"/>
  <c r="H56" i="4"/>
  <c r="F56" i="4"/>
  <c r="G56" i="4" s="1"/>
  <c r="E56" i="4"/>
  <c r="B56" i="4"/>
  <c r="H55" i="4"/>
  <c r="F55" i="4"/>
  <c r="G55" i="4" s="1"/>
  <c r="I55" i="4" s="1"/>
  <c r="N13" i="10" s="1"/>
  <c r="E55" i="4"/>
  <c r="B55" i="4"/>
  <c r="H54" i="4"/>
  <c r="F54" i="4"/>
  <c r="G54" i="4" s="1"/>
  <c r="I54" i="4" s="1"/>
  <c r="N12" i="10" s="1"/>
  <c r="E54" i="4"/>
  <c r="B54" i="4"/>
  <c r="H53" i="4"/>
  <c r="F53" i="4"/>
  <c r="G53" i="4" s="1"/>
  <c r="I53" i="4" s="1"/>
  <c r="N11" i="10" s="1"/>
  <c r="E53" i="4"/>
  <c r="B53" i="4"/>
  <c r="H52" i="4"/>
  <c r="F52" i="4"/>
  <c r="G52" i="4" s="1"/>
  <c r="I52" i="4" s="1"/>
  <c r="N10" i="10" s="1"/>
  <c r="E52" i="4"/>
  <c r="B52" i="4"/>
  <c r="H51" i="4"/>
  <c r="F51" i="4"/>
  <c r="G51" i="4" s="1"/>
  <c r="I51" i="4" s="1"/>
  <c r="N9" i="10" s="1"/>
  <c r="E51" i="4"/>
  <c r="B51" i="4"/>
  <c r="I50" i="4"/>
  <c r="N8" i="10" s="1"/>
  <c r="H50" i="4"/>
  <c r="F50" i="4"/>
  <c r="G50" i="4" s="1"/>
  <c r="E50" i="4"/>
  <c r="B50" i="4"/>
  <c r="H49" i="4"/>
  <c r="F49" i="4"/>
  <c r="G49" i="4" s="1"/>
  <c r="I49" i="4" s="1"/>
  <c r="N7" i="10" s="1"/>
  <c r="E49" i="4"/>
  <c r="B49" i="4"/>
  <c r="I48" i="4"/>
  <c r="N6" i="10" s="1"/>
  <c r="H48" i="4"/>
  <c r="F48" i="4"/>
  <c r="G48" i="4" s="1"/>
  <c r="E48" i="4"/>
  <c r="B48" i="4"/>
  <c r="H47" i="4"/>
  <c r="F47" i="4"/>
  <c r="G47" i="4" s="1"/>
  <c r="I47" i="4" s="1"/>
  <c r="N5" i="10" s="1"/>
  <c r="E47" i="4"/>
  <c r="B47" i="4"/>
  <c r="I46" i="4"/>
  <c r="N4" i="10" s="1"/>
  <c r="H46" i="4"/>
  <c r="F46" i="4"/>
  <c r="G46" i="4" s="1"/>
  <c r="E46" i="4"/>
  <c r="B46" i="4"/>
  <c r="H45" i="4"/>
  <c r="F45" i="4"/>
  <c r="G45" i="4" s="1"/>
  <c r="I45" i="4" s="1"/>
  <c r="N3" i="10" s="1"/>
  <c r="E45" i="4"/>
  <c r="B45" i="4"/>
  <c r="H44" i="4"/>
  <c r="F44" i="4"/>
  <c r="G44" i="4" s="1"/>
  <c r="I44" i="4" s="1"/>
  <c r="N2" i="10" s="1"/>
  <c r="E44" i="4"/>
  <c r="B44" i="4"/>
  <c r="H40" i="4"/>
  <c r="F40" i="4"/>
  <c r="G40" i="4" s="1"/>
  <c r="I40" i="4" s="1"/>
  <c r="M17" i="10" s="1"/>
  <c r="E40" i="4"/>
  <c r="B40" i="4"/>
  <c r="I39" i="4"/>
  <c r="M16" i="10" s="1"/>
  <c r="H39" i="4"/>
  <c r="F39" i="4"/>
  <c r="G39" i="4" s="1"/>
  <c r="E39" i="4"/>
  <c r="B39" i="4"/>
  <c r="H38" i="4"/>
  <c r="F38" i="4"/>
  <c r="G38" i="4" s="1"/>
  <c r="I38" i="4" s="1"/>
  <c r="M15" i="10" s="1"/>
  <c r="E38" i="4"/>
  <c r="B38" i="4"/>
  <c r="I37" i="4"/>
  <c r="M14" i="10" s="1"/>
  <c r="H37" i="4"/>
  <c r="F37" i="4"/>
  <c r="G37" i="4" s="1"/>
  <c r="E37" i="4"/>
  <c r="B37" i="4"/>
  <c r="H36" i="4"/>
  <c r="F36" i="4"/>
  <c r="G36" i="4" s="1"/>
  <c r="I36" i="4" s="1"/>
  <c r="M13" i="10" s="1"/>
  <c r="E36" i="4"/>
  <c r="B36" i="4"/>
  <c r="I35" i="4"/>
  <c r="M12" i="10" s="1"/>
  <c r="H35" i="4"/>
  <c r="F35" i="4"/>
  <c r="G35" i="4" s="1"/>
  <c r="E35" i="4"/>
  <c r="B35" i="4"/>
  <c r="H34" i="4"/>
  <c r="F34" i="4"/>
  <c r="G34" i="4" s="1"/>
  <c r="I34" i="4" s="1"/>
  <c r="M11" i="10" s="1"/>
  <c r="E34" i="4"/>
  <c r="B34" i="4"/>
  <c r="H33" i="4"/>
  <c r="F33" i="4"/>
  <c r="G33" i="4" s="1"/>
  <c r="I33" i="4" s="1"/>
  <c r="M10" i="10" s="1"/>
  <c r="E33" i="4"/>
  <c r="B33" i="4"/>
  <c r="H32" i="4"/>
  <c r="F32" i="4"/>
  <c r="G32" i="4" s="1"/>
  <c r="I32" i="4" s="1"/>
  <c r="M9" i="10" s="1"/>
  <c r="E32" i="4"/>
  <c r="B32" i="4"/>
  <c r="I31" i="4"/>
  <c r="M8" i="10" s="1"/>
  <c r="H31" i="4"/>
  <c r="F31" i="4"/>
  <c r="G31" i="4" s="1"/>
  <c r="E31" i="4"/>
  <c r="B31" i="4"/>
  <c r="H30" i="4"/>
  <c r="F30" i="4"/>
  <c r="G30" i="4" s="1"/>
  <c r="I30" i="4" s="1"/>
  <c r="M7" i="10" s="1"/>
  <c r="E30" i="4"/>
  <c r="B30" i="4"/>
  <c r="I29" i="4"/>
  <c r="M6" i="10" s="1"/>
  <c r="H29" i="4"/>
  <c r="F29" i="4"/>
  <c r="G29" i="4" s="1"/>
  <c r="E29" i="4"/>
  <c r="B29" i="4"/>
  <c r="H28" i="4"/>
  <c r="F28" i="4"/>
  <c r="G28" i="4" s="1"/>
  <c r="I28" i="4" s="1"/>
  <c r="M5" i="10" s="1"/>
  <c r="E28" i="4"/>
  <c r="B28" i="4"/>
  <c r="I27" i="4"/>
  <c r="M4" i="10" s="1"/>
  <c r="H27" i="4"/>
  <c r="F27" i="4"/>
  <c r="G27" i="4" s="1"/>
  <c r="E27" i="4"/>
  <c r="B27" i="4"/>
  <c r="H26" i="4"/>
  <c r="F26" i="4"/>
  <c r="G26" i="4" s="1"/>
  <c r="I26" i="4" s="1"/>
  <c r="M3" i="10" s="1"/>
  <c r="E26" i="4"/>
  <c r="B26" i="4"/>
  <c r="H25" i="4"/>
  <c r="F25" i="4"/>
  <c r="G25" i="4" s="1"/>
  <c r="I25" i="4" s="1"/>
  <c r="M2" i="10" s="1"/>
  <c r="E25" i="4"/>
  <c r="B25" i="4"/>
  <c r="H21" i="4"/>
  <c r="F21" i="4"/>
  <c r="E21" i="4"/>
  <c r="B21" i="4"/>
  <c r="H20" i="4"/>
  <c r="F20" i="4"/>
  <c r="E20" i="4"/>
  <c r="B20" i="4"/>
  <c r="H19" i="4"/>
  <c r="F19" i="4"/>
  <c r="E19" i="4"/>
  <c r="B19" i="4"/>
  <c r="H18" i="4"/>
  <c r="F18" i="4"/>
  <c r="E18" i="4"/>
  <c r="B18" i="4"/>
  <c r="H17" i="4"/>
  <c r="F17" i="4"/>
  <c r="E17" i="4"/>
  <c r="B17" i="4"/>
  <c r="H16" i="4"/>
  <c r="F16" i="4"/>
  <c r="E16" i="4"/>
  <c r="B16" i="4"/>
  <c r="H15" i="4"/>
  <c r="F15" i="4"/>
  <c r="E15" i="4"/>
  <c r="B15" i="4"/>
  <c r="H14" i="4"/>
  <c r="F14" i="4"/>
  <c r="E14" i="4"/>
  <c r="B14" i="4"/>
  <c r="H13" i="4"/>
  <c r="F13" i="4"/>
  <c r="E13" i="4"/>
  <c r="B13" i="4"/>
  <c r="H12" i="4"/>
  <c r="F12" i="4"/>
  <c r="E12" i="4"/>
  <c r="B12" i="4"/>
  <c r="H11" i="4"/>
  <c r="F11" i="4"/>
  <c r="E11" i="4"/>
  <c r="B11" i="4"/>
  <c r="H10" i="4"/>
  <c r="F10" i="4"/>
  <c r="E10" i="4"/>
  <c r="B10" i="4"/>
  <c r="H9" i="4"/>
  <c r="F9" i="4"/>
  <c r="E9" i="4"/>
  <c r="B9" i="4"/>
  <c r="H8" i="4"/>
  <c r="F8" i="4"/>
  <c r="E8" i="4"/>
  <c r="B8" i="4"/>
  <c r="H7" i="4"/>
  <c r="F7" i="4"/>
  <c r="E7" i="4"/>
  <c r="B7" i="4"/>
  <c r="H6" i="4"/>
  <c r="F6" i="4"/>
  <c r="E6" i="4"/>
  <c r="B6" i="4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16" i="3"/>
  <c r="F116" i="3"/>
  <c r="G116" i="3" s="1"/>
  <c r="I116" i="3" s="1"/>
  <c r="H17" i="10" s="1"/>
  <c r="E116" i="3"/>
  <c r="B116" i="3"/>
  <c r="H115" i="3"/>
  <c r="F115" i="3"/>
  <c r="G115" i="3" s="1"/>
  <c r="I115" i="3" s="1"/>
  <c r="H16" i="10" s="1"/>
  <c r="E115" i="3"/>
  <c r="B115" i="3"/>
  <c r="H114" i="3"/>
  <c r="G114" i="3"/>
  <c r="I114" i="3" s="1"/>
  <c r="H15" i="10" s="1"/>
  <c r="F114" i="3"/>
  <c r="E114" i="3"/>
  <c r="B114" i="3"/>
  <c r="I113" i="3"/>
  <c r="H14" i="10" s="1"/>
  <c r="H113" i="3"/>
  <c r="F113" i="3"/>
  <c r="G113" i="3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I110" i="3" s="1"/>
  <c r="H11" i="10" s="1"/>
  <c r="E110" i="3"/>
  <c r="B110" i="3"/>
  <c r="I109" i="3"/>
  <c r="H10" i="10" s="1"/>
  <c r="H109" i="3"/>
  <c r="F109" i="3"/>
  <c r="G109" i="3" s="1"/>
  <c r="E109" i="3"/>
  <c r="B109" i="3"/>
  <c r="H108" i="3"/>
  <c r="E108" i="3"/>
  <c r="F108" i="3" s="1"/>
  <c r="G108" i="3" s="1"/>
  <c r="I108" i="3" s="1"/>
  <c r="H9" i="10" s="1"/>
  <c r="B108" i="3"/>
  <c r="H107" i="3"/>
  <c r="F107" i="3"/>
  <c r="G107" i="3" s="1"/>
  <c r="I107" i="3" s="1"/>
  <c r="H8" i="10" s="1"/>
  <c r="E107" i="3"/>
  <c r="B107" i="3"/>
  <c r="H106" i="3"/>
  <c r="G106" i="3"/>
  <c r="I106" i="3" s="1"/>
  <c r="H7" i="10" s="1"/>
  <c r="F106" i="3"/>
  <c r="E106" i="3"/>
  <c r="B106" i="3"/>
  <c r="I105" i="3"/>
  <c r="H6" i="10" s="1"/>
  <c r="H105" i="3"/>
  <c r="F105" i="3"/>
  <c r="G105" i="3" s="1"/>
  <c r="E105" i="3"/>
  <c r="B105" i="3"/>
  <c r="H104" i="3"/>
  <c r="F104" i="3"/>
  <c r="G104" i="3" s="1"/>
  <c r="I104" i="3" s="1"/>
  <c r="H5" i="10" s="1"/>
  <c r="E104" i="3"/>
  <c r="B104" i="3"/>
  <c r="H103" i="3"/>
  <c r="I103" i="3" s="1"/>
  <c r="H4" i="10" s="1"/>
  <c r="F103" i="3"/>
  <c r="G103" i="3" s="1"/>
  <c r="E103" i="3"/>
  <c r="B103" i="3"/>
  <c r="H102" i="3"/>
  <c r="E102" i="3"/>
  <c r="F102" i="3" s="1"/>
  <c r="G102" i="3" s="1"/>
  <c r="I102" i="3" s="1"/>
  <c r="H3" i="10" s="1"/>
  <c r="B102" i="3"/>
  <c r="H101" i="3"/>
  <c r="F101" i="3"/>
  <c r="G101" i="3" s="1"/>
  <c r="I101" i="3" s="1"/>
  <c r="H2" i="10" s="1"/>
  <c r="E101" i="3"/>
  <c r="B101" i="3"/>
  <c r="H97" i="3"/>
  <c r="E97" i="3"/>
  <c r="F97" i="3" s="1"/>
  <c r="G97" i="3" s="1"/>
  <c r="I97" i="3" s="1"/>
  <c r="G17" i="10" s="1"/>
  <c r="B97" i="3"/>
  <c r="I96" i="3"/>
  <c r="G16" i="10" s="1"/>
  <c r="H96" i="3"/>
  <c r="F96" i="3"/>
  <c r="G96" i="3" s="1"/>
  <c r="E96" i="3"/>
  <c r="B96" i="3"/>
  <c r="H95" i="3"/>
  <c r="F95" i="3"/>
  <c r="G95" i="3" s="1"/>
  <c r="I95" i="3" s="1"/>
  <c r="G15" i="10" s="1"/>
  <c r="E95" i="3"/>
  <c r="B95" i="3"/>
  <c r="I94" i="3"/>
  <c r="G14" i="10" s="1"/>
  <c r="H94" i="3"/>
  <c r="F94" i="3"/>
  <c r="G94" i="3" s="1"/>
  <c r="E94" i="3"/>
  <c r="B94" i="3"/>
  <c r="H93" i="3"/>
  <c r="E93" i="3"/>
  <c r="F93" i="3" s="1"/>
  <c r="G93" i="3" s="1"/>
  <c r="I93" i="3" s="1"/>
  <c r="G13" i="10" s="1"/>
  <c r="B93" i="3"/>
  <c r="H92" i="3"/>
  <c r="E92" i="3"/>
  <c r="F92" i="3" s="1"/>
  <c r="G92" i="3" s="1"/>
  <c r="I92" i="3" s="1"/>
  <c r="G12" i="10" s="1"/>
  <c r="B92" i="3"/>
  <c r="I91" i="3"/>
  <c r="G11" i="10" s="1"/>
  <c r="H91" i="3"/>
  <c r="G91" i="3"/>
  <c r="F91" i="3"/>
  <c r="E91" i="3"/>
  <c r="B91" i="3"/>
  <c r="H90" i="3"/>
  <c r="F90" i="3"/>
  <c r="G90" i="3" s="1"/>
  <c r="I90" i="3" s="1"/>
  <c r="G10" i="10" s="1"/>
  <c r="E90" i="3"/>
  <c r="B90" i="3"/>
  <c r="H89" i="3"/>
  <c r="F89" i="3"/>
  <c r="G89" i="3" s="1"/>
  <c r="I89" i="3" s="1"/>
  <c r="G9" i="10" s="1"/>
  <c r="E89" i="3"/>
  <c r="B89" i="3"/>
  <c r="H88" i="3"/>
  <c r="E88" i="3"/>
  <c r="F88" i="3" s="1"/>
  <c r="G88" i="3" s="1"/>
  <c r="I88" i="3" s="1"/>
  <c r="G8" i="10" s="1"/>
  <c r="B88" i="3"/>
  <c r="H87" i="3"/>
  <c r="E87" i="3"/>
  <c r="F87" i="3" s="1"/>
  <c r="G87" i="3" s="1"/>
  <c r="I87" i="3" s="1"/>
  <c r="G7" i="10" s="1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E83" i="3"/>
  <c r="F83" i="3" s="1"/>
  <c r="G83" i="3" s="1"/>
  <c r="I83" i="3" s="1"/>
  <c r="G3" i="10" s="1"/>
  <c r="B83" i="3"/>
  <c r="H82" i="3"/>
  <c r="E82" i="3"/>
  <c r="F82" i="3" s="1"/>
  <c r="G82" i="3" s="1"/>
  <c r="I82" i="3" s="1"/>
  <c r="G2" i="10" s="1"/>
  <c r="B82" i="3"/>
  <c r="H78" i="3"/>
  <c r="F78" i="3"/>
  <c r="G78" i="3" s="1"/>
  <c r="I78" i="3" s="1"/>
  <c r="F17" i="10" s="1"/>
  <c r="E78" i="3"/>
  <c r="B78" i="3"/>
  <c r="H77" i="3"/>
  <c r="F77" i="3"/>
  <c r="G77" i="3" s="1"/>
  <c r="I77" i="3" s="1"/>
  <c r="F16" i="10" s="1"/>
  <c r="E77" i="3"/>
  <c r="B77" i="3"/>
  <c r="H76" i="3"/>
  <c r="E76" i="3"/>
  <c r="F76" i="3" s="1"/>
  <c r="G76" i="3" s="1"/>
  <c r="I76" i="3" s="1"/>
  <c r="F15" i="10" s="1"/>
  <c r="B76" i="3"/>
  <c r="I75" i="3"/>
  <c r="F14" i="10" s="1"/>
  <c r="H75" i="3"/>
  <c r="F75" i="3"/>
  <c r="G75" i="3" s="1"/>
  <c r="E75" i="3"/>
  <c r="B75" i="3"/>
  <c r="H74" i="3"/>
  <c r="F74" i="3"/>
  <c r="G74" i="3" s="1"/>
  <c r="I74" i="3" s="1"/>
  <c r="F13" i="10" s="1"/>
  <c r="E74" i="3"/>
  <c r="B74" i="3"/>
  <c r="H73" i="3"/>
  <c r="E73" i="3"/>
  <c r="F73" i="3" s="1"/>
  <c r="G73" i="3" s="1"/>
  <c r="I73" i="3" s="1"/>
  <c r="F12" i="10" s="1"/>
  <c r="B73" i="3"/>
  <c r="H72" i="3"/>
  <c r="E72" i="3"/>
  <c r="F72" i="3" s="1"/>
  <c r="G72" i="3" s="1"/>
  <c r="I72" i="3" s="1"/>
  <c r="F11" i="10" s="1"/>
  <c r="B72" i="3"/>
  <c r="H71" i="3"/>
  <c r="F71" i="3"/>
  <c r="G71" i="3" s="1"/>
  <c r="I71" i="3" s="1"/>
  <c r="F10" i="10" s="1"/>
  <c r="E71" i="3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I67" i="3"/>
  <c r="F6" i="10" s="1"/>
  <c r="H67" i="3"/>
  <c r="F67" i="3"/>
  <c r="G67" i="3" s="1"/>
  <c r="E67" i="3"/>
  <c r="B67" i="3"/>
  <c r="H66" i="3"/>
  <c r="E66" i="3"/>
  <c r="F66" i="3" s="1"/>
  <c r="G66" i="3" s="1"/>
  <c r="I66" i="3" s="1"/>
  <c r="F5" i="10" s="1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F63" i="3"/>
  <c r="G63" i="3" s="1"/>
  <c r="I63" i="3" s="1"/>
  <c r="F2" i="10" s="1"/>
  <c r="E63" i="3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E57" i="3"/>
  <c r="F57" i="3" s="1"/>
  <c r="G57" i="3" s="1"/>
  <c r="I57" i="3" s="1"/>
  <c r="E15" i="10" s="1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F51" i="3"/>
  <c r="G51" i="3" s="1"/>
  <c r="I51" i="3" s="1"/>
  <c r="E9" i="10" s="1"/>
  <c r="E51" i="3"/>
  <c r="B51" i="3"/>
  <c r="H50" i="3"/>
  <c r="F50" i="3"/>
  <c r="G50" i="3" s="1"/>
  <c r="I50" i="3" s="1"/>
  <c r="E8" i="10" s="1"/>
  <c r="E50" i="3"/>
  <c r="B50" i="3"/>
  <c r="H49" i="3"/>
  <c r="E49" i="3"/>
  <c r="F49" i="3" s="1"/>
  <c r="G49" i="3" s="1"/>
  <c r="I49" i="3" s="1"/>
  <c r="E7" i="10" s="1"/>
  <c r="B49" i="3"/>
  <c r="H48" i="3"/>
  <c r="E48" i="3"/>
  <c r="F48" i="3" s="1"/>
  <c r="G48" i="3" s="1"/>
  <c r="I48" i="3" s="1"/>
  <c r="E6" i="10" s="1"/>
  <c r="B48" i="3"/>
  <c r="H47" i="3"/>
  <c r="F47" i="3"/>
  <c r="G47" i="3" s="1"/>
  <c r="I47" i="3" s="1"/>
  <c r="E5" i="10" s="1"/>
  <c r="E47" i="3"/>
  <c r="B47" i="3"/>
  <c r="H46" i="3"/>
  <c r="E46" i="3"/>
  <c r="F46" i="3" s="1"/>
  <c r="G46" i="3" s="1"/>
  <c r="I46" i="3" s="1"/>
  <c r="E4" i="10" s="1"/>
  <c r="B46" i="3"/>
  <c r="H45" i="3"/>
  <c r="E45" i="3"/>
  <c r="F45" i="3" s="1"/>
  <c r="G45" i="3" s="1"/>
  <c r="I45" i="3" s="1"/>
  <c r="E3" i="10" s="1"/>
  <c r="B45" i="3"/>
  <c r="H44" i="3"/>
  <c r="F44" i="3"/>
  <c r="G44" i="3" s="1"/>
  <c r="I44" i="3" s="1"/>
  <c r="E2" i="10" s="1"/>
  <c r="E44" i="3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I37" i="3"/>
  <c r="D14" i="10" s="1"/>
  <c r="H37" i="3"/>
  <c r="F37" i="3"/>
  <c r="G37" i="3" s="1"/>
  <c r="E37" i="3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F33" i="3"/>
  <c r="G33" i="3" s="1"/>
  <c r="I33" i="3" s="1"/>
  <c r="D10" i="10" s="1"/>
  <c r="E33" i="3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F27" i="3"/>
  <c r="G27" i="3" s="1"/>
  <c r="I27" i="3" s="1"/>
  <c r="D4" i="10" s="1"/>
  <c r="E27" i="3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F21" i="3"/>
  <c r="E21" i="3"/>
  <c r="B21" i="3"/>
  <c r="H20" i="3"/>
  <c r="F20" i="3"/>
  <c r="E20" i="3"/>
  <c r="B20" i="3"/>
  <c r="H19" i="3"/>
  <c r="E19" i="3"/>
  <c r="F19" i="3" s="1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E15" i="3"/>
  <c r="F15" i="3" s="1"/>
  <c r="B15" i="3"/>
  <c r="H14" i="3"/>
  <c r="E14" i="3"/>
  <c r="F14" i="3" s="1"/>
  <c r="B14" i="3"/>
  <c r="H13" i="3"/>
  <c r="E13" i="3"/>
  <c r="F13" i="3" s="1"/>
  <c r="B13" i="3"/>
  <c r="H12" i="3"/>
  <c r="E12" i="3"/>
  <c r="F12" i="3" s="1"/>
  <c r="B12" i="3"/>
  <c r="H11" i="3"/>
  <c r="E11" i="3"/>
  <c r="F11" i="3" s="1"/>
  <c r="B11" i="3"/>
  <c r="H10" i="3"/>
  <c r="E10" i="3"/>
  <c r="F10" i="3" s="1"/>
  <c r="B10" i="3"/>
  <c r="H9" i="3"/>
  <c r="E9" i="3"/>
  <c r="F9" i="3" s="1"/>
  <c r="B9" i="3"/>
  <c r="H8" i="3"/>
  <c r="E8" i="3"/>
  <c r="F8" i="3" s="1"/>
  <c r="B8" i="3"/>
  <c r="H7" i="3"/>
  <c r="E7" i="3"/>
  <c r="F7" i="3" s="1"/>
  <c r="B7" i="3"/>
  <c r="H6" i="3"/>
  <c r="E6" i="3"/>
  <c r="F6" i="3" s="1"/>
  <c r="B6" i="3"/>
  <c r="C19" i="8" l="1"/>
  <c r="B9" i="9" s="1"/>
  <c r="I9" i="9" s="1"/>
  <c r="J9" i="9" s="1"/>
  <c r="C23" i="8"/>
  <c r="C16" i="8"/>
  <c r="B6" i="9" s="1"/>
  <c r="I6" i="9" s="1"/>
  <c r="J6" i="9" s="1"/>
  <c r="C17" i="8"/>
  <c r="B7" i="9" s="1"/>
  <c r="I7" i="9" s="1"/>
  <c r="J7" i="9" s="1"/>
  <c r="J14" i="10"/>
  <c r="G18" i="3"/>
  <c r="I18" i="3" s="1"/>
  <c r="C14" i="10" s="1"/>
  <c r="J5" i="10"/>
  <c r="G9" i="3"/>
  <c r="I9" i="3" s="1"/>
  <c r="C5" i="10" s="1"/>
  <c r="J9" i="10"/>
  <c r="G13" i="3"/>
  <c r="I13" i="3" s="1"/>
  <c r="C9" i="10" s="1"/>
  <c r="J2" i="10"/>
  <c r="G6" i="3"/>
  <c r="I6" i="3" s="1"/>
  <c r="C2" i="10" s="1"/>
  <c r="J7" i="10"/>
  <c r="G11" i="3"/>
  <c r="I11" i="3" s="1"/>
  <c r="C7" i="10" s="1"/>
  <c r="J6" i="10"/>
  <c r="G10" i="3"/>
  <c r="I10" i="3" s="1"/>
  <c r="C6" i="10" s="1"/>
  <c r="J3" i="10"/>
  <c r="G7" i="3"/>
  <c r="I7" i="3" s="1"/>
  <c r="C3" i="10" s="1"/>
  <c r="J11" i="10"/>
  <c r="G15" i="3"/>
  <c r="I15" i="3" s="1"/>
  <c r="C11" i="10" s="1"/>
  <c r="J10" i="10"/>
  <c r="G14" i="3"/>
  <c r="I14" i="3" s="1"/>
  <c r="C10" i="10" s="1"/>
  <c r="J4" i="10"/>
  <c r="G8" i="3"/>
  <c r="I8" i="3" s="1"/>
  <c r="C4" i="10" s="1"/>
  <c r="J8" i="10"/>
  <c r="G12" i="3"/>
  <c r="I12" i="3" s="1"/>
  <c r="C8" i="10" s="1"/>
  <c r="J12" i="10"/>
  <c r="G16" i="3"/>
  <c r="I16" i="3" s="1"/>
  <c r="C12" i="10" s="1"/>
  <c r="J15" i="10"/>
  <c r="G19" i="3"/>
  <c r="I19" i="3" s="1"/>
  <c r="C15" i="10" s="1"/>
  <c r="U3" i="10"/>
  <c r="H7" i="5"/>
  <c r="G7" i="5"/>
  <c r="U6" i="10"/>
  <c r="G10" i="5"/>
  <c r="H10" i="5"/>
  <c r="U9" i="10"/>
  <c r="H13" i="5"/>
  <c r="G13" i="5"/>
  <c r="U12" i="10"/>
  <c r="G16" i="5"/>
  <c r="H16" i="5"/>
  <c r="U15" i="10"/>
  <c r="H19" i="5"/>
  <c r="G19" i="5"/>
  <c r="V2" i="10"/>
  <c r="G25" i="5"/>
  <c r="H25" i="5"/>
  <c r="V5" i="10"/>
  <c r="H28" i="5"/>
  <c r="G28" i="5"/>
  <c r="V8" i="10"/>
  <c r="G31" i="5"/>
  <c r="H31" i="5"/>
  <c r="V11" i="10"/>
  <c r="H34" i="5"/>
  <c r="G34" i="5"/>
  <c r="V14" i="10"/>
  <c r="G37" i="5"/>
  <c r="H37" i="5"/>
  <c r="V17" i="10"/>
  <c r="H40" i="5"/>
  <c r="G40" i="5"/>
  <c r="W4" i="10"/>
  <c r="G46" i="5"/>
  <c r="H46" i="5"/>
  <c r="W7" i="10"/>
  <c r="H49" i="5"/>
  <c r="G49" i="5"/>
  <c r="S3" i="10"/>
  <c r="G7" i="4"/>
  <c r="I7" i="4" s="1"/>
  <c r="L3" i="10" s="1"/>
  <c r="S11" i="10"/>
  <c r="G15" i="4"/>
  <c r="I15" i="4" s="1"/>
  <c r="L11" i="10" s="1"/>
  <c r="J16" i="10"/>
  <c r="G20" i="3"/>
  <c r="I20" i="3" s="1"/>
  <c r="C16" i="10" s="1"/>
  <c r="S6" i="10"/>
  <c r="G10" i="4"/>
  <c r="I10" i="4" s="1"/>
  <c r="L6" i="10" s="1"/>
  <c r="J13" i="10"/>
  <c r="S14" i="10"/>
  <c r="G18" i="4"/>
  <c r="I18" i="4" s="1"/>
  <c r="L14" i="10" s="1"/>
  <c r="U4" i="10"/>
  <c r="G8" i="5"/>
  <c r="H8" i="5"/>
  <c r="U7" i="10"/>
  <c r="H11" i="5"/>
  <c r="G11" i="5"/>
  <c r="U10" i="10"/>
  <c r="G14" i="5"/>
  <c r="H14" i="5"/>
  <c r="U13" i="10"/>
  <c r="H17" i="5"/>
  <c r="G17" i="5"/>
  <c r="U16" i="10"/>
  <c r="G20" i="5"/>
  <c r="H20" i="5"/>
  <c r="V3" i="10"/>
  <c r="H26" i="5"/>
  <c r="G26" i="5"/>
  <c r="V6" i="10"/>
  <c r="G29" i="5"/>
  <c r="H29" i="5"/>
  <c r="V9" i="10"/>
  <c r="H32" i="5"/>
  <c r="G32" i="5"/>
  <c r="V12" i="10"/>
  <c r="G35" i="5"/>
  <c r="H35" i="5"/>
  <c r="V15" i="10"/>
  <c r="H38" i="5"/>
  <c r="G38" i="5"/>
  <c r="W2" i="10"/>
  <c r="G44" i="5"/>
  <c r="H44" i="5"/>
  <c r="W5" i="10"/>
  <c r="H47" i="5"/>
  <c r="G47" i="5"/>
  <c r="W8" i="10"/>
  <c r="G50" i="5"/>
  <c r="H50" i="5"/>
  <c r="S17" i="10"/>
  <c r="G21" i="4"/>
  <c r="I21" i="4" s="1"/>
  <c r="L17" i="10" s="1"/>
  <c r="S4" i="10"/>
  <c r="G8" i="4"/>
  <c r="I8" i="4" s="1"/>
  <c r="L4" i="10" s="1"/>
  <c r="S12" i="10"/>
  <c r="G16" i="4"/>
  <c r="I16" i="4" s="1"/>
  <c r="L12" i="10" s="1"/>
  <c r="AC10" i="10"/>
  <c r="AC16" i="10"/>
  <c r="J17" i="10"/>
  <c r="S9" i="10"/>
  <c r="G13" i="4"/>
  <c r="I13" i="4" s="1"/>
  <c r="L9" i="10" s="1"/>
  <c r="G21" i="3"/>
  <c r="I21" i="3" s="1"/>
  <c r="C17" i="10" s="1"/>
  <c r="S7" i="10"/>
  <c r="G11" i="4"/>
  <c r="I11" i="4" s="1"/>
  <c r="L7" i="10" s="1"/>
  <c r="S15" i="10"/>
  <c r="G19" i="4"/>
  <c r="I19" i="4" s="1"/>
  <c r="L15" i="10" s="1"/>
  <c r="S2" i="10"/>
  <c r="G6" i="4"/>
  <c r="I6" i="4" s="1"/>
  <c r="L2" i="10" s="1"/>
  <c r="S10" i="10"/>
  <c r="G14" i="4"/>
  <c r="I14" i="4" s="1"/>
  <c r="L10" i="10" s="1"/>
  <c r="U2" i="10"/>
  <c r="G6" i="5"/>
  <c r="H6" i="5"/>
  <c r="U5" i="10"/>
  <c r="H9" i="5"/>
  <c r="G9" i="5"/>
  <c r="U8" i="10"/>
  <c r="G12" i="5"/>
  <c r="H12" i="5"/>
  <c r="U11" i="10"/>
  <c r="H15" i="5"/>
  <c r="AB11" i="10" s="1"/>
  <c r="G15" i="5"/>
  <c r="U14" i="10"/>
  <c r="G18" i="5"/>
  <c r="H18" i="5"/>
  <c r="U17" i="10"/>
  <c r="H21" i="5"/>
  <c r="G21" i="5"/>
  <c r="V4" i="10"/>
  <c r="G27" i="5"/>
  <c r="H27" i="5"/>
  <c r="V7" i="10"/>
  <c r="H30" i="5"/>
  <c r="G30" i="5"/>
  <c r="V10" i="10"/>
  <c r="G33" i="5"/>
  <c r="H33" i="5"/>
  <c r="V13" i="10"/>
  <c r="H36" i="5"/>
  <c r="G36" i="5"/>
  <c r="V16" i="10"/>
  <c r="G39" i="5"/>
  <c r="H39" i="5"/>
  <c r="W3" i="10"/>
  <c r="H45" i="5"/>
  <c r="G45" i="5"/>
  <c r="W6" i="10"/>
  <c r="G48" i="5"/>
  <c r="H48" i="5"/>
  <c r="AC2" i="10"/>
  <c r="AC8" i="10"/>
  <c r="AC14" i="10"/>
  <c r="G17" i="3"/>
  <c r="I17" i="3" s="1"/>
  <c r="C13" i="10" s="1"/>
  <c r="S5" i="10"/>
  <c r="G9" i="4"/>
  <c r="I9" i="4" s="1"/>
  <c r="L5" i="10" s="1"/>
  <c r="S13" i="10"/>
  <c r="G17" i="4"/>
  <c r="I17" i="4" s="1"/>
  <c r="L13" i="10" s="1"/>
  <c r="S8" i="10"/>
  <c r="G12" i="4"/>
  <c r="I12" i="4" s="1"/>
  <c r="L8" i="10" s="1"/>
  <c r="S16" i="10"/>
  <c r="G20" i="4"/>
  <c r="I20" i="4" s="1"/>
  <c r="L16" i="10" s="1"/>
  <c r="H52" i="5"/>
  <c r="H54" i="5"/>
  <c r="H56" i="5"/>
  <c r="H58" i="5"/>
  <c r="H63" i="5"/>
  <c r="H65" i="5"/>
  <c r="H67" i="5"/>
  <c r="H69" i="5"/>
  <c r="H71" i="5"/>
  <c r="H73" i="5"/>
  <c r="H75" i="5"/>
  <c r="H77" i="5"/>
  <c r="H82" i="5"/>
  <c r="H84" i="5"/>
  <c r="H86" i="5"/>
  <c r="H88" i="5"/>
  <c r="H90" i="5"/>
  <c r="H92" i="5"/>
  <c r="H94" i="5"/>
  <c r="H96" i="5"/>
  <c r="H101" i="5"/>
  <c r="H103" i="5"/>
  <c r="G51" i="5"/>
  <c r="G53" i="5"/>
  <c r="G55" i="5"/>
  <c r="G57" i="5"/>
  <c r="G59" i="5"/>
  <c r="G64" i="5"/>
  <c r="G66" i="5"/>
  <c r="G68" i="5"/>
  <c r="G70" i="5"/>
  <c r="G72" i="5"/>
  <c r="G74" i="5"/>
  <c r="G76" i="5"/>
  <c r="G78" i="5"/>
  <c r="G83" i="5"/>
  <c r="G85" i="5"/>
  <c r="G87" i="5"/>
  <c r="G89" i="5"/>
  <c r="G91" i="5"/>
  <c r="G93" i="5"/>
  <c r="G95" i="5"/>
  <c r="G97" i="5"/>
  <c r="G102" i="5"/>
  <c r="G104" i="5"/>
  <c r="G106" i="5"/>
  <c r="G108" i="5"/>
  <c r="G110" i="5"/>
  <c r="G112" i="5"/>
  <c r="H51" i="5"/>
  <c r="H53" i="5"/>
  <c r="H55" i="5"/>
  <c r="H57" i="5"/>
  <c r="H59" i="5"/>
  <c r="H64" i="5"/>
  <c r="H66" i="5"/>
  <c r="H68" i="5"/>
  <c r="H70" i="5"/>
  <c r="H72" i="5"/>
  <c r="H74" i="5"/>
  <c r="H76" i="5"/>
  <c r="H78" i="5"/>
  <c r="H83" i="5"/>
  <c r="H85" i="5"/>
  <c r="H87" i="5"/>
  <c r="H89" i="5"/>
  <c r="H91" i="5"/>
  <c r="H93" i="5"/>
  <c r="H95" i="5"/>
  <c r="H97" i="5"/>
  <c r="H102" i="5"/>
  <c r="H104" i="5"/>
  <c r="H106" i="5"/>
  <c r="H108" i="5"/>
  <c r="H110" i="5"/>
  <c r="H112" i="5"/>
  <c r="H114" i="5"/>
  <c r="H116" i="5"/>
  <c r="G52" i="5"/>
  <c r="G54" i="5"/>
  <c r="G56" i="5"/>
  <c r="G58" i="5"/>
  <c r="G63" i="5"/>
  <c r="G65" i="5"/>
  <c r="G67" i="5"/>
  <c r="G69" i="5"/>
  <c r="G71" i="5"/>
  <c r="G73" i="5"/>
  <c r="G75" i="5"/>
  <c r="G77" i="5"/>
  <c r="G82" i="5"/>
  <c r="G84" i="5"/>
  <c r="G86" i="5"/>
  <c r="G88" i="5"/>
  <c r="G90" i="5"/>
  <c r="G92" i="5"/>
  <c r="G94" i="5"/>
  <c r="G96" i="5"/>
  <c r="G101" i="5"/>
  <c r="G103" i="5"/>
  <c r="G105" i="5"/>
  <c r="G107" i="5"/>
  <c r="G109" i="5"/>
  <c r="G111" i="5"/>
  <c r="G113" i="5"/>
  <c r="G115" i="5"/>
  <c r="C18" i="8"/>
  <c r="B8" i="9" s="1"/>
  <c r="I8" i="9" s="1"/>
  <c r="J8" i="9" s="1"/>
  <c r="C20" i="8"/>
  <c r="C21" i="8"/>
  <c r="AI5" i="10" l="1"/>
  <c r="R5" i="10"/>
  <c r="AB8" i="10"/>
  <c r="AA10" i="10"/>
  <c r="AG12" i="10"/>
  <c r="I12" i="10"/>
  <c r="AG6" i="10"/>
  <c r="I6" i="10"/>
  <c r="AG13" i="10"/>
  <c r="I13" i="10"/>
  <c r="AA7" i="10"/>
  <c r="AB9" i="10"/>
  <c r="AG8" i="10"/>
  <c r="I8" i="10"/>
  <c r="AG7" i="10"/>
  <c r="I7" i="10"/>
  <c r="AG16" i="10"/>
  <c r="I16" i="10"/>
  <c r="AA17" i="10"/>
  <c r="AA5" i="10"/>
  <c r="R7" i="10"/>
  <c r="AI7" i="10"/>
  <c r="AI17" i="10"/>
  <c r="R17" i="10"/>
  <c r="AB7" i="10"/>
  <c r="AI11" i="10"/>
  <c r="R11" i="10"/>
  <c r="AB17" i="10"/>
  <c r="AB5" i="10"/>
  <c r="AB6" i="10"/>
  <c r="AG4" i="10"/>
  <c r="I4" i="10"/>
  <c r="AG2" i="10"/>
  <c r="I2" i="10"/>
  <c r="AA8" i="10"/>
  <c r="AG17" i="10"/>
  <c r="I17" i="10"/>
  <c r="AB16" i="10"/>
  <c r="AB4" i="10"/>
  <c r="AI3" i="10"/>
  <c r="R3" i="10"/>
  <c r="AA6" i="10"/>
  <c r="R16" i="10"/>
  <c r="AI16" i="10"/>
  <c r="AB14" i="10"/>
  <c r="AB2" i="10"/>
  <c r="AI9" i="10"/>
  <c r="R9" i="10"/>
  <c r="AA16" i="10"/>
  <c r="AA4" i="10"/>
  <c r="AG10" i="10"/>
  <c r="I10" i="10"/>
  <c r="AG9" i="10"/>
  <c r="I9" i="10"/>
  <c r="R4" i="10"/>
  <c r="AI4" i="10"/>
  <c r="AA14" i="10"/>
  <c r="AA2" i="10"/>
  <c r="AA15" i="10"/>
  <c r="AA3" i="10"/>
  <c r="AI15" i="10"/>
  <c r="R15" i="10"/>
  <c r="AA9" i="10"/>
  <c r="AI8" i="10"/>
  <c r="R8" i="10"/>
  <c r="AA13" i="10"/>
  <c r="AI14" i="10"/>
  <c r="R14" i="10"/>
  <c r="AB15" i="10"/>
  <c r="AB3" i="10"/>
  <c r="AG11" i="10"/>
  <c r="I11" i="10"/>
  <c r="AG5" i="10"/>
  <c r="I5" i="10"/>
  <c r="AA11" i="10"/>
  <c r="R10" i="10"/>
  <c r="AI10" i="10"/>
  <c r="AB13" i="10"/>
  <c r="AB12" i="10"/>
  <c r="AG15" i="10"/>
  <c r="I15" i="10"/>
  <c r="AG3" i="10"/>
  <c r="I3" i="10"/>
  <c r="AG14" i="10"/>
  <c r="I14" i="10"/>
  <c r="R13" i="10"/>
  <c r="AI13" i="10"/>
  <c r="D15" i="9"/>
  <c r="D13" i="9"/>
  <c r="C15" i="9"/>
  <c r="C13" i="9"/>
  <c r="G16" i="9"/>
  <c r="G14" i="9"/>
  <c r="F16" i="9"/>
  <c r="F14" i="9"/>
  <c r="E16" i="9"/>
  <c r="E14" i="9"/>
  <c r="D16" i="9"/>
  <c r="D14" i="9"/>
  <c r="C16" i="9"/>
  <c r="C14" i="9"/>
  <c r="G15" i="9"/>
  <c r="G13" i="9"/>
  <c r="F15" i="9"/>
  <c r="F13" i="9"/>
  <c r="E15" i="9"/>
  <c r="E13" i="9"/>
  <c r="AI2" i="10"/>
  <c r="R2" i="10"/>
  <c r="AI12" i="10"/>
  <c r="R12" i="10"/>
  <c r="AB10" i="10"/>
  <c r="AI6" i="10"/>
  <c r="R6" i="10"/>
  <c r="AA12" i="10"/>
  <c r="K11" i="10" l="1"/>
  <c r="AH11" i="10"/>
  <c r="AE11" i="10"/>
  <c r="AD3" i="10"/>
  <c r="AL3" i="10"/>
  <c r="AJ9" i="10"/>
  <c r="T9" i="10"/>
  <c r="AJ17" i="10"/>
  <c r="T17" i="10"/>
  <c r="AL2" i="10"/>
  <c r="AD2" i="10"/>
  <c r="K2" i="10"/>
  <c r="AH2" i="10"/>
  <c r="AE2" i="10"/>
  <c r="AE13" i="10"/>
  <c r="K13" i="10"/>
  <c r="AH13" i="10"/>
  <c r="K15" i="10"/>
  <c r="AH15" i="10"/>
  <c r="AE15" i="10"/>
  <c r="AL14" i="10"/>
  <c r="AD14" i="10"/>
  <c r="T7" i="10"/>
  <c r="AJ7" i="10"/>
  <c r="AD7" i="10"/>
  <c r="AL7" i="10"/>
  <c r="AJ14" i="10"/>
  <c r="T14" i="10"/>
  <c r="AE4" i="10"/>
  <c r="K4" i="10"/>
  <c r="AH4" i="10"/>
  <c r="AL5" i="10"/>
  <c r="AD5" i="10"/>
  <c r="K6" i="10"/>
  <c r="AH6" i="10"/>
  <c r="AE6" i="10"/>
  <c r="K3" i="10"/>
  <c r="AH3" i="10"/>
  <c r="AE3" i="10"/>
  <c r="T4" i="10"/>
  <c r="AJ4" i="10"/>
  <c r="T16" i="10"/>
  <c r="AJ16" i="10"/>
  <c r="AL17" i="10"/>
  <c r="AD17" i="10"/>
  <c r="AJ6" i="10"/>
  <c r="T6" i="10"/>
  <c r="AD13" i="10"/>
  <c r="AL13" i="10"/>
  <c r="K9" i="10"/>
  <c r="AH9" i="10"/>
  <c r="AE9" i="10"/>
  <c r="AD6" i="10"/>
  <c r="AL6" i="10"/>
  <c r="AE16" i="10"/>
  <c r="K16" i="10"/>
  <c r="AH16" i="10"/>
  <c r="K12" i="10"/>
  <c r="AH12" i="10"/>
  <c r="AE12" i="10"/>
  <c r="AJ8" i="10"/>
  <c r="T8" i="10"/>
  <c r="AJ3" i="10"/>
  <c r="T3" i="10"/>
  <c r="AJ12" i="10"/>
  <c r="T12" i="10"/>
  <c r="T10" i="10"/>
  <c r="AJ10" i="10"/>
  <c r="AE10" i="10"/>
  <c r="K10" i="10"/>
  <c r="AH10" i="10"/>
  <c r="AE7" i="10"/>
  <c r="K7" i="10"/>
  <c r="AH7" i="10"/>
  <c r="AD10" i="10"/>
  <c r="AL10" i="10"/>
  <c r="AD15" i="10"/>
  <c r="AL15" i="10"/>
  <c r="AL11" i="10"/>
  <c r="AD11" i="10"/>
  <c r="AD9" i="10"/>
  <c r="AL9" i="10"/>
  <c r="AJ11" i="10"/>
  <c r="T11" i="10"/>
  <c r="T13" i="10"/>
  <c r="AJ13" i="10"/>
  <c r="K5" i="10"/>
  <c r="AH5" i="10"/>
  <c r="AE5" i="10"/>
  <c r="AJ15" i="10"/>
  <c r="T15" i="10"/>
  <c r="AD4" i="10"/>
  <c r="AL4" i="10"/>
  <c r="K8" i="10"/>
  <c r="AH8" i="10"/>
  <c r="AE8" i="10"/>
  <c r="AJ5" i="10"/>
  <c r="T5" i="10"/>
  <c r="AD12" i="10"/>
  <c r="AL12" i="10"/>
  <c r="AL8" i="10"/>
  <c r="AD8" i="10"/>
  <c r="AJ2" i="10"/>
  <c r="T2" i="10"/>
  <c r="K14" i="10"/>
  <c r="AH14" i="10"/>
  <c r="AE14" i="10"/>
  <c r="AD16" i="10"/>
  <c r="AL16" i="10"/>
  <c r="K17" i="10"/>
  <c r="AH17" i="10"/>
  <c r="AE17" i="10"/>
  <c r="K44" i="6" l="1"/>
  <c r="B7" i="7"/>
  <c r="I45" i="6"/>
  <c r="H44" i="6"/>
  <c r="G43" i="6"/>
  <c r="F42" i="6"/>
  <c r="H45" i="6"/>
  <c r="G44" i="6"/>
  <c r="F43" i="6"/>
  <c r="E42" i="6"/>
  <c r="E45" i="6"/>
  <c r="D44" i="6"/>
  <c r="C43" i="6"/>
  <c r="B42" i="6"/>
  <c r="D45" i="6"/>
  <c r="C44" i="6"/>
  <c r="K43" i="6"/>
  <c r="J42" i="6"/>
  <c r="G45" i="6"/>
  <c r="H43" i="6"/>
  <c r="F45" i="6"/>
  <c r="E43" i="6"/>
  <c r="C45" i="6"/>
  <c r="D43" i="6"/>
  <c r="B45" i="6"/>
  <c r="B43" i="6"/>
  <c r="J44" i="6"/>
  <c r="I44" i="6"/>
  <c r="L44" i="6" s="1"/>
  <c r="K42" i="6"/>
  <c r="F44" i="6"/>
  <c r="I42" i="6"/>
  <c r="L42" i="6" s="1"/>
  <c r="E44" i="6"/>
  <c r="H42" i="6"/>
  <c r="B44" i="6"/>
  <c r="G42" i="6"/>
  <c r="D42" i="6"/>
  <c r="J45" i="6"/>
  <c r="I43" i="6"/>
  <c r="L43" i="6" s="1"/>
  <c r="K45" i="6"/>
  <c r="J43" i="6"/>
  <c r="C42" i="6"/>
  <c r="AF7" i="10"/>
  <c r="AM7" i="10"/>
  <c r="AF12" i="10"/>
  <c r="AM12" i="10"/>
  <c r="AF15" i="10"/>
  <c r="AM15" i="10"/>
  <c r="K65" i="6"/>
  <c r="J64" i="6"/>
  <c r="I63" i="6"/>
  <c r="L63" i="6" s="1"/>
  <c r="K66" i="6"/>
  <c r="J65" i="6"/>
  <c r="I64" i="6"/>
  <c r="L64" i="6" s="1"/>
  <c r="H63" i="6"/>
  <c r="J66" i="6"/>
  <c r="I65" i="6"/>
  <c r="L65" i="6" s="1"/>
  <c r="H64" i="6"/>
  <c r="G63" i="6"/>
  <c r="I66" i="6"/>
  <c r="L66" i="6" s="1"/>
  <c r="H65" i="6"/>
  <c r="G64" i="6"/>
  <c r="F63" i="6"/>
  <c r="H66" i="6"/>
  <c r="G65" i="6"/>
  <c r="F64" i="6"/>
  <c r="E63" i="6"/>
  <c r="B10" i="7"/>
  <c r="G66" i="6"/>
  <c r="F65" i="6"/>
  <c r="E64" i="6"/>
  <c r="D63" i="6"/>
  <c r="F66" i="6"/>
  <c r="E65" i="6"/>
  <c r="D64" i="6"/>
  <c r="C63" i="6"/>
  <c r="E66" i="6"/>
  <c r="D65" i="6"/>
  <c r="C64" i="6"/>
  <c r="B63" i="6"/>
  <c r="D66" i="6"/>
  <c r="C65" i="6"/>
  <c r="B64" i="6"/>
  <c r="C66" i="6"/>
  <c r="B65" i="6"/>
  <c r="B66" i="6"/>
  <c r="K63" i="6"/>
  <c r="K64" i="6"/>
  <c r="J63" i="6"/>
  <c r="D52" i="6"/>
  <c r="C51" i="6"/>
  <c r="B50" i="6"/>
  <c r="C52" i="6"/>
  <c r="B51" i="6"/>
  <c r="K50" i="6"/>
  <c r="J49" i="6"/>
  <c r="K51" i="6"/>
  <c r="J50" i="6"/>
  <c r="I49" i="6"/>
  <c r="J52" i="6"/>
  <c r="I51" i="6"/>
  <c r="I52" i="6"/>
  <c r="L52" i="6" s="1"/>
  <c r="H51" i="6"/>
  <c r="G50" i="6"/>
  <c r="F49" i="6"/>
  <c r="H52" i="6"/>
  <c r="G51" i="6"/>
  <c r="F50" i="6"/>
  <c r="E49" i="6"/>
  <c r="G52" i="6"/>
  <c r="F52" i="6"/>
  <c r="B8" i="7"/>
  <c r="E52" i="6"/>
  <c r="D51" i="6"/>
  <c r="C50" i="6"/>
  <c r="B49" i="6"/>
  <c r="I50" i="6"/>
  <c r="L50" i="6" s="1"/>
  <c r="H50" i="6"/>
  <c r="E50" i="6"/>
  <c r="D50" i="6"/>
  <c r="K49" i="6"/>
  <c r="H49" i="6"/>
  <c r="K52" i="6"/>
  <c r="G49" i="6"/>
  <c r="B52" i="6"/>
  <c r="D49" i="6"/>
  <c r="J51" i="6"/>
  <c r="C49" i="6"/>
  <c r="F51" i="6"/>
  <c r="E51" i="6"/>
  <c r="C37" i="6"/>
  <c r="B6" i="7"/>
  <c r="J36" i="6"/>
  <c r="H37" i="6"/>
  <c r="J37" i="6"/>
  <c r="E36" i="6"/>
  <c r="C35" i="6"/>
  <c r="I32" i="6"/>
  <c r="G31" i="6"/>
  <c r="E30" i="6"/>
  <c r="C29" i="6"/>
  <c r="I26" i="6"/>
  <c r="G25" i="6"/>
  <c r="E24" i="6"/>
  <c r="C23" i="6"/>
  <c r="I37" i="6"/>
  <c r="D36" i="6"/>
  <c r="B35" i="6"/>
  <c r="J33" i="6"/>
  <c r="H32" i="6"/>
  <c r="F31" i="6"/>
  <c r="D30" i="6"/>
  <c r="B29" i="6"/>
  <c r="J27" i="6"/>
  <c r="H26" i="6"/>
  <c r="F25" i="6"/>
  <c r="D24" i="6"/>
  <c r="B23" i="6"/>
  <c r="G37" i="6"/>
  <c r="C36" i="6"/>
  <c r="I33" i="6"/>
  <c r="G32" i="6"/>
  <c r="E31" i="6"/>
  <c r="C30" i="6"/>
  <c r="I27" i="6"/>
  <c r="G26" i="6"/>
  <c r="E25" i="6"/>
  <c r="C24" i="6"/>
  <c r="K24" i="6" s="1"/>
  <c r="F37" i="6"/>
  <c r="B36" i="6"/>
  <c r="J34" i="6"/>
  <c r="H33" i="6"/>
  <c r="F32" i="6"/>
  <c r="D31" i="6"/>
  <c r="B30" i="6"/>
  <c r="J28" i="6"/>
  <c r="H27" i="6"/>
  <c r="F26" i="6"/>
  <c r="D25" i="6"/>
  <c r="B24" i="6"/>
  <c r="J22" i="6"/>
  <c r="E37" i="6"/>
  <c r="I34" i="6"/>
  <c r="G33" i="6"/>
  <c r="E32" i="6"/>
  <c r="C31" i="6"/>
  <c r="I28" i="6"/>
  <c r="G27" i="6"/>
  <c r="E26" i="6"/>
  <c r="C25" i="6"/>
  <c r="I22" i="6"/>
  <c r="D37" i="6"/>
  <c r="J35" i="6"/>
  <c r="H34" i="6"/>
  <c r="F33" i="6"/>
  <c r="D32" i="6"/>
  <c r="B31" i="6"/>
  <c r="J29" i="6"/>
  <c r="H28" i="6"/>
  <c r="F27" i="6"/>
  <c r="D26" i="6"/>
  <c r="B25" i="6"/>
  <c r="J23" i="6"/>
  <c r="H22" i="6"/>
  <c r="B37" i="6"/>
  <c r="I35" i="6"/>
  <c r="G34" i="6"/>
  <c r="E33" i="6"/>
  <c r="C32" i="6"/>
  <c r="K32" i="6" s="1"/>
  <c r="I29" i="6"/>
  <c r="G28" i="6"/>
  <c r="E27" i="6"/>
  <c r="C26" i="6"/>
  <c r="K26" i="6" s="1"/>
  <c r="I23" i="6"/>
  <c r="G22" i="6"/>
  <c r="H35" i="6"/>
  <c r="F34" i="6"/>
  <c r="D33" i="6"/>
  <c r="B32" i="6"/>
  <c r="J30" i="6"/>
  <c r="H29" i="6"/>
  <c r="F28" i="6"/>
  <c r="D27" i="6"/>
  <c r="B26" i="6"/>
  <c r="J24" i="6"/>
  <c r="H23" i="6"/>
  <c r="F22" i="6"/>
  <c r="I36" i="6"/>
  <c r="G35" i="6"/>
  <c r="E34" i="6"/>
  <c r="C33" i="6"/>
  <c r="K33" i="6" s="1"/>
  <c r="I30" i="6"/>
  <c r="G29" i="6"/>
  <c r="E28" i="6"/>
  <c r="C27" i="6"/>
  <c r="I24" i="6"/>
  <c r="G23" i="6"/>
  <c r="E22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F36" i="6"/>
  <c r="D35" i="6"/>
  <c r="B34" i="6"/>
  <c r="J32" i="6"/>
  <c r="H31" i="6"/>
  <c r="F30" i="6"/>
  <c r="D29" i="6"/>
  <c r="B28" i="6"/>
  <c r="J26" i="6"/>
  <c r="H25" i="6"/>
  <c r="F24" i="6"/>
  <c r="D23" i="6"/>
  <c r="B22" i="6"/>
  <c r="I31" i="6"/>
  <c r="G30" i="6"/>
  <c r="E29" i="6"/>
  <c r="C28" i="6"/>
  <c r="K28" i="6" s="1"/>
  <c r="I25" i="6"/>
  <c r="G24" i="6"/>
  <c r="E23" i="6"/>
  <c r="G36" i="6"/>
  <c r="C22" i="6"/>
  <c r="E35" i="6"/>
  <c r="C34" i="6"/>
  <c r="AF4" i="10"/>
  <c r="AM4" i="10"/>
  <c r="AF10" i="10"/>
  <c r="AM10" i="10"/>
  <c r="AM5" i="10"/>
  <c r="AF5" i="10"/>
  <c r="AF9" i="10"/>
  <c r="AM9" i="10"/>
  <c r="AF6" i="10"/>
  <c r="AM6" i="10"/>
  <c r="AF16" i="10"/>
  <c r="AM16" i="10"/>
  <c r="AF3" i="10"/>
  <c r="AM3" i="10"/>
  <c r="AF13" i="10"/>
  <c r="AM13" i="10"/>
  <c r="AM11" i="10"/>
  <c r="AF11" i="10"/>
  <c r="AM8" i="10"/>
  <c r="AF8" i="10"/>
  <c r="AM17" i="10"/>
  <c r="AF17" i="10"/>
  <c r="H59" i="6"/>
  <c r="G58" i="6"/>
  <c r="F57" i="6"/>
  <c r="E56" i="6"/>
  <c r="G59" i="6"/>
  <c r="F58" i="6"/>
  <c r="E57" i="6"/>
  <c r="D56" i="6"/>
  <c r="F59" i="6"/>
  <c r="E58" i="6"/>
  <c r="D57" i="6"/>
  <c r="E59" i="6"/>
  <c r="D58" i="6"/>
  <c r="C57" i="6"/>
  <c r="B56" i="6"/>
  <c r="D59" i="6"/>
  <c r="C58" i="6"/>
  <c r="B57" i="6"/>
  <c r="C59" i="6"/>
  <c r="B58" i="6"/>
  <c r="B59" i="6"/>
  <c r="K56" i="6"/>
  <c r="K57" i="6"/>
  <c r="J56" i="6"/>
  <c r="B9" i="7"/>
  <c r="K58" i="6"/>
  <c r="J57" i="6"/>
  <c r="I56" i="6"/>
  <c r="K59" i="6"/>
  <c r="J58" i="6"/>
  <c r="I57" i="6"/>
  <c r="H56" i="6"/>
  <c r="J59" i="6"/>
  <c r="I58" i="6"/>
  <c r="H57" i="6"/>
  <c r="G56" i="6"/>
  <c r="I59" i="6"/>
  <c r="L59" i="6" s="1"/>
  <c r="H58" i="6"/>
  <c r="G57" i="6"/>
  <c r="F56" i="6"/>
  <c r="C56" i="6"/>
  <c r="AM2" i="10"/>
  <c r="AF2" i="10"/>
  <c r="AM14" i="10"/>
  <c r="AF14" i="10"/>
  <c r="B5" i="7"/>
  <c r="I17" i="6"/>
  <c r="G16" i="6"/>
  <c r="E15" i="6"/>
  <c r="C14" i="6"/>
  <c r="I11" i="6"/>
  <c r="G10" i="6"/>
  <c r="E9" i="6"/>
  <c r="C8" i="6"/>
  <c r="I5" i="6"/>
  <c r="G4" i="6"/>
  <c r="E3" i="6"/>
  <c r="J18" i="6"/>
  <c r="H17" i="6"/>
  <c r="F16" i="6"/>
  <c r="D15" i="6"/>
  <c r="B14" i="6"/>
  <c r="J12" i="6"/>
  <c r="H11" i="6"/>
  <c r="F10" i="6"/>
  <c r="D9" i="6"/>
  <c r="B8" i="6"/>
  <c r="J6" i="6"/>
  <c r="H5" i="6"/>
  <c r="F4" i="6"/>
  <c r="D3" i="6"/>
  <c r="I18" i="6"/>
  <c r="G17" i="6"/>
  <c r="E16" i="6"/>
  <c r="C15" i="6"/>
  <c r="I12" i="6"/>
  <c r="G11" i="6"/>
  <c r="E10" i="6"/>
  <c r="C9" i="6"/>
  <c r="I6" i="6"/>
  <c r="G5" i="6"/>
  <c r="E4" i="6"/>
  <c r="C3" i="6"/>
  <c r="H18" i="6"/>
  <c r="F17" i="6"/>
  <c r="D16" i="6"/>
  <c r="B15" i="6"/>
  <c r="J13" i="6"/>
  <c r="H12" i="6"/>
  <c r="F11" i="6"/>
  <c r="D10" i="6"/>
  <c r="B9" i="6"/>
  <c r="J7" i="6"/>
  <c r="H6" i="6"/>
  <c r="F5" i="6"/>
  <c r="D4" i="6"/>
  <c r="B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E18" i="6"/>
  <c r="C17" i="6"/>
  <c r="I14" i="6"/>
  <c r="G13" i="6"/>
  <c r="E12" i="6"/>
  <c r="C11" i="6"/>
  <c r="I8" i="6"/>
  <c r="G7" i="6"/>
  <c r="E6" i="6"/>
  <c r="C5" i="6"/>
  <c r="D18" i="6"/>
  <c r="B17" i="6"/>
  <c r="J15" i="6"/>
  <c r="H14" i="6"/>
  <c r="F13" i="6"/>
  <c r="D12" i="6"/>
  <c r="B11" i="6"/>
  <c r="J9" i="6"/>
  <c r="H8" i="6"/>
  <c r="F7" i="6"/>
  <c r="D6" i="6"/>
  <c r="B5" i="6"/>
  <c r="J3" i="6"/>
  <c r="C18" i="6"/>
  <c r="I15" i="6"/>
  <c r="G14" i="6"/>
  <c r="E13" i="6"/>
  <c r="C12" i="6"/>
  <c r="I9" i="6"/>
  <c r="G8" i="6"/>
  <c r="E7" i="6"/>
  <c r="C6" i="6"/>
  <c r="I3" i="6"/>
  <c r="B18" i="6"/>
  <c r="J16" i="6"/>
  <c r="H15" i="6"/>
  <c r="F14" i="6"/>
  <c r="D13" i="6"/>
  <c r="B12" i="6"/>
  <c r="J10" i="6"/>
  <c r="H9" i="6"/>
  <c r="F8" i="6"/>
  <c r="D7" i="6"/>
  <c r="B6" i="6"/>
  <c r="J4" i="6"/>
  <c r="H3" i="6"/>
  <c r="J17" i="6"/>
  <c r="H16" i="6"/>
  <c r="F15" i="6"/>
  <c r="D14" i="6"/>
  <c r="B13" i="6"/>
  <c r="J11" i="6"/>
  <c r="H10" i="6"/>
  <c r="F9" i="6"/>
  <c r="D8" i="6"/>
  <c r="B7" i="6"/>
  <c r="J5" i="6"/>
  <c r="H4" i="6"/>
  <c r="F3" i="6"/>
  <c r="E14" i="6"/>
  <c r="C13" i="6"/>
  <c r="I10" i="6"/>
  <c r="G9" i="6"/>
  <c r="E8" i="6"/>
  <c r="C7" i="6"/>
  <c r="I4" i="6"/>
  <c r="G3" i="6"/>
  <c r="I16" i="6"/>
  <c r="G15" i="6"/>
  <c r="K15" i="6" l="1"/>
  <c r="K17" i="6"/>
  <c r="K4" i="6"/>
  <c r="K7" i="6"/>
  <c r="K16" i="6"/>
  <c r="L56" i="6"/>
  <c r="K23" i="6"/>
  <c r="K13" i="6"/>
  <c r="K14" i="6"/>
  <c r="K34" i="6"/>
  <c r="K37" i="6"/>
  <c r="K18" i="6"/>
  <c r="K25" i="6"/>
  <c r="K22" i="6"/>
  <c r="K29" i="6"/>
  <c r="K5" i="6"/>
  <c r="K3" i="6"/>
  <c r="K30" i="6"/>
  <c r="C42" i="7"/>
  <c r="C30" i="7"/>
  <c r="C37" i="7"/>
  <c r="C44" i="7"/>
  <c r="C32" i="7"/>
  <c r="E5" i="7"/>
  <c r="E6" i="7" s="1"/>
  <c r="C36" i="7"/>
  <c r="C40" i="7"/>
  <c r="C38" i="7"/>
  <c r="C39" i="7"/>
  <c r="C41" i="7"/>
  <c r="C34" i="7"/>
  <c r="C33" i="7"/>
  <c r="C35" i="7"/>
  <c r="C45" i="7"/>
  <c r="C31" i="7"/>
  <c r="C43" i="7"/>
  <c r="L58" i="6"/>
  <c r="K27" i="6"/>
  <c r="K6" i="6"/>
  <c r="K31" i="6"/>
  <c r="K10" i="6"/>
  <c r="K35" i="6"/>
  <c r="L51" i="6"/>
  <c r="K11" i="6"/>
  <c r="K9" i="6"/>
  <c r="L57" i="6"/>
  <c r="K36" i="6"/>
  <c r="L45" i="6"/>
  <c r="D86" i="6"/>
  <c r="H86" i="6" s="1"/>
  <c r="F84" i="6"/>
  <c r="C81" i="6"/>
  <c r="E79" i="6"/>
  <c r="B76" i="6"/>
  <c r="D74" i="6"/>
  <c r="F72" i="6"/>
  <c r="C86" i="6"/>
  <c r="G86" i="6" s="1"/>
  <c r="E84" i="6"/>
  <c r="B81" i="6"/>
  <c r="D79" i="6"/>
  <c r="F77" i="6"/>
  <c r="C74" i="6"/>
  <c r="E72" i="6"/>
  <c r="B86" i="6"/>
  <c r="D84" i="6"/>
  <c r="F82" i="6"/>
  <c r="C79" i="6"/>
  <c r="E77" i="6"/>
  <c r="B74" i="6"/>
  <c r="D72" i="6"/>
  <c r="C84" i="6"/>
  <c r="E82" i="6"/>
  <c r="B79" i="6"/>
  <c r="D77" i="6"/>
  <c r="F75" i="6"/>
  <c r="C72" i="6"/>
  <c r="B84" i="6"/>
  <c r="D82" i="6"/>
  <c r="F80" i="6"/>
  <c r="C77" i="6"/>
  <c r="E75" i="6"/>
  <c r="B72" i="6"/>
  <c r="F85" i="6"/>
  <c r="C82" i="6"/>
  <c r="E80" i="6"/>
  <c r="B77" i="6"/>
  <c r="D75" i="6"/>
  <c r="F73" i="6"/>
  <c r="E85" i="6"/>
  <c r="B82" i="6"/>
  <c r="D80" i="6"/>
  <c r="F78" i="6"/>
  <c r="C75" i="6"/>
  <c r="E73" i="6"/>
  <c r="D85" i="6"/>
  <c r="F83" i="6"/>
  <c r="C80" i="6"/>
  <c r="E78" i="6"/>
  <c r="B75" i="6"/>
  <c r="D73" i="6"/>
  <c r="F71" i="6"/>
  <c r="C85" i="6"/>
  <c r="E83" i="6"/>
  <c r="B80" i="6"/>
  <c r="D78" i="6"/>
  <c r="F76" i="6"/>
  <c r="C73" i="6"/>
  <c r="E71" i="6"/>
  <c r="B85" i="6"/>
  <c r="D83" i="6"/>
  <c r="H83" i="6" s="1"/>
  <c r="F81" i="6"/>
  <c r="C78" i="6"/>
  <c r="E76" i="6"/>
  <c r="B73" i="6"/>
  <c r="D71" i="6"/>
  <c r="F86" i="6"/>
  <c r="C83" i="6"/>
  <c r="E81" i="6"/>
  <c r="B78" i="6"/>
  <c r="D76" i="6"/>
  <c r="F74" i="6"/>
  <c r="C71" i="6"/>
  <c r="E86" i="6"/>
  <c r="B83" i="6"/>
  <c r="D81" i="6"/>
  <c r="F79" i="6"/>
  <c r="C76" i="6"/>
  <c r="E74" i="6"/>
  <c r="B71" i="6"/>
  <c r="L49" i="6"/>
  <c r="D37" i="7"/>
  <c r="D44" i="7"/>
  <c r="D32" i="7"/>
  <c r="D39" i="7"/>
  <c r="D36" i="7"/>
  <c r="D43" i="7"/>
  <c r="D31" i="7"/>
  <c r="D40" i="7"/>
  <c r="D38" i="7"/>
  <c r="D30" i="7"/>
  <c r="D42" i="7"/>
  <c r="D41" i="7"/>
  <c r="D34" i="7"/>
  <c r="D45" i="7"/>
  <c r="D35" i="7"/>
  <c r="D33" i="7"/>
  <c r="K8" i="6"/>
  <c r="K12" i="6"/>
  <c r="H85" i="6" l="1"/>
  <c r="G83" i="6"/>
  <c r="H76" i="6"/>
  <c r="G82" i="6"/>
  <c r="H79" i="6"/>
  <c r="H78" i="6"/>
  <c r="G75" i="6"/>
  <c r="H82" i="6"/>
  <c r="H84" i="6"/>
  <c r="B20" i="7"/>
  <c r="B6" i="8" s="1"/>
  <c r="B22" i="8" s="1"/>
  <c r="F6" i="7"/>
  <c r="D46" i="7"/>
  <c r="H72" i="6"/>
  <c r="G77" i="6"/>
  <c r="C46" i="7"/>
  <c r="G76" i="6"/>
  <c r="H71" i="6"/>
  <c r="H80" i="6"/>
  <c r="G79" i="6"/>
  <c r="H74" i="6"/>
  <c r="H81" i="6"/>
  <c r="G78" i="6"/>
  <c r="H73" i="6"/>
  <c r="G72" i="6"/>
  <c r="G81" i="6"/>
  <c r="H75" i="6"/>
  <c r="G71" i="6"/>
  <c r="H77" i="6"/>
  <c r="G74" i="6"/>
  <c r="G85" i="6"/>
  <c r="E7" i="7"/>
  <c r="E8" i="7" s="1"/>
  <c r="G80" i="6"/>
  <c r="B19" i="7"/>
  <c r="B5" i="8" s="1"/>
  <c r="B23" i="8" s="1"/>
  <c r="G73" i="6"/>
  <c r="G84" i="6"/>
  <c r="E9" i="7" l="1"/>
  <c r="B23" i="7" s="1"/>
  <c r="B9" i="8" s="1"/>
  <c r="B19" i="8" s="1"/>
  <c r="A9" i="9" s="1"/>
  <c r="E10" i="7"/>
  <c r="AN12" i="10" s="1"/>
  <c r="AO12" i="10" s="1"/>
  <c r="B22" i="7"/>
  <c r="B8" i="8" s="1"/>
  <c r="B20" i="8" s="1"/>
  <c r="F8" i="7"/>
  <c r="B21" i="7"/>
  <c r="B7" i="8" s="1"/>
  <c r="B21" i="8" s="1"/>
  <c r="F7" i="7"/>
  <c r="F9" i="7" l="1"/>
  <c r="AN17" i="10"/>
  <c r="AO17" i="10" s="1"/>
  <c r="B24" i="7"/>
  <c r="B10" i="8" s="1"/>
  <c r="B18" i="8" s="1"/>
  <c r="A8" i="9" s="1"/>
  <c r="A24" i="9" s="1"/>
  <c r="AN8" i="10"/>
  <c r="AO8" i="10" s="1"/>
  <c r="F10" i="7"/>
  <c r="AN14" i="10"/>
  <c r="AO14" i="10" s="1"/>
  <c r="AN4" i="10"/>
  <c r="AO4" i="10" s="1"/>
  <c r="AN10" i="10"/>
  <c r="AO10" i="10" s="1"/>
  <c r="AN15" i="10"/>
  <c r="AO15" i="10" s="1"/>
  <c r="AN3" i="10"/>
  <c r="AO3" i="10" s="1"/>
  <c r="AN9" i="10"/>
  <c r="AO9" i="10" s="1"/>
  <c r="AN5" i="10"/>
  <c r="AO5" i="10" s="1"/>
  <c r="AN6" i="10"/>
  <c r="AO6" i="10" s="1"/>
  <c r="AN16" i="10"/>
  <c r="AO16" i="10" s="1"/>
  <c r="AN13" i="10"/>
  <c r="AO13" i="10" s="1"/>
  <c r="AN7" i="10"/>
  <c r="AO7" i="10" s="1"/>
  <c r="AN2" i="10"/>
  <c r="AO2" i="10" s="1"/>
  <c r="AN11" i="10"/>
  <c r="AO11" i="10" s="1"/>
  <c r="A25" i="9"/>
  <c r="B14" i="9" l="1"/>
  <c r="B15" i="7"/>
  <c r="B26" i="7" s="1"/>
  <c r="B12" i="8" s="1"/>
  <c r="B16" i="8" s="1"/>
  <c r="A6" i="9" s="1"/>
  <c r="B13" i="9" s="1"/>
  <c r="C15" i="7"/>
  <c r="B14" i="7"/>
  <c r="B25" i="7" s="1"/>
  <c r="B11" i="8" s="1"/>
  <c r="B17" i="8" s="1"/>
  <c r="A7" i="9" s="1"/>
  <c r="A23" i="9" s="1"/>
  <c r="C14" i="7"/>
  <c r="B16" i="9" l="1"/>
  <c r="A22" i="9"/>
  <c r="B15" i="9"/>
  <c r="E31" i="7" s="1"/>
  <c r="F31" i="7" s="1"/>
  <c r="E35" i="7"/>
  <c r="F35" i="7" s="1"/>
  <c r="E32" i="7"/>
  <c r="F32" i="7" s="1"/>
  <c r="E45" i="7"/>
  <c r="F45" i="7" s="1"/>
  <c r="E30" i="7"/>
  <c r="E40" i="7" l="1"/>
  <c r="F40" i="7" s="1"/>
  <c r="E37" i="7"/>
  <c r="F37" i="7" s="1"/>
  <c r="E42" i="7"/>
  <c r="F42" i="7" s="1"/>
  <c r="E34" i="7"/>
  <c r="F34" i="7" s="1"/>
  <c r="E41" i="7"/>
  <c r="F41" i="7" s="1"/>
  <c r="E38" i="7"/>
  <c r="F38" i="7" s="1"/>
  <c r="E39" i="7"/>
  <c r="F39" i="7" s="1"/>
  <c r="E36" i="7"/>
  <c r="F36" i="7" s="1"/>
  <c r="E43" i="7"/>
  <c r="F43" i="7" s="1"/>
  <c r="E33" i="7"/>
  <c r="F33" i="7" s="1"/>
  <c r="E44" i="7"/>
  <c r="F44" i="7" s="1"/>
  <c r="F30" i="7"/>
  <c r="F46" i="7" l="1"/>
  <c r="E46" i="7"/>
</calcChain>
</file>

<file path=xl/sharedStrings.xml><?xml version="1.0" encoding="utf-8"?>
<sst xmlns="http://schemas.openxmlformats.org/spreadsheetml/2006/main" count="777" uniqueCount="264">
  <si>
    <t>WEEKS 1-6 — WEEKLY INPUT (Correct Picks &amp; H2H Results)</t>
  </si>
  <si>
    <t>Enter each player's correct picks for the week. H2H winner is auto-calculated from the schedule.</t>
  </si>
  <si>
    <t>WEEK 1</t>
  </si>
  <si>
    <t>Player #</t>
  </si>
  <si>
    <t>Player Name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</si>
  <si>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</si>
  <si>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</si>
  <si>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</si>
  <si>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</si>
  <si>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</si>
  <si>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</si>
  <si>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</si>
  <si>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</si>
  <si>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</si>
  <si>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</si>
  <si>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</si>
  <si>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</si>
  <si>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NFL PICKS LEAGUE — ROSTER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</si>
  <si>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</si>
  <si>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</si>
  <si>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</si>
  <si>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</si>
  <si>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</si>
  <si>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</si>
  <si>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</si>
  <si>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</si>
  <si>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</si>
  <si>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</si>
  <si>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</si>
  <si>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</si>
  <si>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</si>
  <si>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</si>
  <si>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</si>
  <si>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</si>
  <si>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</si>
  <si>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</si>
  <si>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</si>
  <si>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</si>
  <si>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</si>
  <si>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</si>
  <si>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</si>
  <si>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</si>
  <si>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</si>
  <si>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</si>
  <si>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</si>
  <si>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(1-18)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</si>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</sst>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1"/>
      <color rgb="FF000000"/>
      <name val="Arial"/>
    </font>
    <font>
      <b/>
      <sz val="14"/>
      <color rgb="FF0000FF"/>
      <name val="Arial"/>
    </font>
    <font>
      <i/>
      <sz val="9"/>
      <color rgb="FF666666"/>
      <name val="Arial"/>
    </font>
  </fonts>
  <fills count="24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 wrapText="1"/>
    </xf>
    <xf numFmtId="0" fontId="14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center" vertical="center" wrapText="1"/>
    </xf>
    <xf numFmtId="165" fontId="16" fillId="9" borderId="1" xfId="0" applyNumberFormat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9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1" fillId="0" borderId="0" xfId="0" applyFont="1"/>
    <xf numFmtId="0" fontId="20" fillId="10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/>
    </xf>
    <xf numFmtId="1" fontId="23" fillId="23" borderId="4" xfId="0" applyNumberFormat="1" applyFont="1" applyFill="1" applyBorder="1" applyAlignment="1">
      <alignment horizontal="center" vertical="center"/>
    </xf>
    <xf numFmtId="0" fontId="24" fillId="4" borderId="0" xfId="0" applyFont="1" applyFill="1"/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2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tabSelected="1" zoomScaleNormal="100" workbookViewId="0">
      <selection activeCell="H22" sqref="H22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6" t="s">
        <v>17</v>
      </c>
      <c r="B1" s="63"/>
      <c r="C1" s="63"/>
      <c r="D1" s="64"/>
    </row>
    <row r="2" spans="1:4" ht="15" customHeight="1" x14ac:dyDescent="0.25">
      <c r="A2" s="2" t="s">
        <v>3</v>
      </c>
      <c r="B2" s="2" t="s">
        <v>4</v>
      </c>
      <c r="C2" s="2" t="s">
        <v>18</v>
      </c>
      <c r="D2" s="2" t="s">
        <v>19</v>
      </c>
    </row>
    <row r="3" spans="1:4" ht="15" customHeight="1" x14ac:dyDescent="0.25">
      <c r="A3" s="3">
        <v>1</v>
      </c>
      <c r="B3" s="4" t="s">
        <v>20</v>
      </c>
      <c r="C3" s="3" t="s">
        <v>21</v>
      </c>
      <c r="D3" s="3" t="s">
        <v>22</v>
      </c>
    </row>
    <row r="4" spans="1:4" ht="15" customHeight="1" x14ac:dyDescent="0.25">
      <c r="A4" s="3">
        <v>2</v>
      </c>
      <c r="B4" s="4" t="s">
        <v>23</v>
      </c>
      <c r="C4" s="3" t="s">
        <v>21</v>
      </c>
      <c r="D4" s="3" t="s">
        <v>22</v>
      </c>
    </row>
    <row r="5" spans="1:4" ht="15" customHeight="1" x14ac:dyDescent="0.25">
      <c r="A5" s="3">
        <v>3</v>
      </c>
      <c r="B5" s="4" t="s">
        <v>24</v>
      </c>
      <c r="C5" s="3" t="s">
        <v>21</v>
      </c>
      <c r="D5" s="3" t="s">
        <v>22</v>
      </c>
    </row>
    <row r="6" spans="1:4" ht="15" customHeight="1" x14ac:dyDescent="0.25">
      <c r="A6" s="3">
        <v>4</v>
      </c>
      <c r="B6" s="4" t="s">
        <v>25</v>
      </c>
      <c r="C6" s="3" t="s">
        <v>21</v>
      </c>
      <c r="D6" s="3" t="s">
        <v>22</v>
      </c>
    </row>
    <row r="7" spans="1:4" ht="15" customHeight="1" x14ac:dyDescent="0.25">
      <c r="A7" s="3">
        <v>5</v>
      </c>
      <c r="B7" s="4" t="s">
        <v>26</v>
      </c>
      <c r="C7" s="3" t="s">
        <v>27</v>
      </c>
      <c r="D7" s="3" t="s">
        <v>28</v>
      </c>
    </row>
    <row r="8" spans="1:4" ht="15" customHeight="1" x14ac:dyDescent="0.25">
      <c r="A8" s="3">
        <v>6</v>
      </c>
      <c r="B8" s="4" t="s">
        <v>29</v>
      </c>
      <c r="C8" s="3" t="s">
        <v>27</v>
      </c>
      <c r="D8" s="3" t="s">
        <v>28</v>
      </c>
    </row>
    <row r="9" spans="1:4" ht="15" customHeight="1" x14ac:dyDescent="0.25">
      <c r="A9" s="3">
        <v>7</v>
      </c>
      <c r="B9" s="4" t="s">
        <v>30</v>
      </c>
      <c r="C9" s="3" t="s">
        <v>27</v>
      </c>
      <c r="D9" s="3" t="s">
        <v>28</v>
      </c>
    </row>
    <row r="10" spans="1:4" ht="15" customHeight="1" x14ac:dyDescent="0.25">
      <c r="A10" s="3">
        <v>8</v>
      </c>
      <c r="B10" s="4" t="s">
        <v>31</v>
      </c>
      <c r="C10" s="3" t="s">
        <v>27</v>
      </c>
      <c r="D10" s="3" t="s">
        <v>28</v>
      </c>
    </row>
    <row r="11" spans="1:4" ht="15" customHeight="1" x14ac:dyDescent="0.25">
      <c r="A11" s="3">
        <v>9</v>
      </c>
      <c r="B11" s="4" t="s">
        <v>32</v>
      </c>
      <c r="C11" s="3" t="s">
        <v>33</v>
      </c>
      <c r="D11" s="3" t="s">
        <v>34</v>
      </c>
    </row>
    <row r="12" spans="1:4" ht="15" customHeight="1" x14ac:dyDescent="0.25">
      <c r="A12" s="3">
        <v>10</v>
      </c>
      <c r="B12" s="4" t="s">
        <v>35</v>
      </c>
      <c r="C12" s="3" t="s">
        <v>33</v>
      </c>
      <c r="D12" s="3" t="s">
        <v>34</v>
      </c>
    </row>
    <row r="13" spans="1:4" ht="15" customHeight="1" x14ac:dyDescent="0.25">
      <c r="A13" s="3">
        <v>11</v>
      </c>
      <c r="B13" s="4" t="s">
        <v>36</v>
      </c>
      <c r="C13" s="3" t="s">
        <v>33</v>
      </c>
      <c r="D13" s="3" t="s">
        <v>34</v>
      </c>
    </row>
    <row r="14" spans="1:4" ht="15" customHeight="1" x14ac:dyDescent="0.25">
      <c r="A14" s="3">
        <v>12</v>
      </c>
      <c r="B14" s="4" t="s">
        <v>37</v>
      </c>
      <c r="C14" s="3" t="s">
        <v>33</v>
      </c>
      <c r="D14" s="3" t="s">
        <v>34</v>
      </c>
    </row>
    <row r="15" spans="1:4" ht="15" customHeight="1" x14ac:dyDescent="0.25">
      <c r="A15" s="3">
        <v>13</v>
      </c>
      <c r="B15" s="4" t="s">
        <v>38</v>
      </c>
      <c r="C15" s="3" t="s">
        <v>39</v>
      </c>
      <c r="D15" s="3" t="s">
        <v>40</v>
      </c>
    </row>
    <row r="16" spans="1:4" ht="15" customHeight="1" x14ac:dyDescent="0.25">
      <c r="A16" s="3">
        <v>14</v>
      </c>
      <c r="B16" s="4" t="s">
        <v>41</v>
      </c>
      <c r="C16" s="3" t="s">
        <v>39</v>
      </c>
      <c r="D16" s="3" t="s">
        <v>40</v>
      </c>
    </row>
    <row r="17" spans="1:4" ht="15" customHeight="1" x14ac:dyDescent="0.25">
      <c r="A17" s="3">
        <v>15</v>
      </c>
      <c r="B17" s="4" t="s">
        <v>42</v>
      </c>
      <c r="C17" s="3" t="s">
        <v>39</v>
      </c>
      <c r="D17" s="3" t="s">
        <v>40</v>
      </c>
    </row>
    <row r="18" spans="1:4" ht="15" customHeight="1" x14ac:dyDescent="0.25">
      <c r="A18" s="3">
        <v>16</v>
      </c>
      <c r="B18" s="4" t="s">
        <v>43</v>
      </c>
      <c r="C18" s="3" t="s">
        <v>39</v>
      </c>
      <c r="D18" s="3" t="s">
        <v>40</v>
      </c>
    </row>
    <row r="20" spans="1:4" ht="15" customHeight="1" x14ac:dyDescent="0.25">
      <c r="A20" s="59" t="s">
        <v>44</v>
      </c>
      <c r="B20" s="60">
        <v>1</v>
      </c>
    </row>
    <row r="21" spans="1:4" ht="15" customHeight="1" x14ac:dyDescent="0.25">
      <c r="A21" s="61" t="s">
        <v>45</v>
      </c>
    </row>
    <row r="23" spans="1:4" ht="15" customHeight="1" x14ac:dyDescent="0.25">
      <c r="A23" s="5" t="s">
        <v>46</v>
      </c>
    </row>
    <row r="24" spans="1:4" ht="15" customHeight="1" x14ac:dyDescent="0.25">
      <c r="A24" s="5" t="s">
        <v>47</v>
      </c>
    </row>
    <row r="25" spans="1:4" ht="15" customHeight="1" x14ac:dyDescent="0.25">
      <c r="A25" s="5" t="s">
        <v>48</v>
      </c>
    </row>
    <row r="26" spans="1:4" ht="15" customHeight="1" x14ac:dyDescent="0.25">
      <c r="A26" s="5" t="s">
        <v>49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>
      <selection sqref="A1:F1"/>
    </sheetView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68" t="s">
        <v>50</v>
      </c>
      <c r="B1" s="63"/>
      <c r="C1" s="63"/>
      <c r="D1" s="63"/>
      <c r="E1" s="63"/>
      <c r="F1" s="64"/>
    </row>
    <row r="2" spans="1:6" ht="15" customHeight="1" x14ac:dyDescent="0.25">
      <c r="A2" s="67" t="s">
        <v>51</v>
      </c>
      <c r="B2" s="63"/>
      <c r="C2" s="63"/>
      <c r="D2" s="63"/>
      <c r="E2" s="63"/>
      <c r="F2" s="64"/>
    </row>
    <row r="3" spans="1:6" ht="15" customHeight="1" x14ac:dyDescent="0.25">
      <c r="A3" s="6" t="s">
        <v>52</v>
      </c>
      <c r="B3" s="6" t="s">
        <v>53</v>
      </c>
      <c r="C3" s="6" t="s">
        <v>54</v>
      </c>
      <c r="D3" s="6" t="s">
        <v>55</v>
      </c>
      <c r="E3" s="6" t="s">
        <v>53</v>
      </c>
      <c r="F3" s="6" t="s">
        <v>54</v>
      </c>
    </row>
    <row r="4" spans="1:6" ht="15" customHeight="1" x14ac:dyDescent="0.25">
      <c r="A4" s="7">
        <v>1</v>
      </c>
      <c r="B4" s="7">
        <v>1</v>
      </c>
      <c r="C4" s="7" t="str">
        <f>VLOOKUP(B4,Roster!$A$3:$B$18,2,FALSE())</f>
        <v>Player 1</v>
      </c>
      <c r="D4" s="8" t="s">
        <v>55</v>
      </c>
      <c r="E4" s="7">
        <v>5</v>
      </c>
      <c r="F4" s="7" t="str">
        <f>VLOOKUP(E4,Roster!$A$3:$B$18,2,FALSE())</f>
        <v>Player 5</v>
      </c>
    </row>
    <row r="5" spans="1:6" ht="15" customHeight="1" x14ac:dyDescent="0.25">
      <c r="A5" s="7">
        <v>2</v>
      </c>
      <c r="B5" s="7">
        <v>2</v>
      </c>
      <c r="C5" s="7" t="str">
        <f>VLOOKUP(B5,Roster!$A$3:$B$18,2,FALSE())</f>
        <v>Player 2</v>
      </c>
      <c r="D5" s="8" t="s">
        <v>55</v>
      </c>
      <c r="E5" s="7">
        <v>6</v>
      </c>
      <c r="F5" s="7" t="str">
        <f>VLOOKUP(E5,Roster!$A$3:$B$18,2,FALSE())</f>
        <v>Player 6</v>
      </c>
    </row>
    <row r="6" spans="1:6" ht="15" customHeight="1" x14ac:dyDescent="0.25">
      <c r="A6" s="7">
        <v>3</v>
      </c>
      <c r="B6" s="7">
        <v>3</v>
      </c>
      <c r="C6" s="7" t="str">
        <f>VLOOKUP(B6,Roster!$A$3:$B$18,2,FALSE())</f>
        <v>Player 3</v>
      </c>
      <c r="D6" s="8" t="s">
        <v>55</v>
      </c>
      <c r="E6" s="7">
        <v>7</v>
      </c>
      <c r="F6" s="7" t="str">
        <f>VLOOKUP(E6,Roster!$A$3:$B$18,2,FALSE())</f>
        <v>Player 7</v>
      </c>
    </row>
    <row r="7" spans="1:6" ht="15" customHeight="1" x14ac:dyDescent="0.25">
      <c r="A7" s="7">
        <v>4</v>
      </c>
      <c r="B7" s="7">
        <v>4</v>
      </c>
      <c r="C7" s="7" t="str">
        <f>VLOOKUP(B7,Roster!$A$3:$B$18,2,FALSE())</f>
        <v>Player 4</v>
      </c>
      <c r="D7" s="8" t="s">
        <v>55</v>
      </c>
      <c r="E7" s="7">
        <v>8</v>
      </c>
      <c r="F7" s="7" t="str">
        <f>VLOOKUP(E7,Roster!$A$3:$B$18,2,FALSE())</f>
        <v>Player 8</v>
      </c>
    </row>
    <row r="8" spans="1:6" ht="15" customHeight="1" x14ac:dyDescent="0.25">
      <c r="A8" s="7">
        <v>5</v>
      </c>
      <c r="B8" s="7">
        <v>9</v>
      </c>
      <c r="C8" s="7" t="str">
        <f>VLOOKUP(B8,Roster!$A$3:$B$18,2,FALSE())</f>
        <v>Player 9</v>
      </c>
      <c r="D8" s="8" t="s">
        <v>55</v>
      </c>
      <c r="E8" s="7">
        <v>13</v>
      </c>
      <c r="F8" s="7" t="str">
        <f>VLOOKUP(E8,Roster!$A$3:$B$18,2,FALSE())</f>
        <v>Player 13</v>
      </c>
    </row>
    <row r="9" spans="1:6" ht="15" customHeight="1" x14ac:dyDescent="0.25">
      <c r="A9" s="7">
        <v>6</v>
      </c>
      <c r="B9" s="7">
        <v>10</v>
      </c>
      <c r="C9" s="7" t="str">
        <f>VLOOKUP(B9,Roster!$A$3:$B$18,2,FALSE())</f>
        <v>Player 10</v>
      </c>
      <c r="D9" s="8" t="s">
        <v>55</v>
      </c>
      <c r="E9" s="7">
        <v>14</v>
      </c>
      <c r="F9" s="7" t="str">
        <f>VLOOKUP(E9,Roster!$A$3:$B$18,2,FALSE())</f>
        <v>Player 14</v>
      </c>
    </row>
    <row r="10" spans="1:6" ht="15" customHeight="1" x14ac:dyDescent="0.25">
      <c r="A10" s="7">
        <v>7</v>
      </c>
      <c r="B10" s="7">
        <v>11</v>
      </c>
      <c r="C10" s="7" t="str">
        <f>VLOOKUP(B10,Roster!$A$3:$B$18,2,FALSE())</f>
        <v>Player 11</v>
      </c>
      <c r="D10" s="8" t="s">
        <v>55</v>
      </c>
      <c r="E10" s="7">
        <v>15</v>
      </c>
      <c r="F10" s="7" t="str">
        <f>VLOOKUP(E10,Roster!$A$3:$B$18,2,FALSE())</f>
        <v>Player 15</v>
      </c>
    </row>
    <row r="11" spans="1:6" ht="15" customHeight="1" x14ac:dyDescent="0.25">
      <c r="A11" s="7">
        <v>8</v>
      </c>
      <c r="B11" s="7">
        <v>12</v>
      </c>
      <c r="C11" s="7" t="str">
        <f>VLOOKUP(B11,Roster!$A$3:$B$18,2,FALSE())</f>
        <v>Player 12</v>
      </c>
      <c r="D11" s="8" t="s">
        <v>55</v>
      </c>
      <c r="E11" s="7">
        <v>16</v>
      </c>
      <c r="F11" s="7" t="str">
        <f>VLOOKUP(E11,Roster!$A$3:$B$18,2,FALSE())</f>
        <v>Player 16</v>
      </c>
    </row>
    <row r="13" spans="1:6" ht="15" customHeight="1" x14ac:dyDescent="0.25">
      <c r="A13" s="67" t="s">
        <v>56</v>
      </c>
      <c r="B13" s="63"/>
      <c r="C13" s="63"/>
      <c r="D13" s="63"/>
      <c r="E13" s="63"/>
      <c r="F13" s="64"/>
    </row>
    <row r="14" spans="1:6" ht="15" customHeight="1" x14ac:dyDescent="0.25">
      <c r="A14" s="6" t="s">
        <v>52</v>
      </c>
      <c r="B14" s="6" t="s">
        <v>53</v>
      </c>
      <c r="C14" s="6" t="s">
        <v>54</v>
      </c>
      <c r="D14" s="6" t="s">
        <v>55</v>
      </c>
      <c r="E14" s="6" t="s">
        <v>53</v>
      </c>
      <c r="F14" s="6" t="s">
        <v>54</v>
      </c>
    </row>
    <row r="15" spans="1:6" ht="15" customHeight="1" x14ac:dyDescent="0.25">
      <c r="A15" s="7">
        <v>1</v>
      </c>
      <c r="B15" s="7">
        <v>1</v>
      </c>
      <c r="C15" s="7" t="str">
        <f>VLOOKUP(B15,Roster!$A$3:$B$18,2,FALSE())</f>
        <v>Player 1</v>
      </c>
      <c r="D15" s="8" t="s">
        <v>55</v>
      </c>
      <c r="E15" s="7">
        <v>6</v>
      </c>
      <c r="F15" s="7" t="str">
        <f>VLOOKUP(E15,Roster!$A$3:$B$18,2,FALSE())</f>
        <v>Player 6</v>
      </c>
    </row>
    <row r="16" spans="1:6" ht="15" customHeight="1" x14ac:dyDescent="0.25">
      <c r="A16" s="7">
        <v>2</v>
      </c>
      <c r="B16" s="7">
        <v>2</v>
      </c>
      <c r="C16" s="7" t="str">
        <f>VLOOKUP(B16,Roster!$A$3:$B$18,2,FALSE())</f>
        <v>Player 2</v>
      </c>
      <c r="D16" s="8" t="s">
        <v>55</v>
      </c>
      <c r="E16" s="7">
        <v>5</v>
      </c>
      <c r="F16" s="7" t="str">
        <f>VLOOKUP(E16,Roster!$A$3:$B$18,2,FALSE())</f>
        <v>Player 5</v>
      </c>
    </row>
    <row r="17" spans="1:6" ht="15" customHeight="1" x14ac:dyDescent="0.25">
      <c r="A17" s="7">
        <v>3</v>
      </c>
      <c r="B17" s="7">
        <v>3</v>
      </c>
      <c r="C17" s="7" t="str">
        <f>VLOOKUP(B17,Roster!$A$3:$B$18,2,FALSE())</f>
        <v>Player 3</v>
      </c>
      <c r="D17" s="8" t="s">
        <v>55</v>
      </c>
      <c r="E17" s="7">
        <v>8</v>
      </c>
      <c r="F17" s="7" t="str">
        <f>VLOOKUP(E17,Roster!$A$3:$B$18,2,FALSE())</f>
        <v>Player 8</v>
      </c>
    </row>
    <row r="18" spans="1:6" ht="15" customHeight="1" x14ac:dyDescent="0.25">
      <c r="A18" s="7">
        <v>4</v>
      </c>
      <c r="B18" s="7">
        <v>4</v>
      </c>
      <c r="C18" s="7" t="str">
        <f>VLOOKUP(B18,Roster!$A$3:$B$18,2,FALSE())</f>
        <v>Player 4</v>
      </c>
      <c r="D18" s="8" t="s">
        <v>55</v>
      </c>
      <c r="E18" s="7">
        <v>7</v>
      </c>
      <c r="F18" s="7" t="str">
        <f>VLOOKUP(E18,Roster!$A$3:$B$18,2,FALSE())</f>
        <v>Player 7</v>
      </c>
    </row>
    <row r="19" spans="1:6" ht="15" customHeight="1" x14ac:dyDescent="0.25">
      <c r="A19" s="7">
        <v>5</v>
      </c>
      <c r="B19" s="7">
        <v>9</v>
      </c>
      <c r="C19" s="7" t="str">
        <f>VLOOKUP(B19,Roster!$A$3:$B$18,2,FALSE())</f>
        <v>Player 9</v>
      </c>
      <c r="D19" s="8" t="s">
        <v>55</v>
      </c>
      <c r="E19" s="7">
        <v>14</v>
      </c>
      <c r="F19" s="7" t="str">
        <f>VLOOKUP(E19,Roster!$A$3:$B$18,2,FALSE())</f>
        <v>Player 14</v>
      </c>
    </row>
    <row r="20" spans="1:6" ht="15" customHeight="1" x14ac:dyDescent="0.25">
      <c r="A20" s="7">
        <v>6</v>
      </c>
      <c r="B20" s="7">
        <v>10</v>
      </c>
      <c r="C20" s="7" t="str">
        <f>VLOOKUP(B20,Roster!$A$3:$B$18,2,FALSE())</f>
        <v>Player 10</v>
      </c>
      <c r="D20" s="8" t="s">
        <v>55</v>
      </c>
      <c r="E20" s="7">
        <v>13</v>
      </c>
      <c r="F20" s="7" t="str">
        <f>VLOOKUP(E20,Roster!$A$3:$B$18,2,FALSE())</f>
        <v>Player 13</v>
      </c>
    </row>
    <row r="21" spans="1:6" ht="15" customHeight="1" x14ac:dyDescent="0.25">
      <c r="A21" s="7">
        <v>7</v>
      </c>
      <c r="B21" s="7">
        <v>11</v>
      </c>
      <c r="C21" s="7" t="str">
        <f>VLOOKUP(B21,Roster!$A$3:$B$18,2,FALSE())</f>
        <v>Player 11</v>
      </c>
      <c r="D21" s="8" t="s">
        <v>55</v>
      </c>
      <c r="E21" s="7">
        <v>16</v>
      </c>
      <c r="F21" s="7" t="str">
        <f>VLOOKUP(E21,Roster!$A$3:$B$18,2,FALSE())</f>
        <v>Player 16</v>
      </c>
    </row>
    <row r="22" spans="1:6" ht="15" customHeight="1" x14ac:dyDescent="0.25">
      <c r="A22" s="7">
        <v>8</v>
      </c>
      <c r="B22" s="7">
        <v>12</v>
      </c>
      <c r="C22" s="7" t="str">
        <f>VLOOKUP(B22,Roster!$A$3:$B$18,2,FALSE())</f>
        <v>Player 12</v>
      </c>
      <c r="D22" s="8" t="s">
        <v>55</v>
      </c>
      <c r="E22" s="7">
        <v>15</v>
      </c>
      <c r="F22" s="7" t="str">
        <f>VLOOKUP(E22,Roster!$A$3:$B$18,2,FALSE())</f>
        <v>Player 15</v>
      </c>
    </row>
    <row r="24" spans="1:6" ht="15" customHeight="1" x14ac:dyDescent="0.25">
      <c r="A24" s="67" t="s">
        <v>57</v>
      </c>
      <c r="B24" s="63"/>
      <c r="C24" s="63"/>
      <c r="D24" s="63"/>
      <c r="E24" s="63"/>
      <c r="F24" s="64"/>
    </row>
    <row r="25" spans="1:6" ht="15" customHeight="1" x14ac:dyDescent="0.25">
      <c r="A25" s="6" t="s">
        <v>52</v>
      </c>
      <c r="B25" s="6" t="s">
        <v>53</v>
      </c>
      <c r="C25" s="6" t="s">
        <v>54</v>
      </c>
      <c r="D25" s="6" t="s">
        <v>55</v>
      </c>
      <c r="E25" s="6" t="s">
        <v>53</v>
      </c>
      <c r="F25" s="6" t="s">
        <v>54</v>
      </c>
    </row>
    <row r="26" spans="1:6" ht="15" customHeight="1" x14ac:dyDescent="0.25">
      <c r="A26" s="7">
        <v>1</v>
      </c>
      <c r="B26" s="7">
        <v>1</v>
      </c>
      <c r="C26" s="7" t="str">
        <f>VLOOKUP(B26,Roster!$A$3:$B$18,2,FALSE())</f>
        <v>Player 1</v>
      </c>
      <c r="D26" s="8" t="s">
        <v>55</v>
      </c>
      <c r="E26" s="7">
        <v>7</v>
      </c>
      <c r="F26" s="7" t="str">
        <f>VLOOKUP(E26,Roster!$A$3:$B$18,2,FALSE())</f>
        <v>Player 7</v>
      </c>
    </row>
    <row r="27" spans="1:6" ht="15" customHeight="1" x14ac:dyDescent="0.25">
      <c r="A27" s="7">
        <v>2</v>
      </c>
      <c r="B27" s="7">
        <v>2</v>
      </c>
      <c r="C27" s="7" t="str">
        <f>VLOOKUP(B27,Roster!$A$3:$B$18,2,FALSE())</f>
        <v>Player 2</v>
      </c>
      <c r="D27" s="8" t="s">
        <v>55</v>
      </c>
      <c r="E27" s="7">
        <v>8</v>
      </c>
      <c r="F27" s="7" t="str">
        <f>VLOOKUP(E27,Roster!$A$3:$B$18,2,FALSE())</f>
        <v>Player 8</v>
      </c>
    </row>
    <row r="28" spans="1:6" ht="15" customHeight="1" x14ac:dyDescent="0.25">
      <c r="A28" s="7">
        <v>3</v>
      </c>
      <c r="B28" s="7">
        <v>3</v>
      </c>
      <c r="C28" s="7" t="str">
        <f>VLOOKUP(B28,Roster!$A$3:$B$18,2,FALSE())</f>
        <v>Player 3</v>
      </c>
      <c r="D28" s="8" t="s">
        <v>55</v>
      </c>
      <c r="E28" s="7">
        <v>5</v>
      </c>
      <c r="F28" s="7" t="str">
        <f>VLOOKUP(E28,Roster!$A$3:$B$18,2,FALSE())</f>
        <v>Player 5</v>
      </c>
    </row>
    <row r="29" spans="1:6" ht="15" customHeight="1" x14ac:dyDescent="0.25">
      <c r="A29" s="7">
        <v>4</v>
      </c>
      <c r="B29" s="7">
        <v>4</v>
      </c>
      <c r="C29" s="7" t="str">
        <f>VLOOKUP(B29,Roster!$A$3:$B$18,2,FALSE())</f>
        <v>Player 4</v>
      </c>
      <c r="D29" s="8" t="s">
        <v>55</v>
      </c>
      <c r="E29" s="7">
        <v>6</v>
      </c>
      <c r="F29" s="7" t="str">
        <f>VLOOKUP(E29,Roster!$A$3:$B$18,2,FALSE())</f>
        <v>Player 6</v>
      </c>
    </row>
    <row r="30" spans="1:6" ht="15" customHeight="1" x14ac:dyDescent="0.25">
      <c r="A30" s="7">
        <v>5</v>
      </c>
      <c r="B30" s="7">
        <v>9</v>
      </c>
      <c r="C30" s="7" t="str">
        <f>VLOOKUP(B30,Roster!$A$3:$B$18,2,FALSE())</f>
        <v>Player 9</v>
      </c>
      <c r="D30" s="8" t="s">
        <v>55</v>
      </c>
      <c r="E30" s="7">
        <v>15</v>
      </c>
      <c r="F30" s="7" t="str">
        <f>VLOOKUP(E30,Roster!$A$3:$B$18,2,FALSE())</f>
        <v>Player 15</v>
      </c>
    </row>
    <row r="31" spans="1:6" ht="15" customHeight="1" x14ac:dyDescent="0.25">
      <c r="A31" s="7">
        <v>6</v>
      </c>
      <c r="B31" s="7">
        <v>10</v>
      </c>
      <c r="C31" s="7" t="str">
        <f>VLOOKUP(B31,Roster!$A$3:$B$18,2,FALSE())</f>
        <v>Player 10</v>
      </c>
      <c r="D31" s="8" t="s">
        <v>55</v>
      </c>
      <c r="E31" s="7">
        <v>16</v>
      </c>
      <c r="F31" s="7" t="str">
        <f>VLOOKUP(E31,Roster!$A$3:$B$18,2,FALSE())</f>
        <v>Player 16</v>
      </c>
    </row>
    <row r="32" spans="1:6" ht="15" customHeight="1" x14ac:dyDescent="0.25">
      <c r="A32" s="7">
        <v>7</v>
      </c>
      <c r="B32" s="7">
        <v>11</v>
      </c>
      <c r="C32" s="7" t="str">
        <f>VLOOKUP(B32,Roster!$A$3:$B$18,2,FALSE())</f>
        <v>Player 11</v>
      </c>
      <c r="D32" s="8" t="s">
        <v>55</v>
      </c>
      <c r="E32" s="7">
        <v>13</v>
      </c>
      <c r="F32" s="7" t="str">
        <f>VLOOKUP(E32,Roster!$A$3:$B$18,2,FALSE())</f>
        <v>Player 13</v>
      </c>
    </row>
    <row r="33" spans="1:6" ht="15" customHeight="1" x14ac:dyDescent="0.25">
      <c r="A33" s="7">
        <v>8</v>
      </c>
      <c r="B33" s="7">
        <v>12</v>
      </c>
      <c r="C33" s="7" t="str">
        <f>VLOOKUP(B33,Roster!$A$3:$B$18,2,FALSE())</f>
        <v>Player 12</v>
      </c>
      <c r="D33" s="8" t="s">
        <v>55</v>
      </c>
      <c r="E33" s="7">
        <v>14</v>
      </c>
      <c r="F33" s="7" t="str">
        <f>VLOOKUP(E33,Roster!$A$3:$B$18,2,FALSE())</f>
        <v>Player 14</v>
      </c>
    </row>
    <row r="35" spans="1:6" ht="15" customHeight="1" x14ac:dyDescent="0.25">
      <c r="A35" s="67" t="s">
        <v>58</v>
      </c>
      <c r="B35" s="63"/>
      <c r="C35" s="63"/>
      <c r="D35" s="63"/>
      <c r="E35" s="63"/>
      <c r="F35" s="64"/>
    </row>
    <row r="36" spans="1:6" ht="15" customHeight="1" x14ac:dyDescent="0.25">
      <c r="A36" s="6" t="s">
        <v>52</v>
      </c>
      <c r="B36" s="6" t="s">
        <v>53</v>
      </c>
      <c r="C36" s="6" t="s">
        <v>54</v>
      </c>
      <c r="D36" s="6" t="s">
        <v>55</v>
      </c>
      <c r="E36" s="6" t="s">
        <v>53</v>
      </c>
      <c r="F36" s="6" t="s">
        <v>54</v>
      </c>
    </row>
    <row r="37" spans="1:6" ht="15" customHeight="1" x14ac:dyDescent="0.25">
      <c r="A37" s="7">
        <v>1</v>
      </c>
      <c r="B37" s="7">
        <v>1</v>
      </c>
      <c r="C37" s="7" t="str">
        <f>VLOOKUP(B37,Roster!$A$3:$B$18,2,FALSE())</f>
        <v>Player 1</v>
      </c>
      <c r="D37" s="8" t="s">
        <v>55</v>
      </c>
      <c r="E37" s="7">
        <v>8</v>
      </c>
      <c r="F37" s="7" t="str">
        <f>VLOOKUP(E37,Roster!$A$3:$B$18,2,FALSE())</f>
        <v>Player 8</v>
      </c>
    </row>
    <row r="38" spans="1:6" ht="15" customHeight="1" x14ac:dyDescent="0.25">
      <c r="A38" s="7">
        <v>2</v>
      </c>
      <c r="B38" s="7">
        <v>2</v>
      </c>
      <c r="C38" s="7" t="str">
        <f>VLOOKUP(B38,Roster!$A$3:$B$18,2,FALSE())</f>
        <v>Player 2</v>
      </c>
      <c r="D38" s="8" t="s">
        <v>55</v>
      </c>
      <c r="E38" s="7">
        <v>7</v>
      </c>
      <c r="F38" s="7" t="str">
        <f>VLOOKUP(E38,Roster!$A$3:$B$18,2,FALSE())</f>
        <v>Player 7</v>
      </c>
    </row>
    <row r="39" spans="1:6" ht="15" customHeight="1" x14ac:dyDescent="0.25">
      <c r="A39" s="7">
        <v>3</v>
      </c>
      <c r="B39" s="7">
        <v>3</v>
      </c>
      <c r="C39" s="7" t="str">
        <f>VLOOKUP(B39,Roster!$A$3:$B$18,2,FALSE())</f>
        <v>Player 3</v>
      </c>
      <c r="D39" s="8" t="s">
        <v>55</v>
      </c>
      <c r="E39" s="7">
        <v>6</v>
      </c>
      <c r="F39" s="7" t="str">
        <f>VLOOKUP(E39,Roster!$A$3:$B$18,2,FALSE())</f>
        <v>Player 6</v>
      </c>
    </row>
    <row r="40" spans="1:6" ht="15" customHeight="1" x14ac:dyDescent="0.25">
      <c r="A40" s="7">
        <v>4</v>
      </c>
      <c r="B40" s="7">
        <v>4</v>
      </c>
      <c r="C40" s="7" t="str">
        <f>VLOOKUP(B40,Roster!$A$3:$B$18,2,FALSE())</f>
        <v>Player 4</v>
      </c>
      <c r="D40" s="8" t="s">
        <v>55</v>
      </c>
      <c r="E40" s="7">
        <v>5</v>
      </c>
      <c r="F40" s="7" t="str">
        <f>VLOOKUP(E40,Roster!$A$3:$B$18,2,FALSE())</f>
        <v>Player 5</v>
      </c>
    </row>
    <row r="41" spans="1:6" ht="15" customHeight="1" x14ac:dyDescent="0.25">
      <c r="A41" s="7">
        <v>5</v>
      </c>
      <c r="B41" s="7">
        <v>9</v>
      </c>
      <c r="C41" s="7" t="str">
        <f>VLOOKUP(B41,Roster!$A$3:$B$18,2,FALSE())</f>
        <v>Player 9</v>
      </c>
      <c r="D41" s="8" t="s">
        <v>55</v>
      </c>
      <c r="E41" s="7">
        <v>16</v>
      </c>
      <c r="F41" s="7" t="str">
        <f>VLOOKUP(E41,Roster!$A$3:$B$18,2,FALSE())</f>
        <v>Player 16</v>
      </c>
    </row>
    <row r="42" spans="1:6" ht="15" customHeight="1" x14ac:dyDescent="0.25">
      <c r="A42" s="7">
        <v>6</v>
      </c>
      <c r="B42" s="7">
        <v>10</v>
      </c>
      <c r="C42" s="7" t="str">
        <f>VLOOKUP(B42,Roster!$A$3:$B$18,2,FALSE())</f>
        <v>Player 10</v>
      </c>
      <c r="D42" s="8" t="s">
        <v>55</v>
      </c>
      <c r="E42" s="7">
        <v>15</v>
      </c>
      <c r="F42" s="7" t="str">
        <f>VLOOKUP(E42,Roster!$A$3:$B$18,2,FALSE())</f>
        <v>Player 15</v>
      </c>
    </row>
    <row r="43" spans="1:6" ht="15" customHeight="1" x14ac:dyDescent="0.25">
      <c r="A43" s="7">
        <v>7</v>
      </c>
      <c r="B43" s="7">
        <v>11</v>
      </c>
      <c r="C43" s="7" t="str">
        <f>VLOOKUP(B43,Roster!$A$3:$B$18,2,FALSE())</f>
        <v>Player 11</v>
      </c>
      <c r="D43" s="8" t="s">
        <v>55</v>
      </c>
      <c r="E43" s="7">
        <v>14</v>
      </c>
      <c r="F43" s="7" t="str">
        <f>VLOOKUP(E43,Roster!$A$3:$B$18,2,FALSE())</f>
        <v>Player 14</v>
      </c>
    </row>
    <row r="44" spans="1:6" ht="15" customHeight="1" x14ac:dyDescent="0.25">
      <c r="A44" s="7">
        <v>8</v>
      </c>
      <c r="B44" s="7">
        <v>12</v>
      </c>
      <c r="C44" s="7" t="str">
        <f>VLOOKUP(B44,Roster!$A$3:$B$18,2,FALSE())</f>
        <v>Player 12</v>
      </c>
      <c r="D44" s="8" t="s">
        <v>55</v>
      </c>
      <c r="E44" s="7">
        <v>13</v>
      </c>
      <c r="F44" s="7" t="str">
        <f>VLOOKUP(E44,Roster!$A$3:$B$18,2,FALSE())</f>
        <v>Player 13</v>
      </c>
    </row>
    <row r="46" spans="1:6" ht="15" customHeight="1" x14ac:dyDescent="0.25">
      <c r="A46" s="67" t="s">
        <v>59</v>
      </c>
      <c r="B46" s="63"/>
      <c r="C46" s="63"/>
      <c r="D46" s="63"/>
      <c r="E46" s="63"/>
      <c r="F46" s="64"/>
    </row>
    <row r="47" spans="1:6" ht="15" customHeight="1" x14ac:dyDescent="0.25">
      <c r="A47" s="6" t="s">
        <v>52</v>
      </c>
      <c r="B47" s="6" t="s">
        <v>53</v>
      </c>
      <c r="C47" s="6" t="s">
        <v>54</v>
      </c>
      <c r="D47" s="6" t="s">
        <v>55</v>
      </c>
      <c r="E47" s="6" t="s">
        <v>53</v>
      </c>
      <c r="F47" s="6" t="s">
        <v>54</v>
      </c>
    </row>
    <row r="48" spans="1:6" ht="15" customHeight="1" x14ac:dyDescent="0.25">
      <c r="A48" s="7">
        <v>1</v>
      </c>
      <c r="B48" s="7">
        <v>1</v>
      </c>
      <c r="C48" s="7" t="str">
        <f>VLOOKUP(B48,Roster!$A$3:$B$18,2,FALSE())</f>
        <v>Player 1</v>
      </c>
      <c r="D48" s="8" t="s">
        <v>55</v>
      </c>
      <c r="E48" s="7">
        <v>9</v>
      </c>
      <c r="F48" s="7" t="str">
        <f>VLOOKUP(E48,Roster!$A$3:$B$18,2,FALSE())</f>
        <v>Player 9</v>
      </c>
    </row>
    <row r="49" spans="1:6" ht="15" customHeight="1" x14ac:dyDescent="0.25">
      <c r="A49" s="7">
        <v>2</v>
      </c>
      <c r="B49" s="7">
        <v>2</v>
      </c>
      <c r="C49" s="7" t="str">
        <f>VLOOKUP(B49,Roster!$A$3:$B$18,2,FALSE())</f>
        <v>Player 2</v>
      </c>
      <c r="D49" s="8" t="s">
        <v>55</v>
      </c>
      <c r="E49" s="7">
        <v>10</v>
      </c>
      <c r="F49" s="7" t="str">
        <f>VLOOKUP(E49,Roster!$A$3:$B$18,2,FALSE())</f>
        <v>Player 10</v>
      </c>
    </row>
    <row r="50" spans="1:6" ht="15" customHeight="1" x14ac:dyDescent="0.25">
      <c r="A50" s="7">
        <v>3</v>
      </c>
      <c r="B50" s="7">
        <v>3</v>
      </c>
      <c r="C50" s="7" t="str">
        <f>VLOOKUP(B50,Roster!$A$3:$B$18,2,FALSE())</f>
        <v>Player 3</v>
      </c>
      <c r="D50" s="8" t="s">
        <v>55</v>
      </c>
      <c r="E50" s="7">
        <v>11</v>
      </c>
      <c r="F50" s="7" t="str">
        <f>VLOOKUP(E50,Roster!$A$3:$B$18,2,FALSE())</f>
        <v>Player 11</v>
      </c>
    </row>
    <row r="51" spans="1:6" ht="15" customHeight="1" x14ac:dyDescent="0.25">
      <c r="A51" s="7">
        <v>4</v>
      </c>
      <c r="B51" s="7">
        <v>4</v>
      </c>
      <c r="C51" s="7" t="str">
        <f>VLOOKUP(B51,Roster!$A$3:$B$18,2,FALSE())</f>
        <v>Player 4</v>
      </c>
      <c r="D51" s="8" t="s">
        <v>55</v>
      </c>
      <c r="E51" s="7">
        <v>12</v>
      </c>
      <c r="F51" s="7" t="str">
        <f>VLOOKUP(E51,Roster!$A$3:$B$18,2,FALSE())</f>
        <v>Player 12</v>
      </c>
    </row>
    <row r="52" spans="1:6" ht="15" customHeight="1" x14ac:dyDescent="0.25">
      <c r="A52" s="7">
        <v>5</v>
      </c>
      <c r="B52" s="7">
        <v>5</v>
      </c>
      <c r="C52" s="7" t="str">
        <f>VLOOKUP(B52,Roster!$A$3:$B$18,2,FALSE())</f>
        <v>Player 5</v>
      </c>
      <c r="D52" s="8" t="s">
        <v>55</v>
      </c>
      <c r="E52" s="7">
        <v>13</v>
      </c>
      <c r="F52" s="7" t="str">
        <f>VLOOKUP(E52,Roster!$A$3:$B$18,2,FALSE())</f>
        <v>Player 13</v>
      </c>
    </row>
    <row r="53" spans="1:6" ht="15" customHeight="1" x14ac:dyDescent="0.25">
      <c r="A53" s="7">
        <v>6</v>
      </c>
      <c r="B53" s="7">
        <v>6</v>
      </c>
      <c r="C53" s="7" t="str">
        <f>VLOOKUP(B53,Roster!$A$3:$B$18,2,FALSE())</f>
        <v>Player 6</v>
      </c>
      <c r="D53" s="8" t="s">
        <v>55</v>
      </c>
      <c r="E53" s="7">
        <v>14</v>
      </c>
      <c r="F53" s="7" t="str">
        <f>VLOOKUP(E53,Roster!$A$3:$B$18,2,FALSE())</f>
        <v>Player 14</v>
      </c>
    </row>
    <row r="54" spans="1:6" ht="15" customHeight="1" x14ac:dyDescent="0.25">
      <c r="A54" s="7">
        <v>7</v>
      </c>
      <c r="B54" s="7">
        <v>7</v>
      </c>
      <c r="C54" s="7" t="str">
        <f>VLOOKUP(B54,Roster!$A$3:$B$18,2,FALSE())</f>
        <v>Player 7</v>
      </c>
      <c r="D54" s="8" t="s">
        <v>55</v>
      </c>
      <c r="E54" s="7">
        <v>15</v>
      </c>
      <c r="F54" s="7" t="str">
        <f>VLOOKUP(E54,Roster!$A$3:$B$18,2,FALSE())</f>
        <v>Player 15</v>
      </c>
    </row>
    <row r="55" spans="1:6" ht="15" customHeight="1" x14ac:dyDescent="0.25">
      <c r="A55" s="7">
        <v>8</v>
      </c>
      <c r="B55" s="7">
        <v>8</v>
      </c>
      <c r="C55" s="7" t="str">
        <f>VLOOKUP(B55,Roster!$A$3:$B$18,2,FALSE())</f>
        <v>Player 8</v>
      </c>
      <c r="D55" s="8" t="s">
        <v>55</v>
      </c>
      <c r="E55" s="7">
        <v>16</v>
      </c>
      <c r="F55" s="7" t="str">
        <f>VLOOKUP(E55,Roster!$A$3:$B$18,2,FALSE())</f>
        <v>Player 16</v>
      </c>
    </row>
    <row r="57" spans="1:6" ht="15" customHeight="1" x14ac:dyDescent="0.25">
      <c r="A57" s="67" t="s">
        <v>60</v>
      </c>
      <c r="B57" s="63"/>
      <c r="C57" s="63"/>
      <c r="D57" s="63"/>
      <c r="E57" s="63"/>
      <c r="F57" s="64"/>
    </row>
    <row r="58" spans="1:6" ht="15" customHeight="1" x14ac:dyDescent="0.25">
      <c r="A58" s="6" t="s">
        <v>52</v>
      </c>
      <c r="B58" s="6" t="s">
        <v>53</v>
      </c>
      <c r="C58" s="6" t="s">
        <v>54</v>
      </c>
      <c r="D58" s="6" t="s">
        <v>55</v>
      </c>
      <c r="E58" s="6" t="s">
        <v>53</v>
      </c>
      <c r="F58" s="6" t="s">
        <v>54</v>
      </c>
    </row>
    <row r="59" spans="1:6" ht="15" customHeight="1" x14ac:dyDescent="0.25">
      <c r="A59" s="7">
        <v>1</v>
      </c>
      <c r="B59" s="7">
        <v>1</v>
      </c>
      <c r="C59" s="7" t="str">
        <f>VLOOKUP(B59,Roster!$A$3:$B$18,2,FALSE())</f>
        <v>Player 1</v>
      </c>
      <c r="D59" s="8" t="s">
        <v>55</v>
      </c>
      <c r="E59" s="7">
        <v>10</v>
      </c>
      <c r="F59" s="7" t="str">
        <f>VLOOKUP(E59,Roster!$A$3:$B$18,2,FALSE())</f>
        <v>Player 10</v>
      </c>
    </row>
    <row r="60" spans="1:6" ht="15" customHeight="1" x14ac:dyDescent="0.25">
      <c r="A60" s="7">
        <v>2</v>
      </c>
      <c r="B60" s="7">
        <v>2</v>
      </c>
      <c r="C60" s="7" t="str">
        <f>VLOOKUP(B60,Roster!$A$3:$B$18,2,FALSE())</f>
        <v>Player 2</v>
      </c>
      <c r="D60" s="8" t="s">
        <v>55</v>
      </c>
      <c r="E60" s="7">
        <v>9</v>
      </c>
      <c r="F60" s="7" t="str">
        <f>VLOOKUP(E60,Roster!$A$3:$B$18,2,FALSE())</f>
        <v>Player 9</v>
      </c>
    </row>
    <row r="61" spans="1:6" ht="15" customHeight="1" x14ac:dyDescent="0.25">
      <c r="A61" s="7">
        <v>3</v>
      </c>
      <c r="B61" s="7">
        <v>3</v>
      </c>
      <c r="C61" s="7" t="str">
        <f>VLOOKUP(B61,Roster!$A$3:$B$18,2,FALSE())</f>
        <v>Player 3</v>
      </c>
      <c r="D61" s="8" t="s">
        <v>55</v>
      </c>
      <c r="E61" s="7">
        <v>12</v>
      </c>
      <c r="F61" s="7" t="str">
        <f>VLOOKUP(E61,Roster!$A$3:$B$18,2,FALSE())</f>
        <v>Player 12</v>
      </c>
    </row>
    <row r="62" spans="1:6" ht="15" customHeight="1" x14ac:dyDescent="0.25">
      <c r="A62" s="7">
        <v>4</v>
      </c>
      <c r="B62" s="7">
        <v>4</v>
      </c>
      <c r="C62" s="7" t="str">
        <f>VLOOKUP(B62,Roster!$A$3:$B$18,2,FALSE())</f>
        <v>Player 4</v>
      </c>
      <c r="D62" s="8" t="s">
        <v>55</v>
      </c>
      <c r="E62" s="7">
        <v>11</v>
      </c>
      <c r="F62" s="7" t="str">
        <f>VLOOKUP(E62,Roster!$A$3:$B$18,2,FALSE())</f>
        <v>Player 11</v>
      </c>
    </row>
    <row r="63" spans="1:6" ht="15" customHeight="1" x14ac:dyDescent="0.25">
      <c r="A63" s="7">
        <v>5</v>
      </c>
      <c r="B63" s="7">
        <v>5</v>
      </c>
      <c r="C63" s="7" t="str">
        <f>VLOOKUP(B63,Roster!$A$3:$B$18,2,FALSE())</f>
        <v>Player 5</v>
      </c>
      <c r="D63" s="8" t="s">
        <v>55</v>
      </c>
      <c r="E63" s="7">
        <v>14</v>
      </c>
      <c r="F63" s="7" t="str">
        <f>VLOOKUP(E63,Roster!$A$3:$B$18,2,FALSE())</f>
        <v>Player 14</v>
      </c>
    </row>
    <row r="64" spans="1:6" ht="15" customHeight="1" x14ac:dyDescent="0.25">
      <c r="A64" s="7">
        <v>6</v>
      </c>
      <c r="B64" s="7">
        <v>6</v>
      </c>
      <c r="C64" s="7" t="str">
        <f>VLOOKUP(B64,Roster!$A$3:$B$18,2,FALSE())</f>
        <v>Player 6</v>
      </c>
      <c r="D64" s="8" t="s">
        <v>55</v>
      </c>
      <c r="E64" s="7">
        <v>13</v>
      </c>
      <c r="F64" s="7" t="str">
        <f>VLOOKUP(E64,Roster!$A$3:$B$18,2,FALSE())</f>
        <v>Player 13</v>
      </c>
    </row>
    <row r="65" spans="1:6" ht="15" customHeight="1" x14ac:dyDescent="0.25">
      <c r="A65" s="7">
        <v>7</v>
      </c>
      <c r="B65" s="7">
        <v>7</v>
      </c>
      <c r="C65" s="7" t="str">
        <f>VLOOKUP(B65,Roster!$A$3:$B$18,2,FALSE())</f>
        <v>Player 7</v>
      </c>
      <c r="D65" s="8" t="s">
        <v>55</v>
      </c>
      <c r="E65" s="7">
        <v>16</v>
      </c>
      <c r="F65" s="7" t="str">
        <f>VLOOKUP(E65,Roster!$A$3:$B$18,2,FALSE())</f>
        <v>Player 16</v>
      </c>
    </row>
    <row r="66" spans="1:6" ht="15" customHeight="1" x14ac:dyDescent="0.25">
      <c r="A66" s="7">
        <v>8</v>
      </c>
      <c r="B66" s="7">
        <v>8</v>
      </c>
      <c r="C66" s="7" t="str">
        <f>VLOOKUP(B66,Roster!$A$3:$B$18,2,FALSE())</f>
        <v>Player 8</v>
      </c>
      <c r="D66" s="8" t="s">
        <v>55</v>
      </c>
      <c r="E66" s="7">
        <v>15</v>
      </c>
      <c r="F66" s="7" t="str">
        <f>VLOOKUP(E66,Roster!$A$3:$B$18,2,FALSE())</f>
        <v>Player 15</v>
      </c>
    </row>
    <row r="68" spans="1:6" ht="17.25" customHeight="1" x14ac:dyDescent="0.25">
      <c r="A68" s="68" t="s">
        <v>61</v>
      </c>
      <c r="B68" s="63"/>
      <c r="C68" s="63"/>
      <c r="D68" s="63"/>
      <c r="E68" s="63"/>
      <c r="F68" s="64"/>
    </row>
    <row r="69" spans="1:6" ht="15" customHeight="1" x14ac:dyDescent="0.25">
      <c r="A69" s="67" t="s">
        <v>62</v>
      </c>
      <c r="B69" s="63"/>
      <c r="C69" s="63"/>
      <c r="D69" s="63"/>
      <c r="E69" s="63"/>
      <c r="F69" s="64"/>
    </row>
    <row r="70" spans="1:6" ht="15" customHeight="1" x14ac:dyDescent="0.25">
      <c r="A70" s="6" t="s">
        <v>52</v>
      </c>
      <c r="B70" s="6" t="s">
        <v>53</v>
      </c>
      <c r="C70" s="6" t="s">
        <v>54</v>
      </c>
      <c r="D70" s="6" t="s">
        <v>55</v>
      </c>
      <c r="E70" s="6" t="s">
        <v>53</v>
      </c>
      <c r="F70" s="6" t="s">
        <v>54</v>
      </c>
    </row>
    <row r="71" spans="1:6" ht="15" customHeight="1" x14ac:dyDescent="0.25">
      <c r="A71" s="7">
        <v>1</v>
      </c>
      <c r="B71" s="7">
        <v>1</v>
      </c>
      <c r="C71" s="7" t="str">
        <f>VLOOKUP(B71,Roster!$A$3:$B$18,2,FALSE())</f>
        <v>Player 1</v>
      </c>
      <c r="D71" s="8" t="s">
        <v>55</v>
      </c>
      <c r="E71" s="7">
        <v>11</v>
      </c>
      <c r="F71" s="7" t="str">
        <f>VLOOKUP(E71,Roster!$A$3:$B$18,2,FALSE())</f>
        <v>Player 11</v>
      </c>
    </row>
    <row r="72" spans="1:6" ht="15" customHeight="1" x14ac:dyDescent="0.25">
      <c r="A72" s="7">
        <v>2</v>
      </c>
      <c r="B72" s="7">
        <v>2</v>
      </c>
      <c r="C72" s="7" t="str">
        <f>VLOOKUP(B72,Roster!$A$3:$B$18,2,FALSE())</f>
        <v>Player 2</v>
      </c>
      <c r="D72" s="8" t="s">
        <v>55</v>
      </c>
      <c r="E72" s="7">
        <v>12</v>
      </c>
      <c r="F72" s="7" t="str">
        <f>VLOOKUP(E72,Roster!$A$3:$B$18,2,FALSE())</f>
        <v>Player 12</v>
      </c>
    </row>
    <row r="73" spans="1:6" ht="15" customHeight="1" x14ac:dyDescent="0.25">
      <c r="A73" s="7">
        <v>3</v>
      </c>
      <c r="B73" s="7">
        <v>3</v>
      </c>
      <c r="C73" s="7" t="str">
        <f>VLOOKUP(B73,Roster!$A$3:$B$18,2,FALSE())</f>
        <v>Player 3</v>
      </c>
      <c r="D73" s="8" t="s">
        <v>55</v>
      </c>
      <c r="E73" s="7">
        <v>9</v>
      </c>
      <c r="F73" s="7" t="str">
        <f>VLOOKUP(E73,Roster!$A$3:$B$18,2,FALSE())</f>
        <v>Player 9</v>
      </c>
    </row>
    <row r="74" spans="1:6" ht="15" customHeight="1" x14ac:dyDescent="0.25">
      <c r="A74" s="7">
        <v>4</v>
      </c>
      <c r="B74" s="7">
        <v>4</v>
      </c>
      <c r="C74" s="7" t="str">
        <f>VLOOKUP(B74,Roster!$A$3:$B$18,2,FALSE())</f>
        <v>Player 4</v>
      </c>
      <c r="D74" s="8" t="s">
        <v>55</v>
      </c>
      <c r="E74" s="7">
        <v>10</v>
      </c>
      <c r="F74" s="7" t="str">
        <f>VLOOKUP(E74,Roster!$A$3:$B$18,2,FALSE())</f>
        <v>Player 10</v>
      </c>
    </row>
    <row r="75" spans="1:6" ht="15" customHeight="1" x14ac:dyDescent="0.25">
      <c r="A75" s="7">
        <v>5</v>
      </c>
      <c r="B75" s="7">
        <v>5</v>
      </c>
      <c r="C75" s="7" t="str">
        <f>VLOOKUP(B75,Roster!$A$3:$B$18,2,FALSE())</f>
        <v>Player 5</v>
      </c>
      <c r="D75" s="8" t="s">
        <v>55</v>
      </c>
      <c r="E75" s="7">
        <v>15</v>
      </c>
      <c r="F75" s="7" t="str">
        <f>VLOOKUP(E75,Roster!$A$3:$B$18,2,FALSE())</f>
        <v>Player 15</v>
      </c>
    </row>
    <row r="76" spans="1:6" ht="15" customHeight="1" x14ac:dyDescent="0.25">
      <c r="A76" s="7">
        <v>6</v>
      </c>
      <c r="B76" s="7">
        <v>6</v>
      </c>
      <c r="C76" s="7" t="str">
        <f>VLOOKUP(B76,Roster!$A$3:$B$18,2,FALSE())</f>
        <v>Player 6</v>
      </c>
      <c r="D76" s="8" t="s">
        <v>55</v>
      </c>
      <c r="E76" s="7">
        <v>16</v>
      </c>
      <c r="F76" s="7" t="str">
        <f>VLOOKUP(E76,Roster!$A$3:$B$18,2,FALSE())</f>
        <v>Player 16</v>
      </c>
    </row>
    <row r="77" spans="1:6" ht="15" customHeight="1" x14ac:dyDescent="0.25">
      <c r="A77" s="7">
        <v>7</v>
      </c>
      <c r="B77" s="7">
        <v>7</v>
      </c>
      <c r="C77" s="7" t="str">
        <f>VLOOKUP(B77,Roster!$A$3:$B$18,2,FALSE())</f>
        <v>Player 7</v>
      </c>
      <c r="D77" s="8" t="s">
        <v>55</v>
      </c>
      <c r="E77" s="7">
        <v>13</v>
      </c>
      <c r="F77" s="7" t="str">
        <f>VLOOKUP(E77,Roster!$A$3:$B$18,2,FALSE())</f>
        <v>Player 13</v>
      </c>
    </row>
    <row r="78" spans="1:6" ht="15" customHeight="1" x14ac:dyDescent="0.25">
      <c r="A78" s="7">
        <v>8</v>
      </c>
      <c r="B78" s="7">
        <v>8</v>
      </c>
      <c r="C78" s="7" t="str">
        <f>VLOOKUP(B78,Roster!$A$3:$B$18,2,FALSE())</f>
        <v>Player 8</v>
      </c>
      <c r="D78" s="8" t="s">
        <v>55</v>
      </c>
      <c r="E78" s="7">
        <v>14</v>
      </c>
      <c r="F78" s="7" t="str">
        <f>VLOOKUP(E78,Roster!$A$3:$B$18,2,FALSE())</f>
        <v>Player 14</v>
      </c>
    </row>
    <row r="80" spans="1:6" ht="15" customHeight="1" x14ac:dyDescent="0.25">
      <c r="A80" s="67" t="s">
        <v>63</v>
      </c>
      <c r="B80" s="63"/>
      <c r="C80" s="63"/>
      <c r="D80" s="63"/>
      <c r="E80" s="63"/>
      <c r="F80" s="64"/>
    </row>
    <row r="81" spans="1:6" ht="15" customHeight="1" x14ac:dyDescent="0.25">
      <c r="A81" s="6" t="s">
        <v>52</v>
      </c>
      <c r="B81" s="6" t="s">
        <v>53</v>
      </c>
      <c r="C81" s="6" t="s">
        <v>54</v>
      </c>
      <c r="D81" s="6" t="s">
        <v>55</v>
      </c>
      <c r="E81" s="6" t="s">
        <v>53</v>
      </c>
      <c r="F81" s="6" t="s">
        <v>54</v>
      </c>
    </row>
    <row r="82" spans="1:6" ht="15" customHeight="1" x14ac:dyDescent="0.25">
      <c r="A82" s="7">
        <v>1</v>
      </c>
      <c r="B82" s="7">
        <v>1</v>
      </c>
      <c r="C82" s="7" t="str">
        <f>VLOOKUP(B82,Roster!$A$3:$B$18,2,FALSE())</f>
        <v>Player 1</v>
      </c>
      <c r="D82" s="8" t="s">
        <v>55</v>
      </c>
      <c r="E82" s="7">
        <v>12</v>
      </c>
      <c r="F82" s="7" t="str">
        <f>VLOOKUP(E82,Roster!$A$3:$B$18,2,FALSE())</f>
        <v>Player 12</v>
      </c>
    </row>
    <row r="83" spans="1:6" ht="15" customHeight="1" x14ac:dyDescent="0.25">
      <c r="A83" s="7">
        <v>2</v>
      </c>
      <c r="B83" s="7">
        <v>2</v>
      </c>
      <c r="C83" s="7" t="str">
        <f>VLOOKUP(B83,Roster!$A$3:$B$18,2,FALSE())</f>
        <v>Player 2</v>
      </c>
      <c r="D83" s="8" t="s">
        <v>55</v>
      </c>
      <c r="E83" s="7">
        <v>11</v>
      </c>
      <c r="F83" s="7" t="str">
        <f>VLOOKUP(E83,Roster!$A$3:$B$18,2,FALSE())</f>
        <v>Player 11</v>
      </c>
    </row>
    <row r="84" spans="1:6" ht="15" customHeight="1" x14ac:dyDescent="0.25">
      <c r="A84" s="7">
        <v>3</v>
      </c>
      <c r="B84" s="7">
        <v>3</v>
      </c>
      <c r="C84" s="7" t="str">
        <f>VLOOKUP(B84,Roster!$A$3:$B$18,2,FALSE())</f>
        <v>Player 3</v>
      </c>
      <c r="D84" s="8" t="s">
        <v>55</v>
      </c>
      <c r="E84" s="7">
        <v>10</v>
      </c>
      <c r="F84" s="7" t="str">
        <f>VLOOKUP(E84,Roster!$A$3:$B$18,2,FALSE())</f>
        <v>Player 10</v>
      </c>
    </row>
    <row r="85" spans="1:6" ht="15" customHeight="1" x14ac:dyDescent="0.25">
      <c r="A85" s="7">
        <v>4</v>
      </c>
      <c r="B85" s="7">
        <v>4</v>
      </c>
      <c r="C85" s="7" t="str">
        <f>VLOOKUP(B85,Roster!$A$3:$B$18,2,FALSE())</f>
        <v>Player 4</v>
      </c>
      <c r="D85" s="8" t="s">
        <v>55</v>
      </c>
      <c r="E85" s="7">
        <v>9</v>
      </c>
      <c r="F85" s="7" t="str">
        <f>VLOOKUP(E85,Roster!$A$3:$B$18,2,FALSE())</f>
        <v>Player 9</v>
      </c>
    </row>
    <row r="86" spans="1:6" ht="15" customHeight="1" x14ac:dyDescent="0.25">
      <c r="A86" s="7">
        <v>5</v>
      </c>
      <c r="B86" s="7">
        <v>5</v>
      </c>
      <c r="C86" s="7" t="str">
        <f>VLOOKUP(B86,Roster!$A$3:$B$18,2,FALSE())</f>
        <v>Player 5</v>
      </c>
      <c r="D86" s="8" t="s">
        <v>55</v>
      </c>
      <c r="E86" s="7">
        <v>16</v>
      </c>
      <c r="F86" s="7" t="str">
        <f>VLOOKUP(E86,Roster!$A$3:$B$18,2,FALSE())</f>
        <v>Player 16</v>
      </c>
    </row>
    <row r="87" spans="1:6" ht="15" customHeight="1" x14ac:dyDescent="0.25">
      <c r="A87" s="7">
        <v>6</v>
      </c>
      <c r="B87" s="7">
        <v>6</v>
      </c>
      <c r="C87" s="7" t="str">
        <f>VLOOKUP(B87,Roster!$A$3:$B$18,2,FALSE())</f>
        <v>Player 6</v>
      </c>
      <c r="D87" s="8" t="s">
        <v>55</v>
      </c>
      <c r="E87" s="7">
        <v>15</v>
      </c>
      <c r="F87" s="7" t="str">
        <f>VLOOKUP(E87,Roster!$A$3:$B$18,2,FALSE())</f>
        <v>Player 15</v>
      </c>
    </row>
    <row r="88" spans="1:6" ht="15" customHeight="1" x14ac:dyDescent="0.25">
      <c r="A88" s="7">
        <v>7</v>
      </c>
      <c r="B88" s="7">
        <v>7</v>
      </c>
      <c r="C88" s="7" t="str">
        <f>VLOOKUP(B88,Roster!$A$3:$B$18,2,FALSE())</f>
        <v>Player 7</v>
      </c>
      <c r="D88" s="8" t="s">
        <v>55</v>
      </c>
      <c r="E88" s="7">
        <v>14</v>
      </c>
      <c r="F88" s="7" t="str">
        <f>VLOOKUP(E88,Roster!$A$3:$B$18,2,FALSE())</f>
        <v>Player 14</v>
      </c>
    </row>
    <row r="89" spans="1:6" ht="15" customHeight="1" x14ac:dyDescent="0.25">
      <c r="A89" s="7">
        <v>8</v>
      </c>
      <c r="B89" s="7">
        <v>8</v>
      </c>
      <c r="C89" s="7" t="str">
        <f>VLOOKUP(B89,Roster!$A$3:$B$18,2,FALSE())</f>
        <v>Player 8</v>
      </c>
      <c r="D89" s="8" t="s">
        <v>55</v>
      </c>
      <c r="E89" s="7">
        <v>13</v>
      </c>
      <c r="F89" s="7" t="str">
        <f>VLOOKUP(E89,Roster!$A$3:$B$18,2,FALSE())</f>
        <v>Player 13</v>
      </c>
    </row>
    <row r="91" spans="1:6" ht="15" customHeight="1" x14ac:dyDescent="0.25">
      <c r="A91" s="67" t="s">
        <v>64</v>
      </c>
      <c r="B91" s="63"/>
      <c r="C91" s="63"/>
      <c r="D91" s="63"/>
      <c r="E91" s="63"/>
      <c r="F91" s="64"/>
    </row>
    <row r="92" spans="1:6" ht="15" customHeight="1" x14ac:dyDescent="0.25">
      <c r="A92" s="6" t="s">
        <v>52</v>
      </c>
      <c r="B92" s="6" t="s">
        <v>53</v>
      </c>
      <c r="C92" s="6" t="s">
        <v>54</v>
      </c>
      <c r="D92" s="6" t="s">
        <v>55</v>
      </c>
      <c r="E92" s="6" t="s">
        <v>53</v>
      </c>
      <c r="F92" s="6" t="s">
        <v>54</v>
      </c>
    </row>
    <row r="93" spans="1:6" ht="15" customHeight="1" x14ac:dyDescent="0.25">
      <c r="A93" s="7">
        <v>1</v>
      </c>
      <c r="B93" s="7">
        <v>1</v>
      </c>
      <c r="C93" s="7" t="str">
        <f>VLOOKUP(B93,Roster!$A$3:$B$18,2,FALSE())</f>
        <v>Player 1</v>
      </c>
      <c r="D93" s="8" t="s">
        <v>55</v>
      </c>
      <c r="E93" s="7">
        <v>13</v>
      </c>
      <c r="F93" s="7" t="str">
        <f>VLOOKUP(E93,Roster!$A$3:$B$18,2,FALSE())</f>
        <v>Player 13</v>
      </c>
    </row>
    <row r="94" spans="1:6" ht="15" customHeight="1" x14ac:dyDescent="0.25">
      <c r="A94" s="7">
        <v>2</v>
      </c>
      <c r="B94" s="7">
        <v>2</v>
      </c>
      <c r="C94" s="7" t="str">
        <f>VLOOKUP(B94,Roster!$A$3:$B$18,2,FALSE())</f>
        <v>Player 2</v>
      </c>
      <c r="D94" s="8" t="s">
        <v>55</v>
      </c>
      <c r="E94" s="7">
        <v>14</v>
      </c>
      <c r="F94" s="7" t="str">
        <f>VLOOKUP(E94,Roster!$A$3:$B$18,2,FALSE())</f>
        <v>Player 14</v>
      </c>
    </row>
    <row r="95" spans="1:6" ht="15" customHeight="1" x14ac:dyDescent="0.25">
      <c r="A95" s="7">
        <v>3</v>
      </c>
      <c r="B95" s="7">
        <v>3</v>
      </c>
      <c r="C95" s="7" t="str">
        <f>VLOOKUP(B95,Roster!$A$3:$B$18,2,FALSE())</f>
        <v>Player 3</v>
      </c>
      <c r="D95" s="8" t="s">
        <v>55</v>
      </c>
      <c r="E95" s="7">
        <v>15</v>
      </c>
      <c r="F95" s="7" t="str">
        <f>VLOOKUP(E95,Roster!$A$3:$B$18,2,FALSE())</f>
        <v>Player 15</v>
      </c>
    </row>
    <row r="96" spans="1:6" ht="15" customHeight="1" x14ac:dyDescent="0.25">
      <c r="A96" s="7">
        <v>4</v>
      </c>
      <c r="B96" s="7">
        <v>4</v>
      </c>
      <c r="C96" s="7" t="str">
        <f>VLOOKUP(B96,Roster!$A$3:$B$18,2,FALSE())</f>
        <v>Player 4</v>
      </c>
      <c r="D96" s="8" t="s">
        <v>55</v>
      </c>
      <c r="E96" s="7">
        <v>16</v>
      </c>
      <c r="F96" s="7" t="str">
        <f>VLOOKUP(E96,Roster!$A$3:$B$18,2,FALSE())</f>
        <v>Player 16</v>
      </c>
    </row>
    <row r="97" spans="1:6" ht="15" customHeight="1" x14ac:dyDescent="0.25">
      <c r="A97" s="7">
        <v>5</v>
      </c>
      <c r="B97" s="7">
        <v>5</v>
      </c>
      <c r="C97" s="7" t="str">
        <f>VLOOKUP(B97,Roster!$A$3:$B$18,2,FALSE())</f>
        <v>Player 5</v>
      </c>
      <c r="D97" s="8" t="s">
        <v>55</v>
      </c>
      <c r="E97" s="7">
        <v>9</v>
      </c>
      <c r="F97" s="7" t="str">
        <f>VLOOKUP(E97,Roster!$A$3:$B$18,2,FALSE())</f>
        <v>Player 9</v>
      </c>
    </row>
    <row r="98" spans="1:6" ht="15" customHeight="1" x14ac:dyDescent="0.25">
      <c r="A98" s="7">
        <v>6</v>
      </c>
      <c r="B98" s="7">
        <v>6</v>
      </c>
      <c r="C98" s="7" t="str">
        <f>VLOOKUP(B98,Roster!$A$3:$B$18,2,FALSE())</f>
        <v>Player 6</v>
      </c>
      <c r="D98" s="8" t="s">
        <v>55</v>
      </c>
      <c r="E98" s="7">
        <v>10</v>
      </c>
      <c r="F98" s="7" t="str">
        <f>VLOOKUP(E98,Roster!$A$3:$B$18,2,FALSE())</f>
        <v>Player 10</v>
      </c>
    </row>
    <row r="99" spans="1:6" ht="15" customHeight="1" x14ac:dyDescent="0.25">
      <c r="A99" s="7">
        <v>7</v>
      </c>
      <c r="B99" s="7">
        <v>7</v>
      </c>
      <c r="C99" s="7" t="str">
        <f>VLOOKUP(B99,Roster!$A$3:$B$18,2,FALSE())</f>
        <v>Player 7</v>
      </c>
      <c r="D99" s="8" t="s">
        <v>55</v>
      </c>
      <c r="E99" s="7">
        <v>11</v>
      </c>
      <c r="F99" s="7" t="str">
        <f>VLOOKUP(E99,Roster!$A$3:$B$18,2,FALSE())</f>
        <v>Player 11</v>
      </c>
    </row>
    <row r="100" spans="1:6" ht="15" customHeight="1" x14ac:dyDescent="0.25">
      <c r="A100" s="7">
        <v>8</v>
      </c>
      <c r="B100" s="7">
        <v>8</v>
      </c>
      <c r="C100" s="7" t="str">
        <f>VLOOKUP(B100,Roster!$A$3:$B$18,2,FALSE())</f>
        <v>Player 8</v>
      </c>
      <c r="D100" s="8" t="s">
        <v>55</v>
      </c>
      <c r="E100" s="7">
        <v>12</v>
      </c>
      <c r="F100" s="7" t="str">
        <f>VLOOKUP(E100,Roster!$A$3:$B$18,2,FALSE())</f>
        <v>Player 12</v>
      </c>
    </row>
    <row r="102" spans="1:6" ht="15" customHeight="1" x14ac:dyDescent="0.25">
      <c r="A102" s="67" t="s">
        <v>65</v>
      </c>
      <c r="B102" s="63"/>
      <c r="C102" s="63"/>
      <c r="D102" s="63"/>
      <c r="E102" s="63"/>
      <c r="F102" s="64"/>
    </row>
    <row r="103" spans="1:6" ht="15" customHeight="1" x14ac:dyDescent="0.25">
      <c r="A103" s="6" t="s">
        <v>52</v>
      </c>
      <c r="B103" s="6" t="s">
        <v>53</v>
      </c>
      <c r="C103" s="6" t="s">
        <v>54</v>
      </c>
      <c r="D103" s="6" t="s">
        <v>55</v>
      </c>
      <c r="E103" s="6" t="s">
        <v>53</v>
      </c>
      <c r="F103" s="6" t="s">
        <v>54</v>
      </c>
    </row>
    <row r="104" spans="1:6" ht="15" customHeight="1" x14ac:dyDescent="0.25">
      <c r="A104" s="7">
        <v>1</v>
      </c>
      <c r="B104" s="7">
        <v>1</v>
      </c>
      <c r="C104" s="7" t="str">
        <f>VLOOKUP(B104,Roster!$A$3:$B$18,2,FALSE())</f>
        <v>Player 1</v>
      </c>
      <c r="D104" s="8" t="s">
        <v>55</v>
      </c>
      <c r="E104" s="7">
        <v>14</v>
      </c>
      <c r="F104" s="7" t="str">
        <f>VLOOKUP(E104,Roster!$A$3:$B$18,2,FALSE())</f>
        <v>Player 14</v>
      </c>
    </row>
    <row r="105" spans="1:6" ht="15" customHeight="1" x14ac:dyDescent="0.25">
      <c r="A105" s="7">
        <v>2</v>
      </c>
      <c r="B105" s="7">
        <v>2</v>
      </c>
      <c r="C105" s="7" t="str">
        <f>VLOOKUP(B105,Roster!$A$3:$B$18,2,FALSE())</f>
        <v>Player 2</v>
      </c>
      <c r="D105" s="8" t="s">
        <v>55</v>
      </c>
      <c r="E105" s="7">
        <v>13</v>
      </c>
      <c r="F105" s="7" t="str">
        <f>VLOOKUP(E105,Roster!$A$3:$B$18,2,FALSE())</f>
        <v>Player 13</v>
      </c>
    </row>
    <row r="106" spans="1:6" ht="15" customHeight="1" x14ac:dyDescent="0.25">
      <c r="A106" s="7">
        <v>3</v>
      </c>
      <c r="B106" s="7">
        <v>3</v>
      </c>
      <c r="C106" s="7" t="str">
        <f>VLOOKUP(B106,Roster!$A$3:$B$18,2,FALSE())</f>
        <v>Player 3</v>
      </c>
      <c r="D106" s="8" t="s">
        <v>55</v>
      </c>
      <c r="E106" s="7">
        <v>16</v>
      </c>
      <c r="F106" s="7" t="str">
        <f>VLOOKUP(E106,Roster!$A$3:$B$18,2,FALSE())</f>
        <v>Player 16</v>
      </c>
    </row>
    <row r="107" spans="1:6" ht="15" customHeight="1" x14ac:dyDescent="0.25">
      <c r="A107" s="7">
        <v>4</v>
      </c>
      <c r="B107" s="7">
        <v>4</v>
      </c>
      <c r="C107" s="7" t="str">
        <f>VLOOKUP(B107,Roster!$A$3:$B$18,2,FALSE())</f>
        <v>Player 4</v>
      </c>
      <c r="D107" s="8" t="s">
        <v>55</v>
      </c>
      <c r="E107" s="7">
        <v>15</v>
      </c>
      <c r="F107" s="7" t="str">
        <f>VLOOKUP(E107,Roster!$A$3:$B$18,2,FALSE())</f>
        <v>Player 15</v>
      </c>
    </row>
    <row r="108" spans="1:6" ht="15" customHeight="1" x14ac:dyDescent="0.25">
      <c r="A108" s="7">
        <v>5</v>
      </c>
      <c r="B108" s="7">
        <v>5</v>
      </c>
      <c r="C108" s="7" t="str">
        <f>VLOOKUP(B108,Roster!$A$3:$B$18,2,FALSE())</f>
        <v>Player 5</v>
      </c>
      <c r="D108" s="8" t="s">
        <v>55</v>
      </c>
      <c r="E108" s="7">
        <v>10</v>
      </c>
      <c r="F108" s="7" t="str">
        <f>VLOOKUP(E108,Roster!$A$3:$B$18,2,FALSE())</f>
        <v>Player 10</v>
      </c>
    </row>
    <row r="109" spans="1:6" ht="15" customHeight="1" x14ac:dyDescent="0.25">
      <c r="A109" s="7">
        <v>6</v>
      </c>
      <c r="B109" s="7">
        <v>6</v>
      </c>
      <c r="C109" s="7" t="str">
        <f>VLOOKUP(B109,Roster!$A$3:$B$18,2,FALSE())</f>
        <v>Player 6</v>
      </c>
      <c r="D109" s="8" t="s">
        <v>55</v>
      </c>
      <c r="E109" s="7">
        <v>9</v>
      </c>
      <c r="F109" s="7" t="str">
        <f>VLOOKUP(E109,Roster!$A$3:$B$18,2,FALSE())</f>
        <v>Player 9</v>
      </c>
    </row>
    <row r="110" spans="1:6" ht="15" customHeight="1" x14ac:dyDescent="0.25">
      <c r="A110" s="7">
        <v>7</v>
      </c>
      <c r="B110" s="7">
        <v>7</v>
      </c>
      <c r="C110" s="7" t="str">
        <f>VLOOKUP(B110,Roster!$A$3:$B$18,2,FALSE())</f>
        <v>Player 7</v>
      </c>
      <c r="D110" s="8" t="s">
        <v>55</v>
      </c>
      <c r="E110" s="7">
        <v>12</v>
      </c>
      <c r="F110" s="7" t="str">
        <f>VLOOKUP(E110,Roster!$A$3:$B$18,2,FALSE())</f>
        <v>Player 12</v>
      </c>
    </row>
    <row r="111" spans="1:6" ht="15" customHeight="1" x14ac:dyDescent="0.25">
      <c r="A111" s="7">
        <v>8</v>
      </c>
      <c r="B111" s="7">
        <v>8</v>
      </c>
      <c r="C111" s="7" t="str">
        <f>VLOOKUP(B111,Roster!$A$3:$B$18,2,FALSE())</f>
        <v>Player 8</v>
      </c>
      <c r="D111" s="8" t="s">
        <v>55</v>
      </c>
      <c r="E111" s="7">
        <v>11</v>
      </c>
      <c r="F111" s="7" t="str">
        <f>VLOOKUP(E111,Roster!$A$3:$B$18,2,FALSE())</f>
        <v>Player 11</v>
      </c>
    </row>
    <row r="113" spans="1:6" ht="15" customHeight="1" x14ac:dyDescent="0.25">
      <c r="A113" s="67" t="s">
        <v>66</v>
      </c>
      <c r="B113" s="63"/>
      <c r="C113" s="63"/>
      <c r="D113" s="63"/>
      <c r="E113" s="63"/>
      <c r="F113" s="64"/>
    </row>
    <row r="114" spans="1:6" ht="15" customHeight="1" x14ac:dyDescent="0.25">
      <c r="A114" s="6" t="s">
        <v>52</v>
      </c>
      <c r="B114" s="6" t="s">
        <v>53</v>
      </c>
      <c r="C114" s="6" t="s">
        <v>54</v>
      </c>
      <c r="D114" s="6" t="s">
        <v>55</v>
      </c>
      <c r="E114" s="6" t="s">
        <v>53</v>
      </c>
      <c r="F114" s="6" t="s">
        <v>54</v>
      </c>
    </row>
    <row r="115" spans="1:6" ht="15" customHeight="1" x14ac:dyDescent="0.25">
      <c r="A115" s="7">
        <v>1</v>
      </c>
      <c r="B115" s="7">
        <v>1</v>
      </c>
      <c r="C115" s="7" t="str">
        <f>VLOOKUP(B115,Roster!$A$3:$B$18,2,FALSE())</f>
        <v>Player 1</v>
      </c>
      <c r="D115" s="8" t="s">
        <v>55</v>
      </c>
      <c r="E115" s="7">
        <v>15</v>
      </c>
      <c r="F115" s="7" t="str">
        <f>VLOOKUP(E115,Roster!$A$3:$B$18,2,FALSE())</f>
        <v>Player 15</v>
      </c>
    </row>
    <row r="116" spans="1:6" ht="15" customHeight="1" x14ac:dyDescent="0.25">
      <c r="A116" s="7">
        <v>2</v>
      </c>
      <c r="B116" s="7">
        <v>2</v>
      </c>
      <c r="C116" s="7" t="str">
        <f>VLOOKUP(B116,Roster!$A$3:$B$18,2,FALSE())</f>
        <v>Player 2</v>
      </c>
      <c r="D116" s="8" t="s">
        <v>55</v>
      </c>
      <c r="E116" s="7">
        <v>16</v>
      </c>
      <c r="F116" s="7" t="str">
        <f>VLOOKUP(E116,Roster!$A$3:$B$18,2,FALSE())</f>
        <v>Player 16</v>
      </c>
    </row>
    <row r="117" spans="1:6" ht="15" customHeight="1" x14ac:dyDescent="0.25">
      <c r="A117" s="7">
        <v>3</v>
      </c>
      <c r="B117" s="7">
        <v>3</v>
      </c>
      <c r="C117" s="7" t="str">
        <f>VLOOKUP(B117,Roster!$A$3:$B$18,2,FALSE())</f>
        <v>Player 3</v>
      </c>
      <c r="D117" s="8" t="s">
        <v>55</v>
      </c>
      <c r="E117" s="7">
        <v>13</v>
      </c>
      <c r="F117" s="7" t="str">
        <f>VLOOKUP(E117,Roster!$A$3:$B$18,2,FALSE())</f>
        <v>Player 13</v>
      </c>
    </row>
    <row r="118" spans="1:6" ht="15" customHeight="1" x14ac:dyDescent="0.25">
      <c r="A118" s="7">
        <v>4</v>
      </c>
      <c r="B118" s="7">
        <v>4</v>
      </c>
      <c r="C118" s="7" t="str">
        <f>VLOOKUP(B118,Roster!$A$3:$B$18,2,FALSE())</f>
        <v>Player 4</v>
      </c>
      <c r="D118" s="8" t="s">
        <v>55</v>
      </c>
      <c r="E118" s="7">
        <v>14</v>
      </c>
      <c r="F118" s="7" t="str">
        <f>VLOOKUP(E118,Roster!$A$3:$B$18,2,FALSE())</f>
        <v>Player 14</v>
      </c>
    </row>
    <row r="119" spans="1:6" ht="15" customHeight="1" x14ac:dyDescent="0.25">
      <c r="A119" s="7">
        <v>5</v>
      </c>
      <c r="B119" s="7">
        <v>5</v>
      </c>
      <c r="C119" s="7" t="str">
        <f>VLOOKUP(B119,Roster!$A$3:$B$18,2,FALSE())</f>
        <v>Player 5</v>
      </c>
      <c r="D119" s="8" t="s">
        <v>55</v>
      </c>
      <c r="E119" s="7">
        <v>11</v>
      </c>
      <c r="F119" s="7" t="str">
        <f>VLOOKUP(E119,Roster!$A$3:$B$18,2,FALSE())</f>
        <v>Player 11</v>
      </c>
    </row>
    <row r="120" spans="1:6" ht="15" customHeight="1" x14ac:dyDescent="0.25">
      <c r="A120" s="7">
        <v>6</v>
      </c>
      <c r="B120" s="7">
        <v>6</v>
      </c>
      <c r="C120" s="7" t="str">
        <f>VLOOKUP(B120,Roster!$A$3:$B$18,2,FALSE())</f>
        <v>Player 6</v>
      </c>
      <c r="D120" s="8" t="s">
        <v>55</v>
      </c>
      <c r="E120" s="7">
        <v>12</v>
      </c>
      <c r="F120" s="7" t="str">
        <f>VLOOKUP(E120,Roster!$A$3:$B$18,2,FALSE())</f>
        <v>Player 12</v>
      </c>
    </row>
    <row r="121" spans="1:6" ht="15" customHeight="1" x14ac:dyDescent="0.25">
      <c r="A121" s="7">
        <v>7</v>
      </c>
      <c r="B121" s="7">
        <v>7</v>
      </c>
      <c r="C121" s="7" t="str">
        <f>VLOOKUP(B121,Roster!$A$3:$B$18,2,FALSE())</f>
        <v>Player 7</v>
      </c>
      <c r="D121" s="8" t="s">
        <v>55</v>
      </c>
      <c r="E121" s="7">
        <v>9</v>
      </c>
      <c r="F121" s="7" t="str">
        <f>VLOOKUP(E121,Roster!$A$3:$B$18,2,FALSE())</f>
        <v>Player 9</v>
      </c>
    </row>
    <row r="122" spans="1:6" ht="15" customHeight="1" x14ac:dyDescent="0.25">
      <c r="A122" s="7">
        <v>8</v>
      </c>
      <c r="B122" s="7">
        <v>8</v>
      </c>
      <c r="C122" s="7" t="str">
        <f>VLOOKUP(B122,Roster!$A$3:$B$18,2,FALSE())</f>
        <v>Player 8</v>
      </c>
      <c r="D122" s="8" t="s">
        <v>55</v>
      </c>
      <c r="E122" s="7">
        <v>10</v>
      </c>
      <c r="F122" s="7" t="str">
        <f>VLOOKUP(E122,Roster!$A$3:$B$18,2,FALSE())</f>
        <v>Player 10</v>
      </c>
    </row>
    <row r="124" spans="1:6" ht="15" customHeight="1" x14ac:dyDescent="0.25">
      <c r="A124" s="67" t="s">
        <v>67</v>
      </c>
      <c r="B124" s="63"/>
      <c r="C124" s="63"/>
      <c r="D124" s="63"/>
      <c r="E124" s="63"/>
      <c r="F124" s="64"/>
    </row>
    <row r="125" spans="1:6" ht="15" customHeight="1" x14ac:dyDescent="0.25">
      <c r="A125" s="6" t="s">
        <v>52</v>
      </c>
      <c r="B125" s="6" t="s">
        <v>53</v>
      </c>
      <c r="C125" s="6" t="s">
        <v>54</v>
      </c>
      <c r="D125" s="6" t="s">
        <v>55</v>
      </c>
      <c r="E125" s="6" t="s">
        <v>53</v>
      </c>
      <c r="F125" s="6" t="s">
        <v>54</v>
      </c>
    </row>
    <row r="126" spans="1:6" ht="15" customHeight="1" x14ac:dyDescent="0.25">
      <c r="A126" s="7">
        <v>1</v>
      </c>
      <c r="B126" s="7">
        <v>1</v>
      </c>
      <c r="C126" s="7" t="str">
        <f>VLOOKUP(B126,Roster!$A$3:$B$18,2,FALSE())</f>
        <v>Player 1</v>
      </c>
      <c r="D126" s="8" t="s">
        <v>55</v>
      </c>
      <c r="E126" s="7">
        <v>16</v>
      </c>
      <c r="F126" s="7" t="str">
        <f>VLOOKUP(E126,Roster!$A$3:$B$18,2,FALSE())</f>
        <v>Player 16</v>
      </c>
    </row>
    <row r="127" spans="1:6" ht="15" customHeight="1" x14ac:dyDescent="0.25">
      <c r="A127" s="7">
        <v>2</v>
      </c>
      <c r="B127" s="7">
        <v>2</v>
      </c>
      <c r="C127" s="7" t="str">
        <f>VLOOKUP(B127,Roster!$A$3:$B$18,2,FALSE())</f>
        <v>Player 2</v>
      </c>
      <c r="D127" s="8" t="s">
        <v>55</v>
      </c>
      <c r="E127" s="7">
        <v>15</v>
      </c>
      <c r="F127" s="7" t="str">
        <f>VLOOKUP(E127,Roster!$A$3:$B$18,2,FALSE())</f>
        <v>Player 15</v>
      </c>
    </row>
    <row r="128" spans="1:6" ht="15" customHeight="1" x14ac:dyDescent="0.25">
      <c r="A128" s="7">
        <v>3</v>
      </c>
      <c r="B128" s="7">
        <v>3</v>
      </c>
      <c r="C128" s="7" t="str">
        <f>VLOOKUP(B128,Roster!$A$3:$B$18,2,FALSE())</f>
        <v>Player 3</v>
      </c>
      <c r="D128" s="8" t="s">
        <v>55</v>
      </c>
      <c r="E128" s="7">
        <v>14</v>
      </c>
      <c r="F128" s="7" t="str">
        <f>VLOOKUP(E128,Roster!$A$3:$B$18,2,FALSE())</f>
        <v>Player 14</v>
      </c>
    </row>
    <row r="129" spans="1:6" ht="15" customHeight="1" x14ac:dyDescent="0.25">
      <c r="A129" s="7">
        <v>4</v>
      </c>
      <c r="B129" s="7">
        <v>4</v>
      </c>
      <c r="C129" s="7" t="str">
        <f>VLOOKUP(B129,Roster!$A$3:$B$18,2,FALSE())</f>
        <v>Player 4</v>
      </c>
      <c r="D129" s="8" t="s">
        <v>55</v>
      </c>
      <c r="E129" s="7">
        <v>13</v>
      </c>
      <c r="F129" s="7" t="str">
        <f>VLOOKUP(E129,Roster!$A$3:$B$18,2,FALSE())</f>
        <v>Player 13</v>
      </c>
    </row>
    <row r="130" spans="1:6" ht="15" customHeight="1" x14ac:dyDescent="0.25">
      <c r="A130" s="7">
        <v>5</v>
      </c>
      <c r="B130" s="7">
        <v>5</v>
      </c>
      <c r="C130" s="7" t="str">
        <f>VLOOKUP(B130,Roster!$A$3:$B$18,2,FALSE())</f>
        <v>Player 5</v>
      </c>
      <c r="D130" s="8" t="s">
        <v>55</v>
      </c>
      <c r="E130" s="7">
        <v>12</v>
      </c>
      <c r="F130" s="7" t="str">
        <f>VLOOKUP(E130,Roster!$A$3:$B$18,2,FALSE())</f>
        <v>Player 12</v>
      </c>
    </row>
    <row r="131" spans="1:6" ht="15" customHeight="1" x14ac:dyDescent="0.25">
      <c r="A131" s="7">
        <v>6</v>
      </c>
      <c r="B131" s="7">
        <v>6</v>
      </c>
      <c r="C131" s="7" t="str">
        <f>VLOOKUP(B131,Roster!$A$3:$B$18,2,FALSE())</f>
        <v>Player 6</v>
      </c>
      <c r="D131" s="8" t="s">
        <v>55</v>
      </c>
      <c r="E131" s="7">
        <v>11</v>
      </c>
      <c r="F131" s="7" t="str">
        <f>VLOOKUP(E131,Roster!$A$3:$B$18,2,FALSE())</f>
        <v>Player 11</v>
      </c>
    </row>
    <row r="132" spans="1:6" ht="15" customHeight="1" x14ac:dyDescent="0.25">
      <c r="A132" s="7">
        <v>7</v>
      </c>
      <c r="B132" s="7">
        <v>7</v>
      </c>
      <c r="C132" s="7" t="str">
        <f>VLOOKUP(B132,Roster!$A$3:$B$18,2,FALSE())</f>
        <v>Player 7</v>
      </c>
      <c r="D132" s="8" t="s">
        <v>55</v>
      </c>
      <c r="E132" s="7">
        <v>10</v>
      </c>
      <c r="F132" s="7" t="str">
        <f>VLOOKUP(E132,Roster!$A$3:$B$18,2,FALSE())</f>
        <v>Player 10</v>
      </c>
    </row>
    <row r="133" spans="1:6" ht="15" customHeight="1" x14ac:dyDescent="0.25">
      <c r="A133" s="7">
        <v>8</v>
      </c>
      <c r="B133" s="7">
        <v>8</v>
      </c>
      <c r="C133" s="7" t="str">
        <f>VLOOKUP(B133,Roster!$A$3:$B$18,2,FALSE())</f>
        <v>Player 8</v>
      </c>
      <c r="D133" s="8" t="s">
        <v>55</v>
      </c>
      <c r="E133" s="7">
        <v>9</v>
      </c>
      <c r="F133" s="7" t="str">
        <f>VLOOKUP(E133,Roster!$A$3:$B$18,2,FALSE())</f>
        <v>Player 9</v>
      </c>
    </row>
    <row r="135" spans="1:6" ht="17.25" customHeight="1" x14ac:dyDescent="0.25">
      <c r="A135" s="68" t="s">
        <v>68</v>
      </c>
      <c r="B135" s="63"/>
      <c r="C135" s="63"/>
      <c r="D135" s="63"/>
      <c r="E135" s="63"/>
      <c r="F135" s="64"/>
    </row>
    <row r="136" spans="1:6" ht="15" customHeight="1" x14ac:dyDescent="0.25">
      <c r="A136" s="67" t="s">
        <v>69</v>
      </c>
      <c r="B136" s="63"/>
      <c r="C136" s="63"/>
      <c r="D136" s="63"/>
      <c r="E136" s="63"/>
      <c r="F136" s="64"/>
    </row>
    <row r="137" spans="1:6" ht="15" customHeight="1" x14ac:dyDescent="0.25">
      <c r="A137" s="6" t="s">
        <v>52</v>
      </c>
      <c r="B137" s="6" t="s">
        <v>53</v>
      </c>
      <c r="C137" s="6" t="s">
        <v>54</v>
      </c>
      <c r="D137" s="6" t="s">
        <v>55</v>
      </c>
      <c r="E137" s="6" t="s">
        <v>53</v>
      </c>
      <c r="F137" s="6" t="s">
        <v>54</v>
      </c>
    </row>
    <row r="138" spans="1:6" ht="15" customHeight="1" x14ac:dyDescent="0.25">
      <c r="A138" s="7">
        <v>1</v>
      </c>
      <c r="B138" s="7">
        <v>1</v>
      </c>
      <c r="C138" s="7" t="str">
        <f>VLOOKUP(B138,Roster!$A$3:$B$18,2,FALSE())</f>
        <v>Player 1</v>
      </c>
      <c r="D138" s="8" t="s">
        <v>55</v>
      </c>
      <c r="E138" s="7">
        <v>4</v>
      </c>
      <c r="F138" s="7" t="str">
        <f>VLOOKUP(E138,Roster!$A$3:$B$18,2,FALSE())</f>
        <v>Player 4</v>
      </c>
    </row>
    <row r="139" spans="1:6" ht="15" customHeight="1" x14ac:dyDescent="0.25">
      <c r="A139" s="7">
        <v>2</v>
      </c>
      <c r="B139" s="7">
        <v>2</v>
      </c>
      <c r="C139" s="7" t="str">
        <f>VLOOKUP(B139,Roster!$A$3:$B$18,2,FALSE())</f>
        <v>Player 2</v>
      </c>
      <c r="D139" s="8" t="s">
        <v>55</v>
      </c>
      <c r="E139" s="7">
        <v>3</v>
      </c>
      <c r="F139" s="7" t="str">
        <f>VLOOKUP(E139,Roster!$A$3:$B$18,2,FALSE())</f>
        <v>Player 3</v>
      </c>
    </row>
    <row r="140" spans="1:6" ht="15" customHeight="1" x14ac:dyDescent="0.25">
      <c r="A140" s="7">
        <v>3</v>
      </c>
      <c r="B140" s="7">
        <v>5</v>
      </c>
      <c r="C140" s="7" t="str">
        <f>VLOOKUP(B140,Roster!$A$3:$B$18,2,FALSE())</f>
        <v>Player 5</v>
      </c>
      <c r="D140" s="8" t="s">
        <v>55</v>
      </c>
      <c r="E140" s="7">
        <v>8</v>
      </c>
      <c r="F140" s="7" t="str">
        <f>VLOOKUP(E140,Roster!$A$3:$B$18,2,FALSE())</f>
        <v>Player 8</v>
      </c>
    </row>
    <row r="141" spans="1:6" ht="15" customHeight="1" x14ac:dyDescent="0.25">
      <c r="A141" s="7">
        <v>4</v>
      </c>
      <c r="B141" s="7">
        <v>6</v>
      </c>
      <c r="C141" s="7" t="str">
        <f>VLOOKUP(B141,Roster!$A$3:$B$18,2,FALSE())</f>
        <v>Player 6</v>
      </c>
      <c r="D141" s="8" t="s">
        <v>55</v>
      </c>
      <c r="E141" s="7">
        <v>7</v>
      </c>
      <c r="F141" s="7" t="str">
        <f>VLOOKUP(E141,Roster!$A$3:$B$18,2,FALSE())</f>
        <v>Player 7</v>
      </c>
    </row>
    <row r="142" spans="1:6" ht="15" customHeight="1" x14ac:dyDescent="0.25">
      <c r="A142" s="7">
        <v>5</v>
      </c>
      <c r="B142" s="7">
        <v>9</v>
      </c>
      <c r="C142" s="7" t="str">
        <f>VLOOKUP(B142,Roster!$A$3:$B$18,2,FALSE())</f>
        <v>Player 9</v>
      </c>
      <c r="D142" s="8" t="s">
        <v>55</v>
      </c>
      <c r="E142" s="7">
        <v>12</v>
      </c>
      <c r="F142" s="7" t="str">
        <f>VLOOKUP(E142,Roster!$A$3:$B$18,2,FALSE())</f>
        <v>Player 12</v>
      </c>
    </row>
    <row r="143" spans="1:6" ht="15" customHeight="1" x14ac:dyDescent="0.25">
      <c r="A143" s="7">
        <v>6</v>
      </c>
      <c r="B143" s="7">
        <v>10</v>
      </c>
      <c r="C143" s="7" t="str">
        <f>VLOOKUP(B143,Roster!$A$3:$B$18,2,FALSE())</f>
        <v>Player 10</v>
      </c>
      <c r="D143" s="8" t="s">
        <v>55</v>
      </c>
      <c r="E143" s="7">
        <v>11</v>
      </c>
      <c r="F143" s="7" t="str">
        <f>VLOOKUP(E143,Roster!$A$3:$B$18,2,FALSE())</f>
        <v>Player 11</v>
      </c>
    </row>
    <row r="144" spans="1:6" ht="15" customHeight="1" x14ac:dyDescent="0.25">
      <c r="A144" s="7">
        <v>7</v>
      </c>
      <c r="B144" s="7">
        <v>13</v>
      </c>
      <c r="C144" s="7" t="str">
        <f>VLOOKUP(B144,Roster!$A$3:$B$18,2,FALSE())</f>
        <v>Player 13</v>
      </c>
      <c r="D144" s="8" t="s">
        <v>55</v>
      </c>
      <c r="E144" s="7">
        <v>16</v>
      </c>
      <c r="F144" s="7" t="str">
        <f>VLOOKUP(E144,Roster!$A$3:$B$18,2,FALSE())</f>
        <v>Player 16</v>
      </c>
    </row>
    <row r="145" spans="1:6" ht="15" customHeight="1" x14ac:dyDescent="0.25">
      <c r="A145" s="7">
        <v>8</v>
      </c>
      <c r="B145" s="7">
        <v>14</v>
      </c>
      <c r="C145" s="7" t="str">
        <f>VLOOKUP(B145,Roster!$A$3:$B$18,2,FALSE())</f>
        <v>Player 14</v>
      </c>
      <c r="D145" s="8" t="s">
        <v>55</v>
      </c>
      <c r="E145" s="7">
        <v>15</v>
      </c>
      <c r="F145" s="7" t="str">
        <f>VLOOKUP(E145,Roster!$A$3:$B$18,2,FALSE())</f>
        <v>Player 15</v>
      </c>
    </row>
    <row r="147" spans="1:6" ht="15" customHeight="1" x14ac:dyDescent="0.25">
      <c r="A147" s="67" t="s">
        <v>70</v>
      </c>
      <c r="B147" s="63"/>
      <c r="C147" s="63"/>
      <c r="D147" s="63"/>
      <c r="E147" s="63"/>
      <c r="F147" s="64"/>
    </row>
    <row r="148" spans="1:6" ht="15" customHeight="1" x14ac:dyDescent="0.25">
      <c r="A148" s="6" t="s">
        <v>52</v>
      </c>
      <c r="B148" s="6" t="s">
        <v>53</v>
      </c>
      <c r="C148" s="6" t="s">
        <v>54</v>
      </c>
      <c r="D148" s="6" t="s">
        <v>55</v>
      </c>
      <c r="E148" s="6" t="s">
        <v>53</v>
      </c>
      <c r="F148" s="6" t="s">
        <v>54</v>
      </c>
    </row>
    <row r="149" spans="1:6" ht="15" customHeight="1" x14ac:dyDescent="0.25">
      <c r="A149" s="7">
        <v>1</v>
      </c>
      <c r="B149" s="7">
        <v>1</v>
      </c>
      <c r="C149" s="7" t="str">
        <f>VLOOKUP(B149,Roster!$A$3:$B$18,2,FALSE())</f>
        <v>Player 1</v>
      </c>
      <c r="D149" s="8" t="s">
        <v>55</v>
      </c>
      <c r="E149" s="7">
        <v>3</v>
      </c>
      <c r="F149" s="7" t="str">
        <f>VLOOKUP(E149,Roster!$A$3:$B$18,2,FALSE())</f>
        <v>Player 3</v>
      </c>
    </row>
    <row r="150" spans="1:6" ht="15" customHeight="1" x14ac:dyDescent="0.25">
      <c r="A150" s="7">
        <v>2</v>
      </c>
      <c r="B150" s="7">
        <v>4</v>
      </c>
      <c r="C150" s="7" t="str">
        <f>VLOOKUP(B150,Roster!$A$3:$B$18,2,FALSE())</f>
        <v>Player 4</v>
      </c>
      <c r="D150" s="8" t="s">
        <v>55</v>
      </c>
      <c r="E150" s="7">
        <v>2</v>
      </c>
      <c r="F150" s="7" t="str">
        <f>VLOOKUP(E150,Roster!$A$3:$B$18,2,FALSE())</f>
        <v>Player 2</v>
      </c>
    </row>
    <row r="151" spans="1:6" ht="15" customHeight="1" x14ac:dyDescent="0.25">
      <c r="A151" s="7">
        <v>3</v>
      </c>
      <c r="B151" s="7">
        <v>5</v>
      </c>
      <c r="C151" s="7" t="str">
        <f>VLOOKUP(B151,Roster!$A$3:$B$18,2,FALSE())</f>
        <v>Player 5</v>
      </c>
      <c r="D151" s="8" t="s">
        <v>55</v>
      </c>
      <c r="E151" s="7">
        <v>7</v>
      </c>
      <c r="F151" s="7" t="str">
        <f>VLOOKUP(E151,Roster!$A$3:$B$18,2,FALSE())</f>
        <v>Player 7</v>
      </c>
    </row>
    <row r="152" spans="1:6" ht="15" customHeight="1" x14ac:dyDescent="0.25">
      <c r="A152" s="7">
        <v>4</v>
      </c>
      <c r="B152" s="7">
        <v>8</v>
      </c>
      <c r="C152" s="7" t="str">
        <f>VLOOKUP(B152,Roster!$A$3:$B$18,2,FALSE())</f>
        <v>Player 8</v>
      </c>
      <c r="D152" s="8" t="s">
        <v>55</v>
      </c>
      <c r="E152" s="7">
        <v>6</v>
      </c>
      <c r="F152" s="7" t="str">
        <f>VLOOKUP(E152,Roster!$A$3:$B$18,2,FALSE())</f>
        <v>Player 6</v>
      </c>
    </row>
    <row r="153" spans="1:6" ht="15" customHeight="1" x14ac:dyDescent="0.25">
      <c r="A153" s="7">
        <v>5</v>
      </c>
      <c r="B153" s="7">
        <v>9</v>
      </c>
      <c r="C153" s="7" t="str">
        <f>VLOOKUP(B153,Roster!$A$3:$B$18,2,FALSE())</f>
        <v>Player 9</v>
      </c>
      <c r="D153" s="8" t="s">
        <v>55</v>
      </c>
      <c r="E153" s="7">
        <v>11</v>
      </c>
      <c r="F153" s="7" t="str">
        <f>VLOOKUP(E153,Roster!$A$3:$B$18,2,FALSE())</f>
        <v>Player 11</v>
      </c>
    </row>
    <row r="154" spans="1:6" ht="15" customHeight="1" x14ac:dyDescent="0.25">
      <c r="A154" s="7">
        <v>6</v>
      </c>
      <c r="B154" s="7">
        <v>12</v>
      </c>
      <c r="C154" s="7" t="str">
        <f>VLOOKUP(B154,Roster!$A$3:$B$18,2,FALSE())</f>
        <v>Player 12</v>
      </c>
      <c r="D154" s="8" t="s">
        <v>55</v>
      </c>
      <c r="E154" s="7">
        <v>10</v>
      </c>
      <c r="F154" s="7" t="str">
        <f>VLOOKUP(E154,Roster!$A$3:$B$18,2,FALSE())</f>
        <v>Player 10</v>
      </c>
    </row>
    <row r="155" spans="1:6" ht="15" customHeight="1" x14ac:dyDescent="0.25">
      <c r="A155" s="7">
        <v>7</v>
      </c>
      <c r="B155" s="7">
        <v>13</v>
      </c>
      <c r="C155" s="7" t="str">
        <f>VLOOKUP(B155,Roster!$A$3:$B$18,2,FALSE())</f>
        <v>Player 13</v>
      </c>
      <c r="D155" s="8" t="s">
        <v>55</v>
      </c>
      <c r="E155" s="7">
        <v>15</v>
      </c>
      <c r="F155" s="7" t="str">
        <f>VLOOKUP(E155,Roster!$A$3:$B$18,2,FALSE())</f>
        <v>Player 15</v>
      </c>
    </row>
    <row r="156" spans="1:6" ht="15" customHeight="1" x14ac:dyDescent="0.25">
      <c r="A156" s="7">
        <v>8</v>
      </c>
      <c r="B156" s="7">
        <v>16</v>
      </c>
      <c r="C156" s="7" t="str">
        <f>VLOOKUP(B156,Roster!$A$3:$B$18,2,FALSE())</f>
        <v>Player 16</v>
      </c>
      <c r="D156" s="8" t="s">
        <v>55</v>
      </c>
      <c r="E156" s="7">
        <v>14</v>
      </c>
      <c r="F156" s="7" t="str">
        <f>VLOOKUP(E156,Roster!$A$3:$B$18,2,FALSE())</f>
        <v>Player 14</v>
      </c>
    </row>
    <row r="158" spans="1:6" ht="15" customHeight="1" x14ac:dyDescent="0.25">
      <c r="A158" s="67" t="s">
        <v>71</v>
      </c>
      <c r="B158" s="63"/>
      <c r="C158" s="63"/>
      <c r="D158" s="63"/>
      <c r="E158" s="63"/>
      <c r="F158" s="64"/>
    </row>
    <row r="159" spans="1:6" ht="15" customHeight="1" x14ac:dyDescent="0.25">
      <c r="A159" s="6" t="s">
        <v>52</v>
      </c>
      <c r="B159" s="6" t="s">
        <v>53</v>
      </c>
      <c r="C159" s="6" t="s">
        <v>54</v>
      </c>
      <c r="D159" s="6" t="s">
        <v>55</v>
      </c>
      <c r="E159" s="6" t="s">
        <v>53</v>
      </c>
      <c r="F159" s="6" t="s">
        <v>54</v>
      </c>
    </row>
    <row r="160" spans="1:6" ht="15" customHeight="1" x14ac:dyDescent="0.25">
      <c r="A160" s="7">
        <v>1</v>
      </c>
      <c r="B160" s="7">
        <v>1</v>
      </c>
      <c r="C160" s="7" t="str">
        <f>VLOOKUP(B160,Roster!$A$3:$B$18,2,FALSE())</f>
        <v>Player 1</v>
      </c>
      <c r="D160" s="8" t="s">
        <v>55</v>
      </c>
      <c r="E160" s="7">
        <v>2</v>
      </c>
      <c r="F160" s="7" t="str">
        <f>VLOOKUP(E160,Roster!$A$3:$B$18,2,FALSE())</f>
        <v>Player 2</v>
      </c>
    </row>
    <row r="161" spans="1:6" ht="15" customHeight="1" x14ac:dyDescent="0.25">
      <c r="A161" s="7">
        <v>2</v>
      </c>
      <c r="B161" s="7">
        <v>3</v>
      </c>
      <c r="C161" s="7" t="str">
        <f>VLOOKUP(B161,Roster!$A$3:$B$18,2,FALSE())</f>
        <v>Player 3</v>
      </c>
      <c r="D161" s="8" t="s">
        <v>55</v>
      </c>
      <c r="E161" s="7">
        <v>4</v>
      </c>
      <c r="F161" s="7" t="str">
        <f>VLOOKUP(E161,Roster!$A$3:$B$18,2,FALSE())</f>
        <v>Player 4</v>
      </c>
    </row>
    <row r="162" spans="1:6" ht="15" customHeight="1" x14ac:dyDescent="0.25">
      <c r="A162" s="7">
        <v>3</v>
      </c>
      <c r="B162" s="7">
        <v>5</v>
      </c>
      <c r="C162" s="7" t="str">
        <f>VLOOKUP(B162,Roster!$A$3:$B$18,2,FALSE())</f>
        <v>Player 5</v>
      </c>
      <c r="D162" s="8" t="s">
        <v>55</v>
      </c>
      <c r="E162" s="7">
        <v>6</v>
      </c>
      <c r="F162" s="7" t="str">
        <f>VLOOKUP(E162,Roster!$A$3:$B$18,2,FALSE())</f>
        <v>Player 6</v>
      </c>
    </row>
    <row r="163" spans="1:6" ht="15" customHeight="1" x14ac:dyDescent="0.25">
      <c r="A163" s="7">
        <v>4</v>
      </c>
      <c r="B163" s="7">
        <v>7</v>
      </c>
      <c r="C163" s="7" t="str">
        <f>VLOOKUP(B163,Roster!$A$3:$B$18,2,FALSE())</f>
        <v>Player 7</v>
      </c>
      <c r="D163" s="8" t="s">
        <v>55</v>
      </c>
      <c r="E163" s="7">
        <v>8</v>
      </c>
      <c r="F163" s="7" t="str">
        <f>VLOOKUP(E163,Roster!$A$3:$B$18,2,FALSE())</f>
        <v>Player 8</v>
      </c>
    </row>
    <row r="164" spans="1:6" ht="15" customHeight="1" x14ac:dyDescent="0.25">
      <c r="A164" s="7">
        <v>5</v>
      </c>
      <c r="B164" s="7">
        <v>9</v>
      </c>
      <c r="C164" s="7" t="str">
        <f>VLOOKUP(B164,Roster!$A$3:$B$18,2,FALSE())</f>
        <v>Player 9</v>
      </c>
      <c r="D164" s="8" t="s">
        <v>55</v>
      </c>
      <c r="E164" s="7">
        <v>10</v>
      </c>
      <c r="F164" s="7" t="str">
        <f>VLOOKUP(E164,Roster!$A$3:$B$18,2,FALSE())</f>
        <v>Player 10</v>
      </c>
    </row>
    <row r="165" spans="1:6" ht="15" customHeight="1" x14ac:dyDescent="0.25">
      <c r="A165" s="7">
        <v>6</v>
      </c>
      <c r="B165" s="7">
        <v>11</v>
      </c>
      <c r="C165" s="7" t="str">
        <f>VLOOKUP(B165,Roster!$A$3:$B$18,2,FALSE())</f>
        <v>Player 11</v>
      </c>
      <c r="D165" s="8" t="s">
        <v>55</v>
      </c>
      <c r="E165" s="7">
        <v>12</v>
      </c>
      <c r="F165" s="7" t="str">
        <f>VLOOKUP(E165,Roster!$A$3:$B$18,2,FALSE())</f>
        <v>Player 12</v>
      </c>
    </row>
    <row r="166" spans="1:6" ht="15" customHeight="1" x14ac:dyDescent="0.25">
      <c r="A166" s="7">
        <v>7</v>
      </c>
      <c r="B166" s="7">
        <v>13</v>
      </c>
      <c r="C166" s="7" t="str">
        <f>VLOOKUP(B166,Roster!$A$3:$B$18,2,FALSE())</f>
        <v>Player 13</v>
      </c>
      <c r="D166" s="8" t="s">
        <v>55</v>
      </c>
      <c r="E166" s="7">
        <v>14</v>
      </c>
      <c r="F166" s="7" t="str">
        <f>VLOOKUP(E166,Roster!$A$3:$B$18,2,FALSE())</f>
        <v>Player 14</v>
      </c>
    </row>
    <row r="167" spans="1:6" ht="15" customHeight="1" x14ac:dyDescent="0.25">
      <c r="A167" s="7">
        <v>8</v>
      </c>
      <c r="B167" s="7">
        <v>15</v>
      </c>
      <c r="C167" s="7" t="str">
        <f>VLOOKUP(B167,Roster!$A$3:$B$18,2,FALSE())</f>
        <v>Player 15</v>
      </c>
      <c r="D167" s="8" t="s">
        <v>55</v>
      </c>
      <c r="E167" s="7">
        <v>16</v>
      </c>
      <c r="F167" s="7" t="str">
        <f>VLOOKUP(E167,Roster!$A$3:$B$18,2,FALSE())</f>
        <v>Player 16</v>
      </c>
    </row>
    <row r="169" spans="1:6" ht="15" customHeight="1" x14ac:dyDescent="0.25">
      <c r="A169" s="67" t="s">
        <v>72</v>
      </c>
      <c r="B169" s="63"/>
      <c r="C169" s="63"/>
      <c r="D169" s="63"/>
      <c r="E169" s="63"/>
      <c r="F169" s="64"/>
    </row>
    <row r="170" spans="1:6" ht="15" customHeight="1" x14ac:dyDescent="0.25">
      <c r="A170" s="6" t="s">
        <v>52</v>
      </c>
      <c r="B170" s="6" t="s">
        <v>53</v>
      </c>
      <c r="C170" s="6" t="s">
        <v>54</v>
      </c>
      <c r="D170" s="6" t="s">
        <v>55</v>
      </c>
      <c r="E170" s="6" t="s">
        <v>53</v>
      </c>
      <c r="F170" s="6" t="s">
        <v>54</v>
      </c>
    </row>
    <row r="171" spans="1:6" ht="15" customHeight="1" x14ac:dyDescent="0.25">
      <c r="A171" s="7">
        <v>1</v>
      </c>
      <c r="B171" s="7">
        <v>1</v>
      </c>
      <c r="C171" s="7" t="str">
        <f>VLOOKUP(B171,Roster!$A$3:$B$18,2,FALSE())</f>
        <v>Player 1</v>
      </c>
      <c r="D171" s="8" t="s">
        <v>55</v>
      </c>
      <c r="E171" s="7">
        <v>4</v>
      </c>
      <c r="F171" s="7" t="str">
        <f>VLOOKUP(E171,Roster!$A$3:$B$18,2,FALSE())</f>
        <v>Player 4</v>
      </c>
    </row>
    <row r="172" spans="1:6" ht="15" customHeight="1" x14ac:dyDescent="0.25">
      <c r="A172" s="7">
        <v>2</v>
      </c>
      <c r="B172" s="7">
        <v>2</v>
      </c>
      <c r="C172" s="7" t="str">
        <f>VLOOKUP(B172,Roster!$A$3:$B$18,2,FALSE())</f>
        <v>Player 2</v>
      </c>
      <c r="D172" s="8" t="s">
        <v>55</v>
      </c>
      <c r="E172" s="7">
        <v>3</v>
      </c>
      <c r="F172" s="7" t="str">
        <f>VLOOKUP(E172,Roster!$A$3:$B$18,2,FALSE())</f>
        <v>Player 3</v>
      </c>
    </row>
    <row r="173" spans="1:6" ht="15" customHeight="1" x14ac:dyDescent="0.25">
      <c r="A173" s="7">
        <v>3</v>
      </c>
      <c r="B173" s="7">
        <v>5</v>
      </c>
      <c r="C173" s="7" t="str">
        <f>VLOOKUP(B173,Roster!$A$3:$B$18,2,FALSE())</f>
        <v>Player 5</v>
      </c>
      <c r="D173" s="8" t="s">
        <v>55</v>
      </c>
      <c r="E173" s="7">
        <v>8</v>
      </c>
      <c r="F173" s="7" t="str">
        <f>VLOOKUP(E173,Roster!$A$3:$B$18,2,FALSE())</f>
        <v>Player 8</v>
      </c>
    </row>
    <row r="174" spans="1:6" ht="15" customHeight="1" x14ac:dyDescent="0.25">
      <c r="A174" s="7">
        <v>4</v>
      </c>
      <c r="B174" s="7">
        <v>6</v>
      </c>
      <c r="C174" s="7" t="str">
        <f>VLOOKUP(B174,Roster!$A$3:$B$18,2,FALSE())</f>
        <v>Player 6</v>
      </c>
      <c r="D174" s="8" t="s">
        <v>55</v>
      </c>
      <c r="E174" s="7">
        <v>7</v>
      </c>
      <c r="F174" s="7" t="str">
        <f>VLOOKUP(E174,Roster!$A$3:$B$18,2,FALSE())</f>
        <v>Player 7</v>
      </c>
    </row>
    <row r="175" spans="1:6" ht="15" customHeight="1" x14ac:dyDescent="0.25">
      <c r="A175" s="7">
        <v>5</v>
      </c>
      <c r="B175" s="7">
        <v>9</v>
      </c>
      <c r="C175" s="7" t="str">
        <f>VLOOKUP(B175,Roster!$A$3:$B$18,2,FALSE())</f>
        <v>Player 9</v>
      </c>
      <c r="D175" s="8" t="s">
        <v>55</v>
      </c>
      <c r="E175" s="7">
        <v>12</v>
      </c>
      <c r="F175" s="7" t="str">
        <f>VLOOKUP(E175,Roster!$A$3:$B$18,2,FALSE())</f>
        <v>Player 12</v>
      </c>
    </row>
    <row r="176" spans="1:6" ht="15" customHeight="1" x14ac:dyDescent="0.25">
      <c r="A176" s="7">
        <v>6</v>
      </c>
      <c r="B176" s="7">
        <v>10</v>
      </c>
      <c r="C176" s="7" t="str">
        <f>VLOOKUP(B176,Roster!$A$3:$B$18,2,FALSE())</f>
        <v>Player 10</v>
      </c>
      <c r="D176" s="8" t="s">
        <v>55</v>
      </c>
      <c r="E176" s="7">
        <v>11</v>
      </c>
      <c r="F176" s="7" t="str">
        <f>VLOOKUP(E176,Roster!$A$3:$B$18,2,FALSE())</f>
        <v>Player 11</v>
      </c>
    </row>
    <row r="177" spans="1:6" ht="15" customHeight="1" x14ac:dyDescent="0.25">
      <c r="A177" s="7">
        <v>7</v>
      </c>
      <c r="B177" s="7">
        <v>13</v>
      </c>
      <c r="C177" s="7" t="str">
        <f>VLOOKUP(B177,Roster!$A$3:$B$18,2,FALSE())</f>
        <v>Player 13</v>
      </c>
      <c r="D177" s="8" t="s">
        <v>55</v>
      </c>
      <c r="E177" s="7">
        <v>16</v>
      </c>
      <c r="F177" s="7" t="str">
        <f>VLOOKUP(E177,Roster!$A$3:$B$18,2,FALSE())</f>
        <v>Player 16</v>
      </c>
    </row>
    <row r="178" spans="1:6" ht="15" customHeight="1" x14ac:dyDescent="0.25">
      <c r="A178" s="7">
        <v>8</v>
      </c>
      <c r="B178" s="7">
        <v>14</v>
      </c>
      <c r="C178" s="7" t="str">
        <f>VLOOKUP(B178,Roster!$A$3:$B$18,2,FALSE())</f>
        <v>Player 14</v>
      </c>
      <c r="D178" s="8" t="s">
        <v>55</v>
      </c>
      <c r="E178" s="7">
        <v>15</v>
      </c>
      <c r="F178" s="7" t="str">
        <f>VLOOKUP(E178,Roster!$A$3:$B$18,2,FALSE())</f>
        <v>Player 15</v>
      </c>
    </row>
    <row r="180" spans="1:6" ht="15" customHeight="1" x14ac:dyDescent="0.25">
      <c r="A180" s="67" t="s">
        <v>73</v>
      </c>
      <c r="B180" s="63"/>
      <c r="C180" s="63"/>
      <c r="D180" s="63"/>
      <c r="E180" s="63"/>
      <c r="F180" s="64"/>
    </row>
    <row r="181" spans="1:6" ht="15" customHeight="1" x14ac:dyDescent="0.25">
      <c r="A181" s="6" t="s">
        <v>52</v>
      </c>
      <c r="B181" s="6" t="s">
        <v>53</v>
      </c>
      <c r="C181" s="6" t="s">
        <v>54</v>
      </c>
      <c r="D181" s="6" t="s">
        <v>55</v>
      </c>
      <c r="E181" s="6" t="s">
        <v>53</v>
      </c>
      <c r="F181" s="6" t="s">
        <v>54</v>
      </c>
    </row>
    <row r="182" spans="1:6" ht="15" customHeight="1" x14ac:dyDescent="0.25">
      <c r="A182" s="7">
        <v>1</v>
      </c>
      <c r="B182" s="7">
        <v>1</v>
      </c>
      <c r="C182" s="7" t="str">
        <f>VLOOKUP(B182,Roster!$A$3:$B$18,2,FALSE())</f>
        <v>Player 1</v>
      </c>
      <c r="D182" s="8" t="s">
        <v>55</v>
      </c>
      <c r="E182" s="7">
        <v>3</v>
      </c>
      <c r="F182" s="7" t="str">
        <f>VLOOKUP(E182,Roster!$A$3:$B$18,2,FALSE())</f>
        <v>Player 3</v>
      </c>
    </row>
    <row r="183" spans="1:6" ht="15" customHeight="1" x14ac:dyDescent="0.25">
      <c r="A183" s="7">
        <v>2</v>
      </c>
      <c r="B183" s="7">
        <v>4</v>
      </c>
      <c r="C183" s="7" t="str">
        <f>VLOOKUP(B183,Roster!$A$3:$B$18,2,FALSE())</f>
        <v>Player 4</v>
      </c>
      <c r="D183" s="8" t="s">
        <v>55</v>
      </c>
      <c r="E183" s="7">
        <v>2</v>
      </c>
      <c r="F183" s="7" t="str">
        <f>VLOOKUP(E183,Roster!$A$3:$B$18,2,FALSE())</f>
        <v>Player 2</v>
      </c>
    </row>
    <row r="184" spans="1:6" ht="15" customHeight="1" x14ac:dyDescent="0.25">
      <c r="A184" s="7">
        <v>3</v>
      </c>
      <c r="B184" s="7">
        <v>5</v>
      </c>
      <c r="C184" s="7" t="str">
        <f>VLOOKUP(B184,Roster!$A$3:$B$18,2,FALSE())</f>
        <v>Player 5</v>
      </c>
      <c r="D184" s="8" t="s">
        <v>55</v>
      </c>
      <c r="E184" s="7">
        <v>7</v>
      </c>
      <c r="F184" s="7" t="str">
        <f>VLOOKUP(E184,Roster!$A$3:$B$18,2,FALSE())</f>
        <v>Player 7</v>
      </c>
    </row>
    <row r="185" spans="1:6" ht="15" customHeight="1" x14ac:dyDescent="0.25">
      <c r="A185" s="7">
        <v>4</v>
      </c>
      <c r="B185" s="7">
        <v>8</v>
      </c>
      <c r="C185" s="7" t="str">
        <f>VLOOKUP(B185,Roster!$A$3:$B$18,2,FALSE())</f>
        <v>Player 8</v>
      </c>
      <c r="D185" s="8" t="s">
        <v>55</v>
      </c>
      <c r="E185" s="7">
        <v>6</v>
      </c>
      <c r="F185" s="7" t="str">
        <f>VLOOKUP(E185,Roster!$A$3:$B$18,2,FALSE())</f>
        <v>Player 6</v>
      </c>
    </row>
    <row r="186" spans="1:6" ht="15" customHeight="1" x14ac:dyDescent="0.25">
      <c r="A186" s="7">
        <v>5</v>
      </c>
      <c r="B186" s="7">
        <v>9</v>
      </c>
      <c r="C186" s="7" t="str">
        <f>VLOOKUP(B186,Roster!$A$3:$B$18,2,FALSE())</f>
        <v>Player 9</v>
      </c>
      <c r="D186" s="8" t="s">
        <v>55</v>
      </c>
      <c r="E186" s="7">
        <v>11</v>
      </c>
      <c r="F186" s="7" t="str">
        <f>VLOOKUP(E186,Roster!$A$3:$B$18,2,FALSE())</f>
        <v>Player 11</v>
      </c>
    </row>
    <row r="187" spans="1:6" ht="15" customHeight="1" x14ac:dyDescent="0.25">
      <c r="A187" s="7">
        <v>6</v>
      </c>
      <c r="B187" s="7">
        <v>12</v>
      </c>
      <c r="C187" s="7" t="str">
        <f>VLOOKUP(B187,Roster!$A$3:$B$18,2,FALSE())</f>
        <v>Player 12</v>
      </c>
      <c r="D187" s="8" t="s">
        <v>55</v>
      </c>
      <c r="E187" s="7">
        <v>10</v>
      </c>
      <c r="F187" s="7" t="str">
        <f>VLOOKUP(E187,Roster!$A$3:$B$18,2,FALSE())</f>
        <v>Player 10</v>
      </c>
    </row>
    <row r="188" spans="1:6" ht="15" customHeight="1" x14ac:dyDescent="0.25">
      <c r="A188" s="7">
        <v>7</v>
      </c>
      <c r="B188" s="7">
        <v>13</v>
      </c>
      <c r="C188" s="7" t="str">
        <f>VLOOKUP(B188,Roster!$A$3:$B$18,2,FALSE())</f>
        <v>Player 13</v>
      </c>
      <c r="D188" s="8" t="s">
        <v>55</v>
      </c>
      <c r="E188" s="7">
        <v>15</v>
      </c>
      <c r="F188" s="7" t="str">
        <f>VLOOKUP(E188,Roster!$A$3:$B$18,2,FALSE())</f>
        <v>Player 15</v>
      </c>
    </row>
    <row r="189" spans="1:6" ht="15" customHeight="1" x14ac:dyDescent="0.25">
      <c r="A189" s="7">
        <v>8</v>
      </c>
      <c r="B189" s="7">
        <v>16</v>
      </c>
      <c r="C189" s="7" t="str">
        <f>VLOOKUP(B189,Roster!$A$3:$B$18,2,FALSE())</f>
        <v>Player 16</v>
      </c>
      <c r="D189" s="8" t="s">
        <v>55</v>
      </c>
      <c r="E189" s="7">
        <v>14</v>
      </c>
      <c r="F189" s="7" t="str">
        <f>VLOOKUP(E189,Roster!$A$3:$B$18,2,FALSE())</f>
        <v>Player 14</v>
      </c>
    </row>
    <row r="191" spans="1:6" ht="15" customHeight="1" x14ac:dyDescent="0.25">
      <c r="A191" s="67" t="s">
        <v>74</v>
      </c>
      <c r="B191" s="63"/>
      <c r="C191" s="63"/>
      <c r="D191" s="63"/>
      <c r="E191" s="63"/>
      <c r="F191" s="64"/>
    </row>
    <row r="192" spans="1:6" ht="15" customHeight="1" x14ac:dyDescent="0.25">
      <c r="A192" s="6" t="s">
        <v>52</v>
      </c>
      <c r="B192" s="6" t="s">
        <v>53</v>
      </c>
      <c r="C192" s="6" t="s">
        <v>54</v>
      </c>
      <c r="D192" s="6" t="s">
        <v>55</v>
      </c>
      <c r="E192" s="6" t="s">
        <v>53</v>
      </c>
      <c r="F192" s="6" t="s">
        <v>54</v>
      </c>
    </row>
    <row r="193" spans="1:6" ht="15" customHeight="1" x14ac:dyDescent="0.25">
      <c r="A193" s="7">
        <v>1</v>
      </c>
      <c r="B193" s="7">
        <v>1</v>
      </c>
      <c r="C193" s="7" t="str">
        <f>VLOOKUP(B193,Roster!$A$3:$B$18,2,FALSE())</f>
        <v>Player 1</v>
      </c>
      <c r="D193" s="8" t="s">
        <v>55</v>
      </c>
      <c r="E193" s="7">
        <v>2</v>
      </c>
      <c r="F193" s="7" t="str">
        <f>VLOOKUP(E193,Roster!$A$3:$B$18,2,FALSE())</f>
        <v>Player 2</v>
      </c>
    </row>
    <row r="194" spans="1:6" ht="15" customHeight="1" x14ac:dyDescent="0.25">
      <c r="A194" s="7">
        <v>2</v>
      </c>
      <c r="B194" s="7">
        <v>3</v>
      </c>
      <c r="C194" s="7" t="str">
        <f>VLOOKUP(B194,Roster!$A$3:$B$18,2,FALSE())</f>
        <v>Player 3</v>
      </c>
      <c r="D194" s="8" t="s">
        <v>55</v>
      </c>
      <c r="E194" s="7">
        <v>4</v>
      </c>
      <c r="F194" s="7" t="str">
        <f>VLOOKUP(E194,Roster!$A$3:$B$18,2,FALSE())</f>
        <v>Player 4</v>
      </c>
    </row>
    <row r="195" spans="1:6" ht="15" customHeight="1" x14ac:dyDescent="0.25">
      <c r="A195" s="7">
        <v>3</v>
      </c>
      <c r="B195" s="7">
        <v>5</v>
      </c>
      <c r="C195" s="7" t="str">
        <f>VLOOKUP(B195,Roster!$A$3:$B$18,2,FALSE())</f>
        <v>Player 5</v>
      </c>
      <c r="D195" s="8" t="s">
        <v>55</v>
      </c>
      <c r="E195" s="7">
        <v>6</v>
      </c>
      <c r="F195" s="7" t="str">
        <f>VLOOKUP(E195,Roster!$A$3:$B$18,2,FALSE())</f>
        <v>Player 6</v>
      </c>
    </row>
    <row r="196" spans="1:6" ht="15" customHeight="1" x14ac:dyDescent="0.25">
      <c r="A196" s="7">
        <v>4</v>
      </c>
      <c r="B196" s="7">
        <v>7</v>
      </c>
      <c r="C196" s="7" t="str">
        <f>VLOOKUP(B196,Roster!$A$3:$B$18,2,FALSE())</f>
        <v>Player 7</v>
      </c>
      <c r="D196" s="8" t="s">
        <v>55</v>
      </c>
      <c r="E196" s="7">
        <v>8</v>
      </c>
      <c r="F196" s="7" t="str">
        <f>VLOOKUP(E196,Roster!$A$3:$B$18,2,FALSE())</f>
        <v>Player 8</v>
      </c>
    </row>
    <row r="197" spans="1:6" ht="15" customHeight="1" x14ac:dyDescent="0.25">
      <c r="A197" s="7">
        <v>5</v>
      </c>
      <c r="B197" s="7">
        <v>9</v>
      </c>
      <c r="C197" s="7" t="str">
        <f>VLOOKUP(B197,Roster!$A$3:$B$18,2,FALSE())</f>
        <v>Player 9</v>
      </c>
      <c r="D197" s="8" t="s">
        <v>55</v>
      </c>
      <c r="E197" s="7">
        <v>10</v>
      </c>
      <c r="F197" s="7" t="str">
        <f>VLOOKUP(E197,Roster!$A$3:$B$18,2,FALSE())</f>
        <v>Player 10</v>
      </c>
    </row>
    <row r="198" spans="1:6" ht="15" customHeight="1" x14ac:dyDescent="0.25">
      <c r="A198" s="7">
        <v>6</v>
      </c>
      <c r="B198" s="7">
        <v>11</v>
      </c>
      <c r="C198" s="7" t="str">
        <f>VLOOKUP(B198,Roster!$A$3:$B$18,2,FALSE())</f>
        <v>Player 11</v>
      </c>
      <c r="D198" s="8" t="s">
        <v>55</v>
      </c>
      <c r="E198" s="7">
        <v>12</v>
      </c>
      <c r="F198" s="7" t="str">
        <f>VLOOKUP(E198,Roster!$A$3:$B$18,2,FALSE())</f>
        <v>Player 12</v>
      </c>
    </row>
    <row r="199" spans="1:6" ht="15" customHeight="1" x14ac:dyDescent="0.25">
      <c r="A199" s="7">
        <v>7</v>
      </c>
      <c r="B199" s="7">
        <v>13</v>
      </c>
      <c r="C199" s="7" t="str">
        <f>VLOOKUP(B199,Roster!$A$3:$B$18,2,FALSE())</f>
        <v>Player 13</v>
      </c>
      <c r="D199" s="8" t="s">
        <v>55</v>
      </c>
      <c r="E199" s="7">
        <v>14</v>
      </c>
      <c r="F199" s="7" t="str">
        <f>VLOOKUP(E199,Roster!$A$3:$B$18,2,FALSE())</f>
        <v>Player 14</v>
      </c>
    </row>
    <row r="200" spans="1:6" ht="15" customHeight="1" x14ac:dyDescent="0.25">
      <c r="A200" s="7">
        <v>8</v>
      </c>
      <c r="B200" s="7">
        <v>15</v>
      </c>
      <c r="C200" s="7" t="str">
        <f>VLOOKUP(B200,Roster!$A$3:$B$18,2,FALSE())</f>
        <v>Player 15</v>
      </c>
      <c r="D200" s="8" t="s">
        <v>55</v>
      </c>
      <c r="E200" s="7">
        <v>16</v>
      </c>
      <c r="F200" s="7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Q20" sqref="Q20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6" t="s">
        <v>0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1</v>
      </c>
    </row>
    <row r="4" spans="1:9" ht="15" customHeight="1" x14ac:dyDescent="0.25">
      <c r="A4" s="69" t="s">
        <v>2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5</v>
      </c>
      <c r="E6" s="7">
        <f>C10</f>
        <v>0</v>
      </c>
      <c r="F6" s="3" t="str">
        <f t="shared" ref="F6:F21" si="0">IF(C6&gt;E6,"W",IF(C6&lt;E6,"L","T"))</f>
        <v>T</v>
      </c>
      <c r="G6" s="3">
        <f t="shared" ref="G6:G21" si="1">IF(F6="W",6,IF(F6="T",3,0))</f>
        <v>3</v>
      </c>
      <c r="H6" s="3">
        <f t="shared" ref="H6:H21" si="2">C6</f>
        <v>0</v>
      </c>
      <c r="I6" s="1">
        <f t="shared" ref="I6:I21" si="3">G6+H6</f>
        <v>3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6</v>
      </c>
      <c r="E7" s="7">
        <f>C11</f>
        <v>0</v>
      </c>
      <c r="F7" s="3" t="str">
        <f t="shared" si="0"/>
        <v>T</v>
      </c>
      <c r="G7" s="3">
        <f t="shared" si="1"/>
        <v>3</v>
      </c>
      <c r="H7" s="3">
        <f t="shared" si="2"/>
        <v>0</v>
      </c>
      <c r="I7" s="1">
        <f t="shared" si="3"/>
        <v>3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7</v>
      </c>
      <c r="E8" s="7">
        <f>C12</f>
        <v>0</v>
      </c>
      <c r="F8" s="3" t="str">
        <f t="shared" si="0"/>
        <v>T</v>
      </c>
      <c r="G8" s="3">
        <f t="shared" si="1"/>
        <v>3</v>
      </c>
      <c r="H8" s="3">
        <f t="shared" si="2"/>
        <v>0</v>
      </c>
      <c r="I8" s="1">
        <f t="shared" si="3"/>
        <v>3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8</v>
      </c>
      <c r="E9" s="7">
        <f>C13</f>
        <v>0</v>
      </c>
      <c r="F9" s="3" t="str">
        <f t="shared" si="0"/>
        <v>T</v>
      </c>
      <c r="G9" s="3">
        <f t="shared" si="1"/>
        <v>3</v>
      </c>
      <c r="H9" s="3">
        <f t="shared" si="2"/>
        <v>0</v>
      </c>
      <c r="I9" s="1">
        <f t="shared" si="3"/>
        <v>3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</v>
      </c>
      <c r="E10" s="7">
        <f>C6</f>
        <v>0</v>
      </c>
      <c r="F10" s="3" t="str">
        <f t="shared" si="0"/>
        <v>T</v>
      </c>
      <c r="G10" s="3">
        <f t="shared" si="1"/>
        <v>3</v>
      </c>
      <c r="H10" s="3">
        <f t="shared" si="2"/>
        <v>0</v>
      </c>
      <c r="I10" s="1">
        <f t="shared" si="3"/>
        <v>3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2</v>
      </c>
      <c r="E11" s="7">
        <f>C7</f>
        <v>0</v>
      </c>
      <c r="F11" s="3" t="str">
        <f t="shared" si="0"/>
        <v>T</v>
      </c>
      <c r="G11" s="3">
        <f t="shared" si="1"/>
        <v>3</v>
      </c>
      <c r="H11" s="3">
        <f t="shared" si="2"/>
        <v>0</v>
      </c>
      <c r="I11" s="1">
        <f t="shared" si="3"/>
        <v>3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3</v>
      </c>
      <c r="E12" s="7">
        <f>C8</f>
        <v>0</v>
      </c>
      <c r="F12" s="3" t="str">
        <f t="shared" si="0"/>
        <v>T</v>
      </c>
      <c r="G12" s="3">
        <f t="shared" si="1"/>
        <v>3</v>
      </c>
      <c r="H12" s="3">
        <f t="shared" si="2"/>
        <v>0</v>
      </c>
      <c r="I12" s="1">
        <f t="shared" si="3"/>
        <v>3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4</v>
      </c>
      <c r="E13" s="7">
        <f>C9</f>
        <v>0</v>
      </c>
      <c r="F13" s="3" t="str">
        <f t="shared" si="0"/>
        <v>T</v>
      </c>
      <c r="G13" s="3">
        <f t="shared" si="1"/>
        <v>3</v>
      </c>
      <c r="H13" s="3">
        <f t="shared" si="2"/>
        <v>0</v>
      </c>
      <c r="I13" s="1">
        <f t="shared" si="3"/>
        <v>3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13</v>
      </c>
      <c r="E14" s="7">
        <f>C18</f>
        <v>0</v>
      </c>
      <c r="F14" s="3" t="str">
        <f t="shared" si="0"/>
        <v>T</v>
      </c>
      <c r="G14" s="3">
        <f t="shared" si="1"/>
        <v>3</v>
      </c>
      <c r="H14" s="3">
        <f t="shared" si="2"/>
        <v>0</v>
      </c>
      <c r="I14" s="1">
        <f t="shared" si="3"/>
        <v>3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14</v>
      </c>
      <c r="E15" s="7">
        <f>C19</f>
        <v>0</v>
      </c>
      <c r="F15" s="3" t="str">
        <f t="shared" si="0"/>
        <v>T</v>
      </c>
      <c r="G15" s="3">
        <f t="shared" si="1"/>
        <v>3</v>
      </c>
      <c r="H15" s="3">
        <f t="shared" si="2"/>
        <v>0</v>
      </c>
      <c r="I15" s="1">
        <f t="shared" si="3"/>
        <v>3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15</v>
      </c>
      <c r="E16" s="7">
        <f>C20</f>
        <v>0</v>
      </c>
      <c r="F16" s="3" t="str">
        <f t="shared" si="0"/>
        <v>T</v>
      </c>
      <c r="G16" s="3">
        <f t="shared" si="1"/>
        <v>3</v>
      </c>
      <c r="H16" s="3">
        <f t="shared" si="2"/>
        <v>0</v>
      </c>
      <c r="I16" s="1">
        <f t="shared" si="3"/>
        <v>3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16</v>
      </c>
      <c r="E17" s="7">
        <f>C21</f>
        <v>0</v>
      </c>
      <c r="F17" s="3" t="str">
        <f t="shared" si="0"/>
        <v>T</v>
      </c>
      <c r="G17" s="3">
        <f t="shared" si="1"/>
        <v>3</v>
      </c>
      <c r="H17" s="3">
        <f t="shared" si="2"/>
        <v>0</v>
      </c>
      <c r="I17" s="1">
        <f t="shared" si="3"/>
        <v>3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9</v>
      </c>
      <c r="E18" s="7">
        <f>C14</f>
        <v>0</v>
      </c>
      <c r="F18" s="3" t="str">
        <f t="shared" si="0"/>
        <v>T</v>
      </c>
      <c r="G18" s="3">
        <f t="shared" si="1"/>
        <v>3</v>
      </c>
      <c r="H18" s="3">
        <f t="shared" si="2"/>
        <v>0</v>
      </c>
      <c r="I18" s="1">
        <f t="shared" si="3"/>
        <v>3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10</v>
      </c>
      <c r="E19" s="7">
        <f>C15</f>
        <v>0</v>
      </c>
      <c r="F19" s="3" t="str">
        <f t="shared" si="0"/>
        <v>T</v>
      </c>
      <c r="G19" s="3">
        <f t="shared" si="1"/>
        <v>3</v>
      </c>
      <c r="H19" s="3">
        <f t="shared" si="2"/>
        <v>0</v>
      </c>
      <c r="I19" s="1">
        <f t="shared" si="3"/>
        <v>3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11</v>
      </c>
      <c r="E20" s="7">
        <f>C16</f>
        <v>0</v>
      </c>
      <c r="F20" s="3" t="str">
        <f t="shared" si="0"/>
        <v>T</v>
      </c>
      <c r="G20" s="3">
        <f t="shared" si="1"/>
        <v>3</v>
      </c>
      <c r="H20" s="3">
        <f t="shared" si="2"/>
        <v>0</v>
      </c>
      <c r="I20" s="1">
        <f t="shared" si="3"/>
        <v>3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12</v>
      </c>
      <c r="E21" s="7">
        <f>C17</f>
        <v>0</v>
      </c>
      <c r="F21" s="3" t="str">
        <f t="shared" si="0"/>
        <v>T</v>
      </c>
      <c r="G21" s="3">
        <f t="shared" si="1"/>
        <v>3</v>
      </c>
      <c r="H21" s="3">
        <f t="shared" si="2"/>
        <v>0</v>
      </c>
      <c r="I21" s="1">
        <f t="shared" si="3"/>
        <v>3</v>
      </c>
    </row>
    <row r="23" spans="1:9" ht="15" customHeight="1" x14ac:dyDescent="0.25">
      <c r="A23" s="69" t="s">
        <v>12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6</v>
      </c>
      <c r="E25" s="7">
        <f>C30</f>
        <v>0</v>
      </c>
      <c r="F25" s="3" t="str">
        <f t="shared" ref="F25:F40" si="4">IF(C25&gt;E25,"W",IF(C25&lt;E25,"L","T"))</f>
        <v>T</v>
      </c>
      <c r="G25" s="3">
        <f t="shared" ref="G25:G40" si="5">IF(F25="W",6,IF(F25="T",3,0))</f>
        <v>3</v>
      </c>
      <c r="H25" s="3">
        <f t="shared" ref="H25:H40" si="6">C25</f>
        <v>0</v>
      </c>
      <c r="I25" s="1">
        <f t="shared" ref="I25:I40" si="7">G25+H25</f>
        <v>3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5</v>
      </c>
      <c r="E26" s="7">
        <f>C29</f>
        <v>0</v>
      </c>
      <c r="F26" s="3" t="str">
        <f t="shared" si="4"/>
        <v>T</v>
      </c>
      <c r="G26" s="3">
        <f t="shared" si="5"/>
        <v>3</v>
      </c>
      <c r="H26" s="3">
        <f t="shared" si="6"/>
        <v>0</v>
      </c>
      <c r="I26" s="1">
        <f t="shared" si="7"/>
        <v>3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8</v>
      </c>
      <c r="E27" s="7">
        <f>C32</f>
        <v>0</v>
      </c>
      <c r="F27" s="3" t="str">
        <f t="shared" si="4"/>
        <v>T</v>
      </c>
      <c r="G27" s="3">
        <f t="shared" si="5"/>
        <v>3</v>
      </c>
      <c r="H27" s="3">
        <f t="shared" si="6"/>
        <v>0</v>
      </c>
      <c r="I27" s="1">
        <f t="shared" si="7"/>
        <v>3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7</v>
      </c>
      <c r="E28" s="7">
        <f>C31</f>
        <v>0</v>
      </c>
      <c r="F28" s="3" t="str">
        <f t="shared" si="4"/>
        <v>T</v>
      </c>
      <c r="G28" s="3">
        <f t="shared" si="5"/>
        <v>3</v>
      </c>
      <c r="H28" s="3">
        <f t="shared" si="6"/>
        <v>0</v>
      </c>
      <c r="I28" s="1">
        <f t="shared" si="7"/>
        <v>3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2</v>
      </c>
      <c r="E29" s="7">
        <f>C26</f>
        <v>0</v>
      </c>
      <c r="F29" s="3" t="str">
        <f t="shared" si="4"/>
        <v>T</v>
      </c>
      <c r="G29" s="3">
        <f t="shared" si="5"/>
        <v>3</v>
      </c>
      <c r="H29" s="3">
        <f t="shared" si="6"/>
        <v>0</v>
      </c>
      <c r="I29" s="1">
        <f t="shared" si="7"/>
        <v>3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</v>
      </c>
      <c r="E30" s="7">
        <f>C25</f>
        <v>0</v>
      </c>
      <c r="F30" s="3" t="str">
        <f t="shared" si="4"/>
        <v>T</v>
      </c>
      <c r="G30" s="3">
        <f t="shared" si="5"/>
        <v>3</v>
      </c>
      <c r="H30" s="3">
        <f t="shared" si="6"/>
        <v>0</v>
      </c>
      <c r="I30" s="1">
        <f t="shared" si="7"/>
        <v>3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4</v>
      </c>
      <c r="E31" s="7">
        <f>C28</f>
        <v>0</v>
      </c>
      <c r="F31" s="3" t="str">
        <f t="shared" si="4"/>
        <v>T</v>
      </c>
      <c r="G31" s="3">
        <f t="shared" si="5"/>
        <v>3</v>
      </c>
      <c r="H31" s="3">
        <f t="shared" si="6"/>
        <v>0</v>
      </c>
      <c r="I31" s="1">
        <f t="shared" si="7"/>
        <v>3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3</v>
      </c>
      <c r="E32" s="7">
        <f>C27</f>
        <v>0</v>
      </c>
      <c r="F32" s="3" t="str">
        <f t="shared" si="4"/>
        <v>T</v>
      </c>
      <c r="G32" s="3">
        <f t="shared" si="5"/>
        <v>3</v>
      </c>
      <c r="H32" s="3">
        <f t="shared" si="6"/>
        <v>0</v>
      </c>
      <c r="I32" s="1">
        <f t="shared" si="7"/>
        <v>3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14</v>
      </c>
      <c r="E33" s="7">
        <f>C38</f>
        <v>0</v>
      </c>
      <c r="F33" s="3" t="str">
        <f t="shared" si="4"/>
        <v>T</v>
      </c>
      <c r="G33" s="3">
        <f t="shared" si="5"/>
        <v>3</v>
      </c>
      <c r="H33" s="3">
        <f t="shared" si="6"/>
        <v>0</v>
      </c>
      <c r="I33" s="1">
        <f t="shared" si="7"/>
        <v>3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13</v>
      </c>
      <c r="E34" s="7">
        <f>C37</f>
        <v>0</v>
      </c>
      <c r="F34" s="3" t="str">
        <f t="shared" si="4"/>
        <v>T</v>
      </c>
      <c r="G34" s="3">
        <f t="shared" si="5"/>
        <v>3</v>
      </c>
      <c r="H34" s="3">
        <f t="shared" si="6"/>
        <v>0</v>
      </c>
      <c r="I34" s="1">
        <f t="shared" si="7"/>
        <v>3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16</v>
      </c>
      <c r="E35" s="7">
        <f>C40</f>
        <v>0</v>
      </c>
      <c r="F35" s="3" t="str">
        <f t="shared" si="4"/>
        <v>T</v>
      </c>
      <c r="G35" s="3">
        <f t="shared" si="5"/>
        <v>3</v>
      </c>
      <c r="H35" s="3">
        <f t="shared" si="6"/>
        <v>0</v>
      </c>
      <c r="I35" s="1">
        <f t="shared" si="7"/>
        <v>3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15</v>
      </c>
      <c r="E36" s="7">
        <f>C39</f>
        <v>0</v>
      </c>
      <c r="F36" s="3" t="str">
        <f t="shared" si="4"/>
        <v>T</v>
      </c>
      <c r="G36" s="3">
        <f t="shared" si="5"/>
        <v>3</v>
      </c>
      <c r="H36" s="3">
        <f t="shared" si="6"/>
        <v>0</v>
      </c>
      <c r="I36" s="1">
        <f t="shared" si="7"/>
        <v>3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10</v>
      </c>
      <c r="E37" s="7">
        <f>C34</f>
        <v>0</v>
      </c>
      <c r="F37" s="3" t="str">
        <f t="shared" si="4"/>
        <v>T</v>
      </c>
      <c r="G37" s="3">
        <f t="shared" si="5"/>
        <v>3</v>
      </c>
      <c r="H37" s="3">
        <f t="shared" si="6"/>
        <v>0</v>
      </c>
      <c r="I37" s="1">
        <f t="shared" si="7"/>
        <v>3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9</v>
      </c>
      <c r="E38" s="7">
        <f>C33</f>
        <v>0</v>
      </c>
      <c r="F38" s="3" t="str">
        <f t="shared" si="4"/>
        <v>T</v>
      </c>
      <c r="G38" s="3">
        <f t="shared" si="5"/>
        <v>3</v>
      </c>
      <c r="H38" s="3">
        <f t="shared" si="6"/>
        <v>0</v>
      </c>
      <c r="I38" s="1">
        <f t="shared" si="7"/>
        <v>3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12</v>
      </c>
      <c r="E39" s="7">
        <f>C36</f>
        <v>0</v>
      </c>
      <c r="F39" s="3" t="str">
        <f t="shared" si="4"/>
        <v>T</v>
      </c>
      <c r="G39" s="3">
        <f t="shared" si="5"/>
        <v>3</v>
      </c>
      <c r="H39" s="3">
        <f t="shared" si="6"/>
        <v>0</v>
      </c>
      <c r="I39" s="1">
        <f t="shared" si="7"/>
        <v>3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11</v>
      </c>
      <c r="E40" s="7">
        <f>C35</f>
        <v>0</v>
      </c>
      <c r="F40" s="3" t="str">
        <f t="shared" si="4"/>
        <v>T</v>
      </c>
      <c r="G40" s="3">
        <f t="shared" si="5"/>
        <v>3</v>
      </c>
      <c r="H40" s="3">
        <f t="shared" si="6"/>
        <v>0</v>
      </c>
      <c r="I40" s="1">
        <f t="shared" si="7"/>
        <v>3</v>
      </c>
    </row>
    <row r="42" spans="1:9" ht="15" customHeight="1" x14ac:dyDescent="0.25">
      <c r="A42" s="69" t="s">
        <v>13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7</v>
      </c>
      <c r="E44" s="7">
        <f>C50</f>
        <v>0</v>
      </c>
      <c r="F44" s="3" t="str">
        <f t="shared" ref="F44:F59" si="8">IF(C44&gt;E44,"W",IF(C44&lt;E44,"L","T"))</f>
        <v>T</v>
      </c>
      <c r="G44" s="3">
        <f t="shared" ref="G44:G59" si="9">IF(F44="W",6,IF(F44="T",3,0))</f>
        <v>3</v>
      </c>
      <c r="H44" s="3">
        <f t="shared" ref="H44:H59" si="10">C44</f>
        <v>0</v>
      </c>
      <c r="I44" s="1">
        <f t="shared" ref="I44:I59" si="11">G44+H44</f>
        <v>3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8</v>
      </c>
      <c r="E45" s="7">
        <f>C51</f>
        <v>0</v>
      </c>
      <c r="F45" s="3" t="str">
        <f t="shared" si="8"/>
        <v>T</v>
      </c>
      <c r="G45" s="3">
        <f t="shared" si="9"/>
        <v>3</v>
      </c>
      <c r="H45" s="3">
        <f t="shared" si="10"/>
        <v>0</v>
      </c>
      <c r="I45" s="1">
        <f t="shared" si="11"/>
        <v>3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5</v>
      </c>
      <c r="E46" s="7">
        <f>C48</f>
        <v>0</v>
      </c>
      <c r="F46" s="3" t="str">
        <f t="shared" si="8"/>
        <v>T</v>
      </c>
      <c r="G46" s="3">
        <f t="shared" si="9"/>
        <v>3</v>
      </c>
      <c r="H46" s="3">
        <f t="shared" si="10"/>
        <v>0</v>
      </c>
      <c r="I46" s="1">
        <f t="shared" si="11"/>
        <v>3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6</v>
      </c>
      <c r="E47" s="7">
        <f>C49</f>
        <v>0</v>
      </c>
      <c r="F47" s="3" t="str">
        <f t="shared" si="8"/>
        <v>T</v>
      </c>
      <c r="G47" s="3">
        <f t="shared" si="9"/>
        <v>3</v>
      </c>
      <c r="H47" s="3">
        <f t="shared" si="10"/>
        <v>0</v>
      </c>
      <c r="I47" s="1">
        <f t="shared" si="11"/>
        <v>3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3</v>
      </c>
      <c r="E48" s="7">
        <f>C46</f>
        <v>0</v>
      </c>
      <c r="F48" s="3" t="str">
        <f t="shared" si="8"/>
        <v>T</v>
      </c>
      <c r="G48" s="3">
        <f t="shared" si="9"/>
        <v>3</v>
      </c>
      <c r="H48" s="3">
        <f t="shared" si="10"/>
        <v>0</v>
      </c>
      <c r="I48" s="1">
        <f t="shared" si="11"/>
        <v>3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4</v>
      </c>
      <c r="E49" s="7">
        <f>C47</f>
        <v>0</v>
      </c>
      <c r="F49" s="3" t="str">
        <f t="shared" si="8"/>
        <v>T</v>
      </c>
      <c r="G49" s="3">
        <f t="shared" si="9"/>
        <v>3</v>
      </c>
      <c r="H49" s="3">
        <f t="shared" si="10"/>
        <v>0</v>
      </c>
      <c r="I49" s="1">
        <f t="shared" si="11"/>
        <v>3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</v>
      </c>
      <c r="E50" s="7">
        <f>C44</f>
        <v>0</v>
      </c>
      <c r="F50" s="3" t="str">
        <f t="shared" si="8"/>
        <v>T</v>
      </c>
      <c r="G50" s="3">
        <f t="shared" si="9"/>
        <v>3</v>
      </c>
      <c r="H50" s="3">
        <f t="shared" si="10"/>
        <v>0</v>
      </c>
      <c r="I50" s="1">
        <f t="shared" si="11"/>
        <v>3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2</v>
      </c>
      <c r="E51" s="7">
        <f>C45</f>
        <v>0</v>
      </c>
      <c r="F51" s="3" t="str">
        <f t="shared" si="8"/>
        <v>T</v>
      </c>
      <c r="G51" s="3">
        <f t="shared" si="9"/>
        <v>3</v>
      </c>
      <c r="H51" s="3">
        <f t="shared" si="10"/>
        <v>0</v>
      </c>
      <c r="I51" s="1">
        <f t="shared" si="11"/>
        <v>3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15</v>
      </c>
      <c r="E52" s="7">
        <f>C58</f>
        <v>0</v>
      </c>
      <c r="F52" s="3" t="str">
        <f t="shared" si="8"/>
        <v>T</v>
      </c>
      <c r="G52" s="3">
        <f t="shared" si="9"/>
        <v>3</v>
      </c>
      <c r="H52" s="3">
        <f t="shared" si="10"/>
        <v>0</v>
      </c>
      <c r="I52" s="1">
        <f t="shared" si="11"/>
        <v>3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16</v>
      </c>
      <c r="E53" s="7">
        <f>C59</f>
        <v>0</v>
      </c>
      <c r="F53" s="3" t="str">
        <f t="shared" si="8"/>
        <v>T</v>
      </c>
      <c r="G53" s="3">
        <f t="shared" si="9"/>
        <v>3</v>
      </c>
      <c r="H53" s="3">
        <f t="shared" si="10"/>
        <v>0</v>
      </c>
      <c r="I53" s="1">
        <f t="shared" si="11"/>
        <v>3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13</v>
      </c>
      <c r="E54" s="7">
        <f>C56</f>
        <v>0</v>
      </c>
      <c r="F54" s="3" t="str">
        <f t="shared" si="8"/>
        <v>T</v>
      </c>
      <c r="G54" s="3">
        <f t="shared" si="9"/>
        <v>3</v>
      </c>
      <c r="H54" s="3">
        <f t="shared" si="10"/>
        <v>0</v>
      </c>
      <c r="I54" s="1">
        <f t="shared" si="11"/>
        <v>3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14</v>
      </c>
      <c r="E55" s="7">
        <f>C57</f>
        <v>0</v>
      </c>
      <c r="F55" s="3" t="str">
        <f t="shared" si="8"/>
        <v>T</v>
      </c>
      <c r="G55" s="3">
        <f t="shared" si="9"/>
        <v>3</v>
      </c>
      <c r="H55" s="3">
        <f t="shared" si="10"/>
        <v>0</v>
      </c>
      <c r="I55" s="1">
        <f t="shared" si="11"/>
        <v>3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11</v>
      </c>
      <c r="E56" s="7">
        <f>C54</f>
        <v>0</v>
      </c>
      <c r="F56" s="3" t="str">
        <f t="shared" si="8"/>
        <v>T</v>
      </c>
      <c r="G56" s="3">
        <f t="shared" si="9"/>
        <v>3</v>
      </c>
      <c r="H56" s="3">
        <f t="shared" si="10"/>
        <v>0</v>
      </c>
      <c r="I56" s="1">
        <f t="shared" si="11"/>
        <v>3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12</v>
      </c>
      <c r="E57" s="7">
        <f>C55</f>
        <v>0</v>
      </c>
      <c r="F57" s="3" t="str">
        <f t="shared" si="8"/>
        <v>T</v>
      </c>
      <c r="G57" s="3">
        <f t="shared" si="9"/>
        <v>3</v>
      </c>
      <c r="H57" s="3">
        <f t="shared" si="10"/>
        <v>0</v>
      </c>
      <c r="I57" s="1">
        <f t="shared" si="11"/>
        <v>3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9</v>
      </c>
      <c r="E58" s="7">
        <f>C52</f>
        <v>0</v>
      </c>
      <c r="F58" s="3" t="str">
        <f t="shared" si="8"/>
        <v>T</v>
      </c>
      <c r="G58" s="3">
        <f t="shared" si="9"/>
        <v>3</v>
      </c>
      <c r="H58" s="3">
        <f t="shared" si="10"/>
        <v>0</v>
      </c>
      <c r="I58" s="1">
        <f t="shared" si="11"/>
        <v>3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10</v>
      </c>
      <c r="E59" s="7">
        <f>C53</f>
        <v>0</v>
      </c>
      <c r="F59" s="3" t="str">
        <f t="shared" si="8"/>
        <v>T</v>
      </c>
      <c r="G59" s="3">
        <f t="shared" si="9"/>
        <v>3</v>
      </c>
      <c r="H59" s="3">
        <f t="shared" si="10"/>
        <v>0</v>
      </c>
      <c r="I59" s="1">
        <f t="shared" si="11"/>
        <v>3</v>
      </c>
    </row>
    <row r="61" spans="1:9" ht="15" customHeight="1" x14ac:dyDescent="0.25">
      <c r="A61" s="69" t="s">
        <v>14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8</v>
      </c>
      <c r="E63" s="7">
        <f>C70</f>
        <v>0</v>
      </c>
      <c r="F63" s="3" t="str">
        <f t="shared" ref="F63:F78" si="12">IF(C63&gt;E63,"W",IF(C63&lt;E63,"L","T"))</f>
        <v>T</v>
      </c>
      <c r="G63" s="3">
        <f t="shared" ref="G63:G78" si="13">IF(F63="W",6,IF(F63="T",3,0))</f>
        <v>3</v>
      </c>
      <c r="H63" s="3">
        <f t="shared" ref="H63:H78" si="14">C63</f>
        <v>0</v>
      </c>
      <c r="I63" s="1">
        <f t="shared" ref="I63:I78" si="15">G63+H63</f>
        <v>3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7</v>
      </c>
      <c r="E64" s="7">
        <f>C69</f>
        <v>0</v>
      </c>
      <c r="F64" s="3" t="str">
        <f t="shared" si="12"/>
        <v>T</v>
      </c>
      <c r="G64" s="3">
        <f t="shared" si="13"/>
        <v>3</v>
      </c>
      <c r="H64" s="3">
        <f t="shared" si="14"/>
        <v>0</v>
      </c>
      <c r="I64" s="1">
        <f t="shared" si="15"/>
        <v>3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6</v>
      </c>
      <c r="E65" s="7">
        <f>C68</f>
        <v>0</v>
      </c>
      <c r="F65" s="3" t="str">
        <f t="shared" si="12"/>
        <v>T</v>
      </c>
      <c r="G65" s="3">
        <f t="shared" si="13"/>
        <v>3</v>
      </c>
      <c r="H65" s="3">
        <f t="shared" si="14"/>
        <v>0</v>
      </c>
      <c r="I65" s="1">
        <f t="shared" si="15"/>
        <v>3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5</v>
      </c>
      <c r="E66" s="7">
        <f>C67</f>
        <v>0</v>
      </c>
      <c r="F66" s="3" t="str">
        <f t="shared" si="12"/>
        <v>T</v>
      </c>
      <c r="G66" s="3">
        <f t="shared" si="13"/>
        <v>3</v>
      </c>
      <c r="H66" s="3">
        <f t="shared" si="14"/>
        <v>0</v>
      </c>
      <c r="I66" s="1">
        <f t="shared" si="15"/>
        <v>3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4</v>
      </c>
      <c r="E67" s="7">
        <f>C66</f>
        <v>0</v>
      </c>
      <c r="F67" s="3" t="str">
        <f t="shared" si="12"/>
        <v>T</v>
      </c>
      <c r="G67" s="3">
        <f t="shared" si="13"/>
        <v>3</v>
      </c>
      <c r="H67" s="3">
        <f t="shared" si="14"/>
        <v>0</v>
      </c>
      <c r="I67" s="1">
        <f t="shared" si="15"/>
        <v>3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3</v>
      </c>
      <c r="E68" s="7">
        <f>C65</f>
        <v>0</v>
      </c>
      <c r="F68" s="3" t="str">
        <f t="shared" si="12"/>
        <v>T</v>
      </c>
      <c r="G68" s="3">
        <f t="shared" si="13"/>
        <v>3</v>
      </c>
      <c r="H68" s="3">
        <f t="shared" si="14"/>
        <v>0</v>
      </c>
      <c r="I68" s="1">
        <f t="shared" si="15"/>
        <v>3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2</v>
      </c>
      <c r="E69" s="7">
        <f>C64</f>
        <v>0</v>
      </c>
      <c r="F69" s="3" t="str">
        <f t="shared" si="12"/>
        <v>T</v>
      </c>
      <c r="G69" s="3">
        <f t="shared" si="13"/>
        <v>3</v>
      </c>
      <c r="H69" s="3">
        <f t="shared" si="14"/>
        <v>0</v>
      </c>
      <c r="I69" s="1">
        <f t="shared" si="15"/>
        <v>3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</v>
      </c>
      <c r="E70" s="7">
        <f>C63</f>
        <v>0</v>
      </c>
      <c r="F70" s="3" t="str">
        <f t="shared" si="12"/>
        <v>T</v>
      </c>
      <c r="G70" s="3">
        <f t="shared" si="13"/>
        <v>3</v>
      </c>
      <c r="H70" s="3">
        <f t="shared" si="14"/>
        <v>0</v>
      </c>
      <c r="I70" s="1">
        <f t="shared" si="15"/>
        <v>3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16</v>
      </c>
      <c r="E71" s="7">
        <f>C78</f>
        <v>0</v>
      </c>
      <c r="F71" s="3" t="str">
        <f t="shared" si="12"/>
        <v>T</v>
      </c>
      <c r="G71" s="3">
        <f t="shared" si="13"/>
        <v>3</v>
      </c>
      <c r="H71" s="3">
        <f t="shared" si="14"/>
        <v>0</v>
      </c>
      <c r="I71" s="1">
        <f t="shared" si="15"/>
        <v>3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15</v>
      </c>
      <c r="E72" s="7">
        <f>C77</f>
        <v>0</v>
      </c>
      <c r="F72" s="3" t="str">
        <f t="shared" si="12"/>
        <v>T</v>
      </c>
      <c r="G72" s="3">
        <f t="shared" si="13"/>
        <v>3</v>
      </c>
      <c r="H72" s="3">
        <f t="shared" si="14"/>
        <v>0</v>
      </c>
      <c r="I72" s="1">
        <f t="shared" si="15"/>
        <v>3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14</v>
      </c>
      <c r="E73" s="7">
        <f>C76</f>
        <v>0</v>
      </c>
      <c r="F73" s="3" t="str">
        <f t="shared" si="12"/>
        <v>T</v>
      </c>
      <c r="G73" s="3">
        <f t="shared" si="13"/>
        <v>3</v>
      </c>
      <c r="H73" s="3">
        <f t="shared" si="14"/>
        <v>0</v>
      </c>
      <c r="I73" s="1">
        <f t="shared" si="15"/>
        <v>3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13</v>
      </c>
      <c r="E74" s="7">
        <f>C75</f>
        <v>0</v>
      </c>
      <c r="F74" s="3" t="str">
        <f t="shared" si="12"/>
        <v>T</v>
      </c>
      <c r="G74" s="3">
        <f t="shared" si="13"/>
        <v>3</v>
      </c>
      <c r="H74" s="3">
        <f t="shared" si="14"/>
        <v>0</v>
      </c>
      <c r="I74" s="1">
        <f t="shared" si="15"/>
        <v>3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12</v>
      </c>
      <c r="E75" s="7">
        <f>C74</f>
        <v>0</v>
      </c>
      <c r="F75" s="3" t="str">
        <f t="shared" si="12"/>
        <v>T</v>
      </c>
      <c r="G75" s="3">
        <f t="shared" si="13"/>
        <v>3</v>
      </c>
      <c r="H75" s="3">
        <f t="shared" si="14"/>
        <v>0</v>
      </c>
      <c r="I75" s="1">
        <f t="shared" si="15"/>
        <v>3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11</v>
      </c>
      <c r="E76" s="7">
        <f>C73</f>
        <v>0</v>
      </c>
      <c r="F76" s="3" t="str">
        <f t="shared" si="12"/>
        <v>T</v>
      </c>
      <c r="G76" s="3">
        <f t="shared" si="13"/>
        <v>3</v>
      </c>
      <c r="H76" s="3">
        <f t="shared" si="14"/>
        <v>0</v>
      </c>
      <c r="I76" s="1">
        <f t="shared" si="15"/>
        <v>3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10</v>
      </c>
      <c r="E77" s="7">
        <f>C72</f>
        <v>0</v>
      </c>
      <c r="F77" s="3" t="str">
        <f t="shared" si="12"/>
        <v>T</v>
      </c>
      <c r="G77" s="3">
        <f t="shared" si="13"/>
        <v>3</v>
      </c>
      <c r="H77" s="3">
        <f t="shared" si="14"/>
        <v>0</v>
      </c>
      <c r="I77" s="1">
        <f t="shared" si="15"/>
        <v>3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9</v>
      </c>
      <c r="E78" s="7">
        <f>C71</f>
        <v>0</v>
      </c>
      <c r="F78" s="3" t="str">
        <f t="shared" si="12"/>
        <v>T</v>
      </c>
      <c r="G78" s="3">
        <f t="shared" si="13"/>
        <v>3</v>
      </c>
      <c r="H78" s="3">
        <f t="shared" si="14"/>
        <v>0</v>
      </c>
      <c r="I78" s="1">
        <f t="shared" si="15"/>
        <v>3</v>
      </c>
    </row>
    <row r="80" spans="1:9" ht="15" customHeight="1" x14ac:dyDescent="0.25">
      <c r="A80" s="69" t="s">
        <v>15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9</v>
      </c>
      <c r="E82" s="7">
        <f t="shared" ref="E82:E89" si="16">C90</f>
        <v>0</v>
      </c>
      <c r="F82" s="3" t="str">
        <f t="shared" ref="F82:F97" si="17">IF(C82&gt;E82,"W",IF(C82&lt;E82,"L","T"))</f>
        <v>T</v>
      </c>
      <c r="G82" s="3">
        <f t="shared" ref="G82:G97" si="18">IF(F82="W",6,IF(F82="T",3,0))</f>
        <v>3</v>
      </c>
      <c r="H82" s="3">
        <f t="shared" ref="H82:H97" si="19">C82</f>
        <v>0</v>
      </c>
      <c r="I82" s="1">
        <f t="shared" ref="I82:I97" si="20">G82+H82</f>
        <v>3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10</v>
      </c>
      <c r="E83" s="7">
        <f t="shared" si="16"/>
        <v>0</v>
      </c>
      <c r="F83" s="3" t="str">
        <f t="shared" si="17"/>
        <v>T</v>
      </c>
      <c r="G83" s="3">
        <f t="shared" si="18"/>
        <v>3</v>
      </c>
      <c r="H83" s="3">
        <f t="shared" si="19"/>
        <v>0</v>
      </c>
      <c r="I83" s="1">
        <f t="shared" si="20"/>
        <v>3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11</v>
      </c>
      <c r="E84" s="7">
        <f t="shared" si="16"/>
        <v>0</v>
      </c>
      <c r="F84" s="3" t="str">
        <f t="shared" si="17"/>
        <v>T</v>
      </c>
      <c r="G84" s="3">
        <f t="shared" si="18"/>
        <v>3</v>
      </c>
      <c r="H84" s="3">
        <f t="shared" si="19"/>
        <v>0</v>
      </c>
      <c r="I84" s="1">
        <f t="shared" si="20"/>
        <v>3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12</v>
      </c>
      <c r="E85" s="7">
        <f t="shared" si="16"/>
        <v>0</v>
      </c>
      <c r="F85" s="3" t="str">
        <f t="shared" si="17"/>
        <v>T</v>
      </c>
      <c r="G85" s="3">
        <f t="shared" si="18"/>
        <v>3</v>
      </c>
      <c r="H85" s="3">
        <f t="shared" si="19"/>
        <v>0</v>
      </c>
      <c r="I85" s="1">
        <f t="shared" si="20"/>
        <v>3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13</v>
      </c>
      <c r="E86" s="7">
        <f t="shared" si="16"/>
        <v>0</v>
      </c>
      <c r="F86" s="3" t="str">
        <f t="shared" si="17"/>
        <v>T</v>
      </c>
      <c r="G86" s="3">
        <f t="shared" si="18"/>
        <v>3</v>
      </c>
      <c r="H86" s="3">
        <f t="shared" si="19"/>
        <v>0</v>
      </c>
      <c r="I86" s="1">
        <f t="shared" si="20"/>
        <v>3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14</v>
      </c>
      <c r="E87" s="7">
        <f t="shared" si="16"/>
        <v>0</v>
      </c>
      <c r="F87" s="3" t="str">
        <f t="shared" si="17"/>
        <v>T</v>
      </c>
      <c r="G87" s="3">
        <f t="shared" si="18"/>
        <v>3</v>
      </c>
      <c r="H87" s="3">
        <f t="shared" si="19"/>
        <v>0</v>
      </c>
      <c r="I87" s="1">
        <f t="shared" si="20"/>
        <v>3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15</v>
      </c>
      <c r="E88" s="7">
        <f t="shared" si="16"/>
        <v>0</v>
      </c>
      <c r="F88" s="3" t="str">
        <f t="shared" si="17"/>
        <v>T</v>
      </c>
      <c r="G88" s="3">
        <f t="shared" si="18"/>
        <v>3</v>
      </c>
      <c r="H88" s="3">
        <f t="shared" si="19"/>
        <v>0</v>
      </c>
      <c r="I88" s="1">
        <f t="shared" si="20"/>
        <v>3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16</v>
      </c>
      <c r="E89" s="7">
        <f t="shared" si="16"/>
        <v>0</v>
      </c>
      <c r="F89" s="3" t="str">
        <f t="shared" si="17"/>
        <v>T</v>
      </c>
      <c r="G89" s="3">
        <f t="shared" si="18"/>
        <v>3</v>
      </c>
      <c r="H89" s="3">
        <f t="shared" si="19"/>
        <v>0</v>
      </c>
      <c r="I89" s="1">
        <f t="shared" si="20"/>
        <v>3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</v>
      </c>
      <c r="E90" s="7">
        <f t="shared" ref="E90:E97" si="21">C82</f>
        <v>0</v>
      </c>
      <c r="F90" s="3" t="str">
        <f t="shared" si="17"/>
        <v>T</v>
      </c>
      <c r="G90" s="3">
        <f t="shared" si="18"/>
        <v>3</v>
      </c>
      <c r="H90" s="3">
        <f t="shared" si="19"/>
        <v>0</v>
      </c>
      <c r="I90" s="1">
        <f t="shared" si="20"/>
        <v>3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2</v>
      </c>
      <c r="E91" s="7">
        <f t="shared" si="21"/>
        <v>0</v>
      </c>
      <c r="F91" s="3" t="str">
        <f t="shared" si="17"/>
        <v>T</v>
      </c>
      <c r="G91" s="3">
        <f t="shared" si="18"/>
        <v>3</v>
      </c>
      <c r="H91" s="3">
        <f t="shared" si="19"/>
        <v>0</v>
      </c>
      <c r="I91" s="1">
        <f t="shared" si="20"/>
        <v>3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3</v>
      </c>
      <c r="E92" s="7">
        <f t="shared" si="21"/>
        <v>0</v>
      </c>
      <c r="F92" s="3" t="str">
        <f t="shared" si="17"/>
        <v>T</v>
      </c>
      <c r="G92" s="3">
        <f t="shared" si="18"/>
        <v>3</v>
      </c>
      <c r="H92" s="3">
        <f t="shared" si="19"/>
        <v>0</v>
      </c>
      <c r="I92" s="1">
        <f t="shared" si="20"/>
        <v>3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4</v>
      </c>
      <c r="E93" s="7">
        <f t="shared" si="21"/>
        <v>0</v>
      </c>
      <c r="F93" s="3" t="str">
        <f t="shared" si="17"/>
        <v>T</v>
      </c>
      <c r="G93" s="3">
        <f t="shared" si="18"/>
        <v>3</v>
      </c>
      <c r="H93" s="3">
        <f t="shared" si="19"/>
        <v>0</v>
      </c>
      <c r="I93" s="1">
        <f t="shared" si="20"/>
        <v>3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5</v>
      </c>
      <c r="E94" s="7">
        <f t="shared" si="21"/>
        <v>0</v>
      </c>
      <c r="F94" s="3" t="str">
        <f t="shared" si="17"/>
        <v>T</v>
      </c>
      <c r="G94" s="3">
        <f t="shared" si="18"/>
        <v>3</v>
      </c>
      <c r="H94" s="3">
        <f t="shared" si="19"/>
        <v>0</v>
      </c>
      <c r="I94" s="1">
        <f t="shared" si="20"/>
        <v>3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6</v>
      </c>
      <c r="E95" s="7">
        <f t="shared" si="21"/>
        <v>0</v>
      </c>
      <c r="F95" s="3" t="str">
        <f t="shared" si="17"/>
        <v>T</v>
      </c>
      <c r="G95" s="3">
        <f t="shared" si="18"/>
        <v>3</v>
      </c>
      <c r="H95" s="3">
        <f t="shared" si="19"/>
        <v>0</v>
      </c>
      <c r="I95" s="1">
        <f t="shared" si="20"/>
        <v>3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7</v>
      </c>
      <c r="E96" s="7">
        <f t="shared" si="21"/>
        <v>0</v>
      </c>
      <c r="F96" s="3" t="str">
        <f t="shared" si="17"/>
        <v>T</v>
      </c>
      <c r="G96" s="3">
        <f t="shared" si="18"/>
        <v>3</v>
      </c>
      <c r="H96" s="3">
        <f t="shared" si="19"/>
        <v>0</v>
      </c>
      <c r="I96" s="1">
        <f t="shared" si="20"/>
        <v>3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8</v>
      </c>
      <c r="E97" s="7">
        <f t="shared" si="21"/>
        <v>0</v>
      </c>
      <c r="F97" s="3" t="str">
        <f t="shared" si="17"/>
        <v>T</v>
      </c>
      <c r="G97" s="3">
        <f t="shared" si="18"/>
        <v>3</v>
      </c>
      <c r="H97" s="3">
        <f t="shared" si="19"/>
        <v>0</v>
      </c>
      <c r="I97" s="1">
        <f t="shared" si="20"/>
        <v>3</v>
      </c>
    </row>
    <row r="99" spans="1:9" ht="15" customHeight="1" x14ac:dyDescent="0.25">
      <c r="A99" s="69" t="s">
        <v>16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10</v>
      </c>
      <c r="E101" s="7">
        <f>C110</f>
        <v>0</v>
      </c>
      <c r="F101" s="3" t="str">
        <f t="shared" ref="F101:F116" si="22">IF(C101&gt;E101,"W",IF(C101&lt;E101,"L","T"))</f>
        <v>T</v>
      </c>
      <c r="G101" s="3">
        <f t="shared" ref="G101:G116" si="23">IF(F101="W",6,IF(F101="T",3,0))</f>
        <v>3</v>
      </c>
      <c r="H101" s="3">
        <f t="shared" ref="H101:H116" si="24">C101</f>
        <v>0</v>
      </c>
      <c r="I101" s="1">
        <f t="shared" ref="I101:I116" si="25">G101+H101</f>
        <v>3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9</v>
      </c>
      <c r="E102" s="7">
        <f>C109</f>
        <v>0</v>
      </c>
      <c r="F102" s="3" t="str">
        <f t="shared" si="22"/>
        <v>T</v>
      </c>
      <c r="G102" s="3">
        <f t="shared" si="23"/>
        <v>3</v>
      </c>
      <c r="H102" s="3">
        <f t="shared" si="24"/>
        <v>0</v>
      </c>
      <c r="I102" s="1">
        <f t="shared" si="25"/>
        <v>3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12</v>
      </c>
      <c r="E103" s="7">
        <f>C112</f>
        <v>0</v>
      </c>
      <c r="F103" s="3" t="str">
        <f t="shared" si="22"/>
        <v>T</v>
      </c>
      <c r="G103" s="3">
        <f t="shared" si="23"/>
        <v>3</v>
      </c>
      <c r="H103" s="3">
        <f t="shared" si="24"/>
        <v>0</v>
      </c>
      <c r="I103" s="1">
        <f t="shared" si="25"/>
        <v>3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11</v>
      </c>
      <c r="E104" s="7">
        <f>C111</f>
        <v>0</v>
      </c>
      <c r="F104" s="3" t="str">
        <f t="shared" si="22"/>
        <v>T</v>
      </c>
      <c r="G104" s="3">
        <f t="shared" si="23"/>
        <v>3</v>
      </c>
      <c r="H104" s="3">
        <f t="shared" si="24"/>
        <v>0</v>
      </c>
      <c r="I104" s="1">
        <f t="shared" si="25"/>
        <v>3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14</v>
      </c>
      <c r="E105" s="7">
        <f>C114</f>
        <v>0</v>
      </c>
      <c r="F105" s="3" t="str">
        <f t="shared" si="22"/>
        <v>T</v>
      </c>
      <c r="G105" s="3">
        <f t="shared" si="23"/>
        <v>3</v>
      </c>
      <c r="H105" s="3">
        <f t="shared" si="24"/>
        <v>0</v>
      </c>
      <c r="I105" s="1">
        <f t="shared" si="25"/>
        <v>3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13</v>
      </c>
      <c r="E106" s="7">
        <f>C113</f>
        <v>0</v>
      </c>
      <c r="F106" s="3" t="str">
        <f t="shared" si="22"/>
        <v>T</v>
      </c>
      <c r="G106" s="3">
        <f t="shared" si="23"/>
        <v>3</v>
      </c>
      <c r="H106" s="3">
        <f t="shared" si="24"/>
        <v>0</v>
      </c>
      <c r="I106" s="1">
        <f t="shared" si="25"/>
        <v>3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16</v>
      </c>
      <c r="E107" s="7">
        <f>C116</f>
        <v>0</v>
      </c>
      <c r="F107" s="3" t="str">
        <f t="shared" si="22"/>
        <v>T</v>
      </c>
      <c r="G107" s="3">
        <f t="shared" si="23"/>
        <v>3</v>
      </c>
      <c r="H107" s="3">
        <f t="shared" si="24"/>
        <v>0</v>
      </c>
      <c r="I107" s="1">
        <f t="shared" si="25"/>
        <v>3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15</v>
      </c>
      <c r="E108" s="7">
        <f>C115</f>
        <v>0</v>
      </c>
      <c r="F108" s="3" t="str">
        <f t="shared" si="22"/>
        <v>T</v>
      </c>
      <c r="G108" s="3">
        <f t="shared" si="23"/>
        <v>3</v>
      </c>
      <c r="H108" s="3">
        <f t="shared" si="24"/>
        <v>0</v>
      </c>
      <c r="I108" s="1">
        <f t="shared" si="25"/>
        <v>3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2</v>
      </c>
      <c r="E109" s="7">
        <f>C102</f>
        <v>0</v>
      </c>
      <c r="F109" s="3" t="str">
        <f t="shared" si="22"/>
        <v>T</v>
      </c>
      <c r="G109" s="3">
        <f t="shared" si="23"/>
        <v>3</v>
      </c>
      <c r="H109" s="3">
        <f t="shared" si="24"/>
        <v>0</v>
      </c>
      <c r="I109" s="1">
        <f t="shared" si="25"/>
        <v>3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1</v>
      </c>
      <c r="E110" s="7">
        <f>C101</f>
        <v>0</v>
      </c>
      <c r="F110" s="3" t="str">
        <f t="shared" si="22"/>
        <v>T</v>
      </c>
      <c r="G110" s="3">
        <f t="shared" si="23"/>
        <v>3</v>
      </c>
      <c r="H110" s="3">
        <f t="shared" si="24"/>
        <v>0</v>
      </c>
      <c r="I110" s="1">
        <f t="shared" si="25"/>
        <v>3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4</v>
      </c>
      <c r="E111" s="7">
        <f>C104</f>
        <v>0</v>
      </c>
      <c r="F111" s="3" t="str">
        <f t="shared" si="22"/>
        <v>T</v>
      </c>
      <c r="G111" s="3">
        <f t="shared" si="23"/>
        <v>3</v>
      </c>
      <c r="H111" s="3">
        <f t="shared" si="24"/>
        <v>0</v>
      </c>
      <c r="I111" s="1">
        <f t="shared" si="25"/>
        <v>3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3</v>
      </c>
      <c r="E112" s="7">
        <f>C103</f>
        <v>0</v>
      </c>
      <c r="F112" s="3" t="str">
        <f t="shared" si="22"/>
        <v>T</v>
      </c>
      <c r="G112" s="3">
        <f t="shared" si="23"/>
        <v>3</v>
      </c>
      <c r="H112" s="3">
        <f t="shared" si="24"/>
        <v>0</v>
      </c>
      <c r="I112" s="1">
        <f t="shared" si="25"/>
        <v>3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6</v>
      </c>
      <c r="E113" s="7">
        <f>C106</f>
        <v>0</v>
      </c>
      <c r="F113" s="3" t="str">
        <f t="shared" si="22"/>
        <v>T</v>
      </c>
      <c r="G113" s="3">
        <f t="shared" si="23"/>
        <v>3</v>
      </c>
      <c r="H113" s="3">
        <f t="shared" si="24"/>
        <v>0</v>
      </c>
      <c r="I113" s="1">
        <f t="shared" si="25"/>
        <v>3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5</v>
      </c>
      <c r="E114" s="7">
        <f>C105</f>
        <v>0</v>
      </c>
      <c r="F114" s="3" t="str">
        <f t="shared" si="22"/>
        <v>T</v>
      </c>
      <c r="G114" s="3">
        <f t="shared" si="23"/>
        <v>3</v>
      </c>
      <c r="H114" s="3">
        <f t="shared" si="24"/>
        <v>0</v>
      </c>
      <c r="I114" s="1">
        <f t="shared" si="25"/>
        <v>3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8</v>
      </c>
      <c r="E115" s="7">
        <f>C108</f>
        <v>0</v>
      </c>
      <c r="F115" s="3" t="str">
        <f t="shared" si="22"/>
        <v>T</v>
      </c>
      <c r="G115" s="3">
        <f t="shared" si="23"/>
        <v>3</v>
      </c>
      <c r="H115" s="3">
        <f t="shared" si="24"/>
        <v>0</v>
      </c>
      <c r="I115" s="1">
        <f t="shared" si="25"/>
        <v>3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7</v>
      </c>
      <c r="E116" s="7">
        <f>C107</f>
        <v>0</v>
      </c>
      <c r="F116" s="3" t="str">
        <f t="shared" si="22"/>
        <v>T</v>
      </c>
      <c r="G116" s="3">
        <f t="shared" si="23"/>
        <v>3</v>
      </c>
      <c r="H116" s="3">
        <f t="shared" si="24"/>
        <v>0</v>
      </c>
      <c r="I116" s="1">
        <f t="shared" si="25"/>
        <v>3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6" t="s">
        <v>75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76</v>
      </c>
    </row>
    <row r="4" spans="1:9" ht="15" customHeight="1" x14ac:dyDescent="0.25">
      <c r="A4" s="69" t="s">
        <v>77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78</v>
      </c>
      <c r="D5" s="10" t="s">
        <v>6</v>
      </c>
      <c r="E5" s="10" t="s">
        <v>79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11</v>
      </c>
      <c r="E6" s="7">
        <f>C16</f>
        <v>0</v>
      </c>
      <c r="F6" s="3" t="str">
        <f t="shared" ref="F6:F21" si="0">IF(C6&gt;E6,"W",IF(C6&lt;E6,"L","T"))</f>
        <v>T</v>
      </c>
      <c r="G6" s="3">
        <f t="shared" ref="G6:G21" si="1">IF(F6="W",10,IF(F6="T",5,0))</f>
        <v>5</v>
      </c>
      <c r="H6" s="3">
        <f t="shared" ref="H6:H21" si="2">C6</f>
        <v>0</v>
      </c>
      <c r="I6" s="1">
        <f t="shared" ref="I6:I21" si="3">G6+H6</f>
        <v>5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12</v>
      </c>
      <c r="E7" s="7">
        <f>C17</f>
        <v>0</v>
      </c>
      <c r="F7" s="3" t="str">
        <f t="shared" si="0"/>
        <v>T</v>
      </c>
      <c r="G7" s="3">
        <f t="shared" si="1"/>
        <v>5</v>
      </c>
      <c r="H7" s="3">
        <f t="shared" si="2"/>
        <v>0</v>
      </c>
      <c r="I7" s="1">
        <f t="shared" si="3"/>
        <v>5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9</v>
      </c>
      <c r="E8" s="7">
        <f>C14</f>
        <v>0</v>
      </c>
      <c r="F8" s="3" t="str">
        <f t="shared" si="0"/>
        <v>T</v>
      </c>
      <c r="G8" s="3">
        <f t="shared" si="1"/>
        <v>5</v>
      </c>
      <c r="H8" s="3">
        <f t="shared" si="2"/>
        <v>0</v>
      </c>
      <c r="I8" s="1">
        <f t="shared" si="3"/>
        <v>5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10</v>
      </c>
      <c r="E9" s="7">
        <f>C15</f>
        <v>0</v>
      </c>
      <c r="F9" s="3" t="str">
        <f t="shared" si="0"/>
        <v>T</v>
      </c>
      <c r="G9" s="3">
        <f t="shared" si="1"/>
        <v>5</v>
      </c>
      <c r="H9" s="3">
        <f t="shared" si="2"/>
        <v>0</v>
      </c>
      <c r="I9" s="1">
        <f t="shared" si="3"/>
        <v>5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15</v>
      </c>
      <c r="E10" s="7">
        <f>C20</f>
        <v>0</v>
      </c>
      <c r="F10" s="3" t="str">
        <f t="shared" si="0"/>
        <v>T</v>
      </c>
      <c r="G10" s="3">
        <f t="shared" si="1"/>
        <v>5</v>
      </c>
      <c r="H10" s="3">
        <f t="shared" si="2"/>
        <v>0</v>
      </c>
      <c r="I10" s="1">
        <f t="shared" si="3"/>
        <v>5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16</v>
      </c>
      <c r="E11" s="7">
        <f>C21</f>
        <v>0</v>
      </c>
      <c r="F11" s="3" t="str">
        <f t="shared" si="0"/>
        <v>T</v>
      </c>
      <c r="G11" s="3">
        <f t="shared" si="1"/>
        <v>5</v>
      </c>
      <c r="H11" s="3">
        <f t="shared" si="2"/>
        <v>0</v>
      </c>
      <c r="I11" s="1">
        <f t="shared" si="3"/>
        <v>5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13</v>
      </c>
      <c r="E12" s="7">
        <f>C18</f>
        <v>0</v>
      </c>
      <c r="F12" s="3" t="str">
        <f t="shared" si="0"/>
        <v>T</v>
      </c>
      <c r="G12" s="3">
        <f t="shared" si="1"/>
        <v>5</v>
      </c>
      <c r="H12" s="3">
        <f t="shared" si="2"/>
        <v>0</v>
      </c>
      <c r="I12" s="1">
        <f t="shared" si="3"/>
        <v>5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14</v>
      </c>
      <c r="E13" s="7">
        <f>C19</f>
        <v>0</v>
      </c>
      <c r="F13" s="3" t="str">
        <f t="shared" si="0"/>
        <v>T</v>
      </c>
      <c r="G13" s="3">
        <f t="shared" si="1"/>
        <v>5</v>
      </c>
      <c r="H13" s="3">
        <f t="shared" si="2"/>
        <v>0</v>
      </c>
      <c r="I13" s="1">
        <f t="shared" si="3"/>
        <v>5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3</v>
      </c>
      <c r="E14" s="7">
        <f>C8</f>
        <v>0</v>
      </c>
      <c r="F14" s="3" t="str">
        <f t="shared" si="0"/>
        <v>T</v>
      </c>
      <c r="G14" s="3">
        <f t="shared" si="1"/>
        <v>5</v>
      </c>
      <c r="H14" s="3">
        <f t="shared" si="2"/>
        <v>0</v>
      </c>
      <c r="I14" s="1">
        <f t="shared" si="3"/>
        <v>5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4</v>
      </c>
      <c r="E15" s="7">
        <f>C9</f>
        <v>0</v>
      </c>
      <c r="F15" s="3" t="str">
        <f t="shared" si="0"/>
        <v>T</v>
      </c>
      <c r="G15" s="3">
        <f t="shared" si="1"/>
        <v>5</v>
      </c>
      <c r="H15" s="3">
        <f t="shared" si="2"/>
        <v>0</v>
      </c>
      <c r="I15" s="1">
        <f t="shared" si="3"/>
        <v>5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</v>
      </c>
      <c r="E16" s="7">
        <f>C6</f>
        <v>0</v>
      </c>
      <c r="F16" s="3" t="str">
        <f t="shared" si="0"/>
        <v>T</v>
      </c>
      <c r="G16" s="3">
        <f t="shared" si="1"/>
        <v>5</v>
      </c>
      <c r="H16" s="3">
        <f t="shared" si="2"/>
        <v>0</v>
      </c>
      <c r="I16" s="1">
        <f t="shared" si="3"/>
        <v>5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2</v>
      </c>
      <c r="E17" s="7">
        <f>C7</f>
        <v>0</v>
      </c>
      <c r="F17" s="3" t="str">
        <f t="shared" si="0"/>
        <v>T</v>
      </c>
      <c r="G17" s="3">
        <f t="shared" si="1"/>
        <v>5</v>
      </c>
      <c r="H17" s="3">
        <f t="shared" si="2"/>
        <v>0</v>
      </c>
      <c r="I17" s="1">
        <f t="shared" si="3"/>
        <v>5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7</v>
      </c>
      <c r="E18" s="7">
        <f>C12</f>
        <v>0</v>
      </c>
      <c r="F18" s="3" t="str">
        <f t="shared" si="0"/>
        <v>T</v>
      </c>
      <c r="G18" s="3">
        <f t="shared" si="1"/>
        <v>5</v>
      </c>
      <c r="H18" s="3">
        <f t="shared" si="2"/>
        <v>0</v>
      </c>
      <c r="I18" s="1">
        <f t="shared" si="3"/>
        <v>5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8</v>
      </c>
      <c r="E19" s="7">
        <f>C13</f>
        <v>0</v>
      </c>
      <c r="F19" s="3" t="str">
        <f t="shared" si="0"/>
        <v>T</v>
      </c>
      <c r="G19" s="3">
        <f t="shared" si="1"/>
        <v>5</v>
      </c>
      <c r="H19" s="3">
        <f t="shared" si="2"/>
        <v>0</v>
      </c>
      <c r="I19" s="1">
        <f t="shared" si="3"/>
        <v>5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5</v>
      </c>
      <c r="E20" s="7">
        <f>C10</f>
        <v>0</v>
      </c>
      <c r="F20" s="3" t="str">
        <f t="shared" si="0"/>
        <v>T</v>
      </c>
      <c r="G20" s="3">
        <f t="shared" si="1"/>
        <v>5</v>
      </c>
      <c r="H20" s="3">
        <f t="shared" si="2"/>
        <v>0</v>
      </c>
      <c r="I20" s="1">
        <f t="shared" si="3"/>
        <v>5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6</v>
      </c>
      <c r="E21" s="7">
        <f>C11</f>
        <v>0</v>
      </c>
      <c r="F21" s="3" t="str">
        <f t="shared" si="0"/>
        <v>T</v>
      </c>
      <c r="G21" s="3">
        <f t="shared" si="1"/>
        <v>5</v>
      </c>
      <c r="H21" s="3">
        <f t="shared" si="2"/>
        <v>0</v>
      </c>
      <c r="I21" s="1">
        <f t="shared" si="3"/>
        <v>5</v>
      </c>
    </row>
    <row r="23" spans="1:9" ht="15" customHeight="1" x14ac:dyDescent="0.25">
      <c r="A23" s="69" t="s">
        <v>80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78</v>
      </c>
      <c r="D24" s="10" t="s">
        <v>6</v>
      </c>
      <c r="E24" s="10" t="s">
        <v>79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12</v>
      </c>
      <c r="E25" s="7">
        <f>C36</f>
        <v>0</v>
      </c>
      <c r="F25" s="3" t="str">
        <f t="shared" ref="F25:F40" si="4">IF(C25&gt;E25,"W",IF(C25&lt;E25,"L","T"))</f>
        <v>T</v>
      </c>
      <c r="G25" s="3">
        <f t="shared" ref="G25:G40" si="5">IF(F25="W",10,IF(F25="T",5,0))</f>
        <v>5</v>
      </c>
      <c r="H25" s="3">
        <f t="shared" ref="H25:H40" si="6">C25</f>
        <v>0</v>
      </c>
      <c r="I25" s="1">
        <f t="shared" ref="I25:I40" si="7">G25+H25</f>
        <v>5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11</v>
      </c>
      <c r="E26" s="7">
        <f>C35</f>
        <v>0</v>
      </c>
      <c r="F26" s="3" t="str">
        <f t="shared" si="4"/>
        <v>T</v>
      </c>
      <c r="G26" s="3">
        <f t="shared" si="5"/>
        <v>5</v>
      </c>
      <c r="H26" s="3">
        <f t="shared" si="6"/>
        <v>0</v>
      </c>
      <c r="I26" s="1">
        <f t="shared" si="7"/>
        <v>5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10</v>
      </c>
      <c r="E27" s="7">
        <f>C34</f>
        <v>0</v>
      </c>
      <c r="F27" s="3" t="str">
        <f t="shared" si="4"/>
        <v>T</v>
      </c>
      <c r="G27" s="3">
        <f t="shared" si="5"/>
        <v>5</v>
      </c>
      <c r="H27" s="3">
        <f t="shared" si="6"/>
        <v>0</v>
      </c>
      <c r="I27" s="1">
        <f t="shared" si="7"/>
        <v>5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9</v>
      </c>
      <c r="E28" s="7">
        <f>C33</f>
        <v>0</v>
      </c>
      <c r="F28" s="3" t="str">
        <f t="shared" si="4"/>
        <v>T</v>
      </c>
      <c r="G28" s="3">
        <f t="shared" si="5"/>
        <v>5</v>
      </c>
      <c r="H28" s="3">
        <f t="shared" si="6"/>
        <v>0</v>
      </c>
      <c r="I28" s="1">
        <f t="shared" si="7"/>
        <v>5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16</v>
      </c>
      <c r="E29" s="7">
        <f>C40</f>
        <v>0</v>
      </c>
      <c r="F29" s="3" t="str">
        <f t="shared" si="4"/>
        <v>T</v>
      </c>
      <c r="G29" s="3">
        <f t="shared" si="5"/>
        <v>5</v>
      </c>
      <c r="H29" s="3">
        <f t="shared" si="6"/>
        <v>0</v>
      </c>
      <c r="I29" s="1">
        <f t="shared" si="7"/>
        <v>5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15</v>
      </c>
      <c r="E30" s="7">
        <f>C39</f>
        <v>0</v>
      </c>
      <c r="F30" s="3" t="str">
        <f t="shared" si="4"/>
        <v>T</v>
      </c>
      <c r="G30" s="3">
        <f t="shared" si="5"/>
        <v>5</v>
      </c>
      <c r="H30" s="3">
        <f t="shared" si="6"/>
        <v>0</v>
      </c>
      <c r="I30" s="1">
        <f t="shared" si="7"/>
        <v>5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14</v>
      </c>
      <c r="E31" s="7">
        <f>C38</f>
        <v>0</v>
      </c>
      <c r="F31" s="3" t="str">
        <f t="shared" si="4"/>
        <v>T</v>
      </c>
      <c r="G31" s="3">
        <f t="shared" si="5"/>
        <v>5</v>
      </c>
      <c r="H31" s="3">
        <f t="shared" si="6"/>
        <v>0</v>
      </c>
      <c r="I31" s="1">
        <f t="shared" si="7"/>
        <v>5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13</v>
      </c>
      <c r="E32" s="7">
        <f>C37</f>
        <v>0</v>
      </c>
      <c r="F32" s="3" t="str">
        <f t="shared" si="4"/>
        <v>T</v>
      </c>
      <c r="G32" s="3">
        <f t="shared" si="5"/>
        <v>5</v>
      </c>
      <c r="H32" s="3">
        <f t="shared" si="6"/>
        <v>0</v>
      </c>
      <c r="I32" s="1">
        <f t="shared" si="7"/>
        <v>5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4</v>
      </c>
      <c r="E33" s="7">
        <f>C28</f>
        <v>0</v>
      </c>
      <c r="F33" s="3" t="str">
        <f t="shared" si="4"/>
        <v>T</v>
      </c>
      <c r="G33" s="3">
        <f t="shared" si="5"/>
        <v>5</v>
      </c>
      <c r="H33" s="3">
        <f t="shared" si="6"/>
        <v>0</v>
      </c>
      <c r="I33" s="1">
        <f t="shared" si="7"/>
        <v>5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3</v>
      </c>
      <c r="E34" s="7">
        <f>C27</f>
        <v>0</v>
      </c>
      <c r="F34" s="3" t="str">
        <f t="shared" si="4"/>
        <v>T</v>
      </c>
      <c r="G34" s="3">
        <f t="shared" si="5"/>
        <v>5</v>
      </c>
      <c r="H34" s="3">
        <f t="shared" si="6"/>
        <v>0</v>
      </c>
      <c r="I34" s="1">
        <f t="shared" si="7"/>
        <v>5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2</v>
      </c>
      <c r="E35" s="7">
        <f>C26</f>
        <v>0</v>
      </c>
      <c r="F35" s="3" t="str">
        <f t="shared" si="4"/>
        <v>T</v>
      </c>
      <c r="G35" s="3">
        <f t="shared" si="5"/>
        <v>5</v>
      </c>
      <c r="H35" s="3">
        <f t="shared" si="6"/>
        <v>0</v>
      </c>
      <c r="I35" s="1">
        <f t="shared" si="7"/>
        <v>5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</v>
      </c>
      <c r="E36" s="7">
        <f>C25</f>
        <v>0</v>
      </c>
      <c r="F36" s="3" t="str">
        <f t="shared" si="4"/>
        <v>T</v>
      </c>
      <c r="G36" s="3">
        <f t="shared" si="5"/>
        <v>5</v>
      </c>
      <c r="H36" s="3">
        <f t="shared" si="6"/>
        <v>0</v>
      </c>
      <c r="I36" s="1">
        <f t="shared" si="7"/>
        <v>5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8</v>
      </c>
      <c r="E37" s="7">
        <f>C32</f>
        <v>0</v>
      </c>
      <c r="F37" s="3" t="str">
        <f t="shared" si="4"/>
        <v>T</v>
      </c>
      <c r="G37" s="3">
        <f t="shared" si="5"/>
        <v>5</v>
      </c>
      <c r="H37" s="3">
        <f t="shared" si="6"/>
        <v>0</v>
      </c>
      <c r="I37" s="1">
        <f t="shared" si="7"/>
        <v>5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7</v>
      </c>
      <c r="E38" s="7">
        <f>C31</f>
        <v>0</v>
      </c>
      <c r="F38" s="3" t="str">
        <f t="shared" si="4"/>
        <v>T</v>
      </c>
      <c r="G38" s="3">
        <f t="shared" si="5"/>
        <v>5</v>
      </c>
      <c r="H38" s="3">
        <f t="shared" si="6"/>
        <v>0</v>
      </c>
      <c r="I38" s="1">
        <f t="shared" si="7"/>
        <v>5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6</v>
      </c>
      <c r="E39" s="7">
        <f>C30</f>
        <v>0</v>
      </c>
      <c r="F39" s="3" t="str">
        <f t="shared" si="4"/>
        <v>T</v>
      </c>
      <c r="G39" s="3">
        <f t="shared" si="5"/>
        <v>5</v>
      </c>
      <c r="H39" s="3">
        <f t="shared" si="6"/>
        <v>0</v>
      </c>
      <c r="I39" s="1">
        <f t="shared" si="7"/>
        <v>5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5</v>
      </c>
      <c r="E40" s="7">
        <f>C29</f>
        <v>0</v>
      </c>
      <c r="F40" s="3" t="str">
        <f t="shared" si="4"/>
        <v>T</v>
      </c>
      <c r="G40" s="3">
        <f t="shared" si="5"/>
        <v>5</v>
      </c>
      <c r="H40" s="3">
        <f t="shared" si="6"/>
        <v>0</v>
      </c>
      <c r="I40" s="1">
        <f t="shared" si="7"/>
        <v>5</v>
      </c>
    </row>
    <row r="42" spans="1:9" ht="15" customHeight="1" x14ac:dyDescent="0.25">
      <c r="A42" s="69" t="s">
        <v>81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78</v>
      </c>
      <c r="D43" s="10" t="s">
        <v>6</v>
      </c>
      <c r="E43" s="10" t="s">
        <v>79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13</v>
      </c>
      <c r="E44" s="7">
        <f>C56</f>
        <v>0</v>
      </c>
      <c r="F44" s="3" t="str">
        <f t="shared" ref="F44:F59" si="8">IF(C44&gt;E44,"W",IF(C44&lt;E44,"L","T"))</f>
        <v>T</v>
      </c>
      <c r="G44" s="3">
        <f t="shared" ref="G44:G59" si="9">IF(F44="W",10,IF(F44="T",5,0))</f>
        <v>5</v>
      </c>
      <c r="H44" s="3">
        <f t="shared" ref="H44:H59" si="10">C44</f>
        <v>0</v>
      </c>
      <c r="I44" s="1">
        <f t="shared" ref="I44:I59" si="11">G44+H44</f>
        <v>5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14</v>
      </c>
      <c r="E45" s="7">
        <f>C57</f>
        <v>0</v>
      </c>
      <c r="F45" s="3" t="str">
        <f t="shared" si="8"/>
        <v>T</v>
      </c>
      <c r="G45" s="3">
        <f t="shared" si="9"/>
        <v>5</v>
      </c>
      <c r="H45" s="3">
        <f t="shared" si="10"/>
        <v>0</v>
      </c>
      <c r="I45" s="1">
        <f t="shared" si="11"/>
        <v>5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15</v>
      </c>
      <c r="E46" s="7">
        <f>C58</f>
        <v>0</v>
      </c>
      <c r="F46" s="3" t="str">
        <f t="shared" si="8"/>
        <v>T</v>
      </c>
      <c r="G46" s="3">
        <f t="shared" si="9"/>
        <v>5</v>
      </c>
      <c r="H46" s="3">
        <f t="shared" si="10"/>
        <v>0</v>
      </c>
      <c r="I46" s="1">
        <f t="shared" si="11"/>
        <v>5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16</v>
      </c>
      <c r="E47" s="7">
        <f>C59</f>
        <v>0</v>
      </c>
      <c r="F47" s="3" t="str">
        <f t="shared" si="8"/>
        <v>T</v>
      </c>
      <c r="G47" s="3">
        <f t="shared" si="9"/>
        <v>5</v>
      </c>
      <c r="H47" s="3">
        <f t="shared" si="10"/>
        <v>0</v>
      </c>
      <c r="I47" s="1">
        <f t="shared" si="11"/>
        <v>5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9</v>
      </c>
      <c r="E48" s="7">
        <f>C52</f>
        <v>0</v>
      </c>
      <c r="F48" s="3" t="str">
        <f t="shared" si="8"/>
        <v>T</v>
      </c>
      <c r="G48" s="3">
        <f t="shared" si="9"/>
        <v>5</v>
      </c>
      <c r="H48" s="3">
        <f t="shared" si="10"/>
        <v>0</v>
      </c>
      <c r="I48" s="1">
        <f t="shared" si="11"/>
        <v>5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10</v>
      </c>
      <c r="E49" s="7">
        <f>C53</f>
        <v>0</v>
      </c>
      <c r="F49" s="3" t="str">
        <f t="shared" si="8"/>
        <v>T</v>
      </c>
      <c r="G49" s="3">
        <f t="shared" si="9"/>
        <v>5</v>
      </c>
      <c r="H49" s="3">
        <f t="shared" si="10"/>
        <v>0</v>
      </c>
      <c r="I49" s="1">
        <f t="shared" si="11"/>
        <v>5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11</v>
      </c>
      <c r="E50" s="7">
        <f>C54</f>
        <v>0</v>
      </c>
      <c r="F50" s="3" t="str">
        <f t="shared" si="8"/>
        <v>T</v>
      </c>
      <c r="G50" s="3">
        <f t="shared" si="9"/>
        <v>5</v>
      </c>
      <c r="H50" s="3">
        <f t="shared" si="10"/>
        <v>0</v>
      </c>
      <c r="I50" s="1">
        <f t="shared" si="11"/>
        <v>5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12</v>
      </c>
      <c r="E51" s="7">
        <f>C55</f>
        <v>0</v>
      </c>
      <c r="F51" s="3" t="str">
        <f t="shared" si="8"/>
        <v>T</v>
      </c>
      <c r="G51" s="3">
        <f t="shared" si="9"/>
        <v>5</v>
      </c>
      <c r="H51" s="3">
        <f t="shared" si="10"/>
        <v>0</v>
      </c>
      <c r="I51" s="1">
        <f t="shared" si="11"/>
        <v>5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5</v>
      </c>
      <c r="E52" s="7">
        <f>C48</f>
        <v>0</v>
      </c>
      <c r="F52" s="3" t="str">
        <f t="shared" si="8"/>
        <v>T</v>
      </c>
      <c r="G52" s="3">
        <f t="shared" si="9"/>
        <v>5</v>
      </c>
      <c r="H52" s="3">
        <f t="shared" si="10"/>
        <v>0</v>
      </c>
      <c r="I52" s="1">
        <f t="shared" si="11"/>
        <v>5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6</v>
      </c>
      <c r="E53" s="7">
        <f>C49</f>
        <v>0</v>
      </c>
      <c r="F53" s="3" t="str">
        <f t="shared" si="8"/>
        <v>T</v>
      </c>
      <c r="G53" s="3">
        <f t="shared" si="9"/>
        <v>5</v>
      </c>
      <c r="H53" s="3">
        <f t="shared" si="10"/>
        <v>0</v>
      </c>
      <c r="I53" s="1">
        <f t="shared" si="11"/>
        <v>5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7</v>
      </c>
      <c r="E54" s="7">
        <f>C50</f>
        <v>0</v>
      </c>
      <c r="F54" s="3" t="str">
        <f t="shared" si="8"/>
        <v>T</v>
      </c>
      <c r="G54" s="3">
        <f t="shared" si="9"/>
        <v>5</v>
      </c>
      <c r="H54" s="3">
        <f t="shared" si="10"/>
        <v>0</v>
      </c>
      <c r="I54" s="1">
        <f t="shared" si="11"/>
        <v>5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8</v>
      </c>
      <c r="E55" s="7">
        <f>C51</f>
        <v>0</v>
      </c>
      <c r="F55" s="3" t="str">
        <f t="shared" si="8"/>
        <v>T</v>
      </c>
      <c r="G55" s="3">
        <f t="shared" si="9"/>
        <v>5</v>
      </c>
      <c r="H55" s="3">
        <f t="shared" si="10"/>
        <v>0</v>
      </c>
      <c r="I55" s="1">
        <f t="shared" si="11"/>
        <v>5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</v>
      </c>
      <c r="E56" s="7">
        <f>C44</f>
        <v>0</v>
      </c>
      <c r="F56" s="3" t="str">
        <f t="shared" si="8"/>
        <v>T</v>
      </c>
      <c r="G56" s="3">
        <f t="shared" si="9"/>
        <v>5</v>
      </c>
      <c r="H56" s="3">
        <f t="shared" si="10"/>
        <v>0</v>
      </c>
      <c r="I56" s="1">
        <f t="shared" si="11"/>
        <v>5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2</v>
      </c>
      <c r="E57" s="7">
        <f>C45</f>
        <v>0</v>
      </c>
      <c r="F57" s="3" t="str">
        <f t="shared" si="8"/>
        <v>T</v>
      </c>
      <c r="G57" s="3">
        <f t="shared" si="9"/>
        <v>5</v>
      </c>
      <c r="H57" s="3">
        <f t="shared" si="10"/>
        <v>0</v>
      </c>
      <c r="I57" s="1">
        <f t="shared" si="11"/>
        <v>5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3</v>
      </c>
      <c r="E58" s="7">
        <f>C46</f>
        <v>0</v>
      </c>
      <c r="F58" s="3" t="str">
        <f t="shared" si="8"/>
        <v>T</v>
      </c>
      <c r="G58" s="3">
        <f t="shared" si="9"/>
        <v>5</v>
      </c>
      <c r="H58" s="3">
        <f t="shared" si="10"/>
        <v>0</v>
      </c>
      <c r="I58" s="1">
        <f t="shared" si="11"/>
        <v>5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4</v>
      </c>
      <c r="E59" s="7">
        <f>C47</f>
        <v>0</v>
      </c>
      <c r="F59" s="3" t="str">
        <f t="shared" si="8"/>
        <v>T</v>
      </c>
      <c r="G59" s="3">
        <f t="shared" si="9"/>
        <v>5</v>
      </c>
      <c r="H59" s="3">
        <f t="shared" si="10"/>
        <v>0</v>
      </c>
      <c r="I59" s="1">
        <f t="shared" si="11"/>
        <v>5</v>
      </c>
    </row>
    <row r="61" spans="1:9" ht="15" customHeight="1" x14ac:dyDescent="0.25">
      <c r="A61" s="69" t="s">
        <v>82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78</v>
      </c>
      <c r="D62" s="10" t="s">
        <v>6</v>
      </c>
      <c r="E62" s="10" t="s">
        <v>79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14</v>
      </c>
      <c r="E63" s="7">
        <f>C76</f>
        <v>0</v>
      </c>
      <c r="F63" s="3" t="str">
        <f t="shared" ref="F63:F78" si="12">IF(C63&gt;E63,"W",IF(C63&lt;E63,"L","T"))</f>
        <v>T</v>
      </c>
      <c r="G63" s="3">
        <f t="shared" ref="G63:G78" si="13">IF(F63="W",10,IF(F63="T",5,0))</f>
        <v>5</v>
      </c>
      <c r="H63" s="3">
        <f t="shared" ref="H63:H78" si="14">C63</f>
        <v>0</v>
      </c>
      <c r="I63" s="1">
        <f t="shared" ref="I63:I78" si="15">G63+H63</f>
        <v>5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13</v>
      </c>
      <c r="E64" s="7">
        <f>C75</f>
        <v>0</v>
      </c>
      <c r="F64" s="3" t="str">
        <f t="shared" si="12"/>
        <v>T</v>
      </c>
      <c r="G64" s="3">
        <f t="shared" si="13"/>
        <v>5</v>
      </c>
      <c r="H64" s="3">
        <f t="shared" si="14"/>
        <v>0</v>
      </c>
      <c r="I64" s="1">
        <f t="shared" si="15"/>
        <v>5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16</v>
      </c>
      <c r="E65" s="7">
        <f>C78</f>
        <v>0</v>
      </c>
      <c r="F65" s="3" t="str">
        <f t="shared" si="12"/>
        <v>T</v>
      </c>
      <c r="G65" s="3">
        <f t="shared" si="13"/>
        <v>5</v>
      </c>
      <c r="H65" s="3">
        <f t="shared" si="14"/>
        <v>0</v>
      </c>
      <c r="I65" s="1">
        <f t="shared" si="15"/>
        <v>5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15</v>
      </c>
      <c r="E66" s="7">
        <f>C77</f>
        <v>0</v>
      </c>
      <c r="F66" s="3" t="str">
        <f t="shared" si="12"/>
        <v>T</v>
      </c>
      <c r="G66" s="3">
        <f t="shared" si="13"/>
        <v>5</v>
      </c>
      <c r="H66" s="3">
        <f t="shared" si="14"/>
        <v>0</v>
      </c>
      <c r="I66" s="1">
        <f t="shared" si="15"/>
        <v>5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10</v>
      </c>
      <c r="E67" s="7">
        <f>C72</f>
        <v>0</v>
      </c>
      <c r="F67" s="3" t="str">
        <f t="shared" si="12"/>
        <v>T</v>
      </c>
      <c r="G67" s="3">
        <f t="shared" si="13"/>
        <v>5</v>
      </c>
      <c r="H67" s="3">
        <f t="shared" si="14"/>
        <v>0</v>
      </c>
      <c r="I67" s="1">
        <f t="shared" si="15"/>
        <v>5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9</v>
      </c>
      <c r="E68" s="7">
        <f>C71</f>
        <v>0</v>
      </c>
      <c r="F68" s="3" t="str">
        <f t="shared" si="12"/>
        <v>T</v>
      </c>
      <c r="G68" s="3">
        <f t="shared" si="13"/>
        <v>5</v>
      </c>
      <c r="H68" s="3">
        <f t="shared" si="14"/>
        <v>0</v>
      </c>
      <c r="I68" s="1">
        <f t="shared" si="15"/>
        <v>5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12</v>
      </c>
      <c r="E69" s="7">
        <f>C74</f>
        <v>0</v>
      </c>
      <c r="F69" s="3" t="str">
        <f t="shared" si="12"/>
        <v>T</v>
      </c>
      <c r="G69" s="3">
        <f t="shared" si="13"/>
        <v>5</v>
      </c>
      <c r="H69" s="3">
        <f t="shared" si="14"/>
        <v>0</v>
      </c>
      <c r="I69" s="1">
        <f t="shared" si="15"/>
        <v>5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11</v>
      </c>
      <c r="E70" s="7">
        <f>C73</f>
        <v>0</v>
      </c>
      <c r="F70" s="3" t="str">
        <f t="shared" si="12"/>
        <v>T</v>
      </c>
      <c r="G70" s="3">
        <f t="shared" si="13"/>
        <v>5</v>
      </c>
      <c r="H70" s="3">
        <f t="shared" si="14"/>
        <v>0</v>
      </c>
      <c r="I70" s="1">
        <f t="shared" si="15"/>
        <v>5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6</v>
      </c>
      <c r="E71" s="7">
        <f>C68</f>
        <v>0</v>
      </c>
      <c r="F71" s="3" t="str">
        <f t="shared" si="12"/>
        <v>T</v>
      </c>
      <c r="G71" s="3">
        <f t="shared" si="13"/>
        <v>5</v>
      </c>
      <c r="H71" s="3">
        <f t="shared" si="14"/>
        <v>0</v>
      </c>
      <c r="I71" s="1">
        <f t="shared" si="15"/>
        <v>5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5</v>
      </c>
      <c r="E72" s="7">
        <f>C67</f>
        <v>0</v>
      </c>
      <c r="F72" s="3" t="str">
        <f t="shared" si="12"/>
        <v>T</v>
      </c>
      <c r="G72" s="3">
        <f t="shared" si="13"/>
        <v>5</v>
      </c>
      <c r="H72" s="3">
        <f t="shared" si="14"/>
        <v>0</v>
      </c>
      <c r="I72" s="1">
        <f t="shared" si="15"/>
        <v>5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8</v>
      </c>
      <c r="E73" s="7">
        <f>C70</f>
        <v>0</v>
      </c>
      <c r="F73" s="3" t="str">
        <f t="shared" si="12"/>
        <v>T</v>
      </c>
      <c r="G73" s="3">
        <f t="shared" si="13"/>
        <v>5</v>
      </c>
      <c r="H73" s="3">
        <f t="shared" si="14"/>
        <v>0</v>
      </c>
      <c r="I73" s="1">
        <f t="shared" si="15"/>
        <v>5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7</v>
      </c>
      <c r="E74" s="7">
        <f>C69</f>
        <v>0</v>
      </c>
      <c r="F74" s="3" t="str">
        <f t="shared" si="12"/>
        <v>T</v>
      </c>
      <c r="G74" s="3">
        <f t="shared" si="13"/>
        <v>5</v>
      </c>
      <c r="H74" s="3">
        <f t="shared" si="14"/>
        <v>0</v>
      </c>
      <c r="I74" s="1">
        <f t="shared" si="15"/>
        <v>5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2</v>
      </c>
      <c r="E75" s="7">
        <f>C64</f>
        <v>0</v>
      </c>
      <c r="F75" s="3" t="str">
        <f t="shared" si="12"/>
        <v>T</v>
      </c>
      <c r="G75" s="3">
        <f t="shared" si="13"/>
        <v>5</v>
      </c>
      <c r="H75" s="3">
        <f t="shared" si="14"/>
        <v>0</v>
      </c>
      <c r="I75" s="1">
        <f t="shared" si="15"/>
        <v>5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</v>
      </c>
      <c r="E76" s="7">
        <f>C63</f>
        <v>0</v>
      </c>
      <c r="F76" s="3" t="str">
        <f t="shared" si="12"/>
        <v>T</v>
      </c>
      <c r="G76" s="3">
        <f t="shared" si="13"/>
        <v>5</v>
      </c>
      <c r="H76" s="3">
        <f t="shared" si="14"/>
        <v>0</v>
      </c>
      <c r="I76" s="1">
        <f t="shared" si="15"/>
        <v>5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4</v>
      </c>
      <c r="E77" s="7">
        <f>C66</f>
        <v>0</v>
      </c>
      <c r="F77" s="3" t="str">
        <f t="shared" si="12"/>
        <v>T</v>
      </c>
      <c r="G77" s="3">
        <f t="shared" si="13"/>
        <v>5</v>
      </c>
      <c r="H77" s="3">
        <f t="shared" si="14"/>
        <v>0</v>
      </c>
      <c r="I77" s="1">
        <f t="shared" si="15"/>
        <v>5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3</v>
      </c>
      <c r="E78" s="7">
        <f>C65</f>
        <v>0</v>
      </c>
      <c r="F78" s="3" t="str">
        <f t="shared" si="12"/>
        <v>T</v>
      </c>
      <c r="G78" s="3">
        <f t="shared" si="13"/>
        <v>5</v>
      </c>
      <c r="H78" s="3">
        <f t="shared" si="14"/>
        <v>0</v>
      </c>
      <c r="I78" s="1">
        <f t="shared" si="15"/>
        <v>5</v>
      </c>
    </row>
    <row r="80" spans="1:9" ht="15" customHeight="1" x14ac:dyDescent="0.25">
      <c r="A80" s="69" t="s">
        <v>83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78</v>
      </c>
      <c r="D81" s="10" t="s">
        <v>6</v>
      </c>
      <c r="E81" s="10" t="s">
        <v>79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15</v>
      </c>
      <c r="E82" s="7">
        <f>C96</f>
        <v>0</v>
      </c>
      <c r="F82" s="3" t="str">
        <f t="shared" ref="F82:F97" si="16">IF(C82&gt;E82,"W",IF(C82&lt;E82,"L","T"))</f>
        <v>T</v>
      </c>
      <c r="G82" s="3">
        <f t="shared" ref="G82:G97" si="17">IF(F82="W",10,IF(F82="T",5,0))</f>
        <v>5</v>
      </c>
      <c r="H82" s="3">
        <f t="shared" ref="H82:H97" si="18">C82</f>
        <v>0</v>
      </c>
      <c r="I82" s="1">
        <f t="shared" ref="I82:I97" si="19">G82+H82</f>
        <v>5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16</v>
      </c>
      <c r="E83" s="7">
        <f>C97</f>
        <v>0</v>
      </c>
      <c r="F83" s="3" t="str">
        <f t="shared" si="16"/>
        <v>T</v>
      </c>
      <c r="G83" s="3">
        <f t="shared" si="17"/>
        <v>5</v>
      </c>
      <c r="H83" s="3">
        <f t="shared" si="18"/>
        <v>0</v>
      </c>
      <c r="I83" s="1">
        <f t="shared" si="19"/>
        <v>5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13</v>
      </c>
      <c r="E84" s="7">
        <f>C94</f>
        <v>0</v>
      </c>
      <c r="F84" s="3" t="str">
        <f t="shared" si="16"/>
        <v>T</v>
      </c>
      <c r="G84" s="3">
        <f t="shared" si="17"/>
        <v>5</v>
      </c>
      <c r="H84" s="3">
        <f t="shared" si="18"/>
        <v>0</v>
      </c>
      <c r="I84" s="1">
        <f t="shared" si="19"/>
        <v>5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14</v>
      </c>
      <c r="E85" s="7">
        <f>C95</f>
        <v>0</v>
      </c>
      <c r="F85" s="3" t="str">
        <f t="shared" si="16"/>
        <v>T</v>
      </c>
      <c r="G85" s="3">
        <f t="shared" si="17"/>
        <v>5</v>
      </c>
      <c r="H85" s="3">
        <f t="shared" si="18"/>
        <v>0</v>
      </c>
      <c r="I85" s="1">
        <f t="shared" si="19"/>
        <v>5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11</v>
      </c>
      <c r="E86" s="7">
        <f>C92</f>
        <v>0</v>
      </c>
      <c r="F86" s="3" t="str">
        <f t="shared" si="16"/>
        <v>T</v>
      </c>
      <c r="G86" s="3">
        <f t="shared" si="17"/>
        <v>5</v>
      </c>
      <c r="H86" s="3">
        <f t="shared" si="18"/>
        <v>0</v>
      </c>
      <c r="I86" s="1">
        <f t="shared" si="19"/>
        <v>5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12</v>
      </c>
      <c r="E87" s="7">
        <f>C93</f>
        <v>0</v>
      </c>
      <c r="F87" s="3" t="str">
        <f t="shared" si="16"/>
        <v>T</v>
      </c>
      <c r="G87" s="3">
        <f t="shared" si="17"/>
        <v>5</v>
      </c>
      <c r="H87" s="3">
        <f t="shared" si="18"/>
        <v>0</v>
      </c>
      <c r="I87" s="1">
        <f t="shared" si="19"/>
        <v>5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9</v>
      </c>
      <c r="E88" s="7">
        <f>C90</f>
        <v>0</v>
      </c>
      <c r="F88" s="3" t="str">
        <f t="shared" si="16"/>
        <v>T</v>
      </c>
      <c r="G88" s="3">
        <f t="shared" si="17"/>
        <v>5</v>
      </c>
      <c r="H88" s="3">
        <f t="shared" si="18"/>
        <v>0</v>
      </c>
      <c r="I88" s="1">
        <f t="shared" si="19"/>
        <v>5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10</v>
      </c>
      <c r="E89" s="7">
        <f>C91</f>
        <v>0</v>
      </c>
      <c r="F89" s="3" t="str">
        <f t="shared" si="16"/>
        <v>T</v>
      </c>
      <c r="G89" s="3">
        <f t="shared" si="17"/>
        <v>5</v>
      </c>
      <c r="H89" s="3">
        <f t="shared" si="18"/>
        <v>0</v>
      </c>
      <c r="I89" s="1">
        <f t="shared" si="19"/>
        <v>5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7</v>
      </c>
      <c r="E90" s="7">
        <f>C88</f>
        <v>0</v>
      </c>
      <c r="F90" s="3" t="str">
        <f t="shared" si="16"/>
        <v>T</v>
      </c>
      <c r="G90" s="3">
        <f t="shared" si="17"/>
        <v>5</v>
      </c>
      <c r="H90" s="3">
        <f t="shared" si="18"/>
        <v>0</v>
      </c>
      <c r="I90" s="1">
        <f t="shared" si="19"/>
        <v>5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8</v>
      </c>
      <c r="E91" s="7">
        <f>C89</f>
        <v>0</v>
      </c>
      <c r="F91" s="3" t="str">
        <f t="shared" si="16"/>
        <v>T</v>
      </c>
      <c r="G91" s="3">
        <f t="shared" si="17"/>
        <v>5</v>
      </c>
      <c r="H91" s="3">
        <f t="shared" si="18"/>
        <v>0</v>
      </c>
      <c r="I91" s="1">
        <f t="shared" si="19"/>
        <v>5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5</v>
      </c>
      <c r="E92" s="7">
        <f>C86</f>
        <v>0</v>
      </c>
      <c r="F92" s="3" t="str">
        <f t="shared" si="16"/>
        <v>T</v>
      </c>
      <c r="G92" s="3">
        <f t="shared" si="17"/>
        <v>5</v>
      </c>
      <c r="H92" s="3">
        <f t="shared" si="18"/>
        <v>0</v>
      </c>
      <c r="I92" s="1">
        <f t="shared" si="19"/>
        <v>5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6</v>
      </c>
      <c r="E93" s="7">
        <f>C87</f>
        <v>0</v>
      </c>
      <c r="F93" s="3" t="str">
        <f t="shared" si="16"/>
        <v>T</v>
      </c>
      <c r="G93" s="3">
        <f t="shared" si="17"/>
        <v>5</v>
      </c>
      <c r="H93" s="3">
        <f t="shared" si="18"/>
        <v>0</v>
      </c>
      <c r="I93" s="1">
        <f t="shared" si="19"/>
        <v>5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3</v>
      </c>
      <c r="E94" s="7">
        <f>C84</f>
        <v>0</v>
      </c>
      <c r="F94" s="3" t="str">
        <f t="shared" si="16"/>
        <v>T</v>
      </c>
      <c r="G94" s="3">
        <f t="shared" si="17"/>
        <v>5</v>
      </c>
      <c r="H94" s="3">
        <f t="shared" si="18"/>
        <v>0</v>
      </c>
      <c r="I94" s="1">
        <f t="shared" si="19"/>
        <v>5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4</v>
      </c>
      <c r="E95" s="7">
        <f>C85</f>
        <v>0</v>
      </c>
      <c r="F95" s="3" t="str">
        <f t="shared" si="16"/>
        <v>T</v>
      </c>
      <c r="G95" s="3">
        <f t="shared" si="17"/>
        <v>5</v>
      </c>
      <c r="H95" s="3">
        <f t="shared" si="18"/>
        <v>0</v>
      </c>
      <c r="I95" s="1">
        <f t="shared" si="19"/>
        <v>5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</v>
      </c>
      <c r="E96" s="7">
        <f>C82</f>
        <v>0</v>
      </c>
      <c r="F96" s="3" t="str">
        <f t="shared" si="16"/>
        <v>T</v>
      </c>
      <c r="G96" s="3">
        <f t="shared" si="17"/>
        <v>5</v>
      </c>
      <c r="H96" s="3">
        <f t="shared" si="18"/>
        <v>0</v>
      </c>
      <c r="I96" s="1">
        <f t="shared" si="19"/>
        <v>5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2</v>
      </c>
      <c r="E97" s="7">
        <f>C83</f>
        <v>0</v>
      </c>
      <c r="F97" s="3" t="str">
        <f t="shared" si="16"/>
        <v>T</v>
      </c>
      <c r="G97" s="3">
        <f t="shared" si="17"/>
        <v>5</v>
      </c>
      <c r="H97" s="3">
        <f t="shared" si="18"/>
        <v>0</v>
      </c>
      <c r="I97" s="1">
        <f t="shared" si="19"/>
        <v>5</v>
      </c>
    </row>
    <row r="99" spans="1:9" ht="15" customHeight="1" x14ac:dyDescent="0.25">
      <c r="A99" s="69" t="s">
        <v>84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78</v>
      </c>
      <c r="D100" s="10" t="s">
        <v>6</v>
      </c>
      <c r="E100" s="10" t="s">
        <v>79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16</v>
      </c>
      <c r="E101" s="7">
        <f>C116</f>
        <v>0</v>
      </c>
      <c r="F101" s="3" t="str">
        <f t="shared" ref="F101:F116" si="20">IF(C101&gt;E101,"W",IF(C101&lt;E101,"L","T"))</f>
        <v>T</v>
      </c>
      <c r="G101" s="3">
        <f t="shared" ref="G101:G116" si="21">IF(F101="W",10,IF(F101="T",5,0))</f>
        <v>5</v>
      </c>
      <c r="H101" s="3">
        <f t="shared" ref="H101:H116" si="22">C101</f>
        <v>0</v>
      </c>
      <c r="I101" s="1">
        <f t="shared" ref="I101:I116" si="23">G101+H101</f>
        <v>5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15</v>
      </c>
      <c r="E102" s="7">
        <f>C115</f>
        <v>0</v>
      </c>
      <c r="F102" s="3" t="str">
        <f t="shared" si="20"/>
        <v>T</v>
      </c>
      <c r="G102" s="3">
        <f t="shared" si="21"/>
        <v>5</v>
      </c>
      <c r="H102" s="3">
        <f t="shared" si="22"/>
        <v>0</v>
      </c>
      <c r="I102" s="1">
        <f t="shared" si="23"/>
        <v>5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14</v>
      </c>
      <c r="E103" s="7">
        <f>C114</f>
        <v>0</v>
      </c>
      <c r="F103" s="3" t="str">
        <f t="shared" si="20"/>
        <v>T</v>
      </c>
      <c r="G103" s="3">
        <f t="shared" si="21"/>
        <v>5</v>
      </c>
      <c r="H103" s="3">
        <f t="shared" si="22"/>
        <v>0</v>
      </c>
      <c r="I103" s="1">
        <f t="shared" si="23"/>
        <v>5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13</v>
      </c>
      <c r="E104" s="7">
        <f>C113</f>
        <v>0</v>
      </c>
      <c r="F104" s="3" t="str">
        <f t="shared" si="20"/>
        <v>T</v>
      </c>
      <c r="G104" s="3">
        <f t="shared" si="21"/>
        <v>5</v>
      </c>
      <c r="H104" s="3">
        <f t="shared" si="22"/>
        <v>0</v>
      </c>
      <c r="I104" s="1">
        <f t="shared" si="23"/>
        <v>5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12</v>
      </c>
      <c r="E105" s="7">
        <f>C112</f>
        <v>0</v>
      </c>
      <c r="F105" s="3" t="str">
        <f t="shared" si="20"/>
        <v>T</v>
      </c>
      <c r="G105" s="3">
        <f t="shared" si="21"/>
        <v>5</v>
      </c>
      <c r="H105" s="3">
        <f t="shared" si="22"/>
        <v>0</v>
      </c>
      <c r="I105" s="1">
        <f t="shared" si="23"/>
        <v>5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11</v>
      </c>
      <c r="E106" s="7">
        <f>C111</f>
        <v>0</v>
      </c>
      <c r="F106" s="3" t="str">
        <f t="shared" si="20"/>
        <v>T</v>
      </c>
      <c r="G106" s="3">
        <f t="shared" si="21"/>
        <v>5</v>
      </c>
      <c r="H106" s="3">
        <f t="shared" si="22"/>
        <v>0</v>
      </c>
      <c r="I106" s="1">
        <f t="shared" si="23"/>
        <v>5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10</v>
      </c>
      <c r="E107" s="7">
        <f>C110</f>
        <v>0</v>
      </c>
      <c r="F107" s="3" t="str">
        <f t="shared" si="20"/>
        <v>T</v>
      </c>
      <c r="G107" s="3">
        <f t="shared" si="21"/>
        <v>5</v>
      </c>
      <c r="H107" s="3">
        <f t="shared" si="22"/>
        <v>0</v>
      </c>
      <c r="I107" s="1">
        <f t="shared" si="23"/>
        <v>5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9</v>
      </c>
      <c r="E108" s="7">
        <f>C109</f>
        <v>0</v>
      </c>
      <c r="F108" s="3" t="str">
        <f t="shared" si="20"/>
        <v>T</v>
      </c>
      <c r="G108" s="3">
        <f t="shared" si="21"/>
        <v>5</v>
      </c>
      <c r="H108" s="3">
        <f t="shared" si="22"/>
        <v>0</v>
      </c>
      <c r="I108" s="1">
        <f t="shared" si="23"/>
        <v>5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8</v>
      </c>
      <c r="E109" s="7">
        <f>C108</f>
        <v>0</v>
      </c>
      <c r="F109" s="3" t="str">
        <f t="shared" si="20"/>
        <v>T</v>
      </c>
      <c r="G109" s="3">
        <f t="shared" si="21"/>
        <v>5</v>
      </c>
      <c r="H109" s="3">
        <f t="shared" si="22"/>
        <v>0</v>
      </c>
      <c r="I109" s="1">
        <f t="shared" si="23"/>
        <v>5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7</v>
      </c>
      <c r="E110" s="7">
        <f>C107</f>
        <v>0</v>
      </c>
      <c r="F110" s="3" t="str">
        <f t="shared" si="20"/>
        <v>T</v>
      </c>
      <c r="G110" s="3">
        <f t="shared" si="21"/>
        <v>5</v>
      </c>
      <c r="H110" s="3">
        <f t="shared" si="22"/>
        <v>0</v>
      </c>
      <c r="I110" s="1">
        <f t="shared" si="23"/>
        <v>5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6</v>
      </c>
      <c r="E111" s="7">
        <f>C106</f>
        <v>0</v>
      </c>
      <c r="F111" s="3" t="str">
        <f t="shared" si="20"/>
        <v>T</v>
      </c>
      <c r="G111" s="3">
        <f t="shared" si="21"/>
        <v>5</v>
      </c>
      <c r="H111" s="3">
        <f t="shared" si="22"/>
        <v>0</v>
      </c>
      <c r="I111" s="1">
        <f t="shared" si="23"/>
        <v>5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5</v>
      </c>
      <c r="E112" s="7">
        <f>C105</f>
        <v>0</v>
      </c>
      <c r="F112" s="3" t="str">
        <f t="shared" si="20"/>
        <v>T</v>
      </c>
      <c r="G112" s="3">
        <f t="shared" si="21"/>
        <v>5</v>
      </c>
      <c r="H112" s="3">
        <f t="shared" si="22"/>
        <v>0</v>
      </c>
      <c r="I112" s="1">
        <f t="shared" si="23"/>
        <v>5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4</v>
      </c>
      <c r="E113" s="7">
        <f>C104</f>
        <v>0</v>
      </c>
      <c r="F113" s="3" t="str">
        <f t="shared" si="20"/>
        <v>T</v>
      </c>
      <c r="G113" s="3">
        <f t="shared" si="21"/>
        <v>5</v>
      </c>
      <c r="H113" s="3">
        <f t="shared" si="22"/>
        <v>0</v>
      </c>
      <c r="I113" s="1">
        <f t="shared" si="23"/>
        <v>5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3</v>
      </c>
      <c r="E114" s="7">
        <f>C103</f>
        <v>0</v>
      </c>
      <c r="F114" s="3" t="str">
        <f t="shared" si="20"/>
        <v>T</v>
      </c>
      <c r="G114" s="3">
        <f t="shared" si="21"/>
        <v>5</v>
      </c>
      <c r="H114" s="3">
        <f t="shared" si="22"/>
        <v>0</v>
      </c>
      <c r="I114" s="1">
        <f t="shared" si="23"/>
        <v>5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2</v>
      </c>
      <c r="E115" s="7">
        <f>C102</f>
        <v>0</v>
      </c>
      <c r="F115" s="3" t="str">
        <f t="shared" si="20"/>
        <v>T</v>
      </c>
      <c r="G115" s="3">
        <f t="shared" si="21"/>
        <v>5</v>
      </c>
      <c r="H115" s="3">
        <f t="shared" si="22"/>
        <v>0</v>
      </c>
      <c r="I115" s="1">
        <f t="shared" si="23"/>
        <v>5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</v>
      </c>
      <c r="E116" s="7">
        <f>C101</f>
        <v>0</v>
      </c>
      <c r="F116" s="3" t="str">
        <f t="shared" si="20"/>
        <v>T</v>
      </c>
      <c r="G116" s="3">
        <f t="shared" si="21"/>
        <v>5</v>
      </c>
      <c r="H116" s="3">
        <f t="shared" si="22"/>
        <v>0</v>
      </c>
      <c r="I116" s="1">
        <f t="shared" si="23"/>
        <v>5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M26" sqref="M2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6" t="s">
        <v>85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86</v>
      </c>
    </row>
    <row r="4" spans="1:9" ht="15" customHeight="1" x14ac:dyDescent="0.25">
      <c r="A4" s="70" t="s">
        <v>87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88</v>
      </c>
      <c r="H5" s="10" t="s">
        <v>89</v>
      </c>
      <c r="I5" s="10" t="s">
        <v>90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4</v>
      </c>
      <c r="E6" s="7">
        <f>C9</f>
        <v>0</v>
      </c>
      <c r="F6" s="3" t="str">
        <f t="shared" ref="F6:F21" si="0">IF(C6&gt;E6,"W",IF(C6&lt;E6,"L","T"))</f>
        <v>T</v>
      </c>
      <c r="G6" s="3">
        <f t="shared" ref="G6:G21" si="1">IF(F6="W",1,IF(F6="T",0.5,0))</f>
        <v>0.5</v>
      </c>
      <c r="H6" s="3">
        <f t="shared" ref="H6:H21" si="2">IF(F6="L",1,IF(F6="T",0.5,0))</f>
        <v>0.5</v>
      </c>
      <c r="I6" s="3">
        <f t="shared" ref="I6:I21" si="3">C6</f>
        <v>0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3</v>
      </c>
      <c r="E7" s="7">
        <f>C8</f>
        <v>0</v>
      </c>
      <c r="F7" s="3" t="str">
        <f t="shared" si="0"/>
        <v>T</v>
      </c>
      <c r="G7" s="3">
        <f t="shared" si="1"/>
        <v>0.5</v>
      </c>
      <c r="H7" s="3">
        <f t="shared" si="2"/>
        <v>0.5</v>
      </c>
      <c r="I7" s="3">
        <f t="shared" si="3"/>
        <v>0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2</v>
      </c>
      <c r="E8" s="7">
        <f>C7</f>
        <v>0</v>
      </c>
      <c r="F8" s="3" t="str">
        <f t="shared" si="0"/>
        <v>T</v>
      </c>
      <c r="G8" s="3">
        <f t="shared" si="1"/>
        <v>0.5</v>
      </c>
      <c r="H8" s="3">
        <f t="shared" si="2"/>
        <v>0.5</v>
      </c>
      <c r="I8" s="3">
        <f t="shared" si="3"/>
        <v>0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</v>
      </c>
      <c r="E9" s="7">
        <f>C6</f>
        <v>0</v>
      </c>
      <c r="F9" s="3" t="str">
        <f t="shared" si="0"/>
        <v>T</v>
      </c>
      <c r="G9" s="3">
        <f t="shared" si="1"/>
        <v>0.5</v>
      </c>
      <c r="H9" s="3">
        <f t="shared" si="2"/>
        <v>0.5</v>
      </c>
      <c r="I9" s="3">
        <f t="shared" si="3"/>
        <v>0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8</v>
      </c>
      <c r="E10" s="7">
        <f>C13</f>
        <v>0</v>
      </c>
      <c r="F10" s="3" t="str">
        <f t="shared" si="0"/>
        <v>T</v>
      </c>
      <c r="G10" s="3">
        <f t="shared" si="1"/>
        <v>0.5</v>
      </c>
      <c r="H10" s="3">
        <f t="shared" si="2"/>
        <v>0.5</v>
      </c>
      <c r="I10" s="3">
        <f t="shared" si="3"/>
        <v>0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7</v>
      </c>
      <c r="E11" s="7">
        <f>C12</f>
        <v>0</v>
      </c>
      <c r="F11" s="3" t="str">
        <f t="shared" si="0"/>
        <v>T</v>
      </c>
      <c r="G11" s="3">
        <f t="shared" si="1"/>
        <v>0.5</v>
      </c>
      <c r="H11" s="3">
        <f t="shared" si="2"/>
        <v>0.5</v>
      </c>
      <c r="I11" s="3">
        <f t="shared" si="3"/>
        <v>0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6</v>
      </c>
      <c r="E12" s="7">
        <f>C11</f>
        <v>0</v>
      </c>
      <c r="F12" s="3" t="str">
        <f t="shared" si="0"/>
        <v>T</v>
      </c>
      <c r="G12" s="3">
        <f t="shared" si="1"/>
        <v>0.5</v>
      </c>
      <c r="H12" s="3">
        <f t="shared" si="2"/>
        <v>0.5</v>
      </c>
      <c r="I12" s="3">
        <f t="shared" si="3"/>
        <v>0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5</v>
      </c>
      <c r="E13" s="7">
        <f>C10</f>
        <v>0</v>
      </c>
      <c r="F13" s="3" t="str">
        <f t="shared" si="0"/>
        <v>T</v>
      </c>
      <c r="G13" s="3">
        <f t="shared" si="1"/>
        <v>0.5</v>
      </c>
      <c r="H13" s="3">
        <f t="shared" si="2"/>
        <v>0.5</v>
      </c>
      <c r="I13" s="3">
        <f t="shared" si="3"/>
        <v>0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12</v>
      </c>
      <c r="E14" s="7">
        <f>C17</f>
        <v>0</v>
      </c>
      <c r="F14" s="3" t="str">
        <f t="shared" si="0"/>
        <v>T</v>
      </c>
      <c r="G14" s="3">
        <f t="shared" si="1"/>
        <v>0.5</v>
      </c>
      <c r="H14" s="3">
        <f t="shared" si="2"/>
        <v>0.5</v>
      </c>
      <c r="I14" s="3">
        <f t="shared" si="3"/>
        <v>0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11</v>
      </c>
      <c r="E15" s="7">
        <f>C16</f>
        <v>0</v>
      </c>
      <c r="F15" s="3" t="str">
        <f t="shared" si="0"/>
        <v>T</v>
      </c>
      <c r="G15" s="3">
        <f t="shared" si="1"/>
        <v>0.5</v>
      </c>
      <c r="H15" s="3">
        <f t="shared" si="2"/>
        <v>0.5</v>
      </c>
      <c r="I15" s="3">
        <f t="shared" si="3"/>
        <v>0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10</v>
      </c>
      <c r="E16" s="7">
        <f>C15</f>
        <v>0</v>
      </c>
      <c r="F16" s="3" t="str">
        <f t="shared" si="0"/>
        <v>T</v>
      </c>
      <c r="G16" s="3">
        <f t="shared" si="1"/>
        <v>0.5</v>
      </c>
      <c r="H16" s="3">
        <f t="shared" si="2"/>
        <v>0.5</v>
      </c>
      <c r="I16" s="3">
        <f t="shared" si="3"/>
        <v>0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9</v>
      </c>
      <c r="E17" s="7">
        <f>C14</f>
        <v>0</v>
      </c>
      <c r="F17" s="3" t="str">
        <f t="shared" si="0"/>
        <v>T</v>
      </c>
      <c r="G17" s="3">
        <f t="shared" si="1"/>
        <v>0.5</v>
      </c>
      <c r="H17" s="3">
        <f t="shared" si="2"/>
        <v>0.5</v>
      </c>
      <c r="I17" s="3">
        <f t="shared" si="3"/>
        <v>0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16</v>
      </c>
      <c r="E18" s="7">
        <f>C21</f>
        <v>0</v>
      </c>
      <c r="F18" s="3" t="str">
        <f t="shared" si="0"/>
        <v>T</v>
      </c>
      <c r="G18" s="3">
        <f t="shared" si="1"/>
        <v>0.5</v>
      </c>
      <c r="H18" s="3">
        <f t="shared" si="2"/>
        <v>0.5</v>
      </c>
      <c r="I18" s="3">
        <f t="shared" si="3"/>
        <v>0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15</v>
      </c>
      <c r="E19" s="7">
        <f>C20</f>
        <v>0</v>
      </c>
      <c r="F19" s="3" t="str">
        <f t="shared" si="0"/>
        <v>T</v>
      </c>
      <c r="G19" s="3">
        <f t="shared" si="1"/>
        <v>0.5</v>
      </c>
      <c r="H19" s="3">
        <f t="shared" si="2"/>
        <v>0.5</v>
      </c>
      <c r="I19" s="3">
        <f t="shared" si="3"/>
        <v>0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14</v>
      </c>
      <c r="E20" s="7">
        <f>C19</f>
        <v>0</v>
      </c>
      <c r="F20" s="3" t="str">
        <f t="shared" si="0"/>
        <v>T</v>
      </c>
      <c r="G20" s="3">
        <f t="shared" si="1"/>
        <v>0.5</v>
      </c>
      <c r="H20" s="3">
        <f t="shared" si="2"/>
        <v>0.5</v>
      </c>
      <c r="I20" s="3">
        <f t="shared" si="3"/>
        <v>0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13</v>
      </c>
      <c r="E21" s="7">
        <f>C18</f>
        <v>0</v>
      </c>
      <c r="F21" s="3" t="str">
        <f t="shared" si="0"/>
        <v>T</v>
      </c>
      <c r="G21" s="3">
        <f t="shared" si="1"/>
        <v>0.5</v>
      </c>
      <c r="H21" s="3">
        <f t="shared" si="2"/>
        <v>0.5</v>
      </c>
      <c r="I21" s="3">
        <f t="shared" si="3"/>
        <v>0</v>
      </c>
    </row>
    <row r="23" spans="1:9" ht="15" customHeight="1" x14ac:dyDescent="0.25">
      <c r="A23" s="70" t="s">
        <v>91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88</v>
      </c>
      <c r="H24" s="10" t="s">
        <v>89</v>
      </c>
      <c r="I24" s="10" t="s">
        <v>90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3</v>
      </c>
      <c r="E25" s="7">
        <f>C27</f>
        <v>0</v>
      </c>
      <c r="F25" s="3" t="str">
        <f t="shared" ref="F25:F40" si="4">IF(C25&gt;E25,"W",IF(C25&lt;E25,"L","T"))</f>
        <v>T</v>
      </c>
      <c r="G25" s="3">
        <f t="shared" ref="G25:G40" si="5">IF(F25="W",1,IF(F25="T",0.5,0))</f>
        <v>0.5</v>
      </c>
      <c r="H25" s="3">
        <f t="shared" ref="H25:H40" si="6">IF(F25="L",1,IF(F25="T",0.5,0))</f>
        <v>0.5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4</v>
      </c>
      <c r="E26" s="7">
        <f>C28</f>
        <v>0</v>
      </c>
      <c r="F26" s="3" t="str">
        <f t="shared" si="4"/>
        <v>T</v>
      </c>
      <c r="G26" s="3">
        <f t="shared" si="5"/>
        <v>0.5</v>
      </c>
      <c r="H26" s="3">
        <f t="shared" si="6"/>
        <v>0.5</v>
      </c>
      <c r="I26" s="3">
        <f t="shared" si="7"/>
        <v>0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</v>
      </c>
      <c r="E27" s="7">
        <f>C25</f>
        <v>0</v>
      </c>
      <c r="F27" s="3" t="str">
        <f t="shared" si="4"/>
        <v>T</v>
      </c>
      <c r="G27" s="3">
        <f t="shared" si="5"/>
        <v>0.5</v>
      </c>
      <c r="H27" s="3">
        <f t="shared" si="6"/>
        <v>0.5</v>
      </c>
      <c r="I27" s="3">
        <f t="shared" si="7"/>
        <v>0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2</v>
      </c>
      <c r="E28" s="7">
        <f>C26</f>
        <v>0</v>
      </c>
      <c r="F28" s="3" t="str">
        <f t="shared" si="4"/>
        <v>T</v>
      </c>
      <c r="G28" s="3">
        <f t="shared" si="5"/>
        <v>0.5</v>
      </c>
      <c r="H28" s="3">
        <f t="shared" si="6"/>
        <v>0.5</v>
      </c>
      <c r="I28" s="3">
        <f t="shared" si="7"/>
        <v>0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7</v>
      </c>
      <c r="E29" s="7">
        <f>C31</f>
        <v>0</v>
      </c>
      <c r="F29" s="3" t="str">
        <f t="shared" si="4"/>
        <v>T</v>
      </c>
      <c r="G29" s="3">
        <f t="shared" si="5"/>
        <v>0.5</v>
      </c>
      <c r="H29" s="3">
        <f t="shared" si="6"/>
        <v>0.5</v>
      </c>
      <c r="I29" s="3">
        <f t="shared" si="7"/>
        <v>0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8</v>
      </c>
      <c r="E30" s="7">
        <f>C32</f>
        <v>0</v>
      </c>
      <c r="F30" s="3" t="str">
        <f t="shared" si="4"/>
        <v>T</v>
      </c>
      <c r="G30" s="3">
        <f t="shared" si="5"/>
        <v>0.5</v>
      </c>
      <c r="H30" s="3">
        <f t="shared" si="6"/>
        <v>0.5</v>
      </c>
      <c r="I30" s="3">
        <f t="shared" si="7"/>
        <v>0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5</v>
      </c>
      <c r="E31" s="7">
        <f>C29</f>
        <v>0</v>
      </c>
      <c r="F31" s="3" t="str">
        <f t="shared" si="4"/>
        <v>T</v>
      </c>
      <c r="G31" s="3">
        <f t="shared" si="5"/>
        <v>0.5</v>
      </c>
      <c r="H31" s="3">
        <f t="shared" si="6"/>
        <v>0.5</v>
      </c>
      <c r="I31" s="3">
        <f t="shared" si="7"/>
        <v>0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6</v>
      </c>
      <c r="E32" s="7">
        <f>C30</f>
        <v>0</v>
      </c>
      <c r="F32" s="3" t="str">
        <f t="shared" si="4"/>
        <v>T</v>
      </c>
      <c r="G32" s="3">
        <f t="shared" si="5"/>
        <v>0.5</v>
      </c>
      <c r="H32" s="3">
        <f t="shared" si="6"/>
        <v>0.5</v>
      </c>
      <c r="I32" s="3">
        <f t="shared" si="7"/>
        <v>0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11</v>
      </c>
      <c r="E33" s="7">
        <f>C35</f>
        <v>0</v>
      </c>
      <c r="F33" s="3" t="str">
        <f t="shared" si="4"/>
        <v>T</v>
      </c>
      <c r="G33" s="3">
        <f t="shared" si="5"/>
        <v>0.5</v>
      </c>
      <c r="H33" s="3">
        <f t="shared" si="6"/>
        <v>0.5</v>
      </c>
      <c r="I33" s="3">
        <f t="shared" si="7"/>
        <v>0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12</v>
      </c>
      <c r="E34" s="7">
        <f>C36</f>
        <v>0</v>
      </c>
      <c r="F34" s="3" t="str">
        <f t="shared" si="4"/>
        <v>T</v>
      </c>
      <c r="G34" s="3">
        <f t="shared" si="5"/>
        <v>0.5</v>
      </c>
      <c r="H34" s="3">
        <f t="shared" si="6"/>
        <v>0.5</v>
      </c>
      <c r="I34" s="3">
        <f t="shared" si="7"/>
        <v>0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9</v>
      </c>
      <c r="E35" s="7">
        <f>C33</f>
        <v>0</v>
      </c>
      <c r="F35" s="3" t="str">
        <f t="shared" si="4"/>
        <v>T</v>
      </c>
      <c r="G35" s="3">
        <f t="shared" si="5"/>
        <v>0.5</v>
      </c>
      <c r="H35" s="3">
        <f t="shared" si="6"/>
        <v>0.5</v>
      </c>
      <c r="I35" s="3">
        <f t="shared" si="7"/>
        <v>0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10</v>
      </c>
      <c r="E36" s="7">
        <f>C34</f>
        <v>0</v>
      </c>
      <c r="F36" s="3" t="str">
        <f t="shared" si="4"/>
        <v>T</v>
      </c>
      <c r="G36" s="3">
        <f t="shared" si="5"/>
        <v>0.5</v>
      </c>
      <c r="H36" s="3">
        <f t="shared" si="6"/>
        <v>0.5</v>
      </c>
      <c r="I36" s="3">
        <f t="shared" si="7"/>
        <v>0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15</v>
      </c>
      <c r="E37" s="7">
        <f>C39</f>
        <v>0</v>
      </c>
      <c r="F37" s="3" t="str">
        <f t="shared" si="4"/>
        <v>T</v>
      </c>
      <c r="G37" s="3">
        <f t="shared" si="5"/>
        <v>0.5</v>
      </c>
      <c r="H37" s="3">
        <f t="shared" si="6"/>
        <v>0.5</v>
      </c>
      <c r="I37" s="3">
        <f t="shared" si="7"/>
        <v>0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16</v>
      </c>
      <c r="E38" s="7">
        <f>C40</f>
        <v>0</v>
      </c>
      <c r="F38" s="3" t="str">
        <f t="shared" si="4"/>
        <v>T</v>
      </c>
      <c r="G38" s="3">
        <f t="shared" si="5"/>
        <v>0.5</v>
      </c>
      <c r="H38" s="3">
        <f t="shared" si="6"/>
        <v>0.5</v>
      </c>
      <c r="I38" s="3">
        <f t="shared" si="7"/>
        <v>0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13</v>
      </c>
      <c r="E39" s="7">
        <f>C37</f>
        <v>0</v>
      </c>
      <c r="F39" s="3" t="str">
        <f t="shared" si="4"/>
        <v>T</v>
      </c>
      <c r="G39" s="3">
        <f t="shared" si="5"/>
        <v>0.5</v>
      </c>
      <c r="H39" s="3">
        <f t="shared" si="6"/>
        <v>0.5</v>
      </c>
      <c r="I39" s="3">
        <f t="shared" si="7"/>
        <v>0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14</v>
      </c>
      <c r="E40" s="7">
        <f>C38</f>
        <v>0</v>
      </c>
      <c r="F40" s="3" t="str">
        <f t="shared" si="4"/>
        <v>T</v>
      </c>
      <c r="G40" s="3">
        <f t="shared" si="5"/>
        <v>0.5</v>
      </c>
      <c r="H40" s="3">
        <f t="shared" si="6"/>
        <v>0.5</v>
      </c>
      <c r="I40" s="3">
        <f t="shared" si="7"/>
        <v>0</v>
      </c>
    </row>
    <row r="42" spans="1:9" ht="15" customHeight="1" x14ac:dyDescent="0.25">
      <c r="A42" s="70" t="s">
        <v>92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88</v>
      </c>
      <c r="H43" s="10" t="s">
        <v>89</v>
      </c>
      <c r="I43" s="10" t="s">
        <v>90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2</v>
      </c>
      <c r="E44" s="7">
        <f>C45</f>
        <v>0</v>
      </c>
      <c r="F44" s="3" t="str">
        <f t="shared" ref="F44:F59" si="8">IF(C44&gt;E44,"W",IF(C44&lt;E44,"L","T"))</f>
        <v>T</v>
      </c>
      <c r="G44" s="3">
        <f t="shared" ref="G44:G59" si="9">IF(F44="W",1,IF(F44="T",0.5,0))</f>
        <v>0.5</v>
      </c>
      <c r="H44" s="3">
        <f t="shared" ref="H44:H59" si="10">IF(F44="L",1,IF(F44="T",0.5,0))</f>
        <v>0.5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</v>
      </c>
      <c r="E45" s="7">
        <f>C44</f>
        <v>0</v>
      </c>
      <c r="F45" s="3" t="str">
        <f t="shared" si="8"/>
        <v>T</v>
      </c>
      <c r="G45" s="3">
        <f t="shared" si="9"/>
        <v>0.5</v>
      </c>
      <c r="H45" s="3">
        <f t="shared" si="10"/>
        <v>0.5</v>
      </c>
      <c r="I45" s="3">
        <f t="shared" si="11"/>
        <v>0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4</v>
      </c>
      <c r="E46" s="7">
        <f>C47</f>
        <v>0</v>
      </c>
      <c r="F46" s="3" t="str">
        <f t="shared" si="8"/>
        <v>T</v>
      </c>
      <c r="G46" s="3">
        <f t="shared" si="9"/>
        <v>0.5</v>
      </c>
      <c r="H46" s="3">
        <f t="shared" si="10"/>
        <v>0.5</v>
      </c>
      <c r="I46" s="3">
        <f t="shared" si="11"/>
        <v>0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3</v>
      </c>
      <c r="E47" s="7">
        <f>C46</f>
        <v>0</v>
      </c>
      <c r="F47" s="3" t="str">
        <f t="shared" si="8"/>
        <v>T</v>
      </c>
      <c r="G47" s="3">
        <f t="shared" si="9"/>
        <v>0.5</v>
      </c>
      <c r="H47" s="3">
        <f t="shared" si="10"/>
        <v>0.5</v>
      </c>
      <c r="I47" s="3">
        <f t="shared" si="11"/>
        <v>0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6</v>
      </c>
      <c r="E48" s="7">
        <f>C49</f>
        <v>0</v>
      </c>
      <c r="F48" s="3" t="str">
        <f t="shared" si="8"/>
        <v>T</v>
      </c>
      <c r="G48" s="3">
        <f t="shared" si="9"/>
        <v>0.5</v>
      </c>
      <c r="H48" s="3">
        <f t="shared" si="10"/>
        <v>0.5</v>
      </c>
      <c r="I48" s="3">
        <f t="shared" si="11"/>
        <v>0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5</v>
      </c>
      <c r="E49" s="7">
        <f>C48</f>
        <v>0</v>
      </c>
      <c r="F49" s="3" t="str">
        <f t="shared" si="8"/>
        <v>T</v>
      </c>
      <c r="G49" s="3">
        <f t="shared" si="9"/>
        <v>0.5</v>
      </c>
      <c r="H49" s="3">
        <f t="shared" si="10"/>
        <v>0.5</v>
      </c>
      <c r="I49" s="3">
        <f t="shared" si="11"/>
        <v>0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8</v>
      </c>
      <c r="E50" s="7">
        <f>C51</f>
        <v>0</v>
      </c>
      <c r="F50" s="3" t="str">
        <f t="shared" si="8"/>
        <v>T</v>
      </c>
      <c r="G50" s="3">
        <f t="shared" si="9"/>
        <v>0.5</v>
      </c>
      <c r="H50" s="3">
        <f t="shared" si="10"/>
        <v>0.5</v>
      </c>
      <c r="I50" s="3">
        <f t="shared" si="11"/>
        <v>0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7</v>
      </c>
      <c r="E51" s="7">
        <f>C50</f>
        <v>0</v>
      </c>
      <c r="F51" s="3" t="str">
        <f t="shared" si="8"/>
        <v>T</v>
      </c>
      <c r="G51" s="3">
        <f t="shared" si="9"/>
        <v>0.5</v>
      </c>
      <c r="H51" s="3">
        <f t="shared" si="10"/>
        <v>0.5</v>
      </c>
      <c r="I51" s="3">
        <f t="shared" si="11"/>
        <v>0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10</v>
      </c>
      <c r="E52" s="7">
        <f>C53</f>
        <v>0</v>
      </c>
      <c r="F52" s="3" t="str">
        <f t="shared" si="8"/>
        <v>T</v>
      </c>
      <c r="G52" s="3">
        <f t="shared" si="9"/>
        <v>0.5</v>
      </c>
      <c r="H52" s="3">
        <f t="shared" si="10"/>
        <v>0.5</v>
      </c>
      <c r="I52" s="3">
        <f t="shared" si="11"/>
        <v>0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9</v>
      </c>
      <c r="E53" s="7">
        <f>C52</f>
        <v>0</v>
      </c>
      <c r="F53" s="3" t="str">
        <f t="shared" si="8"/>
        <v>T</v>
      </c>
      <c r="G53" s="3">
        <f t="shared" si="9"/>
        <v>0.5</v>
      </c>
      <c r="H53" s="3">
        <f t="shared" si="10"/>
        <v>0.5</v>
      </c>
      <c r="I53" s="3">
        <f t="shared" si="11"/>
        <v>0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12</v>
      </c>
      <c r="E54" s="7">
        <f>C55</f>
        <v>0</v>
      </c>
      <c r="F54" s="3" t="str">
        <f t="shared" si="8"/>
        <v>T</v>
      </c>
      <c r="G54" s="3">
        <f t="shared" si="9"/>
        <v>0.5</v>
      </c>
      <c r="H54" s="3">
        <f t="shared" si="10"/>
        <v>0.5</v>
      </c>
      <c r="I54" s="3">
        <f t="shared" si="11"/>
        <v>0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11</v>
      </c>
      <c r="E55" s="7">
        <f>C54</f>
        <v>0</v>
      </c>
      <c r="F55" s="3" t="str">
        <f t="shared" si="8"/>
        <v>T</v>
      </c>
      <c r="G55" s="3">
        <f t="shared" si="9"/>
        <v>0.5</v>
      </c>
      <c r="H55" s="3">
        <f t="shared" si="10"/>
        <v>0.5</v>
      </c>
      <c r="I55" s="3">
        <f t="shared" si="11"/>
        <v>0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14</v>
      </c>
      <c r="E56" s="7">
        <f>C57</f>
        <v>0</v>
      </c>
      <c r="F56" s="3" t="str">
        <f t="shared" si="8"/>
        <v>T</v>
      </c>
      <c r="G56" s="3">
        <f t="shared" si="9"/>
        <v>0.5</v>
      </c>
      <c r="H56" s="3">
        <f t="shared" si="10"/>
        <v>0.5</v>
      </c>
      <c r="I56" s="3">
        <f t="shared" si="11"/>
        <v>0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13</v>
      </c>
      <c r="E57" s="7">
        <f>C56</f>
        <v>0</v>
      </c>
      <c r="F57" s="3" t="str">
        <f t="shared" si="8"/>
        <v>T</v>
      </c>
      <c r="G57" s="3">
        <f t="shared" si="9"/>
        <v>0.5</v>
      </c>
      <c r="H57" s="3">
        <f t="shared" si="10"/>
        <v>0.5</v>
      </c>
      <c r="I57" s="3">
        <f t="shared" si="11"/>
        <v>0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16</v>
      </c>
      <c r="E58" s="7">
        <f>C59</f>
        <v>0</v>
      </c>
      <c r="F58" s="3" t="str">
        <f t="shared" si="8"/>
        <v>T</v>
      </c>
      <c r="G58" s="3">
        <f t="shared" si="9"/>
        <v>0.5</v>
      </c>
      <c r="H58" s="3">
        <f t="shared" si="10"/>
        <v>0.5</v>
      </c>
      <c r="I58" s="3">
        <f t="shared" si="11"/>
        <v>0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15</v>
      </c>
      <c r="E59" s="7">
        <f>C58</f>
        <v>0</v>
      </c>
      <c r="F59" s="3" t="str">
        <f t="shared" si="8"/>
        <v>T</v>
      </c>
      <c r="G59" s="3">
        <f t="shared" si="9"/>
        <v>0.5</v>
      </c>
      <c r="H59" s="3">
        <f t="shared" si="10"/>
        <v>0.5</v>
      </c>
      <c r="I59" s="3">
        <f t="shared" si="11"/>
        <v>0</v>
      </c>
    </row>
    <row r="61" spans="1:9" ht="15" customHeight="1" x14ac:dyDescent="0.25">
      <c r="A61" s="70" t="s">
        <v>93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88</v>
      </c>
      <c r="H62" s="10" t="s">
        <v>89</v>
      </c>
      <c r="I62" s="10" t="s">
        <v>90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4</v>
      </c>
      <c r="E63" s="7">
        <f>C66</f>
        <v>0</v>
      </c>
      <c r="F63" s="3" t="str">
        <f t="shared" ref="F63:F78" si="12">IF(C63&gt;E63,"W",IF(C63&lt;E63,"L","T"))</f>
        <v>T</v>
      </c>
      <c r="G63" s="3">
        <f t="shared" ref="G63:G78" si="13">IF(F63="W",1,IF(F63="T",0.5,0))</f>
        <v>0.5</v>
      </c>
      <c r="H63" s="3">
        <f t="shared" ref="H63:H78" si="14">IF(F63="L",1,IF(F63="T",0.5,0))</f>
        <v>0.5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3</v>
      </c>
      <c r="E64" s="7">
        <f>C65</f>
        <v>0</v>
      </c>
      <c r="F64" s="3" t="str">
        <f t="shared" si="12"/>
        <v>T</v>
      </c>
      <c r="G64" s="3">
        <f t="shared" si="13"/>
        <v>0.5</v>
      </c>
      <c r="H64" s="3">
        <f t="shared" si="14"/>
        <v>0.5</v>
      </c>
      <c r="I64" s="3">
        <f t="shared" si="15"/>
        <v>0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2</v>
      </c>
      <c r="E65" s="7">
        <f>C64</f>
        <v>0</v>
      </c>
      <c r="F65" s="3" t="str">
        <f t="shared" si="12"/>
        <v>T</v>
      </c>
      <c r="G65" s="3">
        <f t="shared" si="13"/>
        <v>0.5</v>
      </c>
      <c r="H65" s="3">
        <f t="shared" si="14"/>
        <v>0.5</v>
      </c>
      <c r="I65" s="3">
        <f t="shared" si="15"/>
        <v>0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</v>
      </c>
      <c r="E66" s="7">
        <f>C63</f>
        <v>0</v>
      </c>
      <c r="F66" s="3" t="str">
        <f t="shared" si="12"/>
        <v>T</v>
      </c>
      <c r="G66" s="3">
        <f t="shared" si="13"/>
        <v>0.5</v>
      </c>
      <c r="H66" s="3">
        <f t="shared" si="14"/>
        <v>0.5</v>
      </c>
      <c r="I66" s="3">
        <f t="shared" si="15"/>
        <v>0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8</v>
      </c>
      <c r="E67" s="7">
        <f>C70</f>
        <v>0</v>
      </c>
      <c r="F67" s="3" t="str">
        <f t="shared" si="12"/>
        <v>T</v>
      </c>
      <c r="G67" s="3">
        <f t="shared" si="13"/>
        <v>0.5</v>
      </c>
      <c r="H67" s="3">
        <f t="shared" si="14"/>
        <v>0.5</v>
      </c>
      <c r="I67" s="3">
        <f t="shared" si="15"/>
        <v>0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7</v>
      </c>
      <c r="E68" s="7">
        <f>C69</f>
        <v>0</v>
      </c>
      <c r="F68" s="3" t="str">
        <f t="shared" si="12"/>
        <v>T</v>
      </c>
      <c r="G68" s="3">
        <f t="shared" si="13"/>
        <v>0.5</v>
      </c>
      <c r="H68" s="3">
        <f t="shared" si="14"/>
        <v>0.5</v>
      </c>
      <c r="I68" s="3">
        <f t="shared" si="15"/>
        <v>0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6</v>
      </c>
      <c r="E69" s="7">
        <f>C68</f>
        <v>0</v>
      </c>
      <c r="F69" s="3" t="str">
        <f t="shared" si="12"/>
        <v>T</v>
      </c>
      <c r="G69" s="3">
        <f t="shared" si="13"/>
        <v>0.5</v>
      </c>
      <c r="H69" s="3">
        <f t="shared" si="14"/>
        <v>0.5</v>
      </c>
      <c r="I69" s="3">
        <f t="shared" si="15"/>
        <v>0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5</v>
      </c>
      <c r="E70" s="7">
        <f>C67</f>
        <v>0</v>
      </c>
      <c r="F70" s="3" t="str">
        <f t="shared" si="12"/>
        <v>T</v>
      </c>
      <c r="G70" s="3">
        <f t="shared" si="13"/>
        <v>0.5</v>
      </c>
      <c r="H70" s="3">
        <f t="shared" si="14"/>
        <v>0.5</v>
      </c>
      <c r="I70" s="3">
        <f t="shared" si="15"/>
        <v>0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12</v>
      </c>
      <c r="E71" s="7">
        <f>C74</f>
        <v>0</v>
      </c>
      <c r="F71" s="3" t="str">
        <f t="shared" si="12"/>
        <v>T</v>
      </c>
      <c r="G71" s="3">
        <f t="shared" si="13"/>
        <v>0.5</v>
      </c>
      <c r="H71" s="3">
        <f t="shared" si="14"/>
        <v>0.5</v>
      </c>
      <c r="I71" s="3">
        <f t="shared" si="15"/>
        <v>0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11</v>
      </c>
      <c r="E72" s="7">
        <f>C73</f>
        <v>0</v>
      </c>
      <c r="F72" s="3" t="str">
        <f t="shared" si="12"/>
        <v>T</v>
      </c>
      <c r="G72" s="3">
        <f t="shared" si="13"/>
        <v>0.5</v>
      </c>
      <c r="H72" s="3">
        <f t="shared" si="14"/>
        <v>0.5</v>
      </c>
      <c r="I72" s="3">
        <f t="shared" si="15"/>
        <v>0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10</v>
      </c>
      <c r="E73" s="7">
        <f>C72</f>
        <v>0</v>
      </c>
      <c r="F73" s="3" t="str">
        <f t="shared" si="12"/>
        <v>T</v>
      </c>
      <c r="G73" s="3">
        <f t="shared" si="13"/>
        <v>0.5</v>
      </c>
      <c r="H73" s="3">
        <f t="shared" si="14"/>
        <v>0.5</v>
      </c>
      <c r="I73" s="3">
        <f t="shared" si="15"/>
        <v>0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9</v>
      </c>
      <c r="E74" s="7">
        <f>C71</f>
        <v>0</v>
      </c>
      <c r="F74" s="3" t="str">
        <f t="shared" si="12"/>
        <v>T</v>
      </c>
      <c r="G74" s="3">
        <f t="shared" si="13"/>
        <v>0.5</v>
      </c>
      <c r="H74" s="3">
        <f t="shared" si="14"/>
        <v>0.5</v>
      </c>
      <c r="I74" s="3">
        <f t="shared" si="15"/>
        <v>0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16</v>
      </c>
      <c r="E75" s="7">
        <f>C78</f>
        <v>0</v>
      </c>
      <c r="F75" s="3" t="str">
        <f t="shared" si="12"/>
        <v>T</v>
      </c>
      <c r="G75" s="3">
        <f t="shared" si="13"/>
        <v>0.5</v>
      </c>
      <c r="H75" s="3">
        <f t="shared" si="14"/>
        <v>0.5</v>
      </c>
      <c r="I75" s="3">
        <f t="shared" si="15"/>
        <v>0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15</v>
      </c>
      <c r="E76" s="7">
        <f>C77</f>
        <v>0</v>
      </c>
      <c r="F76" s="3" t="str">
        <f t="shared" si="12"/>
        <v>T</v>
      </c>
      <c r="G76" s="3">
        <f t="shared" si="13"/>
        <v>0.5</v>
      </c>
      <c r="H76" s="3">
        <f t="shared" si="14"/>
        <v>0.5</v>
      </c>
      <c r="I76" s="3">
        <f t="shared" si="15"/>
        <v>0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14</v>
      </c>
      <c r="E77" s="7">
        <f>C76</f>
        <v>0</v>
      </c>
      <c r="F77" s="3" t="str">
        <f t="shared" si="12"/>
        <v>T</v>
      </c>
      <c r="G77" s="3">
        <f t="shared" si="13"/>
        <v>0.5</v>
      </c>
      <c r="H77" s="3">
        <f t="shared" si="14"/>
        <v>0.5</v>
      </c>
      <c r="I77" s="3">
        <f t="shared" si="15"/>
        <v>0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13</v>
      </c>
      <c r="E78" s="7">
        <f>C75</f>
        <v>0</v>
      </c>
      <c r="F78" s="3" t="str">
        <f t="shared" si="12"/>
        <v>T</v>
      </c>
      <c r="G78" s="3">
        <f t="shared" si="13"/>
        <v>0.5</v>
      </c>
      <c r="H78" s="3">
        <f t="shared" si="14"/>
        <v>0.5</v>
      </c>
      <c r="I78" s="3">
        <f t="shared" si="15"/>
        <v>0</v>
      </c>
    </row>
    <row r="80" spans="1:9" ht="15" customHeight="1" x14ac:dyDescent="0.25">
      <c r="A80" s="70" t="s">
        <v>94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88</v>
      </c>
      <c r="H81" s="10" t="s">
        <v>89</v>
      </c>
      <c r="I81" s="10" t="s">
        <v>90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3</v>
      </c>
      <c r="E82" s="7">
        <f>C84</f>
        <v>0</v>
      </c>
      <c r="F82" s="3" t="str">
        <f t="shared" ref="F82:F97" si="16">IF(C82&gt;E82,"W",IF(C82&lt;E82,"L","T"))</f>
        <v>T</v>
      </c>
      <c r="G82" s="3">
        <f t="shared" ref="G82:G97" si="17">IF(F82="W",1,IF(F82="T",0.5,0))</f>
        <v>0.5</v>
      </c>
      <c r="H82" s="3">
        <f t="shared" ref="H82:H97" si="18">IF(F82="L",1,IF(F82="T",0.5,0))</f>
        <v>0.5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4</v>
      </c>
      <c r="E83" s="7">
        <f>C85</f>
        <v>0</v>
      </c>
      <c r="F83" s="3" t="str">
        <f t="shared" si="16"/>
        <v>T</v>
      </c>
      <c r="G83" s="3">
        <f t="shared" si="17"/>
        <v>0.5</v>
      </c>
      <c r="H83" s="3">
        <f t="shared" si="18"/>
        <v>0.5</v>
      </c>
      <c r="I83" s="3">
        <f t="shared" si="19"/>
        <v>0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</v>
      </c>
      <c r="E84" s="7">
        <f>C82</f>
        <v>0</v>
      </c>
      <c r="F84" s="3" t="str">
        <f t="shared" si="16"/>
        <v>T</v>
      </c>
      <c r="G84" s="3">
        <f t="shared" si="17"/>
        <v>0.5</v>
      </c>
      <c r="H84" s="3">
        <f t="shared" si="18"/>
        <v>0.5</v>
      </c>
      <c r="I84" s="3">
        <f t="shared" si="19"/>
        <v>0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2</v>
      </c>
      <c r="E85" s="7">
        <f>C83</f>
        <v>0</v>
      </c>
      <c r="F85" s="3" t="str">
        <f t="shared" si="16"/>
        <v>T</v>
      </c>
      <c r="G85" s="3">
        <f t="shared" si="17"/>
        <v>0.5</v>
      </c>
      <c r="H85" s="3">
        <f t="shared" si="18"/>
        <v>0.5</v>
      </c>
      <c r="I85" s="3">
        <f t="shared" si="19"/>
        <v>0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7</v>
      </c>
      <c r="E86" s="7">
        <f>C88</f>
        <v>0</v>
      </c>
      <c r="F86" s="3" t="str">
        <f t="shared" si="16"/>
        <v>T</v>
      </c>
      <c r="G86" s="3">
        <f t="shared" si="17"/>
        <v>0.5</v>
      </c>
      <c r="H86" s="3">
        <f t="shared" si="18"/>
        <v>0.5</v>
      </c>
      <c r="I86" s="3">
        <f t="shared" si="19"/>
        <v>0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8</v>
      </c>
      <c r="E87" s="7">
        <f>C89</f>
        <v>0</v>
      </c>
      <c r="F87" s="3" t="str">
        <f t="shared" si="16"/>
        <v>T</v>
      </c>
      <c r="G87" s="3">
        <f t="shared" si="17"/>
        <v>0.5</v>
      </c>
      <c r="H87" s="3">
        <f t="shared" si="18"/>
        <v>0.5</v>
      </c>
      <c r="I87" s="3">
        <f t="shared" si="19"/>
        <v>0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5</v>
      </c>
      <c r="E88" s="7">
        <f>C86</f>
        <v>0</v>
      </c>
      <c r="F88" s="3" t="str">
        <f t="shared" si="16"/>
        <v>T</v>
      </c>
      <c r="G88" s="3">
        <f t="shared" si="17"/>
        <v>0.5</v>
      </c>
      <c r="H88" s="3">
        <f t="shared" si="18"/>
        <v>0.5</v>
      </c>
      <c r="I88" s="3">
        <f t="shared" si="19"/>
        <v>0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6</v>
      </c>
      <c r="E89" s="7">
        <f>C87</f>
        <v>0</v>
      </c>
      <c r="F89" s="3" t="str">
        <f t="shared" si="16"/>
        <v>T</v>
      </c>
      <c r="G89" s="3">
        <f t="shared" si="17"/>
        <v>0.5</v>
      </c>
      <c r="H89" s="3">
        <f t="shared" si="18"/>
        <v>0.5</v>
      </c>
      <c r="I89" s="3">
        <f t="shared" si="19"/>
        <v>0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11</v>
      </c>
      <c r="E90" s="7">
        <f>C92</f>
        <v>0</v>
      </c>
      <c r="F90" s="3" t="str">
        <f t="shared" si="16"/>
        <v>T</v>
      </c>
      <c r="G90" s="3">
        <f t="shared" si="17"/>
        <v>0.5</v>
      </c>
      <c r="H90" s="3">
        <f t="shared" si="18"/>
        <v>0.5</v>
      </c>
      <c r="I90" s="3">
        <f t="shared" si="19"/>
        <v>0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12</v>
      </c>
      <c r="E91" s="7">
        <f>C93</f>
        <v>0</v>
      </c>
      <c r="F91" s="3" t="str">
        <f t="shared" si="16"/>
        <v>T</v>
      </c>
      <c r="G91" s="3">
        <f t="shared" si="17"/>
        <v>0.5</v>
      </c>
      <c r="H91" s="3">
        <f t="shared" si="18"/>
        <v>0.5</v>
      </c>
      <c r="I91" s="3">
        <f t="shared" si="19"/>
        <v>0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9</v>
      </c>
      <c r="E92" s="7">
        <f>C90</f>
        <v>0</v>
      </c>
      <c r="F92" s="3" t="str">
        <f t="shared" si="16"/>
        <v>T</v>
      </c>
      <c r="G92" s="3">
        <f t="shared" si="17"/>
        <v>0.5</v>
      </c>
      <c r="H92" s="3">
        <f t="shared" si="18"/>
        <v>0.5</v>
      </c>
      <c r="I92" s="3">
        <f t="shared" si="19"/>
        <v>0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10</v>
      </c>
      <c r="E93" s="7">
        <f>C91</f>
        <v>0</v>
      </c>
      <c r="F93" s="3" t="str">
        <f t="shared" si="16"/>
        <v>T</v>
      </c>
      <c r="G93" s="3">
        <f t="shared" si="17"/>
        <v>0.5</v>
      </c>
      <c r="H93" s="3">
        <f t="shared" si="18"/>
        <v>0.5</v>
      </c>
      <c r="I93" s="3">
        <f t="shared" si="19"/>
        <v>0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15</v>
      </c>
      <c r="E94" s="7">
        <f>C96</f>
        <v>0</v>
      </c>
      <c r="F94" s="3" t="str">
        <f t="shared" si="16"/>
        <v>T</v>
      </c>
      <c r="G94" s="3">
        <f t="shared" si="17"/>
        <v>0.5</v>
      </c>
      <c r="H94" s="3">
        <f t="shared" si="18"/>
        <v>0.5</v>
      </c>
      <c r="I94" s="3">
        <f t="shared" si="19"/>
        <v>0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16</v>
      </c>
      <c r="E95" s="7">
        <f>C97</f>
        <v>0</v>
      </c>
      <c r="F95" s="3" t="str">
        <f t="shared" si="16"/>
        <v>T</v>
      </c>
      <c r="G95" s="3">
        <f t="shared" si="17"/>
        <v>0.5</v>
      </c>
      <c r="H95" s="3">
        <f t="shared" si="18"/>
        <v>0.5</v>
      </c>
      <c r="I95" s="3">
        <f t="shared" si="19"/>
        <v>0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13</v>
      </c>
      <c r="E96" s="7">
        <f>C94</f>
        <v>0</v>
      </c>
      <c r="F96" s="3" t="str">
        <f t="shared" si="16"/>
        <v>T</v>
      </c>
      <c r="G96" s="3">
        <f t="shared" si="17"/>
        <v>0.5</v>
      </c>
      <c r="H96" s="3">
        <f t="shared" si="18"/>
        <v>0.5</v>
      </c>
      <c r="I96" s="3">
        <f t="shared" si="19"/>
        <v>0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14</v>
      </c>
      <c r="E97" s="7">
        <f>C95</f>
        <v>0</v>
      </c>
      <c r="F97" s="3" t="str">
        <f t="shared" si="16"/>
        <v>T</v>
      </c>
      <c r="G97" s="3">
        <f t="shared" si="17"/>
        <v>0.5</v>
      </c>
      <c r="H97" s="3">
        <f t="shared" si="18"/>
        <v>0.5</v>
      </c>
      <c r="I97" s="3">
        <f t="shared" si="19"/>
        <v>0</v>
      </c>
    </row>
    <row r="99" spans="1:9" ht="15" customHeight="1" x14ac:dyDescent="0.25">
      <c r="A99" s="70" t="s">
        <v>95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88</v>
      </c>
      <c r="H100" s="10" t="s">
        <v>89</v>
      </c>
      <c r="I100" s="10" t="s">
        <v>90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2</v>
      </c>
      <c r="E101" s="7">
        <f>C102</f>
        <v>0</v>
      </c>
      <c r="F101" s="3" t="str">
        <f t="shared" ref="F101:F116" si="20">IF(C101&gt;E101,"W",IF(C101&lt;E101,"L","T"))</f>
        <v>T</v>
      </c>
      <c r="G101" s="3">
        <f t="shared" ref="G101:G116" si="21">IF(F101="W",1,IF(F101="T",0.5,0))</f>
        <v>0.5</v>
      </c>
      <c r="H101" s="3">
        <f t="shared" ref="H101:H116" si="22">IF(F101="L",1,IF(F101="T",0.5,0))</f>
        <v>0.5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</v>
      </c>
      <c r="E102" s="7">
        <f>C101</f>
        <v>0</v>
      </c>
      <c r="F102" s="3" t="str">
        <f t="shared" si="20"/>
        <v>T</v>
      </c>
      <c r="G102" s="3">
        <f t="shared" si="21"/>
        <v>0.5</v>
      </c>
      <c r="H102" s="3">
        <f t="shared" si="22"/>
        <v>0.5</v>
      </c>
      <c r="I102" s="3">
        <f t="shared" si="23"/>
        <v>0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4</v>
      </c>
      <c r="E103" s="7">
        <f>C104</f>
        <v>0</v>
      </c>
      <c r="F103" s="3" t="str">
        <f t="shared" si="20"/>
        <v>T</v>
      </c>
      <c r="G103" s="3">
        <f t="shared" si="21"/>
        <v>0.5</v>
      </c>
      <c r="H103" s="3">
        <f t="shared" si="22"/>
        <v>0.5</v>
      </c>
      <c r="I103" s="3">
        <f t="shared" si="23"/>
        <v>0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3</v>
      </c>
      <c r="E104" s="7">
        <f>C103</f>
        <v>0</v>
      </c>
      <c r="F104" s="3" t="str">
        <f t="shared" si="20"/>
        <v>T</v>
      </c>
      <c r="G104" s="3">
        <f t="shared" si="21"/>
        <v>0.5</v>
      </c>
      <c r="H104" s="3">
        <f t="shared" si="22"/>
        <v>0.5</v>
      </c>
      <c r="I104" s="3">
        <f t="shared" si="23"/>
        <v>0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6</v>
      </c>
      <c r="E105" s="7">
        <f>C106</f>
        <v>0</v>
      </c>
      <c r="F105" s="3" t="str">
        <f t="shared" si="20"/>
        <v>T</v>
      </c>
      <c r="G105" s="3">
        <f t="shared" si="21"/>
        <v>0.5</v>
      </c>
      <c r="H105" s="3">
        <f t="shared" si="22"/>
        <v>0.5</v>
      </c>
      <c r="I105" s="3">
        <f t="shared" si="23"/>
        <v>0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5</v>
      </c>
      <c r="E106" s="7">
        <f>C105</f>
        <v>0</v>
      </c>
      <c r="F106" s="3" t="str">
        <f t="shared" si="20"/>
        <v>T</v>
      </c>
      <c r="G106" s="3">
        <f t="shared" si="21"/>
        <v>0.5</v>
      </c>
      <c r="H106" s="3">
        <f t="shared" si="22"/>
        <v>0.5</v>
      </c>
      <c r="I106" s="3">
        <f t="shared" si="23"/>
        <v>0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8</v>
      </c>
      <c r="E107" s="7">
        <f>C108</f>
        <v>0</v>
      </c>
      <c r="F107" s="3" t="str">
        <f t="shared" si="20"/>
        <v>T</v>
      </c>
      <c r="G107" s="3">
        <f t="shared" si="21"/>
        <v>0.5</v>
      </c>
      <c r="H107" s="3">
        <f t="shared" si="22"/>
        <v>0.5</v>
      </c>
      <c r="I107" s="3">
        <f t="shared" si="23"/>
        <v>0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7</v>
      </c>
      <c r="E108" s="7">
        <f>C107</f>
        <v>0</v>
      </c>
      <c r="F108" s="3" t="str">
        <f t="shared" si="20"/>
        <v>T</v>
      </c>
      <c r="G108" s="3">
        <f t="shared" si="21"/>
        <v>0.5</v>
      </c>
      <c r="H108" s="3">
        <f t="shared" si="22"/>
        <v>0.5</v>
      </c>
      <c r="I108" s="3">
        <f t="shared" si="23"/>
        <v>0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10</v>
      </c>
      <c r="E109" s="7">
        <f>C110</f>
        <v>0</v>
      </c>
      <c r="F109" s="3" t="str">
        <f t="shared" si="20"/>
        <v>T</v>
      </c>
      <c r="G109" s="3">
        <f t="shared" si="21"/>
        <v>0.5</v>
      </c>
      <c r="H109" s="3">
        <f t="shared" si="22"/>
        <v>0.5</v>
      </c>
      <c r="I109" s="3">
        <f t="shared" si="23"/>
        <v>0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9</v>
      </c>
      <c r="E110" s="7">
        <f>C109</f>
        <v>0</v>
      </c>
      <c r="F110" s="3" t="str">
        <f t="shared" si="20"/>
        <v>T</v>
      </c>
      <c r="G110" s="3">
        <f t="shared" si="21"/>
        <v>0.5</v>
      </c>
      <c r="H110" s="3">
        <f t="shared" si="22"/>
        <v>0.5</v>
      </c>
      <c r="I110" s="3">
        <f t="shared" si="23"/>
        <v>0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12</v>
      </c>
      <c r="E111" s="7">
        <f>C112</f>
        <v>0</v>
      </c>
      <c r="F111" s="3" t="str">
        <f t="shared" si="20"/>
        <v>T</v>
      </c>
      <c r="G111" s="3">
        <f t="shared" si="21"/>
        <v>0.5</v>
      </c>
      <c r="H111" s="3">
        <f t="shared" si="22"/>
        <v>0.5</v>
      </c>
      <c r="I111" s="3">
        <f t="shared" si="23"/>
        <v>0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11</v>
      </c>
      <c r="E112" s="7">
        <f>C111</f>
        <v>0</v>
      </c>
      <c r="F112" s="3" t="str">
        <f t="shared" si="20"/>
        <v>T</v>
      </c>
      <c r="G112" s="3">
        <f t="shared" si="21"/>
        <v>0.5</v>
      </c>
      <c r="H112" s="3">
        <f t="shared" si="22"/>
        <v>0.5</v>
      </c>
      <c r="I112" s="3">
        <f t="shared" si="23"/>
        <v>0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14</v>
      </c>
      <c r="E113" s="7">
        <f>C114</f>
        <v>0</v>
      </c>
      <c r="F113" s="3" t="str">
        <f t="shared" si="20"/>
        <v>T</v>
      </c>
      <c r="G113" s="3">
        <f t="shared" si="21"/>
        <v>0.5</v>
      </c>
      <c r="H113" s="3">
        <f t="shared" si="22"/>
        <v>0.5</v>
      </c>
      <c r="I113" s="3">
        <f t="shared" si="23"/>
        <v>0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13</v>
      </c>
      <c r="E114" s="7">
        <f>C113</f>
        <v>0</v>
      </c>
      <c r="F114" s="3" t="str">
        <f t="shared" si="20"/>
        <v>T</v>
      </c>
      <c r="G114" s="3">
        <f t="shared" si="21"/>
        <v>0.5</v>
      </c>
      <c r="H114" s="3">
        <f t="shared" si="22"/>
        <v>0.5</v>
      </c>
      <c r="I114" s="3">
        <f t="shared" si="23"/>
        <v>0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16</v>
      </c>
      <c r="E115" s="7">
        <f>C116</f>
        <v>0</v>
      </c>
      <c r="F115" s="3" t="str">
        <f t="shared" si="20"/>
        <v>T</v>
      </c>
      <c r="G115" s="3">
        <f t="shared" si="21"/>
        <v>0.5</v>
      </c>
      <c r="H115" s="3">
        <f t="shared" si="22"/>
        <v>0.5</v>
      </c>
      <c r="I115" s="3">
        <f t="shared" si="23"/>
        <v>0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15</v>
      </c>
      <c r="E116" s="7">
        <f>C115</f>
        <v>0</v>
      </c>
      <c r="F116" s="3" t="str">
        <f t="shared" si="20"/>
        <v>T</v>
      </c>
      <c r="G116" s="3">
        <f t="shared" si="21"/>
        <v>0.5</v>
      </c>
      <c r="H116" s="3">
        <f t="shared" si="22"/>
        <v>0.5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73" t="s">
        <v>96</v>
      </c>
      <c r="B1" s="63"/>
      <c r="C1" s="63"/>
      <c r="D1" s="63"/>
      <c r="E1" s="63"/>
      <c r="F1" s="63"/>
      <c r="G1" s="63"/>
      <c r="H1" s="63"/>
      <c r="I1" s="63"/>
      <c r="J1" s="63"/>
      <c r="K1" s="64"/>
    </row>
    <row r="2" spans="1:11" ht="15" customHeight="1" x14ac:dyDescent="0.25">
      <c r="A2" s="13" t="s">
        <v>97</v>
      </c>
      <c r="B2" s="13" t="s">
        <v>98</v>
      </c>
      <c r="C2" s="13" t="s">
        <v>99</v>
      </c>
      <c r="D2" s="13" t="s">
        <v>100</v>
      </c>
      <c r="E2" s="13" t="s">
        <v>101</v>
      </c>
      <c r="F2" s="13" t="s">
        <v>102</v>
      </c>
      <c r="G2" s="13" t="s">
        <v>103</v>
      </c>
      <c r="H2" s="13" t="s">
        <v>104</v>
      </c>
      <c r="I2" s="13" t="s">
        <v>105</v>
      </c>
      <c r="J2" s="13" t="s">
        <v>106</v>
      </c>
      <c r="K2" s="13" t="s">
        <v>107</v>
      </c>
    </row>
    <row r="3" spans="1:11" ht="15" customHeight="1" x14ac:dyDescent="0.25">
      <c r="A3" s="14">
        <v>1</v>
      </c>
      <c r="B3" s="15" t="str">
        <f>INDEX(Helper!$B$2:$B$17,MATCH(LARGE(Helper!$AH$2:$AH$17,1),Helper!$AH$2:$AH$17,0))</f>
        <v>Player 16</v>
      </c>
      <c r="C3" s="16">
        <f>INDEX(Helper!$C$2:$C$17,MATCH(LARGE(Helper!$AH$2:$AH$17,1),Helper!$AH$2:$AH$17,0))</f>
        <v>3</v>
      </c>
      <c r="D3" s="16">
        <f>INDEX(Helper!$D$2:$D$17,MATCH(LARGE(Helper!$AH$2:$AH$17,1),Helper!$AH$2:$AH$17,0))</f>
        <v>3</v>
      </c>
      <c r="E3" s="16">
        <f>INDEX(Helper!$E$2:$E$17,MATCH(LARGE(Helper!$AH$2:$AH$17,1),Helper!$AH$2:$AH$17,0))</f>
        <v>3</v>
      </c>
      <c r="F3" s="16">
        <f>INDEX(Helper!$F$2:$F$17,MATCH(LARGE(Helper!$AH$2:$AH$17,1),Helper!$AH$2:$AH$17,0))</f>
        <v>3</v>
      </c>
      <c r="G3" s="16">
        <f>INDEX(Helper!$G$2:$G$17,MATCH(LARGE(Helper!$AH$2:$AH$17,1),Helper!$AH$2:$AH$17,0))</f>
        <v>3</v>
      </c>
      <c r="H3" s="16">
        <f>INDEX(Helper!$H$2:$H$17,MATCH(LARGE(Helper!$AH$2:$AH$17,1),Helper!$AH$2:$AH$17,0))</f>
        <v>3</v>
      </c>
      <c r="I3" s="13">
        <f>INDEX(Helper!$I$2:$I$17,MATCH(LARGE(Helper!$AH$2:$AH$17,1),Helper!$AH$2:$AH$17,0))</f>
        <v>18</v>
      </c>
      <c r="J3" s="16">
        <f>INDEX(Helper!$J$2:$J$17,MATCH(LARGE(Helper!$AH$2:$AH$17,1),Helper!$AH$2:$AH$17,0))</f>
        <v>0</v>
      </c>
      <c r="K3" s="16">
        <f t="shared" ref="K3:K18" si="0">MAX(C3:H3)</f>
        <v>3</v>
      </c>
    </row>
    <row r="4" spans="1:11" ht="15" customHeight="1" x14ac:dyDescent="0.25">
      <c r="A4" s="17">
        <v>2</v>
      </c>
      <c r="B4" s="15" t="str">
        <f>INDEX(Helper!$B$2:$B$17,MATCH(LARGE(Helper!$AH$2:$AH$17,2),Helper!$AH$2:$AH$17,0))</f>
        <v>Player 15</v>
      </c>
      <c r="C4" s="16">
        <f>INDEX(Helper!$C$2:$C$17,MATCH(LARGE(Helper!$AH$2:$AH$17,2),Helper!$AH$2:$AH$17,0))</f>
        <v>3</v>
      </c>
      <c r="D4" s="16">
        <f>INDEX(Helper!$D$2:$D$17,MATCH(LARGE(Helper!$AH$2:$AH$17,2),Helper!$AH$2:$AH$17,0))</f>
        <v>3</v>
      </c>
      <c r="E4" s="16">
        <f>INDEX(Helper!$E$2:$E$17,MATCH(LARGE(Helper!$AH$2:$AH$17,2),Helper!$AH$2:$AH$17,0))</f>
        <v>3</v>
      </c>
      <c r="F4" s="16">
        <f>INDEX(Helper!$F$2:$F$17,MATCH(LARGE(Helper!$AH$2:$AH$17,2),Helper!$AH$2:$AH$17,0))</f>
        <v>3</v>
      </c>
      <c r="G4" s="16">
        <f>INDEX(Helper!$G$2:$G$17,MATCH(LARGE(Helper!$AH$2:$AH$17,2),Helper!$AH$2:$AH$17,0))</f>
        <v>3</v>
      </c>
      <c r="H4" s="16">
        <f>INDEX(Helper!$H$2:$H$17,MATCH(LARGE(Helper!$AH$2:$AH$17,2),Helper!$AH$2:$AH$17,0))</f>
        <v>3</v>
      </c>
      <c r="I4" s="13">
        <f>INDEX(Helper!$I$2:$I$17,MATCH(LARGE(Helper!$AH$2:$AH$17,2),Helper!$AH$2:$AH$17,0))</f>
        <v>18</v>
      </c>
      <c r="J4" s="16">
        <f>INDEX(Helper!$J$2:$J$17,MATCH(LARGE(Helper!$AH$2:$AH$17,2),Helper!$AH$2:$AH$17,0))</f>
        <v>0</v>
      </c>
      <c r="K4" s="16">
        <f t="shared" si="0"/>
        <v>3</v>
      </c>
    </row>
    <row r="5" spans="1:11" ht="15" customHeight="1" x14ac:dyDescent="0.25">
      <c r="A5" s="18">
        <v>3</v>
      </c>
      <c r="B5" s="15" t="str">
        <f>INDEX(Helper!$B$2:$B$17,MATCH(LARGE(Helper!$AH$2:$AH$17,3),Helper!$AH$2:$AH$17,0))</f>
        <v>Player 14</v>
      </c>
      <c r="C5" s="16">
        <f>INDEX(Helper!$C$2:$C$17,MATCH(LARGE(Helper!$AH$2:$AH$17,3),Helper!$AH$2:$AH$17,0))</f>
        <v>3</v>
      </c>
      <c r="D5" s="16">
        <f>INDEX(Helper!$D$2:$D$17,MATCH(LARGE(Helper!$AH$2:$AH$17,3),Helper!$AH$2:$AH$17,0))</f>
        <v>3</v>
      </c>
      <c r="E5" s="16">
        <f>INDEX(Helper!$E$2:$E$17,MATCH(LARGE(Helper!$AH$2:$AH$17,3),Helper!$AH$2:$AH$17,0))</f>
        <v>3</v>
      </c>
      <c r="F5" s="16">
        <f>INDEX(Helper!$F$2:$F$17,MATCH(LARGE(Helper!$AH$2:$AH$17,3),Helper!$AH$2:$AH$17,0))</f>
        <v>3</v>
      </c>
      <c r="G5" s="16">
        <f>INDEX(Helper!$G$2:$G$17,MATCH(LARGE(Helper!$AH$2:$AH$17,3),Helper!$AH$2:$AH$17,0))</f>
        <v>3</v>
      </c>
      <c r="H5" s="16">
        <f>INDEX(Helper!$H$2:$H$17,MATCH(LARGE(Helper!$AH$2:$AH$17,3),Helper!$AH$2:$AH$17,0))</f>
        <v>3</v>
      </c>
      <c r="I5" s="13">
        <f>INDEX(Helper!$I$2:$I$17,MATCH(LARGE(Helper!$AH$2:$AH$17,3),Helper!$AH$2:$AH$17,0))</f>
        <v>18</v>
      </c>
      <c r="J5" s="16">
        <f>INDEX(Helper!$J$2:$J$17,MATCH(LARGE(Helper!$AH$2:$AH$17,3),Helper!$AH$2:$AH$17,0))</f>
        <v>0</v>
      </c>
      <c r="K5" s="16">
        <f t="shared" si="0"/>
        <v>3</v>
      </c>
    </row>
    <row r="6" spans="1:11" ht="15" customHeight="1" x14ac:dyDescent="0.25">
      <c r="A6" s="19">
        <v>4</v>
      </c>
      <c r="B6" s="15" t="str">
        <f>INDEX(Helper!$B$2:$B$17,MATCH(LARGE(Helper!$AH$2:$AH$17,4),Helper!$AH$2:$AH$17,0))</f>
        <v>Player 13</v>
      </c>
      <c r="C6" s="16">
        <f>INDEX(Helper!$C$2:$C$17,MATCH(LARGE(Helper!$AH$2:$AH$17,4),Helper!$AH$2:$AH$17,0))</f>
        <v>3</v>
      </c>
      <c r="D6" s="16">
        <f>INDEX(Helper!$D$2:$D$17,MATCH(LARGE(Helper!$AH$2:$AH$17,4),Helper!$AH$2:$AH$17,0))</f>
        <v>3</v>
      </c>
      <c r="E6" s="16">
        <f>INDEX(Helper!$E$2:$E$17,MATCH(LARGE(Helper!$AH$2:$AH$17,4),Helper!$AH$2:$AH$17,0))</f>
        <v>3</v>
      </c>
      <c r="F6" s="16">
        <f>INDEX(Helper!$F$2:$F$17,MATCH(LARGE(Helper!$AH$2:$AH$17,4),Helper!$AH$2:$AH$17,0))</f>
        <v>3</v>
      </c>
      <c r="G6" s="16">
        <f>INDEX(Helper!$G$2:$G$17,MATCH(LARGE(Helper!$AH$2:$AH$17,4),Helper!$AH$2:$AH$17,0))</f>
        <v>3</v>
      </c>
      <c r="H6" s="16">
        <f>INDEX(Helper!$H$2:$H$17,MATCH(LARGE(Helper!$AH$2:$AH$17,4),Helper!$AH$2:$AH$17,0))</f>
        <v>3</v>
      </c>
      <c r="I6" s="13">
        <f>INDEX(Helper!$I$2:$I$17,MATCH(LARGE(Helper!$AH$2:$AH$17,4),Helper!$AH$2:$AH$17,0))</f>
        <v>18</v>
      </c>
      <c r="J6" s="16">
        <f>INDEX(Helper!$J$2:$J$17,MATCH(LARGE(Helper!$AH$2:$AH$17,4),Helper!$AH$2:$AH$17,0))</f>
        <v>0</v>
      </c>
      <c r="K6" s="16">
        <f t="shared" si="0"/>
        <v>3</v>
      </c>
    </row>
    <row r="7" spans="1:11" ht="15" customHeight="1" x14ac:dyDescent="0.25">
      <c r="A7" s="19">
        <v>5</v>
      </c>
      <c r="B7" s="15" t="str">
        <f>INDEX(Helper!$B$2:$B$17,MATCH(LARGE(Helper!$AH$2:$AH$17,5),Helper!$AH$2:$AH$17,0))</f>
        <v>Player 12</v>
      </c>
      <c r="C7" s="16">
        <f>INDEX(Helper!$C$2:$C$17,MATCH(LARGE(Helper!$AH$2:$AH$17,5),Helper!$AH$2:$AH$17,0))</f>
        <v>3</v>
      </c>
      <c r="D7" s="16">
        <f>INDEX(Helper!$D$2:$D$17,MATCH(LARGE(Helper!$AH$2:$AH$17,5),Helper!$AH$2:$AH$17,0))</f>
        <v>3</v>
      </c>
      <c r="E7" s="16">
        <f>INDEX(Helper!$E$2:$E$17,MATCH(LARGE(Helper!$AH$2:$AH$17,5),Helper!$AH$2:$AH$17,0))</f>
        <v>3</v>
      </c>
      <c r="F7" s="16">
        <f>INDEX(Helper!$F$2:$F$17,MATCH(LARGE(Helper!$AH$2:$AH$17,5),Helper!$AH$2:$AH$17,0))</f>
        <v>3</v>
      </c>
      <c r="G7" s="16">
        <f>INDEX(Helper!$G$2:$G$17,MATCH(LARGE(Helper!$AH$2:$AH$17,5),Helper!$AH$2:$AH$17,0))</f>
        <v>3</v>
      </c>
      <c r="H7" s="16">
        <f>INDEX(Helper!$H$2:$H$17,MATCH(LARGE(Helper!$AH$2:$AH$17,5),Helper!$AH$2:$AH$17,0))</f>
        <v>3</v>
      </c>
      <c r="I7" s="13">
        <f>INDEX(Helper!$I$2:$I$17,MATCH(LARGE(Helper!$AH$2:$AH$17,5),Helper!$AH$2:$AH$17,0))</f>
        <v>18</v>
      </c>
      <c r="J7" s="16">
        <f>INDEX(Helper!$J$2:$J$17,MATCH(LARGE(Helper!$AH$2:$AH$17,5),Helper!$AH$2:$AH$17,0))</f>
        <v>0</v>
      </c>
      <c r="K7" s="16">
        <f t="shared" si="0"/>
        <v>3</v>
      </c>
    </row>
    <row r="8" spans="1:11" ht="15" customHeight="1" x14ac:dyDescent="0.25">
      <c r="A8" s="19">
        <v>6</v>
      </c>
      <c r="B8" s="15" t="str">
        <f>INDEX(Helper!$B$2:$B$17,MATCH(LARGE(Helper!$AH$2:$AH$17,6),Helper!$AH$2:$AH$17,0))</f>
        <v>Player 11</v>
      </c>
      <c r="C8" s="16">
        <f>INDEX(Helper!$C$2:$C$17,MATCH(LARGE(Helper!$AH$2:$AH$17,6),Helper!$AH$2:$AH$17,0))</f>
        <v>3</v>
      </c>
      <c r="D8" s="16">
        <f>INDEX(Helper!$D$2:$D$17,MATCH(LARGE(Helper!$AH$2:$AH$17,6),Helper!$AH$2:$AH$17,0))</f>
        <v>3</v>
      </c>
      <c r="E8" s="16">
        <f>INDEX(Helper!$E$2:$E$17,MATCH(LARGE(Helper!$AH$2:$AH$17,6),Helper!$AH$2:$AH$17,0))</f>
        <v>3</v>
      </c>
      <c r="F8" s="16">
        <f>INDEX(Helper!$F$2:$F$17,MATCH(LARGE(Helper!$AH$2:$AH$17,6),Helper!$AH$2:$AH$17,0))</f>
        <v>3</v>
      </c>
      <c r="G8" s="16">
        <f>INDEX(Helper!$G$2:$G$17,MATCH(LARGE(Helper!$AH$2:$AH$17,6),Helper!$AH$2:$AH$17,0))</f>
        <v>3</v>
      </c>
      <c r="H8" s="16">
        <f>INDEX(Helper!$H$2:$H$17,MATCH(LARGE(Helper!$AH$2:$AH$17,6),Helper!$AH$2:$AH$17,0))</f>
        <v>3</v>
      </c>
      <c r="I8" s="13">
        <f>INDEX(Helper!$I$2:$I$17,MATCH(LARGE(Helper!$AH$2:$AH$17,6),Helper!$AH$2:$AH$17,0))</f>
        <v>18</v>
      </c>
      <c r="J8" s="16">
        <f>INDEX(Helper!$J$2:$J$17,MATCH(LARGE(Helper!$AH$2:$AH$17,6),Helper!$AH$2:$AH$17,0))</f>
        <v>0</v>
      </c>
      <c r="K8" s="16">
        <f t="shared" si="0"/>
        <v>3</v>
      </c>
    </row>
    <row r="9" spans="1:11" ht="15" customHeight="1" x14ac:dyDescent="0.25">
      <c r="A9" s="19">
        <v>7</v>
      </c>
      <c r="B9" s="15" t="str">
        <f>INDEX(Helper!$B$2:$B$17,MATCH(LARGE(Helper!$AH$2:$AH$17,7),Helper!$AH$2:$AH$17,0))</f>
        <v>Player 10</v>
      </c>
      <c r="C9" s="16">
        <f>INDEX(Helper!$C$2:$C$17,MATCH(LARGE(Helper!$AH$2:$AH$17,7),Helper!$AH$2:$AH$17,0))</f>
        <v>3</v>
      </c>
      <c r="D9" s="16">
        <f>INDEX(Helper!$D$2:$D$17,MATCH(LARGE(Helper!$AH$2:$AH$17,7),Helper!$AH$2:$AH$17,0))</f>
        <v>3</v>
      </c>
      <c r="E9" s="16">
        <f>INDEX(Helper!$E$2:$E$17,MATCH(LARGE(Helper!$AH$2:$AH$17,7),Helper!$AH$2:$AH$17,0))</f>
        <v>3</v>
      </c>
      <c r="F9" s="16">
        <f>INDEX(Helper!$F$2:$F$17,MATCH(LARGE(Helper!$AH$2:$AH$17,7),Helper!$AH$2:$AH$17,0))</f>
        <v>3</v>
      </c>
      <c r="G9" s="16">
        <f>INDEX(Helper!$G$2:$G$17,MATCH(LARGE(Helper!$AH$2:$AH$17,7),Helper!$AH$2:$AH$17,0))</f>
        <v>3</v>
      </c>
      <c r="H9" s="16">
        <f>INDEX(Helper!$H$2:$H$17,MATCH(LARGE(Helper!$AH$2:$AH$17,7),Helper!$AH$2:$AH$17,0))</f>
        <v>3</v>
      </c>
      <c r="I9" s="13">
        <f>INDEX(Helper!$I$2:$I$17,MATCH(LARGE(Helper!$AH$2:$AH$17,7),Helper!$AH$2:$AH$17,0))</f>
        <v>18</v>
      </c>
      <c r="J9" s="16">
        <f>INDEX(Helper!$J$2:$J$17,MATCH(LARGE(Helper!$AH$2:$AH$17,7),Helper!$AH$2:$AH$17,0))</f>
        <v>0</v>
      </c>
      <c r="K9" s="16">
        <f t="shared" si="0"/>
        <v>3</v>
      </c>
    </row>
    <row r="10" spans="1:11" ht="15" customHeight="1" x14ac:dyDescent="0.25">
      <c r="A10" s="19">
        <v>8</v>
      </c>
      <c r="B10" s="15" t="str">
        <f>INDEX(Helper!$B$2:$B$17,MATCH(LARGE(Helper!$AH$2:$AH$17,8),Helper!$AH$2:$AH$17,0))</f>
        <v>Player 9</v>
      </c>
      <c r="C10" s="16">
        <f>INDEX(Helper!$C$2:$C$17,MATCH(LARGE(Helper!$AH$2:$AH$17,8),Helper!$AH$2:$AH$17,0))</f>
        <v>3</v>
      </c>
      <c r="D10" s="16">
        <f>INDEX(Helper!$D$2:$D$17,MATCH(LARGE(Helper!$AH$2:$AH$17,8),Helper!$AH$2:$AH$17,0))</f>
        <v>3</v>
      </c>
      <c r="E10" s="16">
        <f>INDEX(Helper!$E$2:$E$17,MATCH(LARGE(Helper!$AH$2:$AH$17,8),Helper!$AH$2:$AH$17,0))</f>
        <v>3</v>
      </c>
      <c r="F10" s="16">
        <f>INDEX(Helper!$F$2:$F$17,MATCH(LARGE(Helper!$AH$2:$AH$17,8),Helper!$AH$2:$AH$17,0))</f>
        <v>3</v>
      </c>
      <c r="G10" s="16">
        <f>INDEX(Helper!$G$2:$G$17,MATCH(LARGE(Helper!$AH$2:$AH$17,8),Helper!$AH$2:$AH$17,0))</f>
        <v>3</v>
      </c>
      <c r="H10" s="16">
        <f>INDEX(Helper!$H$2:$H$17,MATCH(LARGE(Helper!$AH$2:$AH$17,8),Helper!$AH$2:$AH$17,0))</f>
        <v>3</v>
      </c>
      <c r="I10" s="13">
        <f>INDEX(Helper!$I$2:$I$17,MATCH(LARGE(Helper!$AH$2:$AH$17,8),Helper!$AH$2:$AH$17,0))</f>
        <v>18</v>
      </c>
      <c r="J10" s="16">
        <f>INDEX(Helper!$J$2:$J$17,MATCH(LARGE(Helper!$AH$2:$AH$17,8),Helper!$AH$2:$AH$17,0))</f>
        <v>0</v>
      </c>
      <c r="K10" s="16">
        <f t="shared" si="0"/>
        <v>3</v>
      </c>
    </row>
    <row r="11" spans="1:11" ht="15" customHeight="1" x14ac:dyDescent="0.25">
      <c r="A11" s="19">
        <v>9</v>
      </c>
      <c r="B11" s="15" t="str">
        <f>INDEX(Helper!$B$2:$B$17,MATCH(LARGE(Helper!$AH$2:$AH$17,9),Helper!$AH$2:$AH$17,0))</f>
        <v>Player 8</v>
      </c>
      <c r="C11" s="16">
        <f>INDEX(Helper!$C$2:$C$17,MATCH(LARGE(Helper!$AH$2:$AH$17,9),Helper!$AH$2:$AH$17,0))</f>
        <v>3</v>
      </c>
      <c r="D11" s="16">
        <f>INDEX(Helper!$D$2:$D$17,MATCH(LARGE(Helper!$AH$2:$AH$17,9),Helper!$AH$2:$AH$17,0))</f>
        <v>3</v>
      </c>
      <c r="E11" s="16">
        <f>INDEX(Helper!$E$2:$E$17,MATCH(LARGE(Helper!$AH$2:$AH$17,9),Helper!$AH$2:$AH$17,0))</f>
        <v>3</v>
      </c>
      <c r="F11" s="16">
        <f>INDEX(Helper!$F$2:$F$17,MATCH(LARGE(Helper!$AH$2:$AH$17,9),Helper!$AH$2:$AH$17,0))</f>
        <v>3</v>
      </c>
      <c r="G11" s="16">
        <f>INDEX(Helper!$G$2:$G$17,MATCH(LARGE(Helper!$AH$2:$AH$17,9),Helper!$AH$2:$AH$17,0))</f>
        <v>3</v>
      </c>
      <c r="H11" s="16">
        <f>INDEX(Helper!$H$2:$H$17,MATCH(LARGE(Helper!$AH$2:$AH$17,9),Helper!$AH$2:$AH$17,0))</f>
        <v>3</v>
      </c>
      <c r="I11" s="13">
        <f>INDEX(Helper!$I$2:$I$17,MATCH(LARGE(Helper!$AH$2:$AH$17,9),Helper!$AH$2:$AH$17,0))</f>
        <v>18</v>
      </c>
      <c r="J11" s="16">
        <f>INDEX(Helper!$J$2:$J$17,MATCH(LARGE(Helper!$AH$2:$AH$17,9),Helper!$AH$2:$AH$17,0))</f>
        <v>0</v>
      </c>
      <c r="K11" s="16">
        <f t="shared" si="0"/>
        <v>3</v>
      </c>
    </row>
    <row r="12" spans="1:11" ht="15" customHeight="1" x14ac:dyDescent="0.25">
      <c r="A12" s="19">
        <v>10</v>
      </c>
      <c r="B12" s="15" t="str">
        <f>INDEX(Helper!$B$2:$B$17,MATCH(LARGE(Helper!$AH$2:$AH$17,10),Helper!$AH$2:$AH$17,0))</f>
        <v>Player 7</v>
      </c>
      <c r="C12" s="16">
        <f>INDEX(Helper!$C$2:$C$17,MATCH(LARGE(Helper!$AH$2:$AH$17,10),Helper!$AH$2:$AH$17,0))</f>
        <v>3</v>
      </c>
      <c r="D12" s="16">
        <f>INDEX(Helper!$D$2:$D$17,MATCH(LARGE(Helper!$AH$2:$AH$17,10),Helper!$AH$2:$AH$17,0))</f>
        <v>3</v>
      </c>
      <c r="E12" s="16">
        <f>INDEX(Helper!$E$2:$E$17,MATCH(LARGE(Helper!$AH$2:$AH$17,10),Helper!$AH$2:$AH$17,0))</f>
        <v>3</v>
      </c>
      <c r="F12" s="16">
        <f>INDEX(Helper!$F$2:$F$17,MATCH(LARGE(Helper!$AH$2:$AH$17,10),Helper!$AH$2:$AH$17,0))</f>
        <v>3</v>
      </c>
      <c r="G12" s="16">
        <f>INDEX(Helper!$G$2:$G$17,MATCH(LARGE(Helper!$AH$2:$AH$17,10),Helper!$AH$2:$AH$17,0))</f>
        <v>3</v>
      </c>
      <c r="H12" s="16">
        <f>INDEX(Helper!$H$2:$H$17,MATCH(LARGE(Helper!$AH$2:$AH$17,10),Helper!$AH$2:$AH$17,0))</f>
        <v>3</v>
      </c>
      <c r="I12" s="13">
        <f>INDEX(Helper!$I$2:$I$17,MATCH(LARGE(Helper!$AH$2:$AH$17,10),Helper!$AH$2:$AH$17,0))</f>
        <v>18</v>
      </c>
      <c r="J12" s="16">
        <f>INDEX(Helper!$J$2:$J$17,MATCH(LARGE(Helper!$AH$2:$AH$17,10),Helper!$AH$2:$AH$17,0))</f>
        <v>0</v>
      </c>
      <c r="K12" s="16">
        <f t="shared" si="0"/>
        <v>3</v>
      </c>
    </row>
    <row r="13" spans="1:11" ht="15" customHeight="1" x14ac:dyDescent="0.25">
      <c r="A13" s="19">
        <v>11</v>
      </c>
      <c r="B13" s="15" t="str">
        <f>INDEX(Helper!$B$2:$B$17,MATCH(LARGE(Helper!$AH$2:$AH$17,11),Helper!$AH$2:$AH$17,0))</f>
        <v>Player 6</v>
      </c>
      <c r="C13" s="16">
        <f>INDEX(Helper!$C$2:$C$17,MATCH(LARGE(Helper!$AH$2:$AH$17,11),Helper!$AH$2:$AH$17,0))</f>
        <v>3</v>
      </c>
      <c r="D13" s="16">
        <f>INDEX(Helper!$D$2:$D$17,MATCH(LARGE(Helper!$AH$2:$AH$17,11),Helper!$AH$2:$AH$17,0))</f>
        <v>3</v>
      </c>
      <c r="E13" s="16">
        <f>INDEX(Helper!$E$2:$E$17,MATCH(LARGE(Helper!$AH$2:$AH$17,11),Helper!$AH$2:$AH$17,0))</f>
        <v>3</v>
      </c>
      <c r="F13" s="16">
        <f>INDEX(Helper!$F$2:$F$17,MATCH(LARGE(Helper!$AH$2:$AH$17,11),Helper!$AH$2:$AH$17,0))</f>
        <v>3</v>
      </c>
      <c r="G13" s="16">
        <f>INDEX(Helper!$G$2:$G$17,MATCH(LARGE(Helper!$AH$2:$AH$17,11),Helper!$AH$2:$AH$17,0))</f>
        <v>3</v>
      </c>
      <c r="H13" s="16">
        <f>INDEX(Helper!$H$2:$H$17,MATCH(LARGE(Helper!$AH$2:$AH$17,11),Helper!$AH$2:$AH$17,0))</f>
        <v>3</v>
      </c>
      <c r="I13" s="13">
        <f>INDEX(Helper!$I$2:$I$17,MATCH(LARGE(Helper!$AH$2:$AH$17,11),Helper!$AH$2:$AH$17,0))</f>
        <v>18</v>
      </c>
      <c r="J13" s="16">
        <f>INDEX(Helper!$J$2:$J$17,MATCH(LARGE(Helper!$AH$2:$AH$17,11),Helper!$AH$2:$AH$17,0))</f>
        <v>0</v>
      </c>
      <c r="K13" s="16">
        <f t="shared" si="0"/>
        <v>3</v>
      </c>
    </row>
    <row r="14" spans="1:11" ht="15" customHeight="1" x14ac:dyDescent="0.25">
      <c r="A14" s="19">
        <v>12</v>
      </c>
      <c r="B14" s="15" t="str">
        <f>INDEX(Helper!$B$2:$B$17,MATCH(LARGE(Helper!$AH$2:$AH$17,12),Helper!$AH$2:$AH$17,0))</f>
        <v>Player 5</v>
      </c>
      <c r="C14" s="16">
        <f>INDEX(Helper!$C$2:$C$17,MATCH(LARGE(Helper!$AH$2:$AH$17,12),Helper!$AH$2:$AH$17,0))</f>
        <v>3</v>
      </c>
      <c r="D14" s="16">
        <f>INDEX(Helper!$D$2:$D$17,MATCH(LARGE(Helper!$AH$2:$AH$17,12),Helper!$AH$2:$AH$17,0))</f>
        <v>3</v>
      </c>
      <c r="E14" s="16">
        <f>INDEX(Helper!$E$2:$E$17,MATCH(LARGE(Helper!$AH$2:$AH$17,12),Helper!$AH$2:$AH$17,0))</f>
        <v>3</v>
      </c>
      <c r="F14" s="16">
        <f>INDEX(Helper!$F$2:$F$17,MATCH(LARGE(Helper!$AH$2:$AH$17,12),Helper!$AH$2:$AH$17,0))</f>
        <v>3</v>
      </c>
      <c r="G14" s="16">
        <f>INDEX(Helper!$G$2:$G$17,MATCH(LARGE(Helper!$AH$2:$AH$17,12),Helper!$AH$2:$AH$17,0))</f>
        <v>3</v>
      </c>
      <c r="H14" s="16">
        <f>INDEX(Helper!$H$2:$H$17,MATCH(LARGE(Helper!$AH$2:$AH$17,12),Helper!$AH$2:$AH$17,0))</f>
        <v>3</v>
      </c>
      <c r="I14" s="13">
        <f>INDEX(Helper!$I$2:$I$17,MATCH(LARGE(Helper!$AH$2:$AH$17,12),Helper!$AH$2:$AH$17,0))</f>
        <v>18</v>
      </c>
      <c r="J14" s="16">
        <f>INDEX(Helper!$J$2:$J$17,MATCH(LARGE(Helper!$AH$2:$AH$17,12),Helper!$AH$2:$AH$17,0))</f>
        <v>0</v>
      </c>
      <c r="K14" s="16">
        <f t="shared" si="0"/>
        <v>3</v>
      </c>
    </row>
    <row r="15" spans="1:11" ht="15" customHeight="1" x14ac:dyDescent="0.25">
      <c r="A15" s="19">
        <v>13</v>
      </c>
      <c r="B15" s="15" t="str">
        <f>INDEX(Helper!$B$2:$B$17,MATCH(LARGE(Helper!$AH$2:$AH$17,13),Helper!$AH$2:$AH$17,0))</f>
        <v>Player 4</v>
      </c>
      <c r="C15" s="16">
        <f>INDEX(Helper!$C$2:$C$17,MATCH(LARGE(Helper!$AH$2:$AH$17,13),Helper!$AH$2:$AH$17,0))</f>
        <v>3</v>
      </c>
      <c r="D15" s="16">
        <f>INDEX(Helper!$D$2:$D$17,MATCH(LARGE(Helper!$AH$2:$AH$17,13),Helper!$AH$2:$AH$17,0))</f>
        <v>3</v>
      </c>
      <c r="E15" s="16">
        <f>INDEX(Helper!$E$2:$E$17,MATCH(LARGE(Helper!$AH$2:$AH$17,13),Helper!$AH$2:$AH$17,0))</f>
        <v>3</v>
      </c>
      <c r="F15" s="16">
        <f>INDEX(Helper!$F$2:$F$17,MATCH(LARGE(Helper!$AH$2:$AH$17,13),Helper!$AH$2:$AH$17,0))</f>
        <v>3</v>
      </c>
      <c r="G15" s="16">
        <f>INDEX(Helper!$G$2:$G$17,MATCH(LARGE(Helper!$AH$2:$AH$17,13),Helper!$AH$2:$AH$17,0))</f>
        <v>3</v>
      </c>
      <c r="H15" s="16">
        <f>INDEX(Helper!$H$2:$H$17,MATCH(LARGE(Helper!$AH$2:$AH$17,13),Helper!$AH$2:$AH$17,0))</f>
        <v>3</v>
      </c>
      <c r="I15" s="13">
        <f>INDEX(Helper!$I$2:$I$17,MATCH(LARGE(Helper!$AH$2:$AH$17,13),Helper!$AH$2:$AH$17,0))</f>
        <v>18</v>
      </c>
      <c r="J15" s="16">
        <f>INDEX(Helper!$J$2:$J$17,MATCH(LARGE(Helper!$AH$2:$AH$17,13),Helper!$AH$2:$AH$17,0))</f>
        <v>0</v>
      </c>
      <c r="K15" s="16">
        <f t="shared" si="0"/>
        <v>3</v>
      </c>
    </row>
    <row r="16" spans="1:11" ht="15" customHeight="1" x14ac:dyDescent="0.25">
      <c r="A16" s="19">
        <v>14</v>
      </c>
      <c r="B16" s="15" t="str">
        <f>INDEX(Helper!$B$2:$B$17,MATCH(LARGE(Helper!$AH$2:$AH$17,14),Helper!$AH$2:$AH$17,0))</f>
        <v>Player 3</v>
      </c>
      <c r="C16" s="16">
        <f>INDEX(Helper!$C$2:$C$17,MATCH(LARGE(Helper!$AH$2:$AH$17,14),Helper!$AH$2:$AH$17,0))</f>
        <v>3</v>
      </c>
      <c r="D16" s="16">
        <f>INDEX(Helper!$D$2:$D$17,MATCH(LARGE(Helper!$AH$2:$AH$17,14),Helper!$AH$2:$AH$17,0))</f>
        <v>3</v>
      </c>
      <c r="E16" s="16">
        <f>INDEX(Helper!$E$2:$E$17,MATCH(LARGE(Helper!$AH$2:$AH$17,14),Helper!$AH$2:$AH$17,0))</f>
        <v>3</v>
      </c>
      <c r="F16" s="16">
        <f>INDEX(Helper!$F$2:$F$17,MATCH(LARGE(Helper!$AH$2:$AH$17,14),Helper!$AH$2:$AH$17,0))</f>
        <v>3</v>
      </c>
      <c r="G16" s="16">
        <f>INDEX(Helper!$G$2:$G$17,MATCH(LARGE(Helper!$AH$2:$AH$17,14),Helper!$AH$2:$AH$17,0))</f>
        <v>3</v>
      </c>
      <c r="H16" s="16">
        <f>INDEX(Helper!$H$2:$H$17,MATCH(LARGE(Helper!$AH$2:$AH$17,14),Helper!$AH$2:$AH$17,0))</f>
        <v>3</v>
      </c>
      <c r="I16" s="13">
        <f>INDEX(Helper!$I$2:$I$17,MATCH(LARGE(Helper!$AH$2:$AH$17,14),Helper!$AH$2:$AH$17,0))</f>
        <v>18</v>
      </c>
      <c r="J16" s="16">
        <f>INDEX(Helper!$J$2:$J$17,MATCH(LARGE(Helper!$AH$2:$AH$17,14),Helper!$AH$2:$AH$17,0))</f>
        <v>0</v>
      </c>
      <c r="K16" s="16">
        <f t="shared" si="0"/>
        <v>3</v>
      </c>
    </row>
    <row r="17" spans="1:11" ht="15" customHeight="1" x14ac:dyDescent="0.25">
      <c r="A17" s="19">
        <v>15</v>
      </c>
      <c r="B17" s="15" t="str">
        <f>INDEX(Helper!$B$2:$B$17,MATCH(LARGE(Helper!$AH$2:$AH$17,15),Helper!$AH$2:$AH$17,0))</f>
        <v>Player 2</v>
      </c>
      <c r="C17" s="16">
        <f>INDEX(Helper!$C$2:$C$17,MATCH(LARGE(Helper!$AH$2:$AH$17,15),Helper!$AH$2:$AH$17,0))</f>
        <v>3</v>
      </c>
      <c r="D17" s="16">
        <f>INDEX(Helper!$D$2:$D$17,MATCH(LARGE(Helper!$AH$2:$AH$17,15),Helper!$AH$2:$AH$17,0))</f>
        <v>3</v>
      </c>
      <c r="E17" s="16">
        <f>INDEX(Helper!$E$2:$E$17,MATCH(LARGE(Helper!$AH$2:$AH$17,15),Helper!$AH$2:$AH$17,0))</f>
        <v>3</v>
      </c>
      <c r="F17" s="16">
        <f>INDEX(Helper!$F$2:$F$17,MATCH(LARGE(Helper!$AH$2:$AH$17,15),Helper!$AH$2:$AH$17,0))</f>
        <v>3</v>
      </c>
      <c r="G17" s="16">
        <f>INDEX(Helper!$G$2:$G$17,MATCH(LARGE(Helper!$AH$2:$AH$17,15),Helper!$AH$2:$AH$17,0))</f>
        <v>3</v>
      </c>
      <c r="H17" s="16">
        <f>INDEX(Helper!$H$2:$H$17,MATCH(LARGE(Helper!$AH$2:$AH$17,15),Helper!$AH$2:$AH$17,0))</f>
        <v>3</v>
      </c>
      <c r="I17" s="13">
        <f>INDEX(Helper!$I$2:$I$17,MATCH(LARGE(Helper!$AH$2:$AH$17,15),Helper!$AH$2:$AH$17,0))</f>
        <v>18</v>
      </c>
      <c r="J17" s="16">
        <f>INDEX(Helper!$J$2:$J$17,MATCH(LARGE(Helper!$AH$2:$AH$17,15),Helper!$AH$2:$AH$17,0))</f>
        <v>0</v>
      </c>
      <c r="K17" s="16">
        <f t="shared" si="0"/>
        <v>3</v>
      </c>
    </row>
    <row r="18" spans="1:11" ht="15" customHeight="1" x14ac:dyDescent="0.25">
      <c r="A18" s="19">
        <v>16</v>
      </c>
      <c r="B18" s="15" t="str">
        <f>INDEX(Helper!$B$2:$B$17,MATCH(LARGE(Helper!$AH$2:$AH$17,16),Helper!$AH$2:$AH$17,0))</f>
        <v>Player 1</v>
      </c>
      <c r="C18" s="16">
        <f>INDEX(Helper!$C$2:$C$17,MATCH(LARGE(Helper!$AH$2:$AH$17,16),Helper!$AH$2:$AH$17,0))</f>
        <v>3</v>
      </c>
      <c r="D18" s="16">
        <f>INDEX(Helper!$D$2:$D$17,MATCH(LARGE(Helper!$AH$2:$AH$17,16),Helper!$AH$2:$AH$17,0))</f>
        <v>3</v>
      </c>
      <c r="E18" s="16">
        <f>INDEX(Helper!$E$2:$E$17,MATCH(LARGE(Helper!$AH$2:$AH$17,16),Helper!$AH$2:$AH$17,0))</f>
        <v>3</v>
      </c>
      <c r="F18" s="16">
        <f>INDEX(Helper!$F$2:$F$17,MATCH(LARGE(Helper!$AH$2:$AH$17,16),Helper!$AH$2:$AH$17,0))</f>
        <v>3</v>
      </c>
      <c r="G18" s="16">
        <f>INDEX(Helper!$G$2:$G$17,MATCH(LARGE(Helper!$AH$2:$AH$17,16),Helper!$AH$2:$AH$17,0))</f>
        <v>3</v>
      </c>
      <c r="H18" s="16">
        <f>INDEX(Helper!$H$2:$H$17,MATCH(LARGE(Helper!$AH$2:$AH$17,16),Helper!$AH$2:$AH$17,0))</f>
        <v>3</v>
      </c>
      <c r="I18" s="13">
        <f>INDEX(Helper!$I$2:$I$17,MATCH(LARGE(Helper!$AH$2:$AH$17,16),Helper!$AH$2:$AH$17,0))</f>
        <v>18</v>
      </c>
      <c r="J18" s="16">
        <f>INDEX(Helper!$J$2:$J$17,MATCH(LARGE(Helper!$AH$2:$AH$17,16),Helper!$AH$2:$AH$17,0))</f>
        <v>0</v>
      </c>
      <c r="K18" s="16">
        <f t="shared" si="0"/>
        <v>3</v>
      </c>
    </row>
    <row r="20" spans="1:11" ht="15" customHeight="1" x14ac:dyDescent="0.25">
      <c r="A20" s="72" t="s">
        <v>108</v>
      </c>
      <c r="B20" s="63"/>
      <c r="C20" s="63"/>
      <c r="D20" s="63"/>
      <c r="E20" s="63"/>
      <c r="F20" s="63"/>
      <c r="G20" s="63"/>
      <c r="H20" s="63"/>
      <c r="I20" s="63"/>
      <c r="J20" s="63"/>
      <c r="K20" s="64"/>
    </row>
    <row r="21" spans="1:11" ht="15" customHeight="1" x14ac:dyDescent="0.25">
      <c r="A21" s="20" t="s">
        <v>97</v>
      </c>
      <c r="B21" s="20" t="s">
        <v>98</v>
      </c>
      <c r="C21" s="20" t="s">
        <v>109</v>
      </c>
      <c r="D21" s="20" t="s">
        <v>110</v>
      </c>
      <c r="E21" s="20" t="s">
        <v>111</v>
      </c>
      <c r="F21" s="20" t="s">
        <v>112</v>
      </c>
      <c r="G21" s="20" t="s">
        <v>113</v>
      </c>
      <c r="H21" s="20" t="s">
        <v>114</v>
      </c>
      <c r="I21" s="20" t="s">
        <v>105</v>
      </c>
      <c r="J21" s="20" t="s">
        <v>106</v>
      </c>
      <c r="K21" s="20" t="s">
        <v>107</v>
      </c>
    </row>
    <row r="22" spans="1:11" ht="15" customHeight="1" x14ac:dyDescent="0.25">
      <c r="A22" s="14">
        <v>1</v>
      </c>
      <c r="B22" s="15" t="str">
        <f>INDEX(Helper!$B$2:$B$17,MATCH(LARGE(Helper!$AJ$2:$AJ$17,1),Helper!$AJ$2:$AJ$17,0))</f>
        <v>Player 16</v>
      </c>
      <c r="C22" s="16">
        <f>INDEX(Helper!$L$2:$L$17,MATCH(LARGE(Helper!$AJ$2:$AJ$17,1),Helper!$AJ$2:$AJ$17,0))</f>
        <v>5</v>
      </c>
      <c r="D22" s="16">
        <f>INDEX(Helper!$M$2:$M$17,MATCH(LARGE(Helper!$AJ$2:$AJ$17,1),Helper!$AJ$2:$AJ$17,0))</f>
        <v>5</v>
      </c>
      <c r="E22" s="16">
        <f>INDEX(Helper!$N$2:$N$17,MATCH(LARGE(Helper!$AJ$2:$AJ$17,1),Helper!$AJ$2:$AJ$17,0))</f>
        <v>5</v>
      </c>
      <c r="F22" s="16">
        <f>INDEX(Helper!$O$2:$O$17,MATCH(LARGE(Helper!$AJ$2:$AJ$17,1),Helper!$AJ$2:$AJ$17,0))</f>
        <v>5</v>
      </c>
      <c r="G22" s="16">
        <f>INDEX(Helper!$P$2:$P$17,MATCH(LARGE(Helper!$AJ$2:$AJ$17,1),Helper!$AJ$2:$AJ$17,0))</f>
        <v>5</v>
      </c>
      <c r="H22" s="16">
        <f>INDEX(Helper!$Q$2:$Q$17,MATCH(LARGE(Helper!$AJ$2:$AJ$17,1),Helper!$AJ$2:$AJ$17,0))</f>
        <v>5</v>
      </c>
      <c r="I22" s="20">
        <f>INDEX(Helper!$R$2:$R$17,MATCH(LARGE(Helper!$AJ$2:$AJ$17,1),Helper!$AJ$2:$AJ$17,0))</f>
        <v>30</v>
      </c>
      <c r="J22" s="16">
        <f>INDEX(Helper!$S$2:$S$17,MATCH(LARGE(Helper!$AJ$2:$AJ$17,1),Helper!$AJ$2:$AJ$17,0))</f>
        <v>0</v>
      </c>
      <c r="K22" s="16">
        <f t="shared" ref="K22:K37" si="1">MAX(C22:H22)</f>
        <v>5</v>
      </c>
    </row>
    <row r="23" spans="1:11" ht="15" customHeight="1" x14ac:dyDescent="0.25">
      <c r="A23" s="17">
        <v>2</v>
      </c>
      <c r="B23" s="15" t="str">
        <f>INDEX(Helper!$B$2:$B$17,MATCH(LARGE(Helper!$AJ$2:$AJ$17,2),Helper!$AJ$2:$AJ$17,0))</f>
        <v>Player 15</v>
      </c>
      <c r="C23" s="16">
        <f>INDEX(Helper!$L$2:$L$17,MATCH(LARGE(Helper!$AJ$2:$AJ$17,2),Helper!$AJ$2:$AJ$17,0))</f>
        <v>5</v>
      </c>
      <c r="D23" s="16">
        <f>INDEX(Helper!$M$2:$M$17,MATCH(LARGE(Helper!$AJ$2:$AJ$17,2),Helper!$AJ$2:$AJ$17,0))</f>
        <v>5</v>
      </c>
      <c r="E23" s="16">
        <f>INDEX(Helper!$N$2:$N$17,MATCH(LARGE(Helper!$AJ$2:$AJ$17,2),Helper!$AJ$2:$AJ$17,0))</f>
        <v>5</v>
      </c>
      <c r="F23" s="16">
        <f>INDEX(Helper!$O$2:$O$17,MATCH(LARGE(Helper!$AJ$2:$AJ$17,2),Helper!$AJ$2:$AJ$17,0))</f>
        <v>5</v>
      </c>
      <c r="G23" s="16">
        <f>INDEX(Helper!$P$2:$P$17,MATCH(LARGE(Helper!$AJ$2:$AJ$17,2),Helper!$AJ$2:$AJ$17,0))</f>
        <v>5</v>
      </c>
      <c r="H23" s="16">
        <f>INDEX(Helper!$Q$2:$Q$17,MATCH(LARGE(Helper!$AJ$2:$AJ$17,2),Helper!$AJ$2:$AJ$17,0))</f>
        <v>5</v>
      </c>
      <c r="I23" s="20">
        <f>INDEX(Helper!$R$2:$R$17,MATCH(LARGE(Helper!$AJ$2:$AJ$17,2),Helper!$AJ$2:$AJ$17,0))</f>
        <v>30</v>
      </c>
      <c r="J23" s="16">
        <f>INDEX(Helper!$S$2:$S$17,MATCH(LARGE(Helper!$AJ$2:$AJ$17,2),Helper!$AJ$2:$AJ$17,0))</f>
        <v>0</v>
      </c>
      <c r="K23" s="16">
        <f t="shared" si="1"/>
        <v>5</v>
      </c>
    </row>
    <row r="24" spans="1:11" ht="15" customHeight="1" x14ac:dyDescent="0.25">
      <c r="A24" s="18">
        <v>3</v>
      </c>
      <c r="B24" s="15" t="str">
        <f>INDEX(Helper!$B$2:$B$17,MATCH(LARGE(Helper!$AJ$2:$AJ$17,3),Helper!$AJ$2:$AJ$17,0))</f>
        <v>Player 14</v>
      </c>
      <c r="C24" s="16">
        <f>INDEX(Helper!$L$2:$L$17,MATCH(LARGE(Helper!$AJ$2:$AJ$17,3),Helper!$AJ$2:$AJ$17,0))</f>
        <v>5</v>
      </c>
      <c r="D24" s="16">
        <f>INDEX(Helper!$M$2:$M$17,MATCH(LARGE(Helper!$AJ$2:$AJ$17,3),Helper!$AJ$2:$AJ$17,0))</f>
        <v>5</v>
      </c>
      <c r="E24" s="16">
        <f>INDEX(Helper!$N$2:$N$17,MATCH(LARGE(Helper!$AJ$2:$AJ$17,3),Helper!$AJ$2:$AJ$17,0))</f>
        <v>5</v>
      </c>
      <c r="F24" s="16">
        <f>INDEX(Helper!$O$2:$O$17,MATCH(LARGE(Helper!$AJ$2:$AJ$17,3),Helper!$AJ$2:$AJ$17,0))</f>
        <v>5</v>
      </c>
      <c r="G24" s="16">
        <f>INDEX(Helper!$P$2:$P$17,MATCH(LARGE(Helper!$AJ$2:$AJ$17,3),Helper!$AJ$2:$AJ$17,0))</f>
        <v>5</v>
      </c>
      <c r="H24" s="16">
        <f>INDEX(Helper!$Q$2:$Q$17,MATCH(LARGE(Helper!$AJ$2:$AJ$17,3),Helper!$AJ$2:$AJ$17,0))</f>
        <v>5</v>
      </c>
      <c r="I24" s="20">
        <f>INDEX(Helper!$R$2:$R$17,MATCH(LARGE(Helper!$AJ$2:$AJ$17,3),Helper!$AJ$2:$AJ$17,0))</f>
        <v>30</v>
      </c>
      <c r="J24" s="16">
        <f>INDEX(Helper!$S$2:$S$17,MATCH(LARGE(Helper!$AJ$2:$AJ$17,3),Helper!$AJ$2:$AJ$17,0))</f>
        <v>0</v>
      </c>
      <c r="K24" s="16">
        <f t="shared" si="1"/>
        <v>5</v>
      </c>
    </row>
    <row r="25" spans="1:11" ht="15" customHeight="1" x14ac:dyDescent="0.25">
      <c r="A25" s="19">
        <v>4</v>
      </c>
      <c r="B25" s="15" t="str">
        <f>INDEX(Helper!$B$2:$B$17,MATCH(LARGE(Helper!$AJ$2:$AJ$17,4),Helper!$AJ$2:$AJ$17,0))</f>
        <v>Player 13</v>
      </c>
      <c r="C25" s="16">
        <f>INDEX(Helper!$L$2:$L$17,MATCH(LARGE(Helper!$AJ$2:$AJ$17,4),Helper!$AJ$2:$AJ$17,0))</f>
        <v>5</v>
      </c>
      <c r="D25" s="16">
        <f>INDEX(Helper!$M$2:$M$17,MATCH(LARGE(Helper!$AJ$2:$AJ$17,4),Helper!$AJ$2:$AJ$17,0))</f>
        <v>5</v>
      </c>
      <c r="E25" s="16">
        <f>INDEX(Helper!$N$2:$N$17,MATCH(LARGE(Helper!$AJ$2:$AJ$17,4),Helper!$AJ$2:$AJ$17,0))</f>
        <v>5</v>
      </c>
      <c r="F25" s="16">
        <f>INDEX(Helper!$O$2:$O$17,MATCH(LARGE(Helper!$AJ$2:$AJ$17,4),Helper!$AJ$2:$AJ$17,0))</f>
        <v>5</v>
      </c>
      <c r="G25" s="16">
        <f>INDEX(Helper!$P$2:$P$17,MATCH(LARGE(Helper!$AJ$2:$AJ$17,4),Helper!$AJ$2:$AJ$17,0))</f>
        <v>5</v>
      </c>
      <c r="H25" s="16">
        <f>INDEX(Helper!$Q$2:$Q$17,MATCH(LARGE(Helper!$AJ$2:$AJ$17,4),Helper!$AJ$2:$AJ$17,0))</f>
        <v>5</v>
      </c>
      <c r="I25" s="20">
        <f>INDEX(Helper!$R$2:$R$17,MATCH(LARGE(Helper!$AJ$2:$AJ$17,4),Helper!$AJ$2:$AJ$17,0))</f>
        <v>30</v>
      </c>
      <c r="J25" s="16">
        <f>INDEX(Helper!$S$2:$S$17,MATCH(LARGE(Helper!$AJ$2:$AJ$17,4),Helper!$AJ$2:$AJ$17,0))</f>
        <v>0</v>
      </c>
      <c r="K25" s="16">
        <f t="shared" si="1"/>
        <v>5</v>
      </c>
    </row>
    <row r="26" spans="1:11" ht="15" customHeight="1" x14ac:dyDescent="0.25">
      <c r="A26" s="19">
        <v>5</v>
      </c>
      <c r="B26" s="15" t="str">
        <f>INDEX(Helper!$B$2:$B$17,MATCH(LARGE(Helper!$AJ$2:$AJ$17,5),Helper!$AJ$2:$AJ$17,0))</f>
        <v>Player 12</v>
      </c>
      <c r="C26" s="16">
        <f>INDEX(Helper!$L$2:$L$17,MATCH(LARGE(Helper!$AJ$2:$AJ$17,5),Helper!$AJ$2:$AJ$17,0))</f>
        <v>5</v>
      </c>
      <c r="D26" s="16">
        <f>INDEX(Helper!$M$2:$M$17,MATCH(LARGE(Helper!$AJ$2:$AJ$17,5),Helper!$AJ$2:$AJ$17,0))</f>
        <v>5</v>
      </c>
      <c r="E26" s="16">
        <f>INDEX(Helper!$N$2:$N$17,MATCH(LARGE(Helper!$AJ$2:$AJ$17,5),Helper!$AJ$2:$AJ$17,0))</f>
        <v>5</v>
      </c>
      <c r="F26" s="16">
        <f>INDEX(Helper!$O$2:$O$17,MATCH(LARGE(Helper!$AJ$2:$AJ$17,5),Helper!$AJ$2:$AJ$17,0))</f>
        <v>5</v>
      </c>
      <c r="G26" s="16">
        <f>INDEX(Helper!$P$2:$P$17,MATCH(LARGE(Helper!$AJ$2:$AJ$17,5),Helper!$AJ$2:$AJ$17,0))</f>
        <v>5</v>
      </c>
      <c r="H26" s="16">
        <f>INDEX(Helper!$Q$2:$Q$17,MATCH(LARGE(Helper!$AJ$2:$AJ$17,5),Helper!$AJ$2:$AJ$17,0))</f>
        <v>5</v>
      </c>
      <c r="I26" s="20">
        <f>INDEX(Helper!$R$2:$R$17,MATCH(LARGE(Helper!$AJ$2:$AJ$17,5),Helper!$AJ$2:$AJ$17,0))</f>
        <v>30</v>
      </c>
      <c r="J26" s="16">
        <f>INDEX(Helper!$S$2:$S$17,MATCH(LARGE(Helper!$AJ$2:$AJ$17,5),Helper!$AJ$2:$AJ$17,0))</f>
        <v>0</v>
      </c>
      <c r="K26" s="16">
        <f t="shared" si="1"/>
        <v>5</v>
      </c>
    </row>
    <row r="27" spans="1:11" ht="15" customHeight="1" x14ac:dyDescent="0.25">
      <c r="A27" s="19">
        <v>6</v>
      </c>
      <c r="B27" s="15" t="str">
        <f>INDEX(Helper!$B$2:$B$17,MATCH(LARGE(Helper!$AJ$2:$AJ$17,6),Helper!$AJ$2:$AJ$17,0))</f>
        <v>Player 11</v>
      </c>
      <c r="C27" s="16">
        <f>INDEX(Helper!$L$2:$L$17,MATCH(LARGE(Helper!$AJ$2:$AJ$17,6),Helper!$AJ$2:$AJ$17,0))</f>
        <v>5</v>
      </c>
      <c r="D27" s="16">
        <f>INDEX(Helper!$M$2:$M$17,MATCH(LARGE(Helper!$AJ$2:$AJ$17,6),Helper!$AJ$2:$AJ$17,0))</f>
        <v>5</v>
      </c>
      <c r="E27" s="16">
        <f>INDEX(Helper!$N$2:$N$17,MATCH(LARGE(Helper!$AJ$2:$AJ$17,6),Helper!$AJ$2:$AJ$17,0))</f>
        <v>5</v>
      </c>
      <c r="F27" s="16">
        <f>INDEX(Helper!$O$2:$O$17,MATCH(LARGE(Helper!$AJ$2:$AJ$17,6),Helper!$AJ$2:$AJ$17,0))</f>
        <v>5</v>
      </c>
      <c r="G27" s="16">
        <f>INDEX(Helper!$P$2:$P$17,MATCH(LARGE(Helper!$AJ$2:$AJ$17,6),Helper!$AJ$2:$AJ$17,0))</f>
        <v>5</v>
      </c>
      <c r="H27" s="16">
        <f>INDEX(Helper!$Q$2:$Q$17,MATCH(LARGE(Helper!$AJ$2:$AJ$17,6),Helper!$AJ$2:$AJ$17,0))</f>
        <v>5</v>
      </c>
      <c r="I27" s="20">
        <f>INDEX(Helper!$R$2:$R$17,MATCH(LARGE(Helper!$AJ$2:$AJ$17,6),Helper!$AJ$2:$AJ$17,0))</f>
        <v>30</v>
      </c>
      <c r="J27" s="16">
        <f>INDEX(Helper!$S$2:$S$17,MATCH(LARGE(Helper!$AJ$2:$AJ$17,6),Helper!$AJ$2:$AJ$17,0))</f>
        <v>0</v>
      </c>
      <c r="K27" s="16">
        <f t="shared" si="1"/>
        <v>5</v>
      </c>
    </row>
    <row r="28" spans="1:11" ht="15" customHeight="1" x14ac:dyDescent="0.25">
      <c r="A28" s="19">
        <v>7</v>
      </c>
      <c r="B28" s="15" t="str">
        <f>INDEX(Helper!$B$2:$B$17,MATCH(LARGE(Helper!$AJ$2:$AJ$17,7),Helper!$AJ$2:$AJ$17,0))</f>
        <v>Player 10</v>
      </c>
      <c r="C28" s="16">
        <f>INDEX(Helper!$L$2:$L$17,MATCH(LARGE(Helper!$AJ$2:$AJ$17,7),Helper!$AJ$2:$AJ$17,0))</f>
        <v>5</v>
      </c>
      <c r="D28" s="16">
        <f>INDEX(Helper!$M$2:$M$17,MATCH(LARGE(Helper!$AJ$2:$AJ$17,7),Helper!$AJ$2:$AJ$17,0))</f>
        <v>5</v>
      </c>
      <c r="E28" s="16">
        <f>INDEX(Helper!$N$2:$N$17,MATCH(LARGE(Helper!$AJ$2:$AJ$17,7),Helper!$AJ$2:$AJ$17,0))</f>
        <v>5</v>
      </c>
      <c r="F28" s="16">
        <f>INDEX(Helper!$O$2:$O$17,MATCH(LARGE(Helper!$AJ$2:$AJ$17,7),Helper!$AJ$2:$AJ$17,0))</f>
        <v>5</v>
      </c>
      <c r="G28" s="16">
        <f>INDEX(Helper!$P$2:$P$17,MATCH(LARGE(Helper!$AJ$2:$AJ$17,7),Helper!$AJ$2:$AJ$17,0))</f>
        <v>5</v>
      </c>
      <c r="H28" s="16">
        <f>INDEX(Helper!$Q$2:$Q$17,MATCH(LARGE(Helper!$AJ$2:$AJ$17,7),Helper!$AJ$2:$AJ$17,0))</f>
        <v>5</v>
      </c>
      <c r="I28" s="20">
        <f>INDEX(Helper!$R$2:$R$17,MATCH(LARGE(Helper!$AJ$2:$AJ$17,7),Helper!$AJ$2:$AJ$17,0))</f>
        <v>30</v>
      </c>
      <c r="J28" s="16">
        <f>INDEX(Helper!$S$2:$S$17,MATCH(LARGE(Helper!$AJ$2:$AJ$17,7),Helper!$AJ$2:$AJ$17,0))</f>
        <v>0</v>
      </c>
      <c r="K28" s="16">
        <f t="shared" si="1"/>
        <v>5</v>
      </c>
    </row>
    <row r="29" spans="1:11" ht="15" customHeight="1" x14ac:dyDescent="0.25">
      <c r="A29" s="19">
        <v>8</v>
      </c>
      <c r="B29" s="15" t="str">
        <f>INDEX(Helper!$B$2:$B$17,MATCH(LARGE(Helper!$AJ$2:$AJ$17,8),Helper!$AJ$2:$AJ$17,0))</f>
        <v>Player 9</v>
      </c>
      <c r="C29" s="16">
        <f>INDEX(Helper!$L$2:$L$17,MATCH(LARGE(Helper!$AJ$2:$AJ$17,8),Helper!$AJ$2:$AJ$17,0))</f>
        <v>5</v>
      </c>
      <c r="D29" s="16">
        <f>INDEX(Helper!$M$2:$M$17,MATCH(LARGE(Helper!$AJ$2:$AJ$17,8),Helper!$AJ$2:$AJ$17,0))</f>
        <v>5</v>
      </c>
      <c r="E29" s="16">
        <f>INDEX(Helper!$N$2:$N$17,MATCH(LARGE(Helper!$AJ$2:$AJ$17,8),Helper!$AJ$2:$AJ$17,0))</f>
        <v>5</v>
      </c>
      <c r="F29" s="16">
        <f>INDEX(Helper!$O$2:$O$17,MATCH(LARGE(Helper!$AJ$2:$AJ$17,8),Helper!$AJ$2:$AJ$17,0))</f>
        <v>5</v>
      </c>
      <c r="G29" s="16">
        <f>INDEX(Helper!$P$2:$P$17,MATCH(LARGE(Helper!$AJ$2:$AJ$17,8),Helper!$AJ$2:$AJ$17,0))</f>
        <v>5</v>
      </c>
      <c r="H29" s="16">
        <f>INDEX(Helper!$Q$2:$Q$17,MATCH(LARGE(Helper!$AJ$2:$AJ$17,8),Helper!$AJ$2:$AJ$17,0))</f>
        <v>5</v>
      </c>
      <c r="I29" s="20">
        <f>INDEX(Helper!$R$2:$R$17,MATCH(LARGE(Helper!$AJ$2:$AJ$17,8),Helper!$AJ$2:$AJ$17,0))</f>
        <v>30</v>
      </c>
      <c r="J29" s="16">
        <f>INDEX(Helper!$S$2:$S$17,MATCH(LARGE(Helper!$AJ$2:$AJ$17,8),Helper!$AJ$2:$AJ$17,0))</f>
        <v>0</v>
      </c>
      <c r="K29" s="16">
        <f t="shared" si="1"/>
        <v>5</v>
      </c>
    </row>
    <row r="30" spans="1:11" ht="15" customHeight="1" x14ac:dyDescent="0.25">
      <c r="A30" s="19">
        <v>9</v>
      </c>
      <c r="B30" s="15" t="str">
        <f>INDEX(Helper!$B$2:$B$17,MATCH(LARGE(Helper!$AJ$2:$AJ$17,9),Helper!$AJ$2:$AJ$17,0))</f>
        <v>Player 8</v>
      </c>
      <c r="C30" s="16">
        <f>INDEX(Helper!$L$2:$L$17,MATCH(LARGE(Helper!$AJ$2:$AJ$17,9),Helper!$AJ$2:$AJ$17,0))</f>
        <v>5</v>
      </c>
      <c r="D30" s="16">
        <f>INDEX(Helper!$M$2:$M$17,MATCH(LARGE(Helper!$AJ$2:$AJ$17,9),Helper!$AJ$2:$AJ$17,0))</f>
        <v>5</v>
      </c>
      <c r="E30" s="16">
        <f>INDEX(Helper!$N$2:$N$17,MATCH(LARGE(Helper!$AJ$2:$AJ$17,9),Helper!$AJ$2:$AJ$17,0))</f>
        <v>5</v>
      </c>
      <c r="F30" s="16">
        <f>INDEX(Helper!$O$2:$O$17,MATCH(LARGE(Helper!$AJ$2:$AJ$17,9),Helper!$AJ$2:$AJ$17,0))</f>
        <v>5</v>
      </c>
      <c r="G30" s="16">
        <f>INDEX(Helper!$P$2:$P$17,MATCH(LARGE(Helper!$AJ$2:$AJ$17,9),Helper!$AJ$2:$AJ$17,0))</f>
        <v>5</v>
      </c>
      <c r="H30" s="16">
        <f>INDEX(Helper!$Q$2:$Q$17,MATCH(LARGE(Helper!$AJ$2:$AJ$17,9),Helper!$AJ$2:$AJ$17,0))</f>
        <v>5</v>
      </c>
      <c r="I30" s="20">
        <f>INDEX(Helper!$R$2:$R$17,MATCH(LARGE(Helper!$AJ$2:$AJ$17,9),Helper!$AJ$2:$AJ$17,0))</f>
        <v>30</v>
      </c>
      <c r="J30" s="16">
        <f>INDEX(Helper!$S$2:$S$17,MATCH(LARGE(Helper!$AJ$2:$AJ$17,9),Helper!$AJ$2:$AJ$17,0))</f>
        <v>0</v>
      </c>
      <c r="K30" s="16">
        <f t="shared" si="1"/>
        <v>5</v>
      </c>
    </row>
    <row r="31" spans="1:11" ht="15" customHeight="1" x14ac:dyDescent="0.25">
      <c r="A31" s="19">
        <v>10</v>
      </c>
      <c r="B31" s="15" t="str">
        <f>INDEX(Helper!$B$2:$B$17,MATCH(LARGE(Helper!$AJ$2:$AJ$17,10),Helper!$AJ$2:$AJ$17,0))</f>
        <v>Player 7</v>
      </c>
      <c r="C31" s="16">
        <f>INDEX(Helper!$L$2:$L$17,MATCH(LARGE(Helper!$AJ$2:$AJ$17,10),Helper!$AJ$2:$AJ$17,0))</f>
        <v>5</v>
      </c>
      <c r="D31" s="16">
        <f>INDEX(Helper!$M$2:$M$17,MATCH(LARGE(Helper!$AJ$2:$AJ$17,10),Helper!$AJ$2:$AJ$17,0))</f>
        <v>5</v>
      </c>
      <c r="E31" s="16">
        <f>INDEX(Helper!$N$2:$N$17,MATCH(LARGE(Helper!$AJ$2:$AJ$17,10),Helper!$AJ$2:$AJ$17,0))</f>
        <v>5</v>
      </c>
      <c r="F31" s="16">
        <f>INDEX(Helper!$O$2:$O$17,MATCH(LARGE(Helper!$AJ$2:$AJ$17,10),Helper!$AJ$2:$AJ$17,0))</f>
        <v>5</v>
      </c>
      <c r="G31" s="16">
        <f>INDEX(Helper!$P$2:$P$17,MATCH(LARGE(Helper!$AJ$2:$AJ$17,10),Helper!$AJ$2:$AJ$17,0))</f>
        <v>5</v>
      </c>
      <c r="H31" s="16">
        <f>INDEX(Helper!$Q$2:$Q$17,MATCH(LARGE(Helper!$AJ$2:$AJ$17,10),Helper!$AJ$2:$AJ$17,0))</f>
        <v>5</v>
      </c>
      <c r="I31" s="20">
        <f>INDEX(Helper!$R$2:$R$17,MATCH(LARGE(Helper!$AJ$2:$AJ$17,10),Helper!$AJ$2:$AJ$17,0))</f>
        <v>30</v>
      </c>
      <c r="J31" s="16">
        <f>INDEX(Helper!$S$2:$S$17,MATCH(LARGE(Helper!$AJ$2:$AJ$17,10),Helper!$AJ$2:$AJ$17,0))</f>
        <v>0</v>
      </c>
      <c r="K31" s="16">
        <f t="shared" si="1"/>
        <v>5</v>
      </c>
    </row>
    <row r="32" spans="1:11" ht="15" customHeight="1" x14ac:dyDescent="0.25">
      <c r="A32" s="19">
        <v>11</v>
      </c>
      <c r="B32" s="15" t="str">
        <f>INDEX(Helper!$B$2:$B$17,MATCH(LARGE(Helper!$AJ$2:$AJ$17,11),Helper!$AJ$2:$AJ$17,0))</f>
        <v>Player 6</v>
      </c>
      <c r="C32" s="16">
        <f>INDEX(Helper!$L$2:$L$17,MATCH(LARGE(Helper!$AJ$2:$AJ$17,11),Helper!$AJ$2:$AJ$17,0))</f>
        <v>5</v>
      </c>
      <c r="D32" s="16">
        <f>INDEX(Helper!$M$2:$M$17,MATCH(LARGE(Helper!$AJ$2:$AJ$17,11),Helper!$AJ$2:$AJ$17,0))</f>
        <v>5</v>
      </c>
      <c r="E32" s="16">
        <f>INDEX(Helper!$N$2:$N$17,MATCH(LARGE(Helper!$AJ$2:$AJ$17,11),Helper!$AJ$2:$AJ$17,0))</f>
        <v>5</v>
      </c>
      <c r="F32" s="16">
        <f>INDEX(Helper!$O$2:$O$17,MATCH(LARGE(Helper!$AJ$2:$AJ$17,11),Helper!$AJ$2:$AJ$17,0))</f>
        <v>5</v>
      </c>
      <c r="G32" s="16">
        <f>INDEX(Helper!$P$2:$P$17,MATCH(LARGE(Helper!$AJ$2:$AJ$17,11),Helper!$AJ$2:$AJ$17,0))</f>
        <v>5</v>
      </c>
      <c r="H32" s="16">
        <f>INDEX(Helper!$Q$2:$Q$17,MATCH(LARGE(Helper!$AJ$2:$AJ$17,11),Helper!$AJ$2:$AJ$17,0))</f>
        <v>5</v>
      </c>
      <c r="I32" s="20">
        <f>INDEX(Helper!$R$2:$R$17,MATCH(LARGE(Helper!$AJ$2:$AJ$17,11),Helper!$AJ$2:$AJ$17,0))</f>
        <v>30</v>
      </c>
      <c r="J32" s="16">
        <f>INDEX(Helper!$S$2:$S$17,MATCH(LARGE(Helper!$AJ$2:$AJ$17,11),Helper!$AJ$2:$AJ$17,0))</f>
        <v>0</v>
      </c>
      <c r="K32" s="16">
        <f t="shared" si="1"/>
        <v>5</v>
      </c>
    </row>
    <row r="33" spans="1:12" ht="15" customHeight="1" x14ac:dyDescent="0.25">
      <c r="A33" s="19">
        <v>12</v>
      </c>
      <c r="B33" s="15" t="str">
        <f>INDEX(Helper!$B$2:$B$17,MATCH(LARGE(Helper!$AJ$2:$AJ$17,12),Helper!$AJ$2:$AJ$17,0))</f>
        <v>Player 5</v>
      </c>
      <c r="C33" s="16">
        <f>INDEX(Helper!$L$2:$L$17,MATCH(LARGE(Helper!$AJ$2:$AJ$17,12),Helper!$AJ$2:$AJ$17,0))</f>
        <v>5</v>
      </c>
      <c r="D33" s="16">
        <f>INDEX(Helper!$M$2:$M$17,MATCH(LARGE(Helper!$AJ$2:$AJ$17,12),Helper!$AJ$2:$AJ$17,0))</f>
        <v>5</v>
      </c>
      <c r="E33" s="16">
        <f>INDEX(Helper!$N$2:$N$17,MATCH(LARGE(Helper!$AJ$2:$AJ$17,12),Helper!$AJ$2:$AJ$17,0))</f>
        <v>5</v>
      </c>
      <c r="F33" s="16">
        <f>INDEX(Helper!$O$2:$O$17,MATCH(LARGE(Helper!$AJ$2:$AJ$17,12),Helper!$AJ$2:$AJ$17,0))</f>
        <v>5</v>
      </c>
      <c r="G33" s="16">
        <f>INDEX(Helper!$P$2:$P$17,MATCH(LARGE(Helper!$AJ$2:$AJ$17,12),Helper!$AJ$2:$AJ$17,0))</f>
        <v>5</v>
      </c>
      <c r="H33" s="16">
        <f>INDEX(Helper!$Q$2:$Q$17,MATCH(LARGE(Helper!$AJ$2:$AJ$17,12),Helper!$AJ$2:$AJ$17,0))</f>
        <v>5</v>
      </c>
      <c r="I33" s="20">
        <f>INDEX(Helper!$R$2:$R$17,MATCH(LARGE(Helper!$AJ$2:$AJ$17,12),Helper!$AJ$2:$AJ$17,0))</f>
        <v>30</v>
      </c>
      <c r="J33" s="16">
        <f>INDEX(Helper!$S$2:$S$17,MATCH(LARGE(Helper!$AJ$2:$AJ$17,12),Helper!$AJ$2:$AJ$17,0))</f>
        <v>0</v>
      </c>
      <c r="K33" s="16">
        <f t="shared" si="1"/>
        <v>5</v>
      </c>
    </row>
    <row r="34" spans="1:12" ht="15" customHeight="1" x14ac:dyDescent="0.25">
      <c r="A34" s="19">
        <v>13</v>
      </c>
      <c r="B34" s="15" t="str">
        <f>INDEX(Helper!$B$2:$B$17,MATCH(LARGE(Helper!$AJ$2:$AJ$17,13),Helper!$AJ$2:$AJ$17,0))</f>
        <v>Player 4</v>
      </c>
      <c r="C34" s="16">
        <f>INDEX(Helper!$L$2:$L$17,MATCH(LARGE(Helper!$AJ$2:$AJ$17,13),Helper!$AJ$2:$AJ$17,0))</f>
        <v>5</v>
      </c>
      <c r="D34" s="16">
        <f>INDEX(Helper!$M$2:$M$17,MATCH(LARGE(Helper!$AJ$2:$AJ$17,13),Helper!$AJ$2:$AJ$17,0))</f>
        <v>5</v>
      </c>
      <c r="E34" s="16">
        <f>INDEX(Helper!$N$2:$N$17,MATCH(LARGE(Helper!$AJ$2:$AJ$17,13),Helper!$AJ$2:$AJ$17,0))</f>
        <v>5</v>
      </c>
      <c r="F34" s="16">
        <f>INDEX(Helper!$O$2:$O$17,MATCH(LARGE(Helper!$AJ$2:$AJ$17,13),Helper!$AJ$2:$AJ$17,0))</f>
        <v>5</v>
      </c>
      <c r="G34" s="16">
        <f>INDEX(Helper!$P$2:$P$17,MATCH(LARGE(Helper!$AJ$2:$AJ$17,13),Helper!$AJ$2:$AJ$17,0))</f>
        <v>5</v>
      </c>
      <c r="H34" s="16">
        <f>INDEX(Helper!$Q$2:$Q$17,MATCH(LARGE(Helper!$AJ$2:$AJ$17,13),Helper!$AJ$2:$AJ$17,0))</f>
        <v>5</v>
      </c>
      <c r="I34" s="20">
        <f>INDEX(Helper!$R$2:$R$17,MATCH(LARGE(Helper!$AJ$2:$AJ$17,13),Helper!$AJ$2:$AJ$17,0))</f>
        <v>30</v>
      </c>
      <c r="J34" s="16">
        <f>INDEX(Helper!$S$2:$S$17,MATCH(LARGE(Helper!$AJ$2:$AJ$17,13),Helper!$AJ$2:$AJ$17,0))</f>
        <v>0</v>
      </c>
      <c r="K34" s="16">
        <f t="shared" si="1"/>
        <v>5</v>
      </c>
    </row>
    <row r="35" spans="1:12" ht="15" customHeight="1" x14ac:dyDescent="0.25">
      <c r="A35" s="19">
        <v>14</v>
      </c>
      <c r="B35" s="15" t="str">
        <f>INDEX(Helper!$B$2:$B$17,MATCH(LARGE(Helper!$AJ$2:$AJ$17,14),Helper!$AJ$2:$AJ$17,0))</f>
        <v>Player 3</v>
      </c>
      <c r="C35" s="16">
        <f>INDEX(Helper!$L$2:$L$17,MATCH(LARGE(Helper!$AJ$2:$AJ$17,14),Helper!$AJ$2:$AJ$17,0))</f>
        <v>5</v>
      </c>
      <c r="D35" s="16">
        <f>INDEX(Helper!$M$2:$M$17,MATCH(LARGE(Helper!$AJ$2:$AJ$17,14),Helper!$AJ$2:$AJ$17,0))</f>
        <v>5</v>
      </c>
      <c r="E35" s="16">
        <f>INDEX(Helper!$N$2:$N$17,MATCH(LARGE(Helper!$AJ$2:$AJ$17,14),Helper!$AJ$2:$AJ$17,0))</f>
        <v>5</v>
      </c>
      <c r="F35" s="16">
        <f>INDEX(Helper!$O$2:$O$17,MATCH(LARGE(Helper!$AJ$2:$AJ$17,14),Helper!$AJ$2:$AJ$17,0))</f>
        <v>5</v>
      </c>
      <c r="G35" s="16">
        <f>INDEX(Helper!$P$2:$P$17,MATCH(LARGE(Helper!$AJ$2:$AJ$17,14),Helper!$AJ$2:$AJ$17,0))</f>
        <v>5</v>
      </c>
      <c r="H35" s="16">
        <f>INDEX(Helper!$Q$2:$Q$17,MATCH(LARGE(Helper!$AJ$2:$AJ$17,14),Helper!$AJ$2:$AJ$17,0))</f>
        <v>5</v>
      </c>
      <c r="I35" s="20">
        <f>INDEX(Helper!$R$2:$R$17,MATCH(LARGE(Helper!$AJ$2:$AJ$17,14),Helper!$AJ$2:$AJ$17,0))</f>
        <v>30</v>
      </c>
      <c r="J35" s="16">
        <f>INDEX(Helper!$S$2:$S$17,MATCH(LARGE(Helper!$AJ$2:$AJ$17,14),Helper!$AJ$2:$AJ$17,0))</f>
        <v>0</v>
      </c>
      <c r="K35" s="16">
        <f t="shared" si="1"/>
        <v>5</v>
      </c>
    </row>
    <row r="36" spans="1:12" ht="15" customHeight="1" x14ac:dyDescent="0.25">
      <c r="A36" s="19">
        <v>15</v>
      </c>
      <c r="B36" s="15" t="str">
        <f>INDEX(Helper!$B$2:$B$17,MATCH(LARGE(Helper!$AJ$2:$AJ$17,15),Helper!$AJ$2:$AJ$17,0))</f>
        <v>Player 2</v>
      </c>
      <c r="C36" s="16">
        <f>INDEX(Helper!$L$2:$L$17,MATCH(LARGE(Helper!$AJ$2:$AJ$17,15),Helper!$AJ$2:$AJ$17,0))</f>
        <v>5</v>
      </c>
      <c r="D36" s="16">
        <f>INDEX(Helper!$M$2:$M$17,MATCH(LARGE(Helper!$AJ$2:$AJ$17,15),Helper!$AJ$2:$AJ$17,0))</f>
        <v>5</v>
      </c>
      <c r="E36" s="16">
        <f>INDEX(Helper!$N$2:$N$17,MATCH(LARGE(Helper!$AJ$2:$AJ$17,15),Helper!$AJ$2:$AJ$17,0))</f>
        <v>5</v>
      </c>
      <c r="F36" s="16">
        <f>INDEX(Helper!$O$2:$O$17,MATCH(LARGE(Helper!$AJ$2:$AJ$17,15),Helper!$AJ$2:$AJ$17,0))</f>
        <v>5</v>
      </c>
      <c r="G36" s="16">
        <f>INDEX(Helper!$P$2:$P$17,MATCH(LARGE(Helper!$AJ$2:$AJ$17,15),Helper!$AJ$2:$AJ$17,0))</f>
        <v>5</v>
      </c>
      <c r="H36" s="16">
        <f>INDEX(Helper!$Q$2:$Q$17,MATCH(LARGE(Helper!$AJ$2:$AJ$17,15),Helper!$AJ$2:$AJ$17,0))</f>
        <v>5</v>
      </c>
      <c r="I36" s="20">
        <f>INDEX(Helper!$R$2:$R$17,MATCH(LARGE(Helper!$AJ$2:$AJ$17,15),Helper!$AJ$2:$AJ$17,0))</f>
        <v>30</v>
      </c>
      <c r="J36" s="16">
        <f>INDEX(Helper!$S$2:$S$17,MATCH(LARGE(Helper!$AJ$2:$AJ$17,15),Helper!$AJ$2:$AJ$17,0))</f>
        <v>0</v>
      </c>
      <c r="K36" s="16">
        <f t="shared" si="1"/>
        <v>5</v>
      </c>
    </row>
    <row r="37" spans="1:12" ht="15" customHeight="1" x14ac:dyDescent="0.25">
      <c r="A37" s="19">
        <v>16</v>
      </c>
      <c r="B37" s="15" t="str">
        <f>INDEX(Helper!$B$2:$B$17,MATCH(LARGE(Helper!$AJ$2:$AJ$17,16),Helper!$AJ$2:$AJ$17,0))</f>
        <v>Player 1</v>
      </c>
      <c r="C37" s="16">
        <f>INDEX(Helper!$L$2:$L$17,MATCH(LARGE(Helper!$AJ$2:$AJ$17,16),Helper!$AJ$2:$AJ$17,0))</f>
        <v>5</v>
      </c>
      <c r="D37" s="16">
        <f>INDEX(Helper!$M$2:$M$17,MATCH(LARGE(Helper!$AJ$2:$AJ$17,16),Helper!$AJ$2:$AJ$17,0))</f>
        <v>5</v>
      </c>
      <c r="E37" s="16">
        <f>INDEX(Helper!$N$2:$N$17,MATCH(LARGE(Helper!$AJ$2:$AJ$17,16),Helper!$AJ$2:$AJ$17,0))</f>
        <v>5</v>
      </c>
      <c r="F37" s="16">
        <f>INDEX(Helper!$O$2:$O$17,MATCH(LARGE(Helper!$AJ$2:$AJ$17,16),Helper!$AJ$2:$AJ$17,0))</f>
        <v>5</v>
      </c>
      <c r="G37" s="16">
        <f>INDEX(Helper!$P$2:$P$17,MATCH(LARGE(Helper!$AJ$2:$AJ$17,16),Helper!$AJ$2:$AJ$17,0))</f>
        <v>5</v>
      </c>
      <c r="H37" s="16">
        <f>INDEX(Helper!$Q$2:$Q$17,MATCH(LARGE(Helper!$AJ$2:$AJ$17,16),Helper!$AJ$2:$AJ$17,0))</f>
        <v>5</v>
      </c>
      <c r="I37" s="20">
        <f>INDEX(Helper!$R$2:$R$17,MATCH(LARGE(Helper!$AJ$2:$AJ$17,16),Helper!$AJ$2:$AJ$17,0))</f>
        <v>30</v>
      </c>
      <c r="J37" s="16">
        <f>INDEX(Helper!$S$2:$S$17,MATCH(LARGE(Helper!$AJ$2:$AJ$17,16),Helper!$AJ$2:$AJ$17,0))</f>
        <v>0</v>
      </c>
      <c r="K37" s="16">
        <f t="shared" si="1"/>
        <v>5</v>
      </c>
    </row>
    <row r="39" spans="1:12" ht="15" customHeight="1" x14ac:dyDescent="0.25">
      <c r="A39" s="74" t="s">
        <v>115</v>
      </c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4"/>
    </row>
    <row r="40" spans="1:12" ht="15" customHeight="1" x14ac:dyDescent="0.25">
      <c r="A40" s="71" t="s">
        <v>116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4"/>
    </row>
    <row r="41" spans="1:12" ht="15" customHeight="1" x14ac:dyDescent="0.25">
      <c r="A41" s="21" t="s">
        <v>97</v>
      </c>
      <c r="B41" s="21" t="s">
        <v>98</v>
      </c>
      <c r="C41" s="21" t="s">
        <v>117</v>
      </c>
      <c r="D41" s="21" t="s">
        <v>118</v>
      </c>
      <c r="E41" s="21" t="s">
        <v>119</v>
      </c>
      <c r="F41" s="21" t="s">
        <v>120</v>
      </c>
      <c r="G41" s="21" t="s">
        <v>121</v>
      </c>
      <c r="H41" s="21" t="s">
        <v>122</v>
      </c>
      <c r="I41" s="21" t="s">
        <v>88</v>
      </c>
      <c r="J41" s="21" t="s">
        <v>89</v>
      </c>
      <c r="K41" s="21" t="s">
        <v>123</v>
      </c>
      <c r="L41" s="21" t="s">
        <v>124</v>
      </c>
    </row>
    <row r="42" spans="1:12" ht="15" customHeight="1" x14ac:dyDescent="0.25">
      <c r="A42" s="14">
        <v>1</v>
      </c>
      <c r="B42" s="15" t="str">
        <f>INDEX(Helper!$B$2:$B$5,MATCH(LARGE(Helper!$AL$2:$AL$5,1),Helper!$AL$2:$AL$5,0))</f>
        <v>Player 4</v>
      </c>
      <c r="C42" s="16" t="str">
        <f>INDEX(Helper!$U$2:$U$5,MATCH(LARGE(Helper!$AL$2:$AL$5,1),Helper!$AL$2:$AL$5,0))</f>
        <v>T</v>
      </c>
      <c r="D42" s="16" t="str">
        <f>INDEX(Helper!$V$2:$V$5,MATCH(LARGE(Helper!$AL$2:$AL$5,1),Helper!$AL$2:$AL$5,0))</f>
        <v>T</v>
      </c>
      <c r="E42" s="16" t="str">
        <f>INDEX(Helper!$W$2:$W$5,MATCH(LARGE(Helper!$AL$2:$AL$5,1),Helper!$AL$2:$AL$5,0))</f>
        <v>T</v>
      </c>
      <c r="F42" s="16" t="str">
        <f>INDEX(Helper!$X$2:$X$5,MATCH(LARGE(Helper!$AL$2:$AL$5,1),Helper!$AL$2:$AL$5,0))</f>
        <v>T</v>
      </c>
      <c r="G42" s="16" t="str">
        <f>INDEX(Helper!$Y$2:$Y$5,MATCH(LARGE(Helper!$AL$2:$AL$5,1),Helper!$AL$2:$AL$5,0))</f>
        <v>T</v>
      </c>
      <c r="H42" s="16" t="str">
        <f>INDEX(Helper!$Z$2:$Z$5,MATCH(LARGE(Helper!$AL$2:$AL$5,1),Helper!$AL$2:$AL$5,0))</f>
        <v>T</v>
      </c>
      <c r="I42" s="21">
        <f>INDEX(Helper!$AA$2:$AA$5,MATCH(LARGE(Helper!$AL$2:$AL$5,1),Helper!$AL$2:$AL$5,0))</f>
        <v>3</v>
      </c>
      <c r="J42" s="16">
        <f>INDEX(Helper!$AB$2:$AB$5,MATCH(LARGE(Helper!$AL$2:$AL$5,1),Helper!$AL$2:$AL$5,0))</f>
        <v>3</v>
      </c>
      <c r="K42" s="16">
        <f>INDEX(Helper!$AC$2:$AC$5,MATCH(LARGE(Helper!$AL$2:$AL$5,1),Helper!$AL$2:$AL$5,0))</f>
        <v>0</v>
      </c>
      <c r="L42" s="22">
        <f>IFERROR(I42/(I42+J42),0)</f>
        <v>0.5</v>
      </c>
    </row>
    <row r="43" spans="1:12" ht="15" customHeight="1" x14ac:dyDescent="0.25">
      <c r="A43" s="17">
        <v>2</v>
      </c>
      <c r="B43" s="15" t="str">
        <f>INDEX(Helper!$B$2:$B$5,MATCH(LARGE(Helper!$AL$2:$AL$5,2),Helper!$AL$2:$AL$5,0))</f>
        <v>Player 3</v>
      </c>
      <c r="C43" s="16" t="str">
        <f>INDEX(Helper!$U$2:$U$5,MATCH(LARGE(Helper!$AL$2:$AL$5,2),Helper!$AL$2:$AL$5,0))</f>
        <v>T</v>
      </c>
      <c r="D43" s="16" t="str">
        <f>INDEX(Helper!$V$2:$V$5,MATCH(LARGE(Helper!$AL$2:$AL$5,2),Helper!$AL$2:$AL$5,0))</f>
        <v>T</v>
      </c>
      <c r="E43" s="16" t="str">
        <f>INDEX(Helper!$W$2:$W$5,MATCH(LARGE(Helper!$AL$2:$AL$5,2),Helper!$AL$2:$AL$5,0))</f>
        <v>T</v>
      </c>
      <c r="F43" s="16" t="str">
        <f>INDEX(Helper!$X$2:$X$5,MATCH(LARGE(Helper!$AL$2:$AL$5,2),Helper!$AL$2:$AL$5,0))</f>
        <v>T</v>
      </c>
      <c r="G43" s="16" t="str">
        <f>INDEX(Helper!$Y$2:$Y$5,MATCH(LARGE(Helper!$AL$2:$AL$5,2),Helper!$AL$2:$AL$5,0))</f>
        <v>T</v>
      </c>
      <c r="H43" s="16" t="str">
        <f>INDEX(Helper!$Z$2:$Z$5,MATCH(LARGE(Helper!$AL$2:$AL$5,2),Helper!$AL$2:$AL$5,0))</f>
        <v>T</v>
      </c>
      <c r="I43" s="21">
        <f>INDEX(Helper!$AA$2:$AA$5,MATCH(LARGE(Helper!$AL$2:$AL$5,2),Helper!$AL$2:$AL$5,0))</f>
        <v>3</v>
      </c>
      <c r="J43" s="16">
        <f>INDEX(Helper!$AB$2:$AB$5,MATCH(LARGE(Helper!$AL$2:$AL$5,2),Helper!$AL$2:$AL$5,0))</f>
        <v>3</v>
      </c>
      <c r="K43" s="16">
        <f>INDEX(Helper!$AC$2:$AC$5,MATCH(LARGE(Helper!$AL$2:$AL$5,2),Helper!$AL$2:$AL$5,0))</f>
        <v>0</v>
      </c>
      <c r="L43" s="22">
        <f>IFERROR(I43/(I43+J43),0)</f>
        <v>0.5</v>
      </c>
    </row>
    <row r="44" spans="1:12" ht="15" customHeight="1" x14ac:dyDescent="0.25">
      <c r="A44" s="18">
        <v>3</v>
      </c>
      <c r="B44" s="15" t="str">
        <f>INDEX(Helper!$B$2:$B$5,MATCH(LARGE(Helper!$AL$2:$AL$5,3),Helper!$AL$2:$AL$5,0))</f>
        <v>Player 2</v>
      </c>
      <c r="C44" s="16" t="str">
        <f>INDEX(Helper!$U$2:$U$5,MATCH(LARGE(Helper!$AL$2:$AL$5,3),Helper!$AL$2:$AL$5,0))</f>
        <v>T</v>
      </c>
      <c r="D44" s="16" t="str">
        <f>INDEX(Helper!$V$2:$V$5,MATCH(LARGE(Helper!$AL$2:$AL$5,3),Helper!$AL$2:$AL$5,0))</f>
        <v>T</v>
      </c>
      <c r="E44" s="16" t="str">
        <f>INDEX(Helper!$W$2:$W$5,MATCH(LARGE(Helper!$AL$2:$AL$5,3),Helper!$AL$2:$AL$5,0))</f>
        <v>T</v>
      </c>
      <c r="F44" s="16" t="str">
        <f>INDEX(Helper!$X$2:$X$5,MATCH(LARGE(Helper!$AL$2:$AL$5,3),Helper!$AL$2:$AL$5,0))</f>
        <v>T</v>
      </c>
      <c r="G44" s="16" t="str">
        <f>INDEX(Helper!$Y$2:$Y$5,MATCH(LARGE(Helper!$AL$2:$AL$5,3),Helper!$AL$2:$AL$5,0))</f>
        <v>T</v>
      </c>
      <c r="H44" s="16" t="str">
        <f>INDEX(Helper!$Z$2:$Z$5,MATCH(LARGE(Helper!$AL$2:$AL$5,3),Helper!$AL$2:$AL$5,0))</f>
        <v>T</v>
      </c>
      <c r="I44" s="21">
        <f>INDEX(Helper!$AA$2:$AA$5,MATCH(LARGE(Helper!$AL$2:$AL$5,3),Helper!$AL$2:$AL$5,0))</f>
        <v>3</v>
      </c>
      <c r="J44" s="16">
        <f>INDEX(Helper!$AB$2:$AB$5,MATCH(LARGE(Helper!$AL$2:$AL$5,3),Helper!$AL$2:$AL$5,0))</f>
        <v>3</v>
      </c>
      <c r="K44" s="16">
        <f>INDEX(Helper!$AC$2:$AC$5,MATCH(LARGE(Helper!$AL$2:$AL$5,3),Helper!$AL$2:$AL$5,0))</f>
        <v>0</v>
      </c>
      <c r="L44" s="22">
        <f>IFERROR(I44/(I44+J44),0)</f>
        <v>0.5</v>
      </c>
    </row>
    <row r="45" spans="1:12" ht="15" customHeight="1" x14ac:dyDescent="0.25">
      <c r="A45" s="19">
        <v>4</v>
      </c>
      <c r="B45" s="15" t="str">
        <f>INDEX(Helper!$B$2:$B$5,MATCH(LARGE(Helper!$AL$2:$AL$5,4),Helper!$AL$2:$AL$5,0))</f>
        <v>Player 1</v>
      </c>
      <c r="C45" s="16" t="str">
        <f>INDEX(Helper!$U$2:$U$5,MATCH(LARGE(Helper!$AL$2:$AL$5,4),Helper!$AL$2:$AL$5,0))</f>
        <v>T</v>
      </c>
      <c r="D45" s="16" t="str">
        <f>INDEX(Helper!$V$2:$V$5,MATCH(LARGE(Helper!$AL$2:$AL$5,4),Helper!$AL$2:$AL$5,0))</f>
        <v>T</v>
      </c>
      <c r="E45" s="16" t="str">
        <f>INDEX(Helper!$W$2:$W$5,MATCH(LARGE(Helper!$AL$2:$AL$5,4),Helper!$AL$2:$AL$5,0))</f>
        <v>T</v>
      </c>
      <c r="F45" s="16" t="str">
        <f>INDEX(Helper!$X$2:$X$5,MATCH(LARGE(Helper!$AL$2:$AL$5,4),Helper!$AL$2:$AL$5,0))</f>
        <v>T</v>
      </c>
      <c r="G45" s="16" t="str">
        <f>INDEX(Helper!$Y$2:$Y$5,MATCH(LARGE(Helper!$AL$2:$AL$5,4),Helper!$AL$2:$AL$5,0))</f>
        <v>T</v>
      </c>
      <c r="H45" s="16" t="str">
        <f>INDEX(Helper!$Z$2:$Z$5,MATCH(LARGE(Helper!$AL$2:$AL$5,4),Helper!$AL$2:$AL$5,0))</f>
        <v>T</v>
      </c>
      <c r="I45" s="21">
        <f>INDEX(Helper!$AA$2:$AA$5,MATCH(LARGE(Helper!$AL$2:$AL$5,4),Helper!$AL$2:$AL$5,0))</f>
        <v>3</v>
      </c>
      <c r="J45" s="16">
        <f>INDEX(Helper!$AB$2:$AB$5,MATCH(LARGE(Helper!$AL$2:$AL$5,4),Helper!$AL$2:$AL$5,0))</f>
        <v>3</v>
      </c>
      <c r="K45" s="16">
        <f>INDEX(Helper!$AC$2:$AC$5,MATCH(LARGE(Helper!$AL$2:$AL$5,4),Helper!$AL$2:$AL$5,0))</f>
        <v>0</v>
      </c>
      <c r="L45" s="22">
        <f>IFERROR(I45/(I45+J45),0)</f>
        <v>0.5</v>
      </c>
    </row>
    <row r="47" spans="1:12" ht="15" customHeight="1" x14ac:dyDescent="0.25">
      <c r="A47" s="71" t="s">
        <v>125</v>
      </c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4"/>
    </row>
    <row r="48" spans="1:12" ht="15" customHeight="1" x14ac:dyDescent="0.25">
      <c r="A48" s="21" t="s">
        <v>97</v>
      </c>
      <c r="B48" s="21" t="s">
        <v>98</v>
      </c>
      <c r="C48" s="21" t="s">
        <v>117</v>
      </c>
      <c r="D48" s="21" t="s">
        <v>118</v>
      </c>
      <c r="E48" s="21" t="s">
        <v>119</v>
      </c>
      <c r="F48" s="21" t="s">
        <v>120</v>
      </c>
      <c r="G48" s="21" t="s">
        <v>121</v>
      </c>
      <c r="H48" s="21" t="s">
        <v>122</v>
      </c>
      <c r="I48" s="21" t="s">
        <v>88</v>
      </c>
      <c r="J48" s="21" t="s">
        <v>89</v>
      </c>
      <c r="K48" s="21" t="s">
        <v>123</v>
      </c>
      <c r="L48" s="21" t="s">
        <v>124</v>
      </c>
    </row>
    <row r="49" spans="1:12" ht="15" customHeight="1" x14ac:dyDescent="0.25">
      <c r="A49" s="14">
        <v>1</v>
      </c>
      <c r="B49" s="15" t="str">
        <f>INDEX(Helper!$B$6:$B$9,MATCH(LARGE(Helper!$AL$6:$AL$9,1),Helper!$AL$6:$AL$9,0))</f>
        <v>Player 8</v>
      </c>
      <c r="C49" s="16" t="str">
        <f>INDEX(Helper!$U$6:$U$9,MATCH(LARGE(Helper!$AL$6:$AL$9,1),Helper!$AL$6:$AL$9,0))</f>
        <v>T</v>
      </c>
      <c r="D49" s="16" t="str">
        <f>INDEX(Helper!$V$6:$V$9,MATCH(LARGE(Helper!$AL$6:$AL$9,1),Helper!$AL$6:$AL$9,0))</f>
        <v>T</v>
      </c>
      <c r="E49" s="16" t="str">
        <f>INDEX(Helper!$W$6:$W$9,MATCH(LARGE(Helper!$AL$6:$AL$9,1),Helper!$AL$6:$AL$9,0))</f>
        <v>T</v>
      </c>
      <c r="F49" s="16" t="str">
        <f>INDEX(Helper!$X$6:$X$9,MATCH(LARGE(Helper!$AL$6:$AL$9,1),Helper!$AL$6:$AL$9,0))</f>
        <v>T</v>
      </c>
      <c r="G49" s="16" t="str">
        <f>INDEX(Helper!$Y$6:$Y$9,MATCH(LARGE(Helper!$AL$6:$AL$9,1),Helper!$AL$6:$AL$9,0))</f>
        <v>T</v>
      </c>
      <c r="H49" s="16" t="str">
        <f>INDEX(Helper!$Z$6:$Z$9,MATCH(LARGE(Helper!$AL$6:$AL$9,1),Helper!$AL$6:$AL$9,0))</f>
        <v>T</v>
      </c>
      <c r="I49" s="21">
        <f>INDEX(Helper!$AA$6:$AA$9,MATCH(LARGE(Helper!$AL$6:$AL$9,1),Helper!$AL$6:$AL$9,0))</f>
        <v>3</v>
      </c>
      <c r="J49" s="16">
        <f>INDEX(Helper!$AB$6:$AB$9,MATCH(LARGE(Helper!$AL$6:$AL$9,1),Helper!$AL$6:$AL$9,0))</f>
        <v>3</v>
      </c>
      <c r="K49" s="16">
        <f>INDEX(Helper!$AC$6:$AC$9,MATCH(LARGE(Helper!$AL$6:$AL$9,1),Helper!$AL$6:$AL$9,0))</f>
        <v>0</v>
      </c>
      <c r="L49" s="22">
        <f>IFERROR(I49/(I49+J49),0)</f>
        <v>0.5</v>
      </c>
    </row>
    <row r="50" spans="1:12" ht="15" customHeight="1" x14ac:dyDescent="0.25">
      <c r="A50" s="17">
        <v>2</v>
      </c>
      <c r="B50" s="15" t="str">
        <f>INDEX(Helper!$B$6:$B$9,MATCH(LARGE(Helper!$AL$6:$AL$9,2),Helper!$AL$6:$AL$9,0))</f>
        <v>Player 7</v>
      </c>
      <c r="C50" s="16" t="str">
        <f>INDEX(Helper!$U$6:$U$9,MATCH(LARGE(Helper!$AL$6:$AL$9,2),Helper!$AL$6:$AL$9,0))</f>
        <v>T</v>
      </c>
      <c r="D50" s="16" t="str">
        <f>INDEX(Helper!$V$6:$V$9,MATCH(LARGE(Helper!$AL$6:$AL$9,2),Helper!$AL$6:$AL$9,0))</f>
        <v>T</v>
      </c>
      <c r="E50" s="16" t="str">
        <f>INDEX(Helper!$W$6:$W$9,MATCH(LARGE(Helper!$AL$6:$AL$9,2),Helper!$AL$6:$AL$9,0))</f>
        <v>T</v>
      </c>
      <c r="F50" s="16" t="str">
        <f>INDEX(Helper!$X$6:$X$9,MATCH(LARGE(Helper!$AL$6:$AL$9,2),Helper!$AL$6:$AL$9,0))</f>
        <v>T</v>
      </c>
      <c r="G50" s="16" t="str">
        <f>INDEX(Helper!$Y$6:$Y$9,MATCH(LARGE(Helper!$AL$6:$AL$9,2),Helper!$AL$6:$AL$9,0))</f>
        <v>T</v>
      </c>
      <c r="H50" s="16" t="str">
        <f>INDEX(Helper!$Z$6:$Z$9,MATCH(LARGE(Helper!$AL$6:$AL$9,2),Helper!$AL$6:$AL$9,0))</f>
        <v>T</v>
      </c>
      <c r="I50" s="21">
        <f>INDEX(Helper!$AA$6:$AA$9,MATCH(LARGE(Helper!$AL$6:$AL$9,2),Helper!$AL$6:$AL$9,0))</f>
        <v>3</v>
      </c>
      <c r="J50" s="16">
        <f>INDEX(Helper!$AB$6:$AB$9,MATCH(LARGE(Helper!$AL$6:$AL$9,2),Helper!$AL$6:$AL$9,0))</f>
        <v>3</v>
      </c>
      <c r="K50" s="16">
        <f>INDEX(Helper!$AC$6:$AC$9,MATCH(LARGE(Helper!$AL$6:$AL$9,2),Helper!$AL$6:$AL$9,0))</f>
        <v>0</v>
      </c>
      <c r="L50" s="22">
        <f>IFERROR(I50/(I50+J50),0)</f>
        <v>0.5</v>
      </c>
    </row>
    <row r="51" spans="1:12" ht="15" customHeight="1" x14ac:dyDescent="0.25">
      <c r="A51" s="18">
        <v>3</v>
      </c>
      <c r="B51" s="15" t="str">
        <f>INDEX(Helper!$B$6:$B$9,MATCH(LARGE(Helper!$AL$6:$AL$9,3),Helper!$AL$6:$AL$9,0))</f>
        <v>Player 6</v>
      </c>
      <c r="C51" s="16" t="str">
        <f>INDEX(Helper!$U$6:$U$9,MATCH(LARGE(Helper!$AL$6:$AL$9,3),Helper!$AL$6:$AL$9,0))</f>
        <v>T</v>
      </c>
      <c r="D51" s="16" t="str">
        <f>INDEX(Helper!$V$6:$V$9,MATCH(LARGE(Helper!$AL$6:$AL$9,3),Helper!$AL$6:$AL$9,0))</f>
        <v>T</v>
      </c>
      <c r="E51" s="16" t="str">
        <f>INDEX(Helper!$W$6:$W$9,MATCH(LARGE(Helper!$AL$6:$AL$9,3),Helper!$AL$6:$AL$9,0))</f>
        <v>T</v>
      </c>
      <c r="F51" s="16" t="str">
        <f>INDEX(Helper!$X$6:$X$9,MATCH(LARGE(Helper!$AL$6:$AL$9,3),Helper!$AL$6:$AL$9,0))</f>
        <v>T</v>
      </c>
      <c r="G51" s="16" t="str">
        <f>INDEX(Helper!$Y$6:$Y$9,MATCH(LARGE(Helper!$AL$6:$AL$9,3),Helper!$AL$6:$AL$9,0))</f>
        <v>T</v>
      </c>
      <c r="H51" s="16" t="str">
        <f>INDEX(Helper!$Z$6:$Z$9,MATCH(LARGE(Helper!$AL$6:$AL$9,3),Helper!$AL$6:$AL$9,0))</f>
        <v>T</v>
      </c>
      <c r="I51" s="21">
        <f>INDEX(Helper!$AA$6:$AA$9,MATCH(LARGE(Helper!$AL$6:$AL$9,3),Helper!$AL$6:$AL$9,0))</f>
        <v>3</v>
      </c>
      <c r="J51" s="16">
        <f>INDEX(Helper!$AB$6:$AB$9,MATCH(LARGE(Helper!$AL$6:$AL$9,3),Helper!$AL$6:$AL$9,0))</f>
        <v>3</v>
      </c>
      <c r="K51" s="16">
        <f>INDEX(Helper!$AC$6:$AC$9,MATCH(LARGE(Helper!$AL$6:$AL$9,3),Helper!$AL$6:$AL$9,0))</f>
        <v>0</v>
      </c>
      <c r="L51" s="22">
        <f>IFERROR(I51/(I51+J51),0)</f>
        <v>0.5</v>
      </c>
    </row>
    <row r="52" spans="1:12" ht="15" customHeight="1" x14ac:dyDescent="0.25">
      <c r="A52" s="19">
        <v>4</v>
      </c>
      <c r="B52" s="15" t="str">
        <f>INDEX(Helper!$B$6:$B$9,MATCH(LARGE(Helper!$AL$6:$AL$9,4),Helper!$AL$6:$AL$9,0))</f>
        <v>Player 5</v>
      </c>
      <c r="C52" s="16" t="str">
        <f>INDEX(Helper!$U$6:$U$9,MATCH(LARGE(Helper!$AL$6:$AL$9,4),Helper!$AL$6:$AL$9,0))</f>
        <v>T</v>
      </c>
      <c r="D52" s="16" t="str">
        <f>INDEX(Helper!$V$6:$V$9,MATCH(LARGE(Helper!$AL$6:$AL$9,4),Helper!$AL$6:$AL$9,0))</f>
        <v>T</v>
      </c>
      <c r="E52" s="16" t="str">
        <f>INDEX(Helper!$W$6:$W$9,MATCH(LARGE(Helper!$AL$6:$AL$9,4),Helper!$AL$6:$AL$9,0))</f>
        <v>T</v>
      </c>
      <c r="F52" s="16" t="str">
        <f>INDEX(Helper!$X$6:$X$9,MATCH(LARGE(Helper!$AL$6:$AL$9,4),Helper!$AL$6:$AL$9,0))</f>
        <v>T</v>
      </c>
      <c r="G52" s="16" t="str">
        <f>INDEX(Helper!$Y$6:$Y$9,MATCH(LARGE(Helper!$AL$6:$AL$9,4),Helper!$AL$6:$AL$9,0))</f>
        <v>T</v>
      </c>
      <c r="H52" s="16" t="str">
        <f>INDEX(Helper!$Z$6:$Z$9,MATCH(LARGE(Helper!$AL$6:$AL$9,4),Helper!$AL$6:$AL$9,0))</f>
        <v>T</v>
      </c>
      <c r="I52" s="21">
        <f>INDEX(Helper!$AA$6:$AA$9,MATCH(LARGE(Helper!$AL$6:$AL$9,4),Helper!$AL$6:$AL$9,0))</f>
        <v>3</v>
      </c>
      <c r="J52" s="16">
        <f>INDEX(Helper!$AB$6:$AB$9,MATCH(LARGE(Helper!$AL$6:$AL$9,4),Helper!$AL$6:$AL$9,0))</f>
        <v>3</v>
      </c>
      <c r="K52" s="16">
        <f>INDEX(Helper!$AC$6:$AC$9,MATCH(LARGE(Helper!$AL$6:$AL$9,4),Helper!$AL$6:$AL$9,0))</f>
        <v>0</v>
      </c>
      <c r="L52" s="22">
        <f>IFERROR(I52/(I52+J52),0)</f>
        <v>0.5</v>
      </c>
    </row>
    <row r="54" spans="1:12" ht="15" customHeight="1" x14ac:dyDescent="0.25">
      <c r="A54" s="71" t="s">
        <v>126</v>
      </c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4"/>
    </row>
    <row r="55" spans="1:12" ht="15" customHeight="1" x14ac:dyDescent="0.25">
      <c r="A55" s="21" t="s">
        <v>97</v>
      </c>
      <c r="B55" s="21" t="s">
        <v>98</v>
      </c>
      <c r="C55" s="21" t="s">
        <v>117</v>
      </c>
      <c r="D55" s="21" t="s">
        <v>118</v>
      </c>
      <c r="E55" s="21" t="s">
        <v>119</v>
      </c>
      <c r="F55" s="21" t="s">
        <v>120</v>
      </c>
      <c r="G55" s="21" t="s">
        <v>121</v>
      </c>
      <c r="H55" s="21" t="s">
        <v>122</v>
      </c>
      <c r="I55" s="21" t="s">
        <v>88</v>
      </c>
      <c r="J55" s="21" t="s">
        <v>89</v>
      </c>
      <c r="K55" s="21" t="s">
        <v>123</v>
      </c>
      <c r="L55" s="21" t="s">
        <v>124</v>
      </c>
    </row>
    <row r="56" spans="1:12" ht="15" customHeight="1" x14ac:dyDescent="0.25">
      <c r="A56" s="14">
        <v>1</v>
      </c>
      <c r="B56" s="15" t="str">
        <f>INDEX(Helper!$B$10:$B$13,MATCH(LARGE(Helper!$AL$10:$AL$13,1),Helper!$AL$10:$AL$13,0))</f>
        <v>Player 12</v>
      </c>
      <c r="C56" s="16" t="str">
        <f>INDEX(Helper!$U$10:$U$13,MATCH(LARGE(Helper!$AL$10:$AL$13,1),Helper!$AL$10:$AL$13,0))</f>
        <v>T</v>
      </c>
      <c r="D56" s="16" t="str">
        <f>INDEX(Helper!$V$10:$V$13,MATCH(LARGE(Helper!$AL$10:$AL$13,1),Helper!$AL$10:$AL$13,0))</f>
        <v>T</v>
      </c>
      <c r="E56" s="16" t="str">
        <f>INDEX(Helper!$W$10:$W$13,MATCH(LARGE(Helper!$AL$10:$AL$13,1),Helper!$AL$10:$AL$13,0))</f>
        <v>T</v>
      </c>
      <c r="F56" s="16" t="str">
        <f>INDEX(Helper!$X$10:$X$13,MATCH(LARGE(Helper!$AL$10:$AL$13,1),Helper!$AL$10:$AL$13,0))</f>
        <v>T</v>
      </c>
      <c r="G56" s="16" t="str">
        <f>INDEX(Helper!$Y$10:$Y$13,MATCH(LARGE(Helper!$AL$10:$AL$13,1),Helper!$AL$10:$AL$13,0))</f>
        <v>T</v>
      </c>
      <c r="H56" s="16" t="str">
        <f>INDEX(Helper!$Z$10:$Z$13,MATCH(LARGE(Helper!$AL$10:$AL$13,1),Helper!$AL$10:$AL$13,0))</f>
        <v>T</v>
      </c>
      <c r="I56" s="21">
        <f>INDEX(Helper!$AA$10:$AA$13,MATCH(LARGE(Helper!$AL$10:$AL$13,1),Helper!$AL$10:$AL$13,0))</f>
        <v>3</v>
      </c>
      <c r="J56" s="16">
        <f>INDEX(Helper!$AB$10:$AB$13,MATCH(LARGE(Helper!$AL$10:$AL$13,1),Helper!$AL$10:$AL$13,0))</f>
        <v>3</v>
      </c>
      <c r="K56" s="16">
        <f>INDEX(Helper!$AC$10:$AC$13,MATCH(LARGE(Helper!$AL$10:$AL$13,1),Helper!$AL$10:$AL$13,0))</f>
        <v>0</v>
      </c>
      <c r="L56" s="22">
        <f>IFERROR(I56/(I56+J56),0)</f>
        <v>0.5</v>
      </c>
    </row>
    <row r="57" spans="1:12" ht="15" customHeight="1" x14ac:dyDescent="0.25">
      <c r="A57" s="17">
        <v>2</v>
      </c>
      <c r="B57" s="15" t="str">
        <f>INDEX(Helper!$B$10:$B$13,MATCH(LARGE(Helper!$AL$10:$AL$13,2),Helper!$AL$10:$AL$13,0))</f>
        <v>Player 11</v>
      </c>
      <c r="C57" s="16" t="str">
        <f>INDEX(Helper!$U$10:$U$13,MATCH(LARGE(Helper!$AL$10:$AL$13,2),Helper!$AL$10:$AL$13,0))</f>
        <v>T</v>
      </c>
      <c r="D57" s="16" t="str">
        <f>INDEX(Helper!$V$10:$V$13,MATCH(LARGE(Helper!$AL$10:$AL$13,2),Helper!$AL$10:$AL$13,0))</f>
        <v>T</v>
      </c>
      <c r="E57" s="16" t="str">
        <f>INDEX(Helper!$W$10:$W$13,MATCH(LARGE(Helper!$AL$10:$AL$13,2),Helper!$AL$10:$AL$13,0))</f>
        <v>T</v>
      </c>
      <c r="F57" s="16" t="str">
        <f>INDEX(Helper!$X$10:$X$13,MATCH(LARGE(Helper!$AL$10:$AL$13,2),Helper!$AL$10:$AL$13,0))</f>
        <v>T</v>
      </c>
      <c r="G57" s="16" t="str">
        <f>INDEX(Helper!$Y$10:$Y$13,MATCH(LARGE(Helper!$AL$10:$AL$13,2),Helper!$AL$10:$AL$13,0))</f>
        <v>T</v>
      </c>
      <c r="H57" s="16" t="str">
        <f>INDEX(Helper!$Z$10:$Z$13,MATCH(LARGE(Helper!$AL$10:$AL$13,2),Helper!$AL$10:$AL$13,0))</f>
        <v>T</v>
      </c>
      <c r="I57" s="21">
        <f>INDEX(Helper!$AA$10:$AA$13,MATCH(LARGE(Helper!$AL$10:$AL$13,2),Helper!$AL$10:$AL$13,0))</f>
        <v>3</v>
      </c>
      <c r="J57" s="16">
        <f>INDEX(Helper!$AB$10:$AB$13,MATCH(LARGE(Helper!$AL$10:$AL$13,2),Helper!$AL$10:$AL$13,0))</f>
        <v>3</v>
      </c>
      <c r="K57" s="16">
        <f>INDEX(Helper!$AC$10:$AC$13,MATCH(LARGE(Helper!$AL$10:$AL$13,2),Helper!$AL$10:$AL$13,0))</f>
        <v>0</v>
      </c>
      <c r="L57" s="22">
        <f>IFERROR(I57/(I57+J57),0)</f>
        <v>0.5</v>
      </c>
    </row>
    <row r="58" spans="1:12" ht="15" customHeight="1" x14ac:dyDescent="0.25">
      <c r="A58" s="18">
        <v>3</v>
      </c>
      <c r="B58" s="15" t="str">
        <f>INDEX(Helper!$B$10:$B$13,MATCH(LARGE(Helper!$AL$10:$AL$13,3),Helper!$AL$10:$AL$13,0))</f>
        <v>Player 10</v>
      </c>
      <c r="C58" s="16" t="str">
        <f>INDEX(Helper!$U$10:$U$13,MATCH(LARGE(Helper!$AL$10:$AL$13,3),Helper!$AL$10:$AL$13,0))</f>
        <v>T</v>
      </c>
      <c r="D58" s="16" t="str">
        <f>INDEX(Helper!$V$10:$V$13,MATCH(LARGE(Helper!$AL$10:$AL$13,3),Helper!$AL$10:$AL$13,0))</f>
        <v>T</v>
      </c>
      <c r="E58" s="16" t="str">
        <f>INDEX(Helper!$W$10:$W$13,MATCH(LARGE(Helper!$AL$10:$AL$13,3),Helper!$AL$10:$AL$13,0))</f>
        <v>T</v>
      </c>
      <c r="F58" s="16" t="str">
        <f>INDEX(Helper!$X$10:$X$13,MATCH(LARGE(Helper!$AL$10:$AL$13,3),Helper!$AL$10:$AL$13,0))</f>
        <v>T</v>
      </c>
      <c r="G58" s="16" t="str">
        <f>INDEX(Helper!$Y$10:$Y$13,MATCH(LARGE(Helper!$AL$10:$AL$13,3),Helper!$AL$10:$AL$13,0))</f>
        <v>T</v>
      </c>
      <c r="H58" s="16" t="str">
        <f>INDEX(Helper!$Z$10:$Z$13,MATCH(LARGE(Helper!$AL$10:$AL$13,3),Helper!$AL$10:$AL$13,0))</f>
        <v>T</v>
      </c>
      <c r="I58" s="21">
        <f>INDEX(Helper!$AA$10:$AA$13,MATCH(LARGE(Helper!$AL$10:$AL$13,3),Helper!$AL$10:$AL$13,0))</f>
        <v>3</v>
      </c>
      <c r="J58" s="16">
        <f>INDEX(Helper!$AB$10:$AB$13,MATCH(LARGE(Helper!$AL$10:$AL$13,3),Helper!$AL$10:$AL$13,0))</f>
        <v>3</v>
      </c>
      <c r="K58" s="16">
        <f>INDEX(Helper!$AC$10:$AC$13,MATCH(LARGE(Helper!$AL$10:$AL$13,3),Helper!$AL$10:$AL$13,0))</f>
        <v>0</v>
      </c>
      <c r="L58" s="22">
        <f>IFERROR(I58/(I58+J58),0)</f>
        <v>0.5</v>
      </c>
    </row>
    <row r="59" spans="1:12" ht="15" customHeight="1" x14ac:dyDescent="0.25">
      <c r="A59" s="19">
        <v>4</v>
      </c>
      <c r="B59" s="15" t="str">
        <f>INDEX(Helper!$B$10:$B$13,MATCH(LARGE(Helper!$AL$10:$AL$13,4),Helper!$AL$10:$AL$13,0))</f>
        <v>Player 9</v>
      </c>
      <c r="C59" s="16" t="str">
        <f>INDEX(Helper!$U$10:$U$13,MATCH(LARGE(Helper!$AL$10:$AL$13,4),Helper!$AL$10:$AL$13,0))</f>
        <v>T</v>
      </c>
      <c r="D59" s="16" t="str">
        <f>INDEX(Helper!$V$10:$V$13,MATCH(LARGE(Helper!$AL$10:$AL$13,4),Helper!$AL$10:$AL$13,0))</f>
        <v>T</v>
      </c>
      <c r="E59" s="16" t="str">
        <f>INDEX(Helper!$W$10:$W$13,MATCH(LARGE(Helper!$AL$10:$AL$13,4),Helper!$AL$10:$AL$13,0))</f>
        <v>T</v>
      </c>
      <c r="F59" s="16" t="str">
        <f>INDEX(Helper!$X$10:$X$13,MATCH(LARGE(Helper!$AL$10:$AL$13,4),Helper!$AL$10:$AL$13,0))</f>
        <v>T</v>
      </c>
      <c r="G59" s="16" t="str">
        <f>INDEX(Helper!$Y$10:$Y$13,MATCH(LARGE(Helper!$AL$10:$AL$13,4),Helper!$AL$10:$AL$13,0))</f>
        <v>T</v>
      </c>
      <c r="H59" s="16" t="str">
        <f>INDEX(Helper!$Z$10:$Z$13,MATCH(LARGE(Helper!$AL$10:$AL$13,4),Helper!$AL$10:$AL$13,0))</f>
        <v>T</v>
      </c>
      <c r="I59" s="21">
        <f>INDEX(Helper!$AA$10:$AA$13,MATCH(LARGE(Helper!$AL$10:$AL$13,4),Helper!$AL$10:$AL$13,0))</f>
        <v>3</v>
      </c>
      <c r="J59" s="16">
        <f>INDEX(Helper!$AB$10:$AB$13,MATCH(LARGE(Helper!$AL$10:$AL$13,4),Helper!$AL$10:$AL$13,0))</f>
        <v>3</v>
      </c>
      <c r="K59" s="16">
        <f>INDEX(Helper!$AC$10:$AC$13,MATCH(LARGE(Helper!$AL$10:$AL$13,4),Helper!$AL$10:$AL$13,0))</f>
        <v>0</v>
      </c>
      <c r="L59" s="22">
        <f>IFERROR(I59/(I59+J59),0)</f>
        <v>0.5</v>
      </c>
    </row>
    <row r="61" spans="1:12" ht="15" customHeight="1" x14ac:dyDescent="0.25">
      <c r="A61" s="71" t="s">
        <v>127</v>
      </c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4"/>
    </row>
    <row r="62" spans="1:12" ht="15" customHeight="1" x14ac:dyDescent="0.25">
      <c r="A62" s="21" t="s">
        <v>97</v>
      </c>
      <c r="B62" s="21" t="s">
        <v>98</v>
      </c>
      <c r="C62" s="21" t="s">
        <v>117</v>
      </c>
      <c r="D62" s="21" t="s">
        <v>118</v>
      </c>
      <c r="E62" s="21" t="s">
        <v>119</v>
      </c>
      <c r="F62" s="21" t="s">
        <v>120</v>
      </c>
      <c r="G62" s="21" t="s">
        <v>121</v>
      </c>
      <c r="H62" s="21" t="s">
        <v>122</v>
      </c>
      <c r="I62" s="21" t="s">
        <v>88</v>
      </c>
      <c r="J62" s="21" t="s">
        <v>89</v>
      </c>
      <c r="K62" s="21" t="s">
        <v>123</v>
      </c>
      <c r="L62" s="21" t="s">
        <v>124</v>
      </c>
    </row>
    <row r="63" spans="1:12" ht="15" customHeight="1" x14ac:dyDescent="0.25">
      <c r="A63" s="14">
        <v>1</v>
      </c>
      <c r="B63" s="15" t="str">
        <f>INDEX(Helper!$B$14:$B$17,MATCH(LARGE(Helper!$AL$14:$AL$17,1),Helper!$AL$14:$AL$17,0))</f>
        <v>Player 16</v>
      </c>
      <c r="C63" s="16" t="str">
        <f>INDEX(Helper!$U$14:$U$17,MATCH(LARGE(Helper!$AL$14:$AL$17,1),Helper!$AL$14:$AL$17,0))</f>
        <v>T</v>
      </c>
      <c r="D63" s="16" t="str">
        <f>INDEX(Helper!$V$14:$V$17,MATCH(LARGE(Helper!$AL$14:$AL$17,1),Helper!$AL$14:$AL$17,0))</f>
        <v>T</v>
      </c>
      <c r="E63" s="16" t="str">
        <f>INDEX(Helper!$W$14:$W$17,MATCH(LARGE(Helper!$AL$14:$AL$17,1),Helper!$AL$14:$AL$17,0))</f>
        <v>T</v>
      </c>
      <c r="F63" s="16" t="str">
        <f>INDEX(Helper!$X$14:$X$17,MATCH(LARGE(Helper!$AL$14:$AL$17,1),Helper!$AL$14:$AL$17,0))</f>
        <v>T</v>
      </c>
      <c r="G63" s="16" t="str">
        <f>INDEX(Helper!$Y$14:$Y$17,MATCH(LARGE(Helper!$AL$14:$AL$17,1),Helper!$AL$14:$AL$17,0))</f>
        <v>T</v>
      </c>
      <c r="H63" s="16" t="str">
        <f>INDEX(Helper!$Z$14:$Z$17,MATCH(LARGE(Helper!$AL$14:$AL$17,1),Helper!$AL$14:$AL$17,0))</f>
        <v>T</v>
      </c>
      <c r="I63" s="21">
        <f>INDEX(Helper!$AA$14:$AA$17,MATCH(LARGE(Helper!$AL$14:$AL$17,1),Helper!$AL$14:$AL$17,0))</f>
        <v>3</v>
      </c>
      <c r="J63" s="16">
        <f>INDEX(Helper!$AB$14:$AB$17,MATCH(LARGE(Helper!$AL$14:$AL$17,1),Helper!$AL$14:$AL$17,0))</f>
        <v>3</v>
      </c>
      <c r="K63" s="16">
        <f>INDEX(Helper!$AC$14:$AC$17,MATCH(LARGE(Helper!$AL$14:$AL$17,1),Helper!$AL$14:$AL$17,0))</f>
        <v>0</v>
      </c>
      <c r="L63" s="22">
        <f>IFERROR(I63/(I63+J63),0)</f>
        <v>0.5</v>
      </c>
    </row>
    <row r="64" spans="1:12" ht="15" customHeight="1" x14ac:dyDescent="0.25">
      <c r="A64" s="17">
        <v>2</v>
      </c>
      <c r="B64" s="15" t="str">
        <f>INDEX(Helper!$B$14:$B$17,MATCH(LARGE(Helper!$AL$14:$AL$17,2),Helper!$AL$14:$AL$17,0))</f>
        <v>Player 15</v>
      </c>
      <c r="C64" s="16" t="str">
        <f>INDEX(Helper!$U$14:$U$17,MATCH(LARGE(Helper!$AL$14:$AL$17,2),Helper!$AL$14:$AL$17,0))</f>
        <v>T</v>
      </c>
      <c r="D64" s="16" t="str">
        <f>INDEX(Helper!$V$14:$V$17,MATCH(LARGE(Helper!$AL$14:$AL$17,2),Helper!$AL$14:$AL$17,0))</f>
        <v>T</v>
      </c>
      <c r="E64" s="16" t="str">
        <f>INDEX(Helper!$W$14:$W$17,MATCH(LARGE(Helper!$AL$14:$AL$17,2),Helper!$AL$14:$AL$17,0))</f>
        <v>T</v>
      </c>
      <c r="F64" s="16" t="str">
        <f>INDEX(Helper!$X$14:$X$17,MATCH(LARGE(Helper!$AL$14:$AL$17,2),Helper!$AL$14:$AL$17,0))</f>
        <v>T</v>
      </c>
      <c r="G64" s="16" t="str">
        <f>INDEX(Helper!$Y$14:$Y$17,MATCH(LARGE(Helper!$AL$14:$AL$17,2),Helper!$AL$14:$AL$17,0))</f>
        <v>T</v>
      </c>
      <c r="H64" s="16" t="str">
        <f>INDEX(Helper!$Z$14:$Z$17,MATCH(LARGE(Helper!$AL$14:$AL$17,2),Helper!$AL$14:$AL$17,0))</f>
        <v>T</v>
      </c>
      <c r="I64" s="21">
        <f>INDEX(Helper!$AA$14:$AA$17,MATCH(LARGE(Helper!$AL$14:$AL$17,2),Helper!$AL$14:$AL$17,0))</f>
        <v>3</v>
      </c>
      <c r="J64" s="16">
        <f>INDEX(Helper!$AB$14:$AB$17,MATCH(LARGE(Helper!$AL$14:$AL$17,2),Helper!$AL$14:$AL$17,0))</f>
        <v>3</v>
      </c>
      <c r="K64" s="16">
        <f>INDEX(Helper!$AC$14:$AC$17,MATCH(LARGE(Helper!$AL$14:$AL$17,2),Helper!$AL$14:$AL$17,0))</f>
        <v>0</v>
      </c>
      <c r="L64" s="22">
        <f>IFERROR(I64/(I64+J64),0)</f>
        <v>0.5</v>
      </c>
    </row>
    <row r="65" spans="1:12" ht="15" customHeight="1" x14ac:dyDescent="0.25">
      <c r="A65" s="18">
        <v>3</v>
      </c>
      <c r="B65" s="15" t="str">
        <f>INDEX(Helper!$B$14:$B$17,MATCH(LARGE(Helper!$AL$14:$AL$17,3),Helper!$AL$14:$AL$17,0))</f>
        <v>Player 14</v>
      </c>
      <c r="C65" s="16" t="str">
        <f>INDEX(Helper!$U$14:$U$17,MATCH(LARGE(Helper!$AL$14:$AL$17,3),Helper!$AL$14:$AL$17,0))</f>
        <v>T</v>
      </c>
      <c r="D65" s="16" t="str">
        <f>INDEX(Helper!$V$14:$V$17,MATCH(LARGE(Helper!$AL$14:$AL$17,3),Helper!$AL$14:$AL$17,0))</f>
        <v>T</v>
      </c>
      <c r="E65" s="16" t="str">
        <f>INDEX(Helper!$W$14:$W$17,MATCH(LARGE(Helper!$AL$14:$AL$17,3),Helper!$AL$14:$AL$17,0))</f>
        <v>T</v>
      </c>
      <c r="F65" s="16" t="str">
        <f>INDEX(Helper!$X$14:$X$17,MATCH(LARGE(Helper!$AL$14:$AL$17,3),Helper!$AL$14:$AL$17,0))</f>
        <v>T</v>
      </c>
      <c r="G65" s="16" t="str">
        <f>INDEX(Helper!$Y$14:$Y$17,MATCH(LARGE(Helper!$AL$14:$AL$17,3),Helper!$AL$14:$AL$17,0))</f>
        <v>T</v>
      </c>
      <c r="H65" s="16" t="str">
        <f>INDEX(Helper!$Z$14:$Z$17,MATCH(LARGE(Helper!$AL$14:$AL$17,3),Helper!$AL$14:$AL$17,0))</f>
        <v>T</v>
      </c>
      <c r="I65" s="21">
        <f>INDEX(Helper!$AA$14:$AA$17,MATCH(LARGE(Helper!$AL$14:$AL$17,3),Helper!$AL$14:$AL$17,0))</f>
        <v>3</v>
      </c>
      <c r="J65" s="16">
        <f>INDEX(Helper!$AB$14:$AB$17,MATCH(LARGE(Helper!$AL$14:$AL$17,3),Helper!$AL$14:$AL$17,0))</f>
        <v>3</v>
      </c>
      <c r="K65" s="16">
        <f>INDEX(Helper!$AC$14:$AC$17,MATCH(LARGE(Helper!$AL$14:$AL$17,3),Helper!$AL$14:$AL$17,0))</f>
        <v>0</v>
      </c>
      <c r="L65" s="22">
        <f>IFERROR(I65/(I65+J65),0)</f>
        <v>0.5</v>
      </c>
    </row>
    <row r="66" spans="1:12" ht="15" customHeight="1" x14ac:dyDescent="0.25">
      <c r="A66" s="19">
        <v>4</v>
      </c>
      <c r="B66" s="15" t="str">
        <f>INDEX(Helper!$B$14:$B$17,MATCH(LARGE(Helper!$AL$14:$AL$17,4),Helper!$AL$14:$AL$17,0))</f>
        <v>Player 13</v>
      </c>
      <c r="C66" s="16" t="str">
        <f>INDEX(Helper!$U$14:$U$17,MATCH(LARGE(Helper!$AL$14:$AL$17,4),Helper!$AL$14:$AL$17,0))</f>
        <v>T</v>
      </c>
      <c r="D66" s="16" t="str">
        <f>INDEX(Helper!$V$14:$V$17,MATCH(LARGE(Helper!$AL$14:$AL$17,4),Helper!$AL$14:$AL$17,0))</f>
        <v>T</v>
      </c>
      <c r="E66" s="16" t="str">
        <f>INDEX(Helper!$W$14:$W$17,MATCH(LARGE(Helper!$AL$14:$AL$17,4),Helper!$AL$14:$AL$17,0))</f>
        <v>T</v>
      </c>
      <c r="F66" s="16" t="str">
        <f>INDEX(Helper!$X$14:$X$17,MATCH(LARGE(Helper!$AL$14:$AL$17,4),Helper!$AL$14:$AL$17,0))</f>
        <v>T</v>
      </c>
      <c r="G66" s="16" t="str">
        <f>INDEX(Helper!$Y$14:$Y$17,MATCH(LARGE(Helper!$AL$14:$AL$17,4),Helper!$AL$14:$AL$17,0))</f>
        <v>T</v>
      </c>
      <c r="H66" s="16" t="str">
        <f>INDEX(Helper!$Z$14:$Z$17,MATCH(LARGE(Helper!$AL$14:$AL$17,4),Helper!$AL$14:$AL$17,0))</f>
        <v>T</v>
      </c>
      <c r="I66" s="21">
        <f>INDEX(Helper!$AA$14:$AA$17,MATCH(LARGE(Helper!$AL$14:$AL$17,4),Helper!$AL$14:$AL$17,0))</f>
        <v>3</v>
      </c>
      <c r="J66" s="16">
        <f>INDEX(Helper!$AB$14:$AB$17,MATCH(LARGE(Helper!$AL$14:$AL$17,4),Helper!$AL$14:$AL$17,0))</f>
        <v>3</v>
      </c>
      <c r="K66" s="16">
        <f>INDEX(Helper!$AC$14:$AC$17,MATCH(LARGE(Helper!$AL$14:$AL$17,4),Helper!$AL$14:$AL$17,0))</f>
        <v>0</v>
      </c>
      <c r="L66" s="22">
        <f>IFERROR(I66/(I66+J66),0)</f>
        <v>0.5</v>
      </c>
    </row>
    <row r="69" spans="1:12" ht="15" customHeight="1" x14ac:dyDescent="0.25">
      <c r="A69" s="62" t="s">
        <v>128</v>
      </c>
      <c r="B69" s="63"/>
      <c r="C69" s="63"/>
      <c r="D69" s="63"/>
      <c r="E69" s="63"/>
      <c r="F69" s="63"/>
      <c r="G69" s="63"/>
      <c r="H69" s="63"/>
      <c r="I69" s="64"/>
    </row>
    <row r="70" spans="1:12" ht="21.75" customHeight="1" x14ac:dyDescent="0.25">
      <c r="A70" s="23" t="s">
        <v>97</v>
      </c>
      <c r="B70" s="23" t="s">
        <v>98</v>
      </c>
      <c r="C70" s="23" t="s">
        <v>129</v>
      </c>
      <c r="D70" s="23" t="s">
        <v>130</v>
      </c>
      <c r="E70" s="23" t="s">
        <v>131</v>
      </c>
      <c r="F70" s="23" t="s">
        <v>132</v>
      </c>
      <c r="G70" s="23" t="s">
        <v>133</v>
      </c>
      <c r="H70" s="23" t="s">
        <v>134</v>
      </c>
      <c r="I70" s="23"/>
    </row>
    <row r="71" spans="1:12" ht="15" customHeight="1" x14ac:dyDescent="0.25">
      <c r="A71" s="14">
        <v>1</v>
      </c>
      <c r="B71" s="15" t="str">
        <f>INDEX(Helper!$B$2:$B$17,MATCH(LARGE(Helper!$AM$2:$AM$17,1),Helper!$AM$2:$AM$17,0))</f>
        <v>Player 16</v>
      </c>
      <c r="C71" s="16">
        <f>INDEX(Helper!$I$2:$I$17,MATCH(LARGE(Helper!$AM$2:$AM$17,1),Helper!$AM$2:$AM$17,0))</f>
        <v>18</v>
      </c>
      <c r="D71" s="16">
        <f>INDEX(Helper!$R$2:$R$17,MATCH(LARGE(Helper!$AM$2:$AM$17,1),Helper!$AM$2:$AM$17,0))</f>
        <v>30</v>
      </c>
      <c r="E71" s="16">
        <f>INDEX(Helper!$AC$2:$AC$17,MATCH(LARGE(Helper!$AM$2:$AM$17,1),Helper!$AM$2:$AM$17,0))</f>
        <v>0</v>
      </c>
      <c r="F71" s="13">
        <f>INDEX(Helper!$AE$2:$AE$17,MATCH(LARGE(Helper!$AM$2:$AM$17,1),Helper!$AM$2:$AM$17,0))</f>
        <v>48</v>
      </c>
      <c r="G71" s="16">
        <f>RANK(C71,$C$71:$C$86,0)</f>
        <v>1</v>
      </c>
      <c r="H71" s="16">
        <f>RANK(D71,$D$71:$D$86,0)</f>
        <v>1</v>
      </c>
    </row>
    <row r="72" spans="1:12" ht="15" customHeight="1" x14ac:dyDescent="0.25">
      <c r="A72" s="17">
        <v>2</v>
      </c>
      <c r="B72" s="15" t="str">
        <f>INDEX(Helper!$B$2:$B$17,MATCH(LARGE(Helper!$AM$2:$AM$17,2),Helper!$AM$2:$AM$17,0))</f>
        <v>Player 15</v>
      </c>
      <c r="C72" s="16">
        <f>INDEX(Helper!$I$2:$I$17,MATCH(LARGE(Helper!$AM$2:$AM$17,2),Helper!$AM$2:$AM$17,0))</f>
        <v>18</v>
      </c>
      <c r="D72" s="16">
        <f>INDEX(Helper!$R$2:$R$17,MATCH(LARGE(Helper!$AM$2:$AM$17,2),Helper!$AM$2:$AM$17,0))</f>
        <v>30</v>
      </c>
      <c r="E72" s="16">
        <f>INDEX(Helper!$AC$2:$AC$17,MATCH(LARGE(Helper!$AM$2:$AM$17,2),Helper!$AM$2:$AM$17,0))</f>
        <v>0</v>
      </c>
      <c r="F72" s="13">
        <f>INDEX(Helper!$AE$2:$AE$17,MATCH(LARGE(Helper!$AM$2:$AM$17,2),Helper!$AM$2:$AM$17,0))</f>
        <v>48</v>
      </c>
      <c r="G72" s="16">
        <f>RANK(C72,$C$72:$C$87,0)</f>
        <v>1</v>
      </c>
      <c r="H72" s="16">
        <f>RANK(D72,$D$72:$D$87,0)</f>
        <v>1</v>
      </c>
    </row>
    <row r="73" spans="1:12" ht="15" customHeight="1" x14ac:dyDescent="0.25">
      <c r="A73" s="18">
        <v>3</v>
      </c>
      <c r="B73" s="15" t="str">
        <f>INDEX(Helper!$B$2:$B$17,MATCH(LARGE(Helper!$AM$2:$AM$17,3),Helper!$AM$2:$AM$17,0))</f>
        <v>Player 14</v>
      </c>
      <c r="C73" s="16">
        <f>INDEX(Helper!$I$2:$I$17,MATCH(LARGE(Helper!$AM$2:$AM$17,3),Helper!$AM$2:$AM$17,0))</f>
        <v>18</v>
      </c>
      <c r="D73" s="16">
        <f>INDEX(Helper!$R$2:$R$17,MATCH(LARGE(Helper!$AM$2:$AM$17,3),Helper!$AM$2:$AM$17,0))</f>
        <v>30</v>
      </c>
      <c r="E73" s="16">
        <f>INDEX(Helper!$AC$2:$AC$17,MATCH(LARGE(Helper!$AM$2:$AM$17,3),Helper!$AM$2:$AM$17,0))</f>
        <v>0</v>
      </c>
      <c r="F73" s="13">
        <f>INDEX(Helper!$AE$2:$AE$17,MATCH(LARGE(Helper!$AM$2:$AM$17,3),Helper!$AM$2:$AM$17,0))</f>
        <v>48</v>
      </c>
      <c r="G73" s="16">
        <f>RANK(C73,$C$73:$C$88,0)</f>
        <v>1</v>
      </c>
      <c r="H73" s="16">
        <f>RANK(D73,$D$73:$D$88,0)</f>
        <v>1</v>
      </c>
    </row>
    <row r="74" spans="1:12" ht="15" customHeight="1" x14ac:dyDescent="0.25">
      <c r="A74" s="19">
        <v>4</v>
      </c>
      <c r="B74" s="15" t="str">
        <f>INDEX(Helper!$B$2:$B$17,MATCH(LARGE(Helper!$AM$2:$AM$17,4),Helper!$AM$2:$AM$17,0))</f>
        <v>Player 13</v>
      </c>
      <c r="C74" s="16">
        <f>INDEX(Helper!$I$2:$I$17,MATCH(LARGE(Helper!$AM$2:$AM$17,4),Helper!$AM$2:$AM$17,0))</f>
        <v>18</v>
      </c>
      <c r="D74" s="16">
        <f>INDEX(Helper!$R$2:$R$17,MATCH(LARGE(Helper!$AM$2:$AM$17,4),Helper!$AM$2:$AM$17,0))</f>
        <v>30</v>
      </c>
      <c r="E74" s="16">
        <f>INDEX(Helper!$AC$2:$AC$17,MATCH(LARGE(Helper!$AM$2:$AM$17,4),Helper!$AM$2:$AM$17,0))</f>
        <v>0</v>
      </c>
      <c r="F74" s="13">
        <f>INDEX(Helper!$AE$2:$AE$17,MATCH(LARGE(Helper!$AM$2:$AM$17,4),Helper!$AM$2:$AM$17,0))</f>
        <v>48</v>
      </c>
      <c r="G74" s="16">
        <f>RANK(C74,$C$74:$C$89,0)</f>
        <v>1</v>
      </c>
      <c r="H74" s="16">
        <f>RANK(D74,$D$74:$D$89,0)</f>
        <v>1</v>
      </c>
    </row>
    <row r="75" spans="1:12" ht="15" customHeight="1" x14ac:dyDescent="0.25">
      <c r="A75" s="19">
        <v>5</v>
      </c>
      <c r="B75" s="15" t="str">
        <f>INDEX(Helper!$B$2:$B$17,MATCH(LARGE(Helper!$AM$2:$AM$17,5),Helper!$AM$2:$AM$17,0))</f>
        <v>Player 12</v>
      </c>
      <c r="C75" s="16">
        <f>INDEX(Helper!$I$2:$I$17,MATCH(LARGE(Helper!$AM$2:$AM$17,5),Helper!$AM$2:$AM$17,0))</f>
        <v>18</v>
      </c>
      <c r="D75" s="16">
        <f>INDEX(Helper!$R$2:$R$17,MATCH(LARGE(Helper!$AM$2:$AM$17,5),Helper!$AM$2:$AM$17,0))</f>
        <v>30</v>
      </c>
      <c r="E75" s="16">
        <f>INDEX(Helper!$AC$2:$AC$17,MATCH(LARGE(Helper!$AM$2:$AM$17,5),Helper!$AM$2:$AM$17,0))</f>
        <v>0</v>
      </c>
      <c r="F75" s="13">
        <f>INDEX(Helper!$AE$2:$AE$17,MATCH(LARGE(Helper!$AM$2:$AM$17,5),Helper!$AM$2:$AM$17,0))</f>
        <v>48</v>
      </c>
      <c r="G75" s="16">
        <f>RANK(C75,$C$75:$C$90,0)</f>
        <v>1</v>
      </c>
      <c r="H75" s="16">
        <f>RANK(D75,$D$75:$D$90,0)</f>
        <v>1</v>
      </c>
    </row>
    <row r="76" spans="1:12" ht="15" customHeight="1" x14ac:dyDescent="0.25">
      <c r="A76" s="19">
        <v>6</v>
      </c>
      <c r="B76" s="15" t="str">
        <f>INDEX(Helper!$B$2:$B$17,MATCH(LARGE(Helper!$AM$2:$AM$17,6),Helper!$AM$2:$AM$17,0))</f>
        <v>Player 11</v>
      </c>
      <c r="C76" s="16">
        <f>INDEX(Helper!$I$2:$I$17,MATCH(LARGE(Helper!$AM$2:$AM$17,6),Helper!$AM$2:$AM$17,0))</f>
        <v>18</v>
      </c>
      <c r="D76" s="16">
        <f>INDEX(Helper!$R$2:$R$17,MATCH(LARGE(Helper!$AM$2:$AM$17,6),Helper!$AM$2:$AM$17,0))</f>
        <v>30</v>
      </c>
      <c r="E76" s="16">
        <f>INDEX(Helper!$AC$2:$AC$17,MATCH(LARGE(Helper!$AM$2:$AM$17,6),Helper!$AM$2:$AM$17,0))</f>
        <v>0</v>
      </c>
      <c r="F76" s="13">
        <f>INDEX(Helper!$AE$2:$AE$17,MATCH(LARGE(Helper!$AM$2:$AM$17,6),Helper!$AM$2:$AM$17,0))</f>
        <v>48</v>
      </c>
      <c r="G76" s="16">
        <f>RANK(C76,$C$76:$C$91,0)</f>
        <v>1</v>
      </c>
      <c r="H76" s="16">
        <f>RANK(D76,$D$76:$D$91,0)</f>
        <v>1</v>
      </c>
    </row>
    <row r="77" spans="1:12" ht="15" customHeight="1" x14ac:dyDescent="0.25">
      <c r="A77" s="19">
        <v>7</v>
      </c>
      <c r="B77" s="15" t="str">
        <f>INDEX(Helper!$B$2:$B$17,MATCH(LARGE(Helper!$AM$2:$AM$17,7),Helper!$AM$2:$AM$17,0))</f>
        <v>Player 10</v>
      </c>
      <c r="C77" s="16">
        <f>INDEX(Helper!$I$2:$I$17,MATCH(LARGE(Helper!$AM$2:$AM$17,7),Helper!$AM$2:$AM$17,0))</f>
        <v>18</v>
      </c>
      <c r="D77" s="16">
        <f>INDEX(Helper!$R$2:$R$17,MATCH(LARGE(Helper!$AM$2:$AM$17,7),Helper!$AM$2:$AM$17,0))</f>
        <v>30</v>
      </c>
      <c r="E77" s="16">
        <f>INDEX(Helper!$AC$2:$AC$17,MATCH(LARGE(Helper!$AM$2:$AM$17,7),Helper!$AM$2:$AM$17,0))</f>
        <v>0</v>
      </c>
      <c r="F77" s="13">
        <f>INDEX(Helper!$AE$2:$AE$17,MATCH(LARGE(Helper!$AM$2:$AM$17,7),Helper!$AM$2:$AM$17,0))</f>
        <v>48</v>
      </c>
      <c r="G77" s="16">
        <f>RANK(C77,$C$77:$C$92,0)</f>
        <v>1</v>
      </c>
      <c r="H77" s="16">
        <f>RANK(D77,$D$77:$D$92,0)</f>
        <v>1</v>
      </c>
    </row>
    <row r="78" spans="1:12" ht="15" customHeight="1" x14ac:dyDescent="0.25">
      <c r="A78" s="19">
        <v>8</v>
      </c>
      <c r="B78" s="15" t="str">
        <f>INDEX(Helper!$B$2:$B$17,MATCH(LARGE(Helper!$AM$2:$AM$17,8),Helper!$AM$2:$AM$17,0))</f>
        <v>Player 9</v>
      </c>
      <c r="C78" s="16">
        <f>INDEX(Helper!$I$2:$I$17,MATCH(LARGE(Helper!$AM$2:$AM$17,8),Helper!$AM$2:$AM$17,0))</f>
        <v>18</v>
      </c>
      <c r="D78" s="16">
        <f>INDEX(Helper!$R$2:$R$17,MATCH(LARGE(Helper!$AM$2:$AM$17,8),Helper!$AM$2:$AM$17,0))</f>
        <v>30</v>
      </c>
      <c r="E78" s="16">
        <f>INDEX(Helper!$AC$2:$AC$17,MATCH(LARGE(Helper!$AM$2:$AM$17,8),Helper!$AM$2:$AM$17,0))</f>
        <v>0</v>
      </c>
      <c r="F78" s="13">
        <f>INDEX(Helper!$AE$2:$AE$17,MATCH(LARGE(Helper!$AM$2:$AM$17,8),Helper!$AM$2:$AM$17,0))</f>
        <v>48</v>
      </c>
      <c r="G78" s="16">
        <f>RANK(C78,$C$78:$C$93,0)</f>
        <v>1</v>
      </c>
      <c r="H78" s="16">
        <f>RANK(D78,$D$78:$D$93,0)</f>
        <v>1</v>
      </c>
    </row>
    <row r="79" spans="1:12" ht="15" customHeight="1" x14ac:dyDescent="0.25">
      <c r="A79" s="19">
        <v>9</v>
      </c>
      <c r="B79" s="15" t="str">
        <f>INDEX(Helper!$B$2:$B$17,MATCH(LARGE(Helper!$AM$2:$AM$17,9),Helper!$AM$2:$AM$17,0))</f>
        <v>Player 8</v>
      </c>
      <c r="C79" s="16">
        <f>INDEX(Helper!$I$2:$I$17,MATCH(LARGE(Helper!$AM$2:$AM$17,9),Helper!$AM$2:$AM$17,0))</f>
        <v>18</v>
      </c>
      <c r="D79" s="16">
        <f>INDEX(Helper!$R$2:$R$17,MATCH(LARGE(Helper!$AM$2:$AM$17,9),Helper!$AM$2:$AM$17,0))</f>
        <v>30</v>
      </c>
      <c r="E79" s="16">
        <f>INDEX(Helper!$AC$2:$AC$17,MATCH(LARGE(Helper!$AM$2:$AM$17,9),Helper!$AM$2:$AM$17,0))</f>
        <v>0</v>
      </c>
      <c r="F79" s="13">
        <f>INDEX(Helper!$AE$2:$AE$17,MATCH(LARGE(Helper!$AM$2:$AM$17,9),Helper!$AM$2:$AM$17,0))</f>
        <v>48</v>
      </c>
      <c r="G79" s="16">
        <f>RANK(C79,$C$79:$C$94,0)</f>
        <v>1</v>
      </c>
      <c r="H79" s="16">
        <f>RANK(D79,$D$79:$D$94,0)</f>
        <v>1</v>
      </c>
    </row>
    <row r="80" spans="1:12" ht="15" customHeight="1" x14ac:dyDescent="0.25">
      <c r="A80" s="19">
        <v>10</v>
      </c>
      <c r="B80" s="15" t="str">
        <f>INDEX(Helper!$B$2:$B$17,MATCH(LARGE(Helper!$AM$2:$AM$17,10),Helper!$AM$2:$AM$17,0))</f>
        <v>Player 7</v>
      </c>
      <c r="C80" s="16">
        <f>INDEX(Helper!$I$2:$I$17,MATCH(LARGE(Helper!$AM$2:$AM$17,10),Helper!$AM$2:$AM$17,0))</f>
        <v>18</v>
      </c>
      <c r="D80" s="16">
        <f>INDEX(Helper!$R$2:$R$17,MATCH(LARGE(Helper!$AM$2:$AM$17,10),Helper!$AM$2:$AM$17,0))</f>
        <v>30</v>
      </c>
      <c r="E80" s="16">
        <f>INDEX(Helper!$AC$2:$AC$17,MATCH(LARGE(Helper!$AM$2:$AM$17,10),Helper!$AM$2:$AM$17,0))</f>
        <v>0</v>
      </c>
      <c r="F80" s="13">
        <f>INDEX(Helper!$AE$2:$AE$17,MATCH(LARGE(Helper!$AM$2:$AM$17,10),Helper!$AM$2:$AM$17,0))</f>
        <v>48</v>
      </c>
      <c r="G80" s="16">
        <f>RANK(C80,$C$80:$C$95,0)</f>
        <v>1</v>
      </c>
      <c r="H80" s="16">
        <f>RANK(D80,$D$80:$D$95,0)</f>
        <v>1</v>
      </c>
    </row>
    <row r="81" spans="1:8" ht="15" customHeight="1" x14ac:dyDescent="0.25">
      <c r="A81" s="19">
        <v>11</v>
      </c>
      <c r="B81" s="15" t="str">
        <f>INDEX(Helper!$B$2:$B$17,MATCH(LARGE(Helper!$AM$2:$AM$17,11),Helper!$AM$2:$AM$17,0))</f>
        <v>Player 6</v>
      </c>
      <c r="C81" s="16">
        <f>INDEX(Helper!$I$2:$I$17,MATCH(LARGE(Helper!$AM$2:$AM$17,11),Helper!$AM$2:$AM$17,0))</f>
        <v>18</v>
      </c>
      <c r="D81" s="16">
        <f>INDEX(Helper!$R$2:$R$17,MATCH(LARGE(Helper!$AM$2:$AM$17,11),Helper!$AM$2:$AM$17,0))</f>
        <v>30</v>
      </c>
      <c r="E81" s="16">
        <f>INDEX(Helper!$AC$2:$AC$17,MATCH(LARGE(Helper!$AM$2:$AM$17,11),Helper!$AM$2:$AM$17,0))</f>
        <v>0</v>
      </c>
      <c r="F81" s="13">
        <f>INDEX(Helper!$AE$2:$AE$17,MATCH(LARGE(Helper!$AM$2:$AM$17,11),Helper!$AM$2:$AM$17,0))</f>
        <v>48</v>
      </c>
      <c r="G81" s="16">
        <f>RANK(C81,$C$81:$C$96,0)</f>
        <v>1</v>
      </c>
      <c r="H81" s="16">
        <f>RANK(D81,$D$81:$D$96,0)</f>
        <v>1</v>
      </c>
    </row>
    <row r="82" spans="1:8" ht="15" customHeight="1" x14ac:dyDescent="0.25">
      <c r="A82" s="19">
        <v>12</v>
      </c>
      <c r="B82" s="15" t="str">
        <f>INDEX(Helper!$B$2:$B$17,MATCH(LARGE(Helper!$AM$2:$AM$17,12),Helper!$AM$2:$AM$17,0))</f>
        <v>Player 5</v>
      </c>
      <c r="C82" s="16">
        <f>INDEX(Helper!$I$2:$I$17,MATCH(LARGE(Helper!$AM$2:$AM$17,12),Helper!$AM$2:$AM$17,0))</f>
        <v>18</v>
      </c>
      <c r="D82" s="16">
        <f>INDEX(Helper!$R$2:$R$17,MATCH(LARGE(Helper!$AM$2:$AM$17,12),Helper!$AM$2:$AM$17,0))</f>
        <v>30</v>
      </c>
      <c r="E82" s="16">
        <f>INDEX(Helper!$AC$2:$AC$17,MATCH(LARGE(Helper!$AM$2:$AM$17,12),Helper!$AM$2:$AM$17,0))</f>
        <v>0</v>
      </c>
      <c r="F82" s="13">
        <f>INDEX(Helper!$AE$2:$AE$17,MATCH(LARGE(Helper!$AM$2:$AM$17,12),Helper!$AM$2:$AM$17,0))</f>
        <v>48</v>
      </c>
      <c r="G82" s="16">
        <f>RANK(C82,$C$82:$C$97,0)</f>
        <v>1</v>
      </c>
      <c r="H82" s="16">
        <f>RANK(D82,$D$82:$D$97,0)</f>
        <v>1</v>
      </c>
    </row>
    <row r="83" spans="1:8" ht="15" customHeight="1" x14ac:dyDescent="0.25">
      <c r="A83" s="19">
        <v>13</v>
      </c>
      <c r="B83" s="15" t="str">
        <f>INDEX(Helper!$B$2:$B$17,MATCH(LARGE(Helper!$AM$2:$AM$17,13),Helper!$AM$2:$AM$17,0))</f>
        <v>Player 4</v>
      </c>
      <c r="C83" s="16">
        <f>INDEX(Helper!$I$2:$I$17,MATCH(LARGE(Helper!$AM$2:$AM$17,13),Helper!$AM$2:$AM$17,0))</f>
        <v>18</v>
      </c>
      <c r="D83" s="16">
        <f>INDEX(Helper!$R$2:$R$17,MATCH(LARGE(Helper!$AM$2:$AM$17,13),Helper!$AM$2:$AM$17,0))</f>
        <v>30</v>
      </c>
      <c r="E83" s="16">
        <f>INDEX(Helper!$AC$2:$AC$17,MATCH(LARGE(Helper!$AM$2:$AM$17,13),Helper!$AM$2:$AM$17,0))</f>
        <v>0</v>
      </c>
      <c r="F83" s="13">
        <f>INDEX(Helper!$AE$2:$AE$17,MATCH(LARGE(Helper!$AM$2:$AM$17,13),Helper!$AM$2:$AM$17,0))</f>
        <v>48</v>
      </c>
      <c r="G83" s="16">
        <f>RANK(C83,$C$83:$C$98,0)</f>
        <v>1</v>
      </c>
      <c r="H83" s="16">
        <f>RANK(D83,$D$83:$D$98,0)</f>
        <v>1</v>
      </c>
    </row>
    <row r="84" spans="1:8" ht="15" customHeight="1" x14ac:dyDescent="0.25">
      <c r="A84" s="19">
        <v>14</v>
      </c>
      <c r="B84" s="15" t="str">
        <f>INDEX(Helper!$B$2:$B$17,MATCH(LARGE(Helper!$AM$2:$AM$17,14),Helper!$AM$2:$AM$17,0))</f>
        <v>Player 3</v>
      </c>
      <c r="C84" s="16">
        <f>INDEX(Helper!$I$2:$I$17,MATCH(LARGE(Helper!$AM$2:$AM$17,14),Helper!$AM$2:$AM$17,0))</f>
        <v>18</v>
      </c>
      <c r="D84" s="16">
        <f>INDEX(Helper!$R$2:$R$17,MATCH(LARGE(Helper!$AM$2:$AM$17,14),Helper!$AM$2:$AM$17,0))</f>
        <v>30</v>
      </c>
      <c r="E84" s="16">
        <f>INDEX(Helper!$AC$2:$AC$17,MATCH(LARGE(Helper!$AM$2:$AM$17,14),Helper!$AM$2:$AM$17,0))</f>
        <v>0</v>
      </c>
      <c r="F84" s="13">
        <f>INDEX(Helper!$AE$2:$AE$17,MATCH(LARGE(Helper!$AM$2:$AM$17,14),Helper!$AM$2:$AM$17,0))</f>
        <v>48</v>
      </c>
      <c r="G84" s="16">
        <f>RANK(C84,$C$84:$C$99,0)</f>
        <v>1</v>
      </c>
      <c r="H84" s="16">
        <f>RANK(D84,$D$84:$D$99,0)</f>
        <v>1</v>
      </c>
    </row>
    <row r="85" spans="1:8" ht="15" customHeight="1" x14ac:dyDescent="0.25">
      <c r="A85" s="19">
        <v>15</v>
      </c>
      <c r="B85" s="15" t="str">
        <f>INDEX(Helper!$B$2:$B$17,MATCH(LARGE(Helper!$AM$2:$AM$17,15),Helper!$AM$2:$AM$17,0))</f>
        <v>Player 2</v>
      </c>
      <c r="C85" s="16">
        <f>INDEX(Helper!$I$2:$I$17,MATCH(LARGE(Helper!$AM$2:$AM$17,15),Helper!$AM$2:$AM$17,0))</f>
        <v>18</v>
      </c>
      <c r="D85" s="16">
        <f>INDEX(Helper!$R$2:$R$17,MATCH(LARGE(Helper!$AM$2:$AM$17,15),Helper!$AM$2:$AM$17,0))</f>
        <v>30</v>
      </c>
      <c r="E85" s="16">
        <f>INDEX(Helper!$AC$2:$AC$17,MATCH(LARGE(Helper!$AM$2:$AM$17,15),Helper!$AM$2:$AM$17,0))</f>
        <v>0</v>
      </c>
      <c r="F85" s="13">
        <f>INDEX(Helper!$AE$2:$AE$17,MATCH(LARGE(Helper!$AM$2:$AM$17,15),Helper!$AM$2:$AM$17,0))</f>
        <v>48</v>
      </c>
      <c r="G85" s="16">
        <f>RANK(C85,$C$85:$C$100,0)</f>
        <v>1</v>
      </c>
      <c r="H85" s="16">
        <f>RANK(D85,$D$85:$D$100,0)</f>
        <v>1</v>
      </c>
    </row>
    <row r="86" spans="1:8" ht="15" customHeight="1" x14ac:dyDescent="0.25">
      <c r="A86" s="19">
        <v>16</v>
      </c>
      <c r="B86" s="15" t="str">
        <f>INDEX(Helper!$B$2:$B$17,MATCH(LARGE(Helper!$AM$2:$AM$17,16),Helper!$AM$2:$AM$17,0))</f>
        <v>Player 1</v>
      </c>
      <c r="C86" s="16">
        <f>INDEX(Helper!$I$2:$I$17,MATCH(LARGE(Helper!$AM$2:$AM$17,16),Helper!$AM$2:$AM$17,0))</f>
        <v>18</v>
      </c>
      <c r="D86" s="16">
        <f>INDEX(Helper!$R$2:$R$17,MATCH(LARGE(Helper!$AM$2:$AM$17,16),Helper!$AM$2:$AM$17,0))</f>
        <v>30</v>
      </c>
      <c r="E86" s="16">
        <f>INDEX(Helper!$AC$2:$AC$17,MATCH(LARGE(Helper!$AM$2:$AM$17,16),Helper!$AM$2:$AM$17,0))</f>
        <v>0</v>
      </c>
      <c r="F86" s="13">
        <f>INDEX(Helper!$AE$2:$AE$17,MATCH(LARGE(Helper!$AM$2:$AM$17,16),Helper!$AM$2:$AM$17,0))</f>
        <v>48</v>
      </c>
      <c r="G86" s="16">
        <f>RANK(C86,$C$86:$C$101,0)</f>
        <v>1</v>
      </c>
      <c r="H86" s="16">
        <f>RANK(D86,$D$86:$D$101,0)</f>
        <v>1</v>
      </c>
    </row>
    <row r="89" spans="1:8" ht="15" customHeight="1" x14ac:dyDescent="0.25">
      <c r="A89" s="62" t="s">
        <v>135</v>
      </c>
      <c r="B89" s="63"/>
      <c r="C89" s="64"/>
    </row>
    <row r="90" spans="1:8" ht="15" customHeight="1" x14ac:dyDescent="0.25">
      <c r="A90" s="24" t="s">
        <v>136</v>
      </c>
      <c r="B90" s="25" t="s">
        <v>137</v>
      </c>
    </row>
    <row r="91" spans="1:8" ht="15" customHeight="1" x14ac:dyDescent="0.25">
      <c r="A91" s="24" t="s">
        <v>138</v>
      </c>
      <c r="B91" s="25" t="s">
        <v>137</v>
      </c>
    </row>
    <row r="92" spans="1:8" ht="15" customHeight="1" x14ac:dyDescent="0.25">
      <c r="A92" s="24" t="s">
        <v>139</v>
      </c>
      <c r="B92" s="25" t="s">
        <v>140</v>
      </c>
    </row>
    <row r="93" spans="1:8" ht="15" customHeight="1" x14ac:dyDescent="0.25">
      <c r="A93" s="24" t="s">
        <v>141</v>
      </c>
      <c r="B93" s="25" t="s">
        <v>142</v>
      </c>
    </row>
    <row r="94" spans="1:8" ht="15" customHeight="1" x14ac:dyDescent="0.25">
      <c r="A94" s="24" t="s">
        <v>143</v>
      </c>
      <c r="B94" s="25" t="s">
        <v>144</v>
      </c>
    </row>
    <row r="95" spans="1:8" ht="15" customHeight="1" x14ac:dyDescent="0.25">
      <c r="A95" s="24" t="s">
        <v>145</v>
      </c>
      <c r="B95" s="25" t="s">
        <v>146</v>
      </c>
    </row>
    <row r="96" spans="1:8" ht="15" customHeight="1" x14ac:dyDescent="0.25">
      <c r="A96" s="24" t="s">
        <v>147</v>
      </c>
      <c r="B96" s="25" t="s">
        <v>148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>
      <selection sqref="A1:G1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6" t="s">
        <v>149</v>
      </c>
      <c r="B1" s="63"/>
      <c r="C1" s="63"/>
      <c r="D1" s="63"/>
      <c r="E1" s="63"/>
      <c r="F1" s="63"/>
      <c r="G1" s="64"/>
      <c r="H1" s="26"/>
      <c r="I1" s="26"/>
      <c r="J1" s="26"/>
    </row>
    <row r="2" spans="1:10" ht="15" customHeight="1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</row>
    <row r="3" spans="1:10" ht="15" customHeight="1" x14ac:dyDescent="0.25">
      <c r="A3" s="73" t="s">
        <v>150</v>
      </c>
      <c r="B3" s="63"/>
      <c r="C3" s="63"/>
      <c r="D3" s="63"/>
      <c r="E3" s="63"/>
      <c r="F3" s="63"/>
      <c r="G3" s="64"/>
      <c r="H3" s="26"/>
      <c r="I3" s="26"/>
      <c r="J3" s="26"/>
    </row>
    <row r="4" spans="1:10" ht="15" customHeight="1" x14ac:dyDescent="0.25">
      <c r="A4" s="13" t="s">
        <v>151</v>
      </c>
      <c r="B4" s="13" t="s">
        <v>152</v>
      </c>
      <c r="C4" s="13" t="s">
        <v>153</v>
      </c>
      <c r="D4" s="13" t="s">
        <v>154</v>
      </c>
      <c r="E4" s="13" t="s">
        <v>155</v>
      </c>
      <c r="F4" s="13" t="s">
        <v>156</v>
      </c>
      <c r="G4" s="13"/>
      <c r="H4" s="26"/>
      <c r="I4" s="26"/>
      <c r="J4" s="26"/>
    </row>
    <row r="5" spans="1:10" ht="15" customHeight="1" x14ac:dyDescent="0.25">
      <c r="A5" s="27" t="s">
        <v>157</v>
      </c>
      <c r="B5" s="28" t="str">
        <f>INDEX(Helper!$B$2:$B$17,MATCH(LARGE(Helper!$AH$2:$AH$17,1),Helper!$AH$2:$AH$17,0))</f>
        <v>Player 16</v>
      </c>
      <c r="C5" s="29" t="s">
        <v>137</v>
      </c>
      <c r="D5" s="3" t="s">
        <v>158</v>
      </c>
      <c r="E5" s="30" t="str">
        <f>B5</f>
        <v>Player 16</v>
      </c>
      <c r="F5" s="31" t="s">
        <v>159</v>
      </c>
      <c r="G5" s="26"/>
      <c r="H5" s="26"/>
      <c r="I5" s="26"/>
      <c r="J5" s="26"/>
    </row>
    <row r="6" spans="1:10" ht="15" customHeight="1" x14ac:dyDescent="0.25">
      <c r="A6" s="27" t="s">
        <v>160</v>
      </c>
      <c r="B6" s="28" t="str">
        <f>INDEX(Helper!$B$2:$B$17,MATCH(LARGE(Helper!$AJ$2:$AJ$17,1),Helper!$AJ$2:$AJ$17,0))</f>
        <v>Player 16</v>
      </c>
      <c r="C6" s="29" t="s">
        <v>137</v>
      </c>
      <c r="D6" s="3" t="s">
        <v>161</v>
      </c>
      <c r="E6" s="30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15</v>
      </c>
      <c r="F6" s="31" t="str">
        <f>IF(B6=E6,"QUALIFIED","PASS → "&amp;E6)</f>
        <v>PASS → Player 15</v>
      </c>
      <c r="G6" s="26"/>
      <c r="H6" s="26"/>
      <c r="I6" s="26"/>
      <c r="J6" s="26"/>
    </row>
    <row r="7" spans="1:10" ht="15" customHeight="1" x14ac:dyDescent="0.25">
      <c r="A7" s="32" t="s">
        <v>162</v>
      </c>
      <c r="B7" s="28" t="str">
        <f>INDEX(Helper!$B$2:$B$5,MATCH(LARGE(Helper!$AL$2:$AL$5,1),Helper!$AL$2:$AL$5,0))</f>
        <v>Player 4</v>
      </c>
      <c r="C7" s="29" t="s">
        <v>163</v>
      </c>
      <c r="D7" s="3" t="s">
        <v>22</v>
      </c>
      <c r="E7" s="30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1" t="str">
        <f>IF(B7=E7,"QUALIFIED","PASS → "&amp;E7)</f>
        <v>QUALIFIED</v>
      </c>
      <c r="G7" s="26"/>
      <c r="H7" s="26"/>
      <c r="I7" s="26"/>
      <c r="J7" s="26"/>
    </row>
    <row r="8" spans="1:10" ht="15" customHeight="1" x14ac:dyDescent="0.25">
      <c r="A8" s="32" t="s">
        <v>164</v>
      </c>
      <c r="B8" s="28" t="str">
        <f>INDEX(Helper!$B$6:$B$9,MATCH(LARGE(Helper!$AL$6:$AL$9,1),Helper!$AL$6:$AL$9,0))</f>
        <v>Player 8</v>
      </c>
      <c r="C8" s="29" t="s">
        <v>163</v>
      </c>
      <c r="D8" s="3" t="s">
        <v>28</v>
      </c>
      <c r="E8" s="30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1" t="str">
        <f>IF(B8=E8,"QUALIFIED","PASS → "&amp;E8)</f>
        <v>QUALIFIED</v>
      </c>
      <c r="G8" s="26"/>
      <c r="H8" s="26"/>
      <c r="I8" s="26"/>
      <c r="J8" s="26"/>
    </row>
    <row r="9" spans="1:10" ht="15" customHeight="1" x14ac:dyDescent="0.25">
      <c r="A9" s="32" t="s">
        <v>165</v>
      </c>
      <c r="B9" s="28" t="str">
        <f>INDEX(Helper!$B$10:$B$13,MATCH(LARGE(Helper!$AL$10:$AL$13,1),Helper!$AL$10:$AL$13,0))</f>
        <v>Player 12</v>
      </c>
      <c r="C9" s="29" t="s">
        <v>163</v>
      </c>
      <c r="D9" s="3" t="s">
        <v>34</v>
      </c>
      <c r="E9" s="30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1" t="str">
        <f>IF(B9=E9,"QUALIFIED","PASS → "&amp;E9)</f>
        <v>QUALIFIED</v>
      </c>
      <c r="G9" s="26"/>
      <c r="H9" s="26"/>
      <c r="I9" s="26"/>
      <c r="J9" s="26"/>
    </row>
    <row r="10" spans="1:10" ht="15" customHeight="1" x14ac:dyDescent="0.25">
      <c r="A10" s="32" t="s">
        <v>166</v>
      </c>
      <c r="B10" s="28" t="str">
        <f>INDEX(Helper!$B$14:$B$17,MATCH(LARGE(Helper!$AL$14:$AL$17,1),Helper!$AL$14:$AL$17,0))</f>
        <v>Player 16</v>
      </c>
      <c r="C10" s="29" t="s">
        <v>163</v>
      </c>
      <c r="D10" s="3" t="s">
        <v>40</v>
      </c>
      <c r="E10" s="30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14</v>
      </c>
      <c r="F10" s="31" t="str">
        <f>IF(B10=E10,"QUALIFIED","PASS → "&amp;E10)</f>
        <v>PASS → Player 14</v>
      </c>
      <c r="G10" s="26"/>
      <c r="H10" s="26"/>
      <c r="I10" s="26"/>
      <c r="J10" s="26"/>
    </row>
    <row r="11" spans="1:10" ht="15" customHeight="1" x14ac:dyDescent="0.25">
      <c r="A11" s="33"/>
      <c r="B11" s="34"/>
      <c r="C11" s="34"/>
      <c r="D11" s="34"/>
      <c r="E11" s="34"/>
      <c r="F11" s="26"/>
      <c r="G11" s="26"/>
      <c r="H11" s="26"/>
      <c r="I11" s="26"/>
      <c r="J11" s="26"/>
    </row>
    <row r="12" spans="1:10" ht="15" customHeight="1" x14ac:dyDescent="0.25">
      <c r="A12" s="75" t="s">
        <v>167</v>
      </c>
      <c r="B12" s="63"/>
      <c r="C12" s="63"/>
      <c r="D12" s="63"/>
      <c r="E12" s="63"/>
      <c r="F12" s="63"/>
      <c r="G12" s="64"/>
      <c r="H12" s="26"/>
      <c r="I12" s="26"/>
      <c r="J12" s="26"/>
    </row>
    <row r="13" spans="1:10" ht="15" customHeight="1" x14ac:dyDescent="0.25">
      <c r="A13" s="35" t="s">
        <v>151</v>
      </c>
      <c r="B13" s="35" t="s">
        <v>98</v>
      </c>
      <c r="C13" s="35" t="s">
        <v>168</v>
      </c>
      <c r="D13" s="35" t="s">
        <v>154</v>
      </c>
      <c r="E13" s="35"/>
      <c r="F13" s="35"/>
      <c r="G13" s="35"/>
      <c r="H13" s="26"/>
      <c r="I13" s="26"/>
      <c r="J13" s="26"/>
    </row>
    <row r="14" spans="1:10" ht="15" customHeight="1" x14ac:dyDescent="0.25">
      <c r="A14" s="2" t="s">
        <v>169</v>
      </c>
      <c r="B14" s="36" t="str">
        <f>INDEX(Helper!$B$2:$B$17,MATCH(LARGE(Helper!$AO$2:$AO$17,1),Helper!$AO$2:$AO$17,0))</f>
        <v>Player 13</v>
      </c>
      <c r="C14" s="3">
        <f>INDEX(Helper!$AE$2:$AE$17,MATCH(LARGE(Helper!$AO$2:$AO$17,1),Helper!$AO$2:$AO$17,0))</f>
        <v>48</v>
      </c>
      <c r="D14" s="3" t="s">
        <v>170</v>
      </c>
      <c r="E14" s="34"/>
      <c r="F14" s="26"/>
      <c r="G14" s="26"/>
      <c r="H14" s="26"/>
      <c r="I14" s="26"/>
      <c r="J14" s="26"/>
    </row>
    <row r="15" spans="1:10" ht="15" customHeight="1" x14ac:dyDescent="0.25">
      <c r="A15" s="2" t="s">
        <v>171</v>
      </c>
      <c r="B15" s="36" t="str">
        <f>INDEX(Helper!$B$2:$B$17,MATCH(LARGE(Helper!$AO$2:$AO$17,2),Helper!$AO$2:$AO$17,0))</f>
        <v>Player 11</v>
      </c>
      <c r="C15" s="3">
        <f>INDEX(Helper!$AE$2:$AE$17,MATCH(LARGE(Helper!$AO$2:$AO$17,2),Helper!$AO$2:$AO$17,0))</f>
        <v>48</v>
      </c>
      <c r="D15" s="3" t="s">
        <v>170</v>
      </c>
      <c r="E15" s="34"/>
      <c r="F15" s="26"/>
      <c r="G15" s="26"/>
      <c r="H15" s="26"/>
      <c r="I15" s="26"/>
      <c r="J15" s="26"/>
    </row>
    <row r="16" spans="1:10" ht="15" customHeight="1" x14ac:dyDescent="0.25">
      <c r="A16" s="33"/>
      <c r="B16" s="34"/>
      <c r="C16" s="34"/>
      <c r="D16" s="34"/>
      <c r="E16" s="34"/>
      <c r="F16" s="26"/>
      <c r="G16" s="26"/>
      <c r="H16" s="26"/>
      <c r="I16" s="26"/>
      <c r="J16" s="26"/>
    </row>
    <row r="17" spans="1:10" ht="15" customHeight="1" x14ac:dyDescent="0.25">
      <c r="A17" s="62" t="s">
        <v>172</v>
      </c>
      <c r="B17" s="63"/>
      <c r="C17" s="63"/>
      <c r="D17" s="63"/>
      <c r="E17" s="64"/>
      <c r="F17" s="26"/>
      <c r="G17" s="26"/>
      <c r="H17" s="26"/>
      <c r="I17" s="26"/>
      <c r="J17" s="26"/>
    </row>
    <row r="18" spans="1:10" ht="15" customHeight="1" x14ac:dyDescent="0.25">
      <c r="A18" s="37" t="s">
        <v>52</v>
      </c>
      <c r="B18" s="23" t="s">
        <v>98</v>
      </c>
      <c r="C18" s="23" t="s">
        <v>173</v>
      </c>
      <c r="D18" s="23"/>
      <c r="E18" s="23"/>
      <c r="F18" s="26"/>
      <c r="G18" s="26"/>
      <c r="H18" s="26"/>
      <c r="I18" s="26"/>
      <c r="J18" s="26"/>
    </row>
    <row r="19" spans="1:10" ht="15" customHeight="1" x14ac:dyDescent="0.25">
      <c r="A19" s="3">
        <v>1</v>
      </c>
      <c r="B19" s="38" t="str">
        <f t="shared" ref="B19:B24" si="0">E5</f>
        <v>Player 16</v>
      </c>
      <c r="C19" s="3" t="s">
        <v>158</v>
      </c>
      <c r="D19" s="34"/>
      <c r="E19" s="34"/>
      <c r="F19" s="26"/>
      <c r="G19" s="26"/>
      <c r="H19" s="26"/>
      <c r="I19" s="26"/>
      <c r="J19" s="26"/>
    </row>
    <row r="20" spans="1:10" ht="23.25" customHeight="1" x14ac:dyDescent="0.25">
      <c r="A20" s="3">
        <v>2</v>
      </c>
      <c r="B20" s="38" t="str">
        <f t="shared" si="0"/>
        <v>Player 15</v>
      </c>
      <c r="C20" s="3" t="s">
        <v>161</v>
      </c>
      <c r="D20" s="26"/>
      <c r="E20" s="26"/>
      <c r="F20" s="26"/>
      <c r="G20" s="26"/>
      <c r="H20" s="26"/>
      <c r="I20" s="26"/>
      <c r="J20" s="26"/>
    </row>
    <row r="21" spans="1:10" ht="23.25" customHeight="1" x14ac:dyDescent="0.25">
      <c r="A21" s="3">
        <v>3</v>
      </c>
      <c r="B21" s="38" t="str">
        <f t="shared" si="0"/>
        <v>Player 4</v>
      </c>
      <c r="C21" s="3" t="s">
        <v>174</v>
      </c>
      <c r="D21" s="26"/>
      <c r="E21" s="26"/>
      <c r="F21" s="26"/>
      <c r="G21" s="26"/>
      <c r="H21" s="26"/>
      <c r="I21" s="26"/>
      <c r="J21" s="26"/>
    </row>
    <row r="22" spans="1:10" ht="15" customHeight="1" x14ac:dyDescent="0.25">
      <c r="A22" s="3">
        <v>4</v>
      </c>
      <c r="B22" s="38" t="str">
        <f t="shared" si="0"/>
        <v>Player 8</v>
      </c>
      <c r="C22" s="3" t="s">
        <v>175</v>
      </c>
      <c r="D22" s="26"/>
      <c r="E22" s="26"/>
      <c r="F22" s="26"/>
      <c r="G22" s="26"/>
      <c r="H22" s="26"/>
      <c r="I22" s="26"/>
      <c r="J22" s="26"/>
    </row>
    <row r="23" spans="1:10" ht="15" customHeight="1" x14ac:dyDescent="0.25">
      <c r="A23" s="3">
        <v>5</v>
      </c>
      <c r="B23" s="38" t="str">
        <f t="shared" si="0"/>
        <v>Player 12</v>
      </c>
      <c r="C23" s="3" t="s">
        <v>176</v>
      </c>
      <c r="D23" s="26"/>
      <c r="E23" s="26"/>
      <c r="F23" s="26"/>
      <c r="G23" s="26"/>
      <c r="H23" s="26"/>
      <c r="I23" s="26"/>
      <c r="J23" s="26"/>
    </row>
    <row r="24" spans="1:10" ht="15" customHeight="1" x14ac:dyDescent="0.25">
      <c r="A24" s="3">
        <v>6</v>
      </c>
      <c r="B24" s="38" t="str">
        <f t="shared" si="0"/>
        <v>Player 14</v>
      </c>
      <c r="C24" s="3" t="s">
        <v>177</v>
      </c>
      <c r="D24" s="26"/>
      <c r="E24" s="26"/>
      <c r="F24" s="26"/>
      <c r="G24" s="26"/>
      <c r="H24" s="26"/>
      <c r="I24" s="26"/>
      <c r="J24" s="26"/>
    </row>
    <row r="25" spans="1:10" ht="15" customHeight="1" x14ac:dyDescent="0.25">
      <c r="A25" s="3">
        <v>7</v>
      </c>
      <c r="B25" s="38" t="str">
        <f>B14</f>
        <v>Player 13</v>
      </c>
      <c r="C25" s="3" t="s">
        <v>169</v>
      </c>
      <c r="D25" s="26"/>
      <c r="E25" s="26"/>
      <c r="F25" s="26"/>
      <c r="G25" s="26"/>
      <c r="H25" s="26"/>
      <c r="I25" s="26"/>
      <c r="J25" s="26"/>
    </row>
    <row r="26" spans="1:10" ht="15" customHeight="1" x14ac:dyDescent="0.25">
      <c r="A26" s="3">
        <v>8</v>
      </c>
      <c r="B26" s="38" t="str">
        <f>B15</f>
        <v>Player 11</v>
      </c>
      <c r="C26" s="3" t="s">
        <v>171</v>
      </c>
      <c r="D26" s="26"/>
      <c r="E26" s="26"/>
      <c r="F26" s="26"/>
      <c r="G26" s="26"/>
      <c r="H26" s="26"/>
      <c r="I26" s="26"/>
      <c r="J26" s="26"/>
    </row>
    <row r="27" spans="1:10" ht="15" customHeight="1" x14ac:dyDescent="0.25">
      <c r="A27" s="34"/>
      <c r="B27" s="34"/>
      <c r="C27" s="34"/>
      <c r="D27" s="26"/>
      <c r="E27" s="26"/>
      <c r="F27" s="26"/>
      <c r="G27" s="26"/>
      <c r="H27" s="26"/>
      <c r="I27" s="26"/>
      <c r="J27" s="26"/>
    </row>
    <row r="28" spans="1:10" ht="15" customHeight="1" x14ac:dyDescent="0.25">
      <c r="A28" s="73" t="s">
        <v>178</v>
      </c>
      <c r="B28" s="63"/>
      <c r="C28" s="63"/>
      <c r="D28" s="63"/>
      <c r="E28" s="63"/>
      <c r="F28" s="64"/>
      <c r="G28" s="26"/>
      <c r="H28" s="26"/>
      <c r="I28" s="26"/>
      <c r="J28" s="26"/>
    </row>
    <row r="29" spans="1:10" ht="15" customHeight="1" x14ac:dyDescent="0.25">
      <c r="A29" s="13" t="s">
        <v>52</v>
      </c>
      <c r="B29" s="13" t="s">
        <v>98</v>
      </c>
      <c r="C29" s="13" t="s">
        <v>179</v>
      </c>
      <c r="D29" s="13" t="s">
        <v>180</v>
      </c>
      <c r="E29" s="13" t="s">
        <v>181</v>
      </c>
      <c r="F29" s="13" t="s">
        <v>182</v>
      </c>
      <c r="G29" s="26"/>
      <c r="H29" s="26"/>
      <c r="I29" s="26"/>
      <c r="J29" s="26"/>
    </row>
    <row r="30" spans="1:10" ht="15" customHeight="1" x14ac:dyDescent="0.25">
      <c r="A30" s="3">
        <v>1</v>
      </c>
      <c r="B30" s="39" t="str">
        <f>VLOOKUP(A30,Roster!$A$3:$B$18,2,FALSE())</f>
        <v>Player 1</v>
      </c>
      <c r="C30" s="40">
        <f t="shared" ref="C30:C45" si="1">IF(B30=$B$5,25,0)+IF(B30=$B$6,25,0)</f>
        <v>0</v>
      </c>
      <c r="D30" s="40">
        <f t="shared" ref="D30:D45" si="2">IF(OR(B30=$B$7,B30=$B$8,B30=$B$9,B30=$B$10),10,0)</f>
        <v>0</v>
      </c>
      <c r="E30" s="40">
        <f>IF(B30='Playoff Finals'!B13,200,IF(B30='Playoff Finals'!B14,75,IF(B30='Playoff Finals'!B15,35,0)))</f>
        <v>0</v>
      </c>
      <c r="F30" s="41">
        <f t="shared" ref="F30:F45" si="3">C30+D30+E30</f>
        <v>0</v>
      </c>
      <c r="G30" s="26"/>
      <c r="H30" s="26"/>
      <c r="I30" s="26"/>
      <c r="J30" s="26"/>
    </row>
    <row r="31" spans="1:10" ht="15" customHeight="1" x14ac:dyDescent="0.25">
      <c r="A31" s="3">
        <v>2</v>
      </c>
      <c r="B31" s="39" t="str">
        <f>VLOOKUP(A31,Roster!$A$3:$B$18,2,FALSE())</f>
        <v>Player 2</v>
      </c>
      <c r="C31" s="40">
        <f t="shared" si="1"/>
        <v>0</v>
      </c>
      <c r="D31" s="40">
        <f t="shared" si="2"/>
        <v>0</v>
      </c>
      <c r="E31" s="40">
        <f>IF(B31='Playoff Finals'!B13,200,IF(B31='Playoff Finals'!B14,75,IF(B31='Playoff Finals'!B15,35,0)))</f>
        <v>0</v>
      </c>
      <c r="F31" s="41">
        <f t="shared" si="3"/>
        <v>0</v>
      </c>
      <c r="G31" s="26"/>
      <c r="H31" s="26"/>
      <c r="I31" s="26"/>
      <c r="J31" s="26"/>
    </row>
    <row r="32" spans="1:10" ht="15" customHeight="1" x14ac:dyDescent="0.25">
      <c r="A32" s="3">
        <v>3</v>
      </c>
      <c r="B32" s="39" t="str">
        <f>VLOOKUP(A32,Roster!$A$3:$B$18,2,FALSE())</f>
        <v>Player 3</v>
      </c>
      <c r="C32" s="40">
        <f t="shared" si="1"/>
        <v>0</v>
      </c>
      <c r="D32" s="40">
        <f t="shared" si="2"/>
        <v>0</v>
      </c>
      <c r="E32" s="40">
        <f>IF(B32='Playoff Finals'!B13,200,IF(B32='Playoff Finals'!B14,75,IF(B32='Playoff Finals'!B15,35,0)))</f>
        <v>0</v>
      </c>
      <c r="F32" s="41">
        <f t="shared" si="3"/>
        <v>0</v>
      </c>
      <c r="G32" s="26"/>
      <c r="H32" s="26"/>
      <c r="I32" s="26"/>
      <c r="J32" s="26"/>
    </row>
    <row r="33" spans="1:10" ht="15" customHeight="1" x14ac:dyDescent="0.25">
      <c r="A33" s="3">
        <v>4</v>
      </c>
      <c r="B33" s="39" t="str">
        <f>VLOOKUP(A33,Roster!$A$3:$B$18,2,FALSE())</f>
        <v>Player 4</v>
      </c>
      <c r="C33" s="40">
        <f t="shared" si="1"/>
        <v>0</v>
      </c>
      <c r="D33" s="40">
        <f t="shared" si="2"/>
        <v>10</v>
      </c>
      <c r="E33" s="40">
        <f>IF(B33='Playoff Finals'!B13,200,IF(B33='Playoff Finals'!B14,75,IF(B33='Playoff Finals'!B15,35,0)))</f>
        <v>0</v>
      </c>
      <c r="F33" s="41">
        <f t="shared" si="3"/>
        <v>10</v>
      </c>
      <c r="G33" s="26"/>
      <c r="H33" s="26"/>
      <c r="I33" s="26"/>
      <c r="J33" s="26"/>
    </row>
    <row r="34" spans="1:10" ht="15" customHeight="1" x14ac:dyDescent="0.25">
      <c r="A34" s="3">
        <v>5</v>
      </c>
      <c r="B34" s="39" t="str">
        <f>VLOOKUP(A34,Roster!$A$3:$B$18,2,FALSE())</f>
        <v>Player 5</v>
      </c>
      <c r="C34" s="40">
        <f t="shared" si="1"/>
        <v>0</v>
      </c>
      <c r="D34" s="40">
        <f t="shared" si="2"/>
        <v>0</v>
      </c>
      <c r="E34" s="40">
        <f>IF(B34='Playoff Finals'!B13,200,IF(B34='Playoff Finals'!B14,75,IF(B34='Playoff Finals'!B15,35,0)))</f>
        <v>0</v>
      </c>
      <c r="F34" s="41">
        <f t="shared" si="3"/>
        <v>0</v>
      </c>
      <c r="G34" s="26"/>
      <c r="H34" s="26"/>
      <c r="I34" s="26"/>
      <c r="J34" s="26"/>
    </row>
    <row r="35" spans="1:10" ht="15" customHeight="1" x14ac:dyDescent="0.25">
      <c r="A35" s="3">
        <v>6</v>
      </c>
      <c r="B35" s="39" t="str">
        <f>VLOOKUP(A35,Roster!$A$3:$B$18,2,FALSE())</f>
        <v>Player 6</v>
      </c>
      <c r="C35" s="40">
        <f t="shared" si="1"/>
        <v>0</v>
      </c>
      <c r="D35" s="40">
        <f t="shared" si="2"/>
        <v>0</v>
      </c>
      <c r="E35" s="40">
        <f>IF(B35='Playoff Finals'!B13,200,IF(B35='Playoff Finals'!B14,75,IF(B35='Playoff Finals'!B15,35,0)))</f>
        <v>0</v>
      </c>
      <c r="F35" s="41">
        <f t="shared" si="3"/>
        <v>0</v>
      </c>
      <c r="G35" s="26"/>
      <c r="H35" s="26"/>
      <c r="I35" s="26"/>
      <c r="J35" s="26"/>
    </row>
    <row r="36" spans="1:10" ht="15" customHeight="1" x14ac:dyDescent="0.25">
      <c r="A36" s="3">
        <v>7</v>
      </c>
      <c r="B36" s="39" t="str">
        <f>VLOOKUP(A36,Roster!$A$3:$B$18,2,FALSE())</f>
        <v>Player 7</v>
      </c>
      <c r="C36" s="40">
        <f t="shared" si="1"/>
        <v>0</v>
      </c>
      <c r="D36" s="40">
        <f t="shared" si="2"/>
        <v>0</v>
      </c>
      <c r="E36" s="40">
        <f>IF(B36='Playoff Finals'!B13,200,IF(B36='Playoff Finals'!B14,75,IF(B36='Playoff Finals'!B15,35,0)))</f>
        <v>0</v>
      </c>
      <c r="F36" s="41">
        <f t="shared" si="3"/>
        <v>0</v>
      </c>
      <c r="G36" s="26"/>
      <c r="H36" s="26"/>
      <c r="I36" s="26"/>
      <c r="J36" s="26"/>
    </row>
    <row r="37" spans="1:10" ht="15" customHeight="1" x14ac:dyDescent="0.25">
      <c r="A37" s="3">
        <v>8</v>
      </c>
      <c r="B37" s="39" t="str">
        <f>VLOOKUP(A37,Roster!$A$3:$B$18,2,FALSE())</f>
        <v>Player 8</v>
      </c>
      <c r="C37" s="40">
        <f t="shared" si="1"/>
        <v>0</v>
      </c>
      <c r="D37" s="40">
        <f t="shared" si="2"/>
        <v>10</v>
      </c>
      <c r="E37" s="40">
        <f>IF(B37='Playoff Finals'!B13,200,IF(B37='Playoff Finals'!B14,75,IF(B37='Playoff Finals'!B15,35,0)))</f>
        <v>0</v>
      </c>
      <c r="F37" s="41">
        <f t="shared" si="3"/>
        <v>10</v>
      </c>
      <c r="G37" s="26"/>
      <c r="H37" s="26"/>
      <c r="I37" s="26"/>
      <c r="J37" s="26"/>
    </row>
    <row r="38" spans="1:10" ht="15" customHeight="1" x14ac:dyDescent="0.25">
      <c r="A38" s="3">
        <v>9</v>
      </c>
      <c r="B38" s="39" t="str">
        <f>VLOOKUP(A38,Roster!$A$3:$B$18,2,FALSE())</f>
        <v>Player 9</v>
      </c>
      <c r="C38" s="40">
        <f t="shared" si="1"/>
        <v>0</v>
      </c>
      <c r="D38" s="40">
        <f t="shared" si="2"/>
        <v>0</v>
      </c>
      <c r="E38" s="40">
        <f>IF(B38='Playoff Finals'!B13,200,IF(B38='Playoff Finals'!B14,75,IF(B38='Playoff Finals'!B15,35,0)))</f>
        <v>0</v>
      </c>
      <c r="F38" s="41">
        <f t="shared" si="3"/>
        <v>0</v>
      </c>
      <c r="G38" s="26"/>
      <c r="H38" s="26"/>
      <c r="I38" s="26"/>
      <c r="J38" s="26"/>
    </row>
    <row r="39" spans="1:10" ht="15" customHeight="1" x14ac:dyDescent="0.25">
      <c r="A39" s="3">
        <v>10</v>
      </c>
      <c r="B39" s="39" t="str">
        <f>VLOOKUP(A39,Roster!$A$3:$B$18,2,FALSE())</f>
        <v>Player 10</v>
      </c>
      <c r="C39" s="40">
        <f t="shared" si="1"/>
        <v>0</v>
      </c>
      <c r="D39" s="40">
        <f t="shared" si="2"/>
        <v>0</v>
      </c>
      <c r="E39" s="40">
        <f>IF(B39='Playoff Finals'!B13,200,IF(B39='Playoff Finals'!B14,75,IF(B39='Playoff Finals'!B15,35,0)))</f>
        <v>0</v>
      </c>
      <c r="F39" s="41">
        <f t="shared" si="3"/>
        <v>0</v>
      </c>
      <c r="G39" s="26"/>
      <c r="H39" s="26"/>
      <c r="I39" s="26"/>
      <c r="J39" s="26"/>
    </row>
    <row r="40" spans="1:10" ht="15" customHeight="1" x14ac:dyDescent="0.25">
      <c r="A40" s="3">
        <v>11</v>
      </c>
      <c r="B40" s="39" t="str">
        <f>VLOOKUP(A40,Roster!$A$3:$B$18,2,FALSE())</f>
        <v>Player 11</v>
      </c>
      <c r="C40" s="40">
        <f t="shared" si="1"/>
        <v>0</v>
      </c>
      <c r="D40" s="40">
        <f t="shared" si="2"/>
        <v>0</v>
      </c>
      <c r="E40" s="40">
        <f>IF(B40='Playoff Finals'!B13,200,IF(B40='Playoff Finals'!B14,75,IF(B40='Playoff Finals'!B15,35,0)))</f>
        <v>0</v>
      </c>
      <c r="F40" s="41">
        <f t="shared" si="3"/>
        <v>0</v>
      </c>
      <c r="G40" s="26"/>
      <c r="H40" s="26"/>
      <c r="I40" s="26"/>
      <c r="J40" s="26"/>
    </row>
    <row r="41" spans="1:10" ht="15" customHeight="1" x14ac:dyDescent="0.25">
      <c r="A41" s="3">
        <v>12</v>
      </c>
      <c r="B41" s="39" t="str">
        <f>VLOOKUP(A41,Roster!$A$3:$B$18,2,FALSE())</f>
        <v>Player 12</v>
      </c>
      <c r="C41" s="40">
        <f t="shared" si="1"/>
        <v>0</v>
      </c>
      <c r="D41" s="40">
        <f t="shared" si="2"/>
        <v>10</v>
      </c>
      <c r="E41" s="40">
        <f>IF(B41='Playoff Finals'!B13,200,IF(B41='Playoff Finals'!B14,75,IF(B41='Playoff Finals'!B15,35,0)))</f>
        <v>200</v>
      </c>
      <c r="F41" s="41">
        <f t="shared" si="3"/>
        <v>210</v>
      </c>
      <c r="G41" s="26"/>
      <c r="H41" s="26"/>
      <c r="I41" s="26"/>
      <c r="J41" s="26"/>
    </row>
    <row r="42" spans="1:10" ht="15" customHeight="1" x14ac:dyDescent="0.25">
      <c r="A42" s="3">
        <v>13</v>
      </c>
      <c r="B42" s="39" t="str">
        <f>VLOOKUP(A42,Roster!$A$3:$B$18,2,FALSE())</f>
        <v>Player 13</v>
      </c>
      <c r="C42" s="40">
        <f t="shared" si="1"/>
        <v>0</v>
      </c>
      <c r="D42" s="40">
        <f t="shared" si="2"/>
        <v>0</v>
      </c>
      <c r="E42" s="40">
        <f>IF(B42='Playoff Finals'!B13,200,IF(B42='Playoff Finals'!B14,75,IF(B42='Playoff Finals'!B15,35,0)))</f>
        <v>35</v>
      </c>
      <c r="F42" s="41">
        <f t="shared" si="3"/>
        <v>35</v>
      </c>
      <c r="G42" s="26"/>
      <c r="H42" s="26"/>
      <c r="I42" s="26"/>
      <c r="J42" s="26"/>
    </row>
    <row r="43" spans="1:10" ht="15" customHeight="1" x14ac:dyDescent="0.25">
      <c r="A43" s="3">
        <v>14</v>
      </c>
      <c r="B43" s="39" t="str">
        <f>VLOOKUP(A43,Roster!$A$3:$B$18,2,FALSE())</f>
        <v>Player 14</v>
      </c>
      <c r="C43" s="40">
        <f t="shared" si="1"/>
        <v>0</v>
      </c>
      <c r="D43" s="40">
        <f t="shared" si="2"/>
        <v>0</v>
      </c>
      <c r="E43" s="40">
        <f>IF(B43='Playoff Finals'!B13,200,IF(B43='Playoff Finals'!B14,75,IF(B43='Playoff Finals'!B15,35,0)))</f>
        <v>75</v>
      </c>
      <c r="F43" s="41">
        <f t="shared" si="3"/>
        <v>75</v>
      </c>
      <c r="G43" s="26"/>
      <c r="H43" s="26"/>
      <c r="I43" s="26"/>
      <c r="J43" s="26"/>
    </row>
    <row r="44" spans="1:10" ht="15" customHeight="1" x14ac:dyDescent="0.25">
      <c r="A44" s="3">
        <v>15</v>
      </c>
      <c r="B44" s="39" t="str">
        <f>VLOOKUP(A44,Roster!$A$3:$B$18,2,FALSE())</f>
        <v>Player 15</v>
      </c>
      <c r="C44" s="40">
        <f t="shared" si="1"/>
        <v>0</v>
      </c>
      <c r="D44" s="40">
        <f t="shared" si="2"/>
        <v>0</v>
      </c>
      <c r="E44" s="40">
        <f>IF(B44='Playoff Finals'!B13,200,IF(B44='Playoff Finals'!B14,75,IF(B44='Playoff Finals'!B15,35,0)))</f>
        <v>0</v>
      </c>
      <c r="F44" s="41">
        <f t="shared" si="3"/>
        <v>0</v>
      </c>
      <c r="G44" s="26"/>
      <c r="H44" s="26"/>
      <c r="I44" s="26"/>
      <c r="J44" s="26"/>
    </row>
    <row r="45" spans="1:10" ht="15" customHeight="1" x14ac:dyDescent="0.25">
      <c r="A45" s="3">
        <v>16</v>
      </c>
      <c r="B45" s="39" t="str">
        <f>VLOOKUP(A45,Roster!$A$3:$B$18,2,FALSE())</f>
        <v>Player 16</v>
      </c>
      <c r="C45" s="40">
        <f t="shared" si="1"/>
        <v>50</v>
      </c>
      <c r="D45" s="40">
        <f t="shared" si="2"/>
        <v>10</v>
      </c>
      <c r="E45" s="40">
        <f>IF(B45='Playoff Finals'!B13,200,IF(B45='Playoff Finals'!B14,75,IF(B45='Playoff Finals'!B15,35,0)))</f>
        <v>0</v>
      </c>
      <c r="F45" s="41">
        <f t="shared" si="3"/>
        <v>60</v>
      </c>
      <c r="G45" s="26"/>
      <c r="H45" s="26"/>
      <c r="I45" s="26"/>
      <c r="J45" s="26"/>
    </row>
    <row r="46" spans="1:10" ht="15" customHeight="1" x14ac:dyDescent="0.25">
      <c r="A46" s="76" t="s">
        <v>183</v>
      </c>
      <c r="B46" s="64"/>
      <c r="C46" s="40">
        <f>SUM(C30:C45)</f>
        <v>50</v>
      </c>
      <c r="D46" s="40">
        <f>SUM(D30:D45)</f>
        <v>40</v>
      </c>
      <c r="E46" s="40">
        <f>SUM(E30:E45)</f>
        <v>310</v>
      </c>
      <c r="F46" s="42">
        <f>SUM(F30:F45)</f>
        <v>400</v>
      </c>
      <c r="G46" s="26"/>
      <c r="H46" s="26"/>
      <c r="I46" s="26"/>
      <c r="J46" s="26"/>
    </row>
    <row r="47" spans="1:10" ht="15" customHeight="1" x14ac:dyDescent="0.25">
      <c r="A47" s="34"/>
      <c r="B47" s="33"/>
      <c r="C47" s="43"/>
      <c r="D47" s="43"/>
      <c r="E47" s="43"/>
      <c r="F47" s="43"/>
      <c r="G47" s="26"/>
      <c r="H47" s="26"/>
      <c r="I47" s="26"/>
      <c r="J47" s="26"/>
    </row>
    <row r="48" spans="1:10" ht="15" customHeight="1" x14ac:dyDescent="0.25">
      <c r="A48" s="34"/>
      <c r="B48" s="26"/>
      <c r="C48" s="43"/>
      <c r="D48" s="43"/>
      <c r="E48" s="43"/>
      <c r="F48" s="43"/>
      <c r="G48" s="26"/>
      <c r="H48" s="26"/>
      <c r="I48" s="26"/>
      <c r="J48" s="26"/>
    </row>
    <row r="49" spans="1:10" ht="15" customHeight="1" x14ac:dyDescent="0.25">
      <c r="A49" s="26"/>
      <c r="B49" s="26"/>
      <c r="C49" s="26"/>
      <c r="D49" s="26"/>
      <c r="E49" s="26"/>
      <c r="F49" s="26"/>
      <c r="G49" s="26"/>
      <c r="H49" s="26"/>
      <c r="I49" s="26"/>
      <c r="J49" s="26"/>
    </row>
    <row r="50" spans="1:10" ht="15" customHeight="1" x14ac:dyDescent="0.25">
      <c r="A50" s="26"/>
      <c r="B50" s="26"/>
      <c r="C50" s="26"/>
      <c r="D50" s="26"/>
      <c r="E50" s="26"/>
      <c r="F50" s="26"/>
      <c r="G50" s="26"/>
      <c r="H50" s="26"/>
      <c r="I50" s="26"/>
      <c r="J50" s="26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O6" sqref="O6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65" t="s">
        <v>184</v>
      </c>
      <c r="B1" s="63"/>
      <c r="C1" s="63"/>
      <c r="D1" s="63"/>
      <c r="E1" s="63"/>
      <c r="F1" s="63"/>
      <c r="G1" s="64"/>
    </row>
    <row r="2" spans="1:8" ht="15" customHeight="1" x14ac:dyDescent="0.25">
      <c r="A2" s="9" t="s">
        <v>185</v>
      </c>
    </row>
    <row r="4" spans="1:8" ht="15" customHeight="1" x14ac:dyDescent="0.25">
      <c r="A4" s="44" t="s">
        <v>52</v>
      </c>
      <c r="B4" s="20" t="s">
        <v>98</v>
      </c>
      <c r="C4" s="20" t="s">
        <v>78</v>
      </c>
      <c r="D4" s="20" t="s">
        <v>186</v>
      </c>
      <c r="E4" s="20" t="s">
        <v>187</v>
      </c>
      <c r="F4" s="20" t="s">
        <v>188</v>
      </c>
      <c r="G4" s="20" t="s">
        <v>189</v>
      </c>
      <c r="H4" s="20" t="s">
        <v>190</v>
      </c>
    </row>
    <row r="5" spans="1:8" ht="15" customHeight="1" x14ac:dyDescent="0.25">
      <c r="A5" s="3">
        <v>1</v>
      </c>
      <c r="B5" s="39" t="str">
        <f>'Playoff Picture'!B19</f>
        <v>Player 16</v>
      </c>
      <c r="C5" s="12">
        <v>0</v>
      </c>
      <c r="D5" s="45">
        <f t="shared" ref="D5:D12" si="0">C5+A5*0.001</f>
        <v>1E-3</v>
      </c>
      <c r="E5" s="12">
        <v>0</v>
      </c>
      <c r="F5" s="12">
        <v>0</v>
      </c>
      <c r="G5" s="12">
        <v>0</v>
      </c>
      <c r="H5" s="45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39" t="str">
        <f>'Playoff Picture'!B20</f>
        <v>Player 15</v>
      </c>
      <c r="C6" s="12">
        <v>0</v>
      </c>
      <c r="D6" s="45">
        <f t="shared" si="0"/>
        <v>2E-3</v>
      </c>
      <c r="E6" s="12">
        <v>0</v>
      </c>
      <c r="F6" s="12">
        <v>0</v>
      </c>
      <c r="G6" s="12">
        <v>0</v>
      </c>
      <c r="H6" s="45">
        <f t="shared" si="1"/>
        <v>10000000.002</v>
      </c>
    </row>
    <row r="7" spans="1:8" ht="15" customHeight="1" x14ac:dyDescent="0.25">
      <c r="A7" s="3">
        <v>3</v>
      </c>
      <c r="B7" s="39" t="str">
        <f>'Playoff Picture'!B21</f>
        <v>Player 4</v>
      </c>
      <c r="C7" s="12">
        <v>0</v>
      </c>
      <c r="D7" s="45">
        <f t="shared" si="0"/>
        <v>3.0000000000000001E-3</v>
      </c>
      <c r="E7" s="12">
        <v>0</v>
      </c>
      <c r="F7" s="12">
        <v>0</v>
      </c>
      <c r="G7" s="12">
        <v>0</v>
      </c>
      <c r="H7" s="45">
        <f t="shared" si="1"/>
        <v>10000000.003</v>
      </c>
    </row>
    <row r="8" spans="1:8" ht="15" customHeight="1" x14ac:dyDescent="0.25">
      <c r="A8" s="3">
        <v>4</v>
      </c>
      <c r="B8" s="39" t="str">
        <f>'Playoff Picture'!B22</f>
        <v>Player 8</v>
      </c>
      <c r="C8" s="12">
        <v>0</v>
      </c>
      <c r="D8" s="45">
        <f t="shared" si="0"/>
        <v>4.0000000000000001E-3</v>
      </c>
      <c r="E8" s="12">
        <v>0</v>
      </c>
      <c r="F8" s="12">
        <v>0</v>
      </c>
      <c r="G8" s="12">
        <v>0</v>
      </c>
      <c r="H8" s="45">
        <f t="shared" si="1"/>
        <v>10000000.004000001</v>
      </c>
    </row>
    <row r="9" spans="1:8" ht="15" customHeight="1" x14ac:dyDescent="0.25">
      <c r="A9" s="3">
        <v>5</v>
      </c>
      <c r="B9" s="39" t="str">
        <f>'Playoff Picture'!B23</f>
        <v>Player 12</v>
      </c>
      <c r="C9" s="12">
        <v>0</v>
      </c>
      <c r="D9" s="45">
        <f t="shared" si="0"/>
        <v>5.0000000000000001E-3</v>
      </c>
      <c r="E9" s="12">
        <v>0</v>
      </c>
      <c r="F9" s="12">
        <v>0</v>
      </c>
      <c r="G9" s="12">
        <v>0</v>
      </c>
      <c r="H9" s="45">
        <f t="shared" si="1"/>
        <v>10000000.005000001</v>
      </c>
    </row>
    <row r="10" spans="1:8" ht="15" customHeight="1" x14ac:dyDescent="0.25">
      <c r="A10" s="3">
        <v>6</v>
      </c>
      <c r="B10" s="39" t="str">
        <f>'Playoff Picture'!B24</f>
        <v>Player 14</v>
      </c>
      <c r="C10" s="12">
        <v>0</v>
      </c>
      <c r="D10" s="45">
        <f t="shared" si="0"/>
        <v>6.0000000000000001E-3</v>
      </c>
      <c r="E10" s="12">
        <v>0</v>
      </c>
      <c r="F10" s="12">
        <v>0</v>
      </c>
      <c r="G10" s="12">
        <v>0</v>
      </c>
      <c r="H10" s="45">
        <f t="shared" si="1"/>
        <v>10000000.005999999</v>
      </c>
    </row>
    <row r="11" spans="1:8" ht="15" customHeight="1" x14ac:dyDescent="0.25">
      <c r="A11" s="3">
        <v>7</v>
      </c>
      <c r="B11" s="39" t="str">
        <f>'Playoff Picture'!B25</f>
        <v>Player 13</v>
      </c>
      <c r="C11" s="12">
        <v>0</v>
      </c>
      <c r="D11" s="45">
        <f t="shared" si="0"/>
        <v>7.0000000000000001E-3</v>
      </c>
      <c r="E11" s="12">
        <v>0</v>
      </c>
      <c r="F11" s="12">
        <v>0</v>
      </c>
      <c r="G11" s="12">
        <v>0</v>
      </c>
      <c r="H11" s="45">
        <f t="shared" si="1"/>
        <v>10000000.006999999</v>
      </c>
    </row>
    <row r="12" spans="1:8" ht="15" customHeight="1" x14ac:dyDescent="0.25">
      <c r="A12" s="3">
        <v>8</v>
      </c>
      <c r="B12" s="39" t="str">
        <f>'Playoff Picture'!B26</f>
        <v>Player 11</v>
      </c>
      <c r="C12" s="12">
        <v>0</v>
      </c>
      <c r="D12" s="45">
        <f t="shared" si="0"/>
        <v>8.0000000000000002E-3</v>
      </c>
      <c r="E12" s="12">
        <v>0</v>
      </c>
      <c r="F12" s="12">
        <v>0</v>
      </c>
      <c r="G12" s="12">
        <v>0</v>
      </c>
      <c r="H12" s="45">
        <f t="shared" si="1"/>
        <v>10000000.007999999</v>
      </c>
    </row>
    <row r="14" spans="1:8" ht="15" customHeight="1" x14ac:dyDescent="0.25">
      <c r="A14" s="62" t="s">
        <v>191</v>
      </c>
      <c r="B14" s="63"/>
      <c r="C14" s="63"/>
      <c r="D14" s="63"/>
      <c r="E14" s="63"/>
      <c r="F14" s="63"/>
      <c r="G14" s="64"/>
    </row>
    <row r="15" spans="1:8" ht="15" customHeight="1" x14ac:dyDescent="0.25">
      <c r="A15" s="23" t="s">
        <v>97</v>
      </c>
      <c r="B15" s="23" t="s">
        <v>98</v>
      </c>
      <c r="C15" s="23" t="s">
        <v>78</v>
      </c>
      <c r="D15" s="46"/>
      <c r="E15" s="23" t="s">
        <v>156</v>
      </c>
      <c r="F15" s="23"/>
      <c r="G15" s="23"/>
    </row>
    <row r="16" spans="1:8" ht="15" customHeight="1" x14ac:dyDescent="0.25">
      <c r="A16" s="38">
        <v>1</v>
      </c>
      <c r="B16" s="38" t="str">
        <f>INDEX($B$5:$B$12,MATCH(LARGE($H$5:$H$12,1),$H$5:$H$12,0))</f>
        <v>Player 11</v>
      </c>
      <c r="C16" s="3">
        <f>INDEX($C$5:$C$12,MATCH(LARGE($H$5:$H$12,1),$H$5:$H$12,0))</f>
        <v>0</v>
      </c>
      <c r="D16" s="3"/>
      <c r="E16" s="30" t="s">
        <v>192</v>
      </c>
    </row>
    <row r="17" spans="1:5" ht="15" customHeight="1" x14ac:dyDescent="0.25">
      <c r="A17" s="38">
        <v>2</v>
      </c>
      <c r="B17" s="38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0" t="s">
        <v>192</v>
      </c>
    </row>
    <row r="18" spans="1:5" ht="15" customHeight="1" x14ac:dyDescent="0.25">
      <c r="A18" s="38">
        <v>3</v>
      </c>
      <c r="B18" s="38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0" t="s">
        <v>192</v>
      </c>
    </row>
    <row r="19" spans="1:5" ht="15" customHeight="1" x14ac:dyDescent="0.25">
      <c r="A19" s="38">
        <v>4</v>
      </c>
      <c r="B19" s="38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0" t="s">
        <v>192</v>
      </c>
    </row>
    <row r="20" spans="1:5" ht="15" customHeight="1" x14ac:dyDescent="0.25">
      <c r="A20" s="38">
        <v>5</v>
      </c>
      <c r="B20" s="38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47" t="s">
        <v>193</v>
      </c>
    </row>
    <row r="21" spans="1:5" ht="15" customHeight="1" x14ac:dyDescent="0.25">
      <c r="A21" s="38">
        <v>6</v>
      </c>
      <c r="B21" s="38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47" t="s">
        <v>193</v>
      </c>
    </row>
    <row r="22" spans="1:5" ht="15" customHeight="1" x14ac:dyDescent="0.25">
      <c r="A22" s="38">
        <v>7</v>
      </c>
      <c r="B22" s="38" t="str">
        <f>INDEX($B$5:$B$12,MATCH(LARGE($H$5:$H$12,7),$H$5:$H$12,0))</f>
        <v>Player 15</v>
      </c>
      <c r="C22" s="3">
        <f>INDEX($C$5:$C$12,MATCH(LARGE($H$5:$H$12,7),$H$5:$H$12,0))</f>
        <v>0</v>
      </c>
      <c r="D22" s="3"/>
      <c r="E22" s="47" t="s">
        <v>193</v>
      </c>
    </row>
    <row r="23" spans="1:5" ht="15" customHeight="1" x14ac:dyDescent="0.25">
      <c r="A23" s="38">
        <v>8</v>
      </c>
      <c r="B23" s="38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47" t="s">
        <v>193</v>
      </c>
    </row>
    <row r="25" spans="1:5" ht="15" customHeight="1" x14ac:dyDescent="0.25">
      <c r="A25" s="9" t="s">
        <v>194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F27" sqref="F2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6" t="s">
        <v>195</v>
      </c>
      <c r="B1" s="63"/>
      <c r="C1" s="63"/>
      <c r="D1" s="63"/>
      <c r="E1" s="63"/>
      <c r="F1" s="63"/>
      <c r="G1" s="63"/>
      <c r="H1" s="64"/>
    </row>
    <row r="2" spans="1:12" ht="15" customHeight="1" x14ac:dyDescent="0.25">
      <c r="A2" s="9" t="s">
        <v>196</v>
      </c>
    </row>
    <row r="4" spans="1:12" ht="15" customHeight="1" x14ac:dyDescent="0.25">
      <c r="A4" s="69" t="s">
        <v>197</v>
      </c>
      <c r="B4" s="63"/>
      <c r="C4" s="63"/>
      <c r="D4" s="63"/>
      <c r="E4" s="63"/>
      <c r="F4" s="63"/>
      <c r="G4" s="63"/>
      <c r="H4" s="64"/>
    </row>
    <row r="5" spans="1:12" ht="15" customHeight="1" x14ac:dyDescent="0.25">
      <c r="A5" s="23" t="s">
        <v>98</v>
      </c>
      <c r="B5" s="23" t="s">
        <v>198</v>
      </c>
      <c r="C5" s="23" t="s">
        <v>199</v>
      </c>
      <c r="D5" s="23" t="s">
        <v>200</v>
      </c>
      <c r="E5" s="23" t="s">
        <v>201</v>
      </c>
      <c r="F5" s="23" t="s">
        <v>202</v>
      </c>
      <c r="G5" s="23" t="s">
        <v>203</v>
      </c>
      <c r="H5" s="23" t="s">
        <v>204</v>
      </c>
      <c r="I5" s="23" t="s">
        <v>205</v>
      </c>
      <c r="K5" s="23" t="s">
        <v>206</v>
      </c>
      <c r="L5" s="23" t="s">
        <v>207</v>
      </c>
    </row>
    <row r="6" spans="1:12" ht="15" customHeight="1" x14ac:dyDescent="0.25">
      <c r="A6" s="48" t="str">
        <f>'Playoff Wild Card'!B16</f>
        <v>Player 11</v>
      </c>
      <c r="B6" s="49">
        <f>'Playoff Wild Card'!C16</f>
        <v>0</v>
      </c>
      <c r="C6" s="12">
        <v>0</v>
      </c>
      <c r="D6" s="50">
        <f>C6*2</f>
        <v>0</v>
      </c>
      <c r="E6" s="12">
        <v>0</v>
      </c>
      <c r="F6" s="50">
        <f>E6*4</f>
        <v>0</v>
      </c>
      <c r="G6" s="12">
        <v>0</v>
      </c>
      <c r="H6" s="51">
        <f>G6*8</f>
        <v>0</v>
      </c>
      <c r="I6" s="52">
        <f>B6+D6+F6+H6</f>
        <v>0</v>
      </c>
      <c r="J6" s="53">
        <f>I6*10000000+(100-K6)*100000+(100-L6)*100+(ROW()-5)*0.001</f>
        <v>10010000.001</v>
      </c>
      <c r="K6" s="12">
        <v>0</v>
      </c>
      <c r="L6" s="3">
        <f>D22</f>
        <v>0</v>
      </c>
    </row>
    <row r="7" spans="1:12" ht="15" customHeight="1" x14ac:dyDescent="0.25">
      <c r="A7" s="48" t="str">
        <f>'Playoff Wild Card'!B17</f>
        <v>Player 13</v>
      </c>
      <c r="B7" s="49">
        <f>'Playoff Wild Card'!C17</f>
        <v>0</v>
      </c>
      <c r="C7" s="12">
        <v>0</v>
      </c>
      <c r="D7" s="50">
        <f>C7*2</f>
        <v>0</v>
      </c>
      <c r="E7" s="12">
        <v>0</v>
      </c>
      <c r="F7" s="50">
        <f>E7*4</f>
        <v>0</v>
      </c>
      <c r="G7" s="12">
        <v>0</v>
      </c>
      <c r="H7" s="51">
        <f>G7*8</f>
        <v>0</v>
      </c>
      <c r="I7" s="52">
        <f>B7+D7+F7+H7</f>
        <v>0</v>
      </c>
      <c r="J7" s="53">
        <f>I7*10000000+(100-K7)*100000+(100-L7)*100+(ROW()-5)*0.001</f>
        <v>10010000.002</v>
      </c>
      <c r="K7" s="12">
        <v>0</v>
      </c>
      <c r="L7" s="3">
        <f>D23</f>
        <v>0</v>
      </c>
    </row>
    <row r="8" spans="1:12" ht="15" customHeight="1" x14ac:dyDescent="0.25">
      <c r="A8" s="48" t="str">
        <f>'Playoff Wild Card'!B18</f>
        <v>Player 14</v>
      </c>
      <c r="B8" s="49">
        <f>'Playoff Wild Card'!C18</f>
        <v>0</v>
      </c>
      <c r="C8" s="12">
        <v>0</v>
      </c>
      <c r="D8" s="50">
        <f>C8*2</f>
        <v>0</v>
      </c>
      <c r="E8" s="12">
        <v>0</v>
      </c>
      <c r="F8" s="50">
        <f>E8*4</f>
        <v>0</v>
      </c>
      <c r="G8" s="12">
        <v>0</v>
      </c>
      <c r="H8" s="51">
        <f>G8*8</f>
        <v>0</v>
      </c>
      <c r="I8" s="52">
        <f>B8+D8+F8+H8</f>
        <v>0</v>
      </c>
      <c r="J8" s="53">
        <f>I8*10000000+(100-K8)*100000+(100-L8)*100+(ROW()-5)*0.001</f>
        <v>10010000.003</v>
      </c>
      <c r="K8" s="12">
        <v>0</v>
      </c>
      <c r="L8" s="3">
        <f>D24</f>
        <v>0</v>
      </c>
    </row>
    <row r="9" spans="1:12" ht="15" customHeight="1" x14ac:dyDescent="0.25">
      <c r="A9" s="48" t="str">
        <f>'Playoff Wild Card'!B19</f>
        <v>Player 12</v>
      </c>
      <c r="B9" s="49">
        <f>'Playoff Wild Card'!C19</f>
        <v>0</v>
      </c>
      <c r="C9" s="12">
        <v>0</v>
      </c>
      <c r="D9" s="50">
        <f>C9*2</f>
        <v>0</v>
      </c>
      <c r="E9" s="12">
        <v>0</v>
      </c>
      <c r="F9" s="50">
        <f>E9*4</f>
        <v>0</v>
      </c>
      <c r="G9" s="12">
        <v>0</v>
      </c>
      <c r="H9" s="51">
        <f>G9*8</f>
        <v>0</v>
      </c>
      <c r="I9" s="52">
        <f>B9+D9+F9+H9</f>
        <v>0</v>
      </c>
      <c r="J9" s="53">
        <f>I9*10000000+(100-K9)*100000+(100-L9)*100+(ROW()-5)*0.001</f>
        <v>10010000.004000001</v>
      </c>
      <c r="K9" s="12">
        <v>0</v>
      </c>
      <c r="L9" s="3">
        <f>D25</f>
        <v>0</v>
      </c>
    </row>
    <row r="11" spans="1:12" ht="15" customHeight="1" x14ac:dyDescent="0.25">
      <c r="A11" s="73" t="s">
        <v>208</v>
      </c>
      <c r="B11" s="63"/>
      <c r="C11" s="63"/>
      <c r="D11" s="63"/>
      <c r="E11" s="63"/>
      <c r="F11" s="63"/>
      <c r="G11" s="63"/>
      <c r="H11" s="64"/>
    </row>
    <row r="12" spans="1:12" ht="15" customHeight="1" x14ac:dyDescent="0.25">
      <c r="A12" s="13" t="s">
        <v>209</v>
      </c>
      <c r="B12" s="13" t="s">
        <v>98</v>
      </c>
      <c r="C12" s="13" t="s">
        <v>198</v>
      </c>
      <c r="D12" s="13" t="s">
        <v>210</v>
      </c>
      <c r="E12" s="13" t="s">
        <v>211</v>
      </c>
      <c r="F12" s="13" t="s">
        <v>212</v>
      </c>
      <c r="G12" s="13" t="s">
        <v>213</v>
      </c>
      <c r="H12" s="13" t="s">
        <v>214</v>
      </c>
    </row>
    <row r="13" spans="1:12" ht="15" customHeight="1" x14ac:dyDescent="0.25">
      <c r="A13" s="54" t="s">
        <v>215</v>
      </c>
      <c r="B13" s="38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1">
        <f>INDEX($H$6:$H$9,MATCH(LARGE($J$6:$J$9,1),$J$6:$J$9,0))</f>
        <v>0</v>
      </c>
      <c r="G13" s="52">
        <f>INDEX($I$6:$I$9,MATCH(LARGE($J$6:$J$9,1),$J$6:$J$9,0))</f>
        <v>0</v>
      </c>
      <c r="H13" s="55" t="s">
        <v>142</v>
      </c>
    </row>
    <row r="14" spans="1:12" ht="15" customHeight="1" x14ac:dyDescent="0.25">
      <c r="A14" s="56" t="s">
        <v>216</v>
      </c>
      <c r="B14" s="38" t="str">
        <f>INDEX($A$6:$A$9,MATCH(LARGE($J$6:$J$9,2),$J$6:$J$9,0))</f>
        <v>Player 14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1">
        <f>INDEX($H$6:$H$9,MATCH(LARGE($J$6:$J$9,2),$J$6:$J$9,0))</f>
        <v>0</v>
      </c>
      <c r="G14" s="52">
        <f>INDEX($I$6:$I$9,MATCH(LARGE($J$6:$J$9,2),$J$6:$J$9,0))</f>
        <v>0</v>
      </c>
      <c r="H14" s="55" t="s">
        <v>144</v>
      </c>
    </row>
    <row r="15" spans="1:12" ht="15" customHeight="1" x14ac:dyDescent="0.25">
      <c r="A15" s="57" t="s">
        <v>217</v>
      </c>
      <c r="B15" s="38" t="str">
        <f>INDEX($A$6:$A$9,MATCH(LARGE($J$6:$J$9,3),$J$6:$J$9,0))</f>
        <v>Player 13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1">
        <f>INDEX($H$6:$H$9,MATCH(LARGE($J$6:$J$9,3),$J$6:$J$9,0))</f>
        <v>0</v>
      </c>
      <c r="G15" s="52">
        <f>INDEX($I$6:$I$9,MATCH(LARGE($J$6:$J$9,3),$J$6:$J$9,0))</f>
        <v>0</v>
      </c>
      <c r="H15" s="55" t="s">
        <v>146</v>
      </c>
    </row>
    <row r="16" spans="1:12" ht="15" customHeight="1" x14ac:dyDescent="0.25">
      <c r="A16" s="58" t="s">
        <v>218</v>
      </c>
      <c r="B16" s="38" t="str">
        <f>INDEX($A$6:$A$9,MATCH(LARGE($J$6:$J$9,4),$J$6:$J$9,0))</f>
        <v>Player 11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1">
        <f>INDEX($H$6:$H$9,MATCH(LARGE($J$6:$J$9,4),$J$6:$J$9,0))</f>
        <v>0</v>
      </c>
      <c r="G16" s="52">
        <f>INDEX($I$6:$I$9,MATCH(LARGE($J$6:$J$9,4),$J$6:$J$9,0))</f>
        <v>0</v>
      </c>
      <c r="H16" s="55" t="s">
        <v>219</v>
      </c>
    </row>
    <row r="18" spans="1:4" ht="15" customHeight="1" x14ac:dyDescent="0.25">
      <c r="A18" s="9" t="s">
        <v>220</v>
      </c>
    </row>
    <row r="20" spans="1:4" ht="15" customHeight="1" x14ac:dyDescent="0.25">
      <c r="A20" s="62" t="s">
        <v>221</v>
      </c>
      <c r="B20" s="63"/>
      <c r="C20" s="63"/>
      <c r="D20" s="64"/>
    </row>
    <row r="21" spans="1:4" ht="21.75" customHeight="1" x14ac:dyDescent="0.25">
      <c r="A21" s="35" t="s">
        <v>98</v>
      </c>
      <c r="B21" s="35" t="s">
        <v>222</v>
      </c>
      <c r="C21" s="35" t="s">
        <v>223</v>
      </c>
      <c r="D21" s="35" t="s">
        <v>224</v>
      </c>
    </row>
    <row r="22" spans="1:4" ht="15" customHeight="1" x14ac:dyDescent="0.25">
      <c r="A22" s="39" t="str">
        <f>$A$6</f>
        <v>Player 11</v>
      </c>
      <c r="B22" s="12">
        <v>0</v>
      </c>
      <c r="C22" s="12">
        <v>0</v>
      </c>
      <c r="D22" s="38">
        <f>ABS(B22-C22)</f>
        <v>0</v>
      </c>
    </row>
    <row r="23" spans="1:4" ht="15" customHeight="1" x14ac:dyDescent="0.25">
      <c r="A23" s="39" t="str">
        <f>$A$7</f>
        <v>Player 13</v>
      </c>
      <c r="B23" s="12">
        <v>0</v>
      </c>
      <c r="C23" s="3">
        <f>C22</f>
        <v>0</v>
      </c>
      <c r="D23" s="38">
        <f>ABS(B23-C23)</f>
        <v>0</v>
      </c>
    </row>
    <row r="24" spans="1:4" ht="15" customHeight="1" x14ac:dyDescent="0.25">
      <c r="A24" s="39" t="str">
        <f>$A$8</f>
        <v>Player 14</v>
      </c>
      <c r="B24" s="12">
        <v>0</v>
      </c>
      <c r="C24" s="3">
        <f>C22</f>
        <v>0</v>
      </c>
      <c r="D24" s="38">
        <f>ABS(B24-C24)</f>
        <v>0</v>
      </c>
    </row>
    <row r="25" spans="1:4" ht="15" customHeight="1" x14ac:dyDescent="0.25">
      <c r="A25" s="39" t="str">
        <f>$A$9</f>
        <v>Player 12</v>
      </c>
      <c r="B25" s="12">
        <v>0</v>
      </c>
      <c r="C25" s="3">
        <f>C22</f>
        <v>0</v>
      </c>
      <c r="D25" s="38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53</v>
      </c>
      <c r="B1" t="s">
        <v>54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3</v>
      </c>
      <c r="D2">
        <f>'Wk 1-6 Input'!I25</f>
        <v>3</v>
      </c>
      <c r="E2">
        <f>'Wk 1-6 Input'!I44</f>
        <v>3</v>
      </c>
      <c r="F2">
        <f>'Wk 1-6 Input'!I63</f>
        <v>3</v>
      </c>
      <c r="G2">
        <f>'Wk 1-6 Input'!I82</f>
        <v>3</v>
      </c>
      <c r="H2">
        <f>'Wk 1-6 Input'!I101</f>
        <v>3</v>
      </c>
      <c r="I2">
        <f t="shared" ref="I2:I17" si="0">SUM(C2:H2)</f>
        <v>18</v>
      </c>
      <c r="J2">
        <f>COUNTIF('Wk 1-6 Input'!F6,"W")+COUNTIF('Wk 1-6 Input'!F25,"W")+COUNTIF('Wk 1-6 Input'!F44,"W")+COUNTIF('Wk 1-6 Input'!F63,"W")+COUNTIF('Wk 1-6 Input'!F82,"W")+COUNTIF('Wk 1-6 Input'!F101,"W")</f>
        <v>0</v>
      </c>
      <c r="K2">
        <f t="shared" ref="K2:K17" si="1">I2+A2*0.0001</f>
        <v>18.0001</v>
      </c>
      <c r="L2">
        <f>'Wk 7-12 Input'!I6</f>
        <v>5</v>
      </c>
      <c r="M2">
        <f>'Wk 7-12 Input'!I25</f>
        <v>5</v>
      </c>
      <c r="N2">
        <f>'Wk 7-12 Input'!I44</f>
        <v>5</v>
      </c>
      <c r="O2">
        <f>'Wk 7-12 Input'!I63</f>
        <v>5</v>
      </c>
      <c r="P2">
        <f>'Wk 7-12 Input'!I82</f>
        <v>5</v>
      </c>
      <c r="Q2">
        <f>'Wk 7-12 Input'!I101</f>
        <v>5</v>
      </c>
      <c r="R2">
        <f t="shared" ref="R2:R17" si="2">SUM(L2:Q2)</f>
        <v>30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30.0001</v>
      </c>
      <c r="U2" t="str">
        <f>'Wk 13-18 Input'!F6</f>
        <v>T</v>
      </c>
      <c r="V2" t="str">
        <f>'Wk 13-18 Input'!F25</f>
        <v>T</v>
      </c>
      <c r="W2" t="str">
        <f>'Wk 13-18 Input'!F44</f>
        <v>T</v>
      </c>
      <c r="X2" t="str">
        <f>'Wk 13-18 Input'!F63</f>
        <v>T</v>
      </c>
      <c r="Y2" t="str">
        <f>'Wk 13-18 Input'!F82</f>
        <v>T</v>
      </c>
      <c r="Z2" t="str">
        <f>'Wk 13-18 Input'!F101</f>
        <v>T</v>
      </c>
      <c r="AA2">
        <f>'Wk 13-18 Input'!G6+'Wk 13-18 Input'!G25+'Wk 13-18 Input'!G44+'Wk 13-18 Input'!G63+'Wk 13-18 Input'!G82+'Wk 13-18 Input'!G101</f>
        <v>3</v>
      </c>
      <c r="AB2">
        <f>'Wk 13-18 Input'!H6+'Wk 13-18 Input'!H25+'Wk 13-18 Input'!H44+'Wk 13-18 Input'!H63+'Wk 13-18 Input'!H82+'Wk 13-18 Input'!H101</f>
        <v>3</v>
      </c>
      <c r="AC2">
        <f>'Wk 13-18 Input'!I6+'Wk 13-18 Input'!I25+'Wk 13-18 Input'!I44+'Wk 13-18 Input'!I63+'Wk 13-18 Input'!I82+'Wk 13-18 Input'!I101</f>
        <v>0</v>
      </c>
      <c r="AD2">
        <f t="shared" ref="AD2:AD17" si="4">AA2+A2*0.0001</f>
        <v>3.0001000000000002</v>
      </c>
      <c r="AE2">
        <f t="shared" ref="AE2:AE17" si="5">I2+R2+AC2</f>
        <v>48</v>
      </c>
      <c r="AF2">
        <f t="shared" ref="AF2:AF17" si="6">AE2+A2*0.0001</f>
        <v>48.000100000000003</v>
      </c>
      <c r="AG2">
        <f t="shared" ref="AG2:AG17" si="7">MAX(C2:H2)</f>
        <v>3</v>
      </c>
      <c r="AH2">
        <f t="shared" ref="AH2:AH17" si="8">I2*100000+AG2*1000+J2*10+A2*0.01</f>
        <v>1803000.01</v>
      </c>
      <c r="AI2">
        <f t="shared" ref="AI2:AI17" si="9">MAX(L2:Q2)</f>
        <v>5</v>
      </c>
      <c r="AJ2">
        <f t="shared" ref="AJ2:AJ17" si="10">R2*100000+AI2*1000+S2*10+A2*0.01</f>
        <v>3005000.01</v>
      </c>
      <c r="AK2">
        <f>MAX('Wk 13-18 Input'!C6,'Wk 13-18 Input'!C25,'Wk 13-18 Input'!C44,'Wk 13-18 Input'!C63,'Wk 13-18 Input'!C82,'Wk 13-18 Input'!C101)</f>
        <v>0</v>
      </c>
      <c r="AL2">
        <f t="shared" ref="AL2:AL17" si="11">AA2*100000+AC2*1000+AK2*10+A2*0.01</f>
        <v>300000.01</v>
      </c>
      <c r="AM2">
        <f t="shared" ref="AM2:AM17" si="12">AE2*100000+(AG2+AI2+AK2)*100+A2*0.01</f>
        <v>4800800.01</v>
      </c>
      <c r="AN2">
        <f>COUNTIF('Playoff Picture'!$E$5:$E$10,B2)</f>
        <v>0</v>
      </c>
      <c r="AO2">
        <f t="shared" ref="AO2:AO17" si="13">IF(AN2=0,AM2,0)</f>
        <v>4800800.01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3</v>
      </c>
      <c r="D3">
        <f>'Wk 1-6 Input'!I26</f>
        <v>3</v>
      </c>
      <c r="E3">
        <f>'Wk 1-6 Input'!I45</f>
        <v>3</v>
      </c>
      <c r="F3">
        <f>'Wk 1-6 Input'!I64</f>
        <v>3</v>
      </c>
      <c r="G3">
        <f>'Wk 1-6 Input'!I83</f>
        <v>3</v>
      </c>
      <c r="H3">
        <f>'Wk 1-6 Input'!I102</f>
        <v>3</v>
      </c>
      <c r="I3">
        <f t="shared" si="0"/>
        <v>18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18.0002</v>
      </c>
      <c r="L3">
        <f>'Wk 7-12 Input'!I7</f>
        <v>5</v>
      </c>
      <c r="M3">
        <f>'Wk 7-12 Input'!I26</f>
        <v>5</v>
      </c>
      <c r="N3">
        <f>'Wk 7-12 Input'!I45</f>
        <v>5</v>
      </c>
      <c r="O3">
        <f>'Wk 7-12 Input'!I64</f>
        <v>5</v>
      </c>
      <c r="P3">
        <f>'Wk 7-12 Input'!I83</f>
        <v>5</v>
      </c>
      <c r="Q3">
        <f>'Wk 7-12 Input'!I102</f>
        <v>5</v>
      </c>
      <c r="R3">
        <f t="shared" si="2"/>
        <v>30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30.0002</v>
      </c>
      <c r="U3" t="str">
        <f>'Wk 13-18 Input'!F7</f>
        <v>T</v>
      </c>
      <c r="V3" t="str">
        <f>'Wk 13-18 Input'!F26</f>
        <v>T</v>
      </c>
      <c r="W3" t="str">
        <f>'Wk 13-18 Input'!F45</f>
        <v>T</v>
      </c>
      <c r="X3" t="str">
        <f>'Wk 13-18 Input'!F64</f>
        <v>T</v>
      </c>
      <c r="Y3" t="str">
        <f>'Wk 13-18 Input'!F83</f>
        <v>T</v>
      </c>
      <c r="Z3" t="str">
        <f>'Wk 13-18 Input'!F102</f>
        <v>T</v>
      </c>
      <c r="AA3">
        <f>'Wk 13-18 Input'!G7+'Wk 13-18 Input'!G26+'Wk 13-18 Input'!G45+'Wk 13-18 Input'!G64+'Wk 13-18 Input'!G83+'Wk 13-18 Input'!G102</f>
        <v>3</v>
      </c>
      <c r="AB3">
        <f>'Wk 13-18 Input'!H7+'Wk 13-18 Input'!H26+'Wk 13-18 Input'!H45+'Wk 13-18 Input'!H64+'Wk 13-18 Input'!H83+'Wk 13-18 Input'!H102</f>
        <v>3</v>
      </c>
      <c r="AC3">
        <f>'Wk 13-18 Input'!I7+'Wk 13-18 Input'!I26+'Wk 13-18 Input'!I45+'Wk 13-18 Input'!I64+'Wk 13-18 Input'!I83+'Wk 13-18 Input'!I102</f>
        <v>0</v>
      </c>
      <c r="AD3">
        <f t="shared" si="4"/>
        <v>3.0002</v>
      </c>
      <c r="AE3">
        <f t="shared" si="5"/>
        <v>48</v>
      </c>
      <c r="AF3">
        <f t="shared" si="6"/>
        <v>48.0002</v>
      </c>
      <c r="AG3">
        <f t="shared" si="7"/>
        <v>3</v>
      </c>
      <c r="AH3">
        <f t="shared" si="8"/>
        <v>1803000.02</v>
      </c>
      <c r="AI3">
        <f t="shared" si="9"/>
        <v>5</v>
      </c>
      <c r="AJ3">
        <f t="shared" si="10"/>
        <v>3005000.02</v>
      </c>
      <c r="AK3">
        <f>MAX('Wk 13-18 Input'!C7,'Wk 13-18 Input'!C26,'Wk 13-18 Input'!C45,'Wk 13-18 Input'!C64,'Wk 13-18 Input'!C83,'Wk 13-18 Input'!C102)</f>
        <v>0</v>
      </c>
      <c r="AL3">
        <f t="shared" si="11"/>
        <v>300000.02</v>
      </c>
      <c r="AM3">
        <f t="shared" si="12"/>
        <v>4800800.0199999996</v>
      </c>
      <c r="AN3">
        <f>COUNTIF('Playoff Picture'!$E$5:$E$10,B3)</f>
        <v>0</v>
      </c>
      <c r="AO3">
        <f t="shared" si="13"/>
        <v>4800800.0199999996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3</v>
      </c>
      <c r="D4">
        <f>'Wk 1-6 Input'!I27</f>
        <v>3</v>
      </c>
      <c r="E4">
        <f>'Wk 1-6 Input'!I46</f>
        <v>3</v>
      </c>
      <c r="F4">
        <f>'Wk 1-6 Input'!I65</f>
        <v>3</v>
      </c>
      <c r="G4">
        <f>'Wk 1-6 Input'!I84</f>
        <v>3</v>
      </c>
      <c r="H4">
        <f>'Wk 1-6 Input'!I103</f>
        <v>3</v>
      </c>
      <c r="I4">
        <f t="shared" si="0"/>
        <v>18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18.000299999999999</v>
      </c>
      <c r="L4">
        <f>'Wk 7-12 Input'!I8</f>
        <v>5</v>
      </c>
      <c r="M4">
        <f>'Wk 7-12 Input'!I27</f>
        <v>5</v>
      </c>
      <c r="N4">
        <f>'Wk 7-12 Input'!I46</f>
        <v>5</v>
      </c>
      <c r="O4">
        <f>'Wk 7-12 Input'!I65</f>
        <v>5</v>
      </c>
      <c r="P4">
        <f>'Wk 7-12 Input'!I84</f>
        <v>5</v>
      </c>
      <c r="Q4">
        <f>'Wk 7-12 Input'!I103</f>
        <v>5</v>
      </c>
      <c r="R4">
        <f t="shared" si="2"/>
        <v>30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30.000299999999999</v>
      </c>
      <c r="U4" t="str">
        <f>'Wk 13-18 Input'!F8</f>
        <v>T</v>
      </c>
      <c r="V4" t="str">
        <f>'Wk 13-18 Input'!F27</f>
        <v>T</v>
      </c>
      <c r="W4" t="str">
        <f>'Wk 13-18 Input'!F46</f>
        <v>T</v>
      </c>
      <c r="X4" t="str">
        <f>'Wk 13-18 Input'!F65</f>
        <v>T</v>
      </c>
      <c r="Y4" t="str">
        <f>'Wk 13-18 Input'!F84</f>
        <v>T</v>
      </c>
      <c r="Z4" t="str">
        <f>'Wk 13-18 Input'!F103</f>
        <v>T</v>
      </c>
      <c r="AA4">
        <f>'Wk 13-18 Input'!G8+'Wk 13-18 Input'!G27+'Wk 13-18 Input'!G46+'Wk 13-18 Input'!G65+'Wk 13-18 Input'!G84+'Wk 13-18 Input'!G103</f>
        <v>3</v>
      </c>
      <c r="AB4">
        <f>'Wk 13-18 Input'!H8+'Wk 13-18 Input'!H27+'Wk 13-18 Input'!H46+'Wk 13-18 Input'!H65+'Wk 13-18 Input'!H84+'Wk 13-18 Input'!H103</f>
        <v>3</v>
      </c>
      <c r="AC4">
        <f>'Wk 13-18 Input'!I8+'Wk 13-18 Input'!I27+'Wk 13-18 Input'!I46+'Wk 13-18 Input'!I65+'Wk 13-18 Input'!I84+'Wk 13-18 Input'!I103</f>
        <v>0</v>
      </c>
      <c r="AD4">
        <f t="shared" si="4"/>
        <v>3.0003000000000002</v>
      </c>
      <c r="AE4">
        <f t="shared" si="5"/>
        <v>48</v>
      </c>
      <c r="AF4">
        <f t="shared" si="6"/>
        <v>48.000300000000003</v>
      </c>
      <c r="AG4">
        <f t="shared" si="7"/>
        <v>3</v>
      </c>
      <c r="AH4">
        <f t="shared" si="8"/>
        <v>1803000.03</v>
      </c>
      <c r="AI4">
        <f t="shared" si="9"/>
        <v>5</v>
      </c>
      <c r="AJ4">
        <f t="shared" si="10"/>
        <v>3005000.03</v>
      </c>
      <c r="AK4">
        <f>MAX('Wk 13-18 Input'!C8,'Wk 13-18 Input'!C27,'Wk 13-18 Input'!C46,'Wk 13-18 Input'!C65,'Wk 13-18 Input'!C84,'Wk 13-18 Input'!C103)</f>
        <v>0</v>
      </c>
      <c r="AL4">
        <f t="shared" si="11"/>
        <v>300000.03000000003</v>
      </c>
      <c r="AM4">
        <f t="shared" si="12"/>
        <v>4800800.03</v>
      </c>
      <c r="AN4">
        <f>COUNTIF('Playoff Picture'!$E$5:$E$10,B4)</f>
        <v>0</v>
      </c>
      <c r="AO4">
        <f t="shared" si="13"/>
        <v>4800800.03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3</v>
      </c>
      <c r="D5">
        <f>'Wk 1-6 Input'!I28</f>
        <v>3</v>
      </c>
      <c r="E5">
        <f>'Wk 1-6 Input'!I47</f>
        <v>3</v>
      </c>
      <c r="F5">
        <f>'Wk 1-6 Input'!I66</f>
        <v>3</v>
      </c>
      <c r="G5">
        <f>'Wk 1-6 Input'!I85</f>
        <v>3</v>
      </c>
      <c r="H5">
        <f>'Wk 1-6 Input'!I104</f>
        <v>3</v>
      </c>
      <c r="I5">
        <f t="shared" si="0"/>
        <v>18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18.000399999999999</v>
      </c>
      <c r="L5">
        <f>'Wk 7-12 Input'!I9</f>
        <v>5</v>
      </c>
      <c r="M5">
        <f>'Wk 7-12 Input'!I28</f>
        <v>5</v>
      </c>
      <c r="N5">
        <f>'Wk 7-12 Input'!I47</f>
        <v>5</v>
      </c>
      <c r="O5">
        <f>'Wk 7-12 Input'!I66</f>
        <v>5</v>
      </c>
      <c r="P5">
        <f>'Wk 7-12 Input'!I85</f>
        <v>5</v>
      </c>
      <c r="Q5">
        <f>'Wk 7-12 Input'!I104</f>
        <v>5</v>
      </c>
      <c r="R5">
        <f t="shared" si="2"/>
        <v>30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30.000399999999999</v>
      </c>
      <c r="U5" t="str">
        <f>'Wk 13-18 Input'!F9</f>
        <v>T</v>
      </c>
      <c r="V5" t="str">
        <f>'Wk 13-18 Input'!F28</f>
        <v>T</v>
      </c>
      <c r="W5" t="str">
        <f>'Wk 13-18 Input'!F47</f>
        <v>T</v>
      </c>
      <c r="X5" t="str">
        <f>'Wk 13-18 Input'!F66</f>
        <v>T</v>
      </c>
      <c r="Y5" t="str">
        <f>'Wk 13-18 Input'!F85</f>
        <v>T</v>
      </c>
      <c r="Z5" t="str">
        <f>'Wk 13-18 Input'!F104</f>
        <v>T</v>
      </c>
      <c r="AA5">
        <f>'Wk 13-18 Input'!G9+'Wk 13-18 Input'!G28+'Wk 13-18 Input'!G47+'Wk 13-18 Input'!G66+'Wk 13-18 Input'!G85+'Wk 13-18 Input'!G104</f>
        <v>3</v>
      </c>
      <c r="AB5">
        <f>'Wk 13-18 Input'!H9+'Wk 13-18 Input'!H28+'Wk 13-18 Input'!H47+'Wk 13-18 Input'!H66+'Wk 13-18 Input'!H85+'Wk 13-18 Input'!H104</f>
        <v>3</v>
      </c>
      <c r="AC5">
        <f>'Wk 13-18 Input'!I9+'Wk 13-18 Input'!I28+'Wk 13-18 Input'!I47+'Wk 13-18 Input'!I66+'Wk 13-18 Input'!I85+'Wk 13-18 Input'!I104</f>
        <v>0</v>
      </c>
      <c r="AD5">
        <f t="shared" si="4"/>
        <v>3.0004</v>
      </c>
      <c r="AE5">
        <f t="shared" si="5"/>
        <v>48</v>
      </c>
      <c r="AF5">
        <f t="shared" si="6"/>
        <v>48.000399999999999</v>
      </c>
      <c r="AG5">
        <f t="shared" si="7"/>
        <v>3</v>
      </c>
      <c r="AH5">
        <f t="shared" si="8"/>
        <v>1803000.04</v>
      </c>
      <c r="AI5">
        <f t="shared" si="9"/>
        <v>5</v>
      </c>
      <c r="AJ5">
        <f t="shared" si="10"/>
        <v>3005000.04</v>
      </c>
      <c r="AK5">
        <f>MAX('Wk 13-18 Input'!C9,'Wk 13-18 Input'!C28,'Wk 13-18 Input'!C47,'Wk 13-18 Input'!C66,'Wk 13-18 Input'!C85,'Wk 13-18 Input'!C104)</f>
        <v>0</v>
      </c>
      <c r="AL5">
        <f t="shared" si="11"/>
        <v>300000.03999999998</v>
      </c>
      <c r="AM5">
        <f t="shared" si="12"/>
        <v>4800800.04</v>
      </c>
      <c r="AN5">
        <f>COUNTIF('Playoff Picture'!$E$5:$E$10,B5)</f>
        <v>1</v>
      </c>
      <c r="AO5">
        <f t="shared" si="13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3</v>
      </c>
      <c r="D6">
        <f>'Wk 1-6 Input'!I29</f>
        <v>3</v>
      </c>
      <c r="E6">
        <f>'Wk 1-6 Input'!I48</f>
        <v>3</v>
      </c>
      <c r="F6">
        <f>'Wk 1-6 Input'!I67</f>
        <v>3</v>
      </c>
      <c r="G6">
        <f>'Wk 1-6 Input'!I86</f>
        <v>3</v>
      </c>
      <c r="H6">
        <f>'Wk 1-6 Input'!I105</f>
        <v>3</v>
      </c>
      <c r="I6">
        <f t="shared" si="0"/>
        <v>18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18.000499999999999</v>
      </c>
      <c r="L6">
        <f>'Wk 7-12 Input'!I10</f>
        <v>5</v>
      </c>
      <c r="M6">
        <f>'Wk 7-12 Input'!I29</f>
        <v>5</v>
      </c>
      <c r="N6">
        <f>'Wk 7-12 Input'!I48</f>
        <v>5</v>
      </c>
      <c r="O6">
        <f>'Wk 7-12 Input'!I67</f>
        <v>5</v>
      </c>
      <c r="P6">
        <f>'Wk 7-12 Input'!I86</f>
        <v>5</v>
      </c>
      <c r="Q6">
        <f>'Wk 7-12 Input'!I105</f>
        <v>5</v>
      </c>
      <c r="R6">
        <f t="shared" si="2"/>
        <v>30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30.000499999999999</v>
      </c>
      <c r="U6" t="str">
        <f>'Wk 13-18 Input'!F10</f>
        <v>T</v>
      </c>
      <c r="V6" t="str">
        <f>'Wk 13-18 Input'!F29</f>
        <v>T</v>
      </c>
      <c r="W6" t="str">
        <f>'Wk 13-18 Input'!F48</f>
        <v>T</v>
      </c>
      <c r="X6" t="str">
        <f>'Wk 13-18 Input'!F67</f>
        <v>T</v>
      </c>
      <c r="Y6" t="str">
        <f>'Wk 13-18 Input'!F86</f>
        <v>T</v>
      </c>
      <c r="Z6" t="str">
        <f>'Wk 13-18 Input'!F105</f>
        <v>T</v>
      </c>
      <c r="AA6">
        <f>'Wk 13-18 Input'!G10+'Wk 13-18 Input'!G29+'Wk 13-18 Input'!G48+'Wk 13-18 Input'!G67+'Wk 13-18 Input'!G86+'Wk 13-18 Input'!G105</f>
        <v>3</v>
      </c>
      <c r="AB6">
        <f>'Wk 13-18 Input'!H10+'Wk 13-18 Input'!H29+'Wk 13-18 Input'!H48+'Wk 13-18 Input'!H67+'Wk 13-18 Input'!H86+'Wk 13-18 Input'!H105</f>
        <v>3</v>
      </c>
      <c r="AC6">
        <f>'Wk 13-18 Input'!I10+'Wk 13-18 Input'!I29+'Wk 13-18 Input'!I48+'Wk 13-18 Input'!I67+'Wk 13-18 Input'!I86+'Wk 13-18 Input'!I105</f>
        <v>0</v>
      </c>
      <c r="AD6">
        <f t="shared" si="4"/>
        <v>3.0005000000000002</v>
      </c>
      <c r="AE6">
        <f t="shared" si="5"/>
        <v>48</v>
      </c>
      <c r="AF6">
        <f t="shared" si="6"/>
        <v>48.000500000000002</v>
      </c>
      <c r="AG6">
        <f t="shared" si="7"/>
        <v>3</v>
      </c>
      <c r="AH6">
        <f t="shared" si="8"/>
        <v>1803000.05</v>
      </c>
      <c r="AI6">
        <f t="shared" si="9"/>
        <v>5</v>
      </c>
      <c r="AJ6">
        <f t="shared" si="10"/>
        <v>3005000.05</v>
      </c>
      <c r="AK6">
        <f>MAX('Wk 13-18 Input'!C10,'Wk 13-18 Input'!C29,'Wk 13-18 Input'!C48,'Wk 13-18 Input'!C67,'Wk 13-18 Input'!C86,'Wk 13-18 Input'!C105)</f>
        <v>0</v>
      </c>
      <c r="AL6">
        <f t="shared" si="11"/>
        <v>300000.05</v>
      </c>
      <c r="AM6">
        <f t="shared" si="12"/>
        <v>4800800.05</v>
      </c>
      <c r="AN6">
        <f>COUNTIF('Playoff Picture'!$E$5:$E$10,B6)</f>
        <v>0</v>
      </c>
      <c r="AO6">
        <f t="shared" si="13"/>
        <v>4800800.05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3</v>
      </c>
      <c r="D7">
        <f>'Wk 1-6 Input'!I30</f>
        <v>3</v>
      </c>
      <c r="E7">
        <f>'Wk 1-6 Input'!I49</f>
        <v>3</v>
      </c>
      <c r="F7">
        <f>'Wk 1-6 Input'!I68</f>
        <v>3</v>
      </c>
      <c r="G7">
        <f>'Wk 1-6 Input'!I87</f>
        <v>3</v>
      </c>
      <c r="H7">
        <f>'Wk 1-6 Input'!I106</f>
        <v>3</v>
      </c>
      <c r="I7">
        <f t="shared" si="0"/>
        <v>18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18.000599999999999</v>
      </c>
      <c r="L7">
        <f>'Wk 7-12 Input'!I11</f>
        <v>5</v>
      </c>
      <c r="M7">
        <f>'Wk 7-12 Input'!I30</f>
        <v>5</v>
      </c>
      <c r="N7">
        <f>'Wk 7-12 Input'!I49</f>
        <v>5</v>
      </c>
      <c r="O7">
        <f>'Wk 7-12 Input'!I68</f>
        <v>5</v>
      </c>
      <c r="P7">
        <f>'Wk 7-12 Input'!I87</f>
        <v>5</v>
      </c>
      <c r="Q7">
        <f>'Wk 7-12 Input'!I106</f>
        <v>5</v>
      </c>
      <c r="R7">
        <f t="shared" si="2"/>
        <v>30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30.000599999999999</v>
      </c>
      <c r="U7" t="str">
        <f>'Wk 13-18 Input'!F11</f>
        <v>T</v>
      </c>
      <c r="V7" t="str">
        <f>'Wk 13-18 Input'!F30</f>
        <v>T</v>
      </c>
      <c r="W7" t="str">
        <f>'Wk 13-18 Input'!F49</f>
        <v>T</v>
      </c>
      <c r="X7" t="str">
        <f>'Wk 13-18 Input'!F68</f>
        <v>T</v>
      </c>
      <c r="Y7" t="str">
        <f>'Wk 13-18 Input'!F87</f>
        <v>T</v>
      </c>
      <c r="Z7" t="str">
        <f>'Wk 13-18 Input'!F106</f>
        <v>T</v>
      </c>
      <c r="AA7">
        <f>'Wk 13-18 Input'!G11+'Wk 13-18 Input'!G30+'Wk 13-18 Input'!G49+'Wk 13-18 Input'!G68+'Wk 13-18 Input'!G87+'Wk 13-18 Input'!G106</f>
        <v>3</v>
      </c>
      <c r="AB7">
        <f>'Wk 13-18 Input'!H11+'Wk 13-18 Input'!H30+'Wk 13-18 Input'!H49+'Wk 13-18 Input'!H68+'Wk 13-18 Input'!H87+'Wk 13-18 Input'!H106</f>
        <v>3</v>
      </c>
      <c r="AC7">
        <f>'Wk 13-18 Input'!I11+'Wk 13-18 Input'!I30+'Wk 13-18 Input'!I49+'Wk 13-18 Input'!I68+'Wk 13-18 Input'!I87+'Wk 13-18 Input'!I106</f>
        <v>0</v>
      </c>
      <c r="AD7">
        <f t="shared" si="4"/>
        <v>3.0005999999999999</v>
      </c>
      <c r="AE7">
        <f t="shared" si="5"/>
        <v>48</v>
      </c>
      <c r="AF7">
        <f t="shared" si="6"/>
        <v>48.000599999999999</v>
      </c>
      <c r="AG7">
        <f t="shared" si="7"/>
        <v>3</v>
      </c>
      <c r="AH7">
        <f t="shared" si="8"/>
        <v>1803000.06</v>
      </c>
      <c r="AI7">
        <f t="shared" si="9"/>
        <v>5</v>
      </c>
      <c r="AJ7">
        <f t="shared" si="10"/>
        <v>3005000.06</v>
      </c>
      <c r="AK7">
        <f>MAX('Wk 13-18 Input'!C11,'Wk 13-18 Input'!C30,'Wk 13-18 Input'!C49,'Wk 13-18 Input'!C68,'Wk 13-18 Input'!C87,'Wk 13-18 Input'!C106)</f>
        <v>0</v>
      </c>
      <c r="AL7">
        <f t="shared" si="11"/>
        <v>300000.06</v>
      </c>
      <c r="AM7">
        <f t="shared" si="12"/>
        <v>4800800.0599999996</v>
      </c>
      <c r="AN7">
        <f>COUNTIF('Playoff Picture'!$E$5:$E$10,B7)</f>
        <v>0</v>
      </c>
      <c r="AO7">
        <f t="shared" si="13"/>
        <v>4800800.0599999996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3</v>
      </c>
      <c r="D8">
        <f>'Wk 1-6 Input'!I31</f>
        <v>3</v>
      </c>
      <c r="E8">
        <f>'Wk 1-6 Input'!I50</f>
        <v>3</v>
      </c>
      <c r="F8">
        <f>'Wk 1-6 Input'!I69</f>
        <v>3</v>
      </c>
      <c r="G8">
        <f>'Wk 1-6 Input'!I88</f>
        <v>3</v>
      </c>
      <c r="H8">
        <f>'Wk 1-6 Input'!I107</f>
        <v>3</v>
      </c>
      <c r="I8">
        <f t="shared" si="0"/>
        <v>18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18.000699999999998</v>
      </c>
      <c r="L8">
        <f>'Wk 7-12 Input'!I12</f>
        <v>5</v>
      </c>
      <c r="M8">
        <f>'Wk 7-12 Input'!I31</f>
        <v>5</v>
      </c>
      <c r="N8">
        <f>'Wk 7-12 Input'!I50</f>
        <v>5</v>
      </c>
      <c r="O8">
        <f>'Wk 7-12 Input'!I69</f>
        <v>5</v>
      </c>
      <c r="P8">
        <f>'Wk 7-12 Input'!I88</f>
        <v>5</v>
      </c>
      <c r="Q8">
        <f>'Wk 7-12 Input'!I107</f>
        <v>5</v>
      </c>
      <c r="R8">
        <f t="shared" si="2"/>
        <v>30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30.000699999999998</v>
      </c>
      <c r="U8" t="str">
        <f>'Wk 13-18 Input'!F12</f>
        <v>T</v>
      </c>
      <c r="V8" t="str">
        <f>'Wk 13-18 Input'!F31</f>
        <v>T</v>
      </c>
      <c r="W8" t="str">
        <f>'Wk 13-18 Input'!F50</f>
        <v>T</v>
      </c>
      <c r="X8" t="str">
        <f>'Wk 13-18 Input'!F69</f>
        <v>T</v>
      </c>
      <c r="Y8" t="str">
        <f>'Wk 13-18 Input'!F88</f>
        <v>T</v>
      </c>
      <c r="Z8" t="str">
        <f>'Wk 13-18 Input'!F107</f>
        <v>T</v>
      </c>
      <c r="AA8">
        <f>'Wk 13-18 Input'!G12+'Wk 13-18 Input'!G31+'Wk 13-18 Input'!G50+'Wk 13-18 Input'!G69+'Wk 13-18 Input'!G88+'Wk 13-18 Input'!G107</f>
        <v>3</v>
      </c>
      <c r="AB8">
        <f>'Wk 13-18 Input'!H12+'Wk 13-18 Input'!H31+'Wk 13-18 Input'!H50+'Wk 13-18 Input'!H69+'Wk 13-18 Input'!H88+'Wk 13-18 Input'!H107</f>
        <v>3</v>
      </c>
      <c r="AC8">
        <f>'Wk 13-18 Input'!I12+'Wk 13-18 Input'!I31+'Wk 13-18 Input'!I50+'Wk 13-18 Input'!I69+'Wk 13-18 Input'!I88+'Wk 13-18 Input'!I107</f>
        <v>0</v>
      </c>
      <c r="AD8">
        <f t="shared" si="4"/>
        <v>3.0007000000000001</v>
      </c>
      <c r="AE8">
        <f t="shared" si="5"/>
        <v>48</v>
      </c>
      <c r="AF8">
        <f t="shared" si="6"/>
        <v>48.000700000000002</v>
      </c>
      <c r="AG8">
        <f t="shared" si="7"/>
        <v>3</v>
      </c>
      <c r="AH8">
        <f t="shared" si="8"/>
        <v>1803000.07</v>
      </c>
      <c r="AI8">
        <f t="shared" si="9"/>
        <v>5</v>
      </c>
      <c r="AJ8">
        <f t="shared" si="10"/>
        <v>3005000.07</v>
      </c>
      <c r="AK8">
        <f>MAX('Wk 13-18 Input'!C12,'Wk 13-18 Input'!C31,'Wk 13-18 Input'!C50,'Wk 13-18 Input'!C69,'Wk 13-18 Input'!C88,'Wk 13-18 Input'!C107)</f>
        <v>0</v>
      </c>
      <c r="AL8">
        <f t="shared" si="11"/>
        <v>300000.07</v>
      </c>
      <c r="AM8">
        <f t="shared" si="12"/>
        <v>4800800.07</v>
      </c>
      <c r="AN8">
        <f>COUNTIF('Playoff Picture'!$E$5:$E$10,B8)</f>
        <v>0</v>
      </c>
      <c r="AO8">
        <f t="shared" si="13"/>
        <v>4800800.07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3</v>
      </c>
      <c r="D9">
        <f>'Wk 1-6 Input'!I32</f>
        <v>3</v>
      </c>
      <c r="E9">
        <f>'Wk 1-6 Input'!I51</f>
        <v>3</v>
      </c>
      <c r="F9">
        <f>'Wk 1-6 Input'!I70</f>
        <v>3</v>
      </c>
      <c r="G9">
        <f>'Wk 1-6 Input'!I89</f>
        <v>3</v>
      </c>
      <c r="H9">
        <f>'Wk 1-6 Input'!I108</f>
        <v>3</v>
      </c>
      <c r="I9">
        <f t="shared" si="0"/>
        <v>18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18.000800000000002</v>
      </c>
      <c r="L9">
        <f>'Wk 7-12 Input'!I13</f>
        <v>5</v>
      </c>
      <c r="M9">
        <f>'Wk 7-12 Input'!I32</f>
        <v>5</v>
      </c>
      <c r="N9">
        <f>'Wk 7-12 Input'!I51</f>
        <v>5</v>
      </c>
      <c r="O9">
        <f>'Wk 7-12 Input'!I70</f>
        <v>5</v>
      </c>
      <c r="P9">
        <f>'Wk 7-12 Input'!I89</f>
        <v>5</v>
      </c>
      <c r="Q9">
        <f>'Wk 7-12 Input'!I108</f>
        <v>5</v>
      </c>
      <c r="R9">
        <f t="shared" si="2"/>
        <v>30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30.000800000000002</v>
      </c>
      <c r="U9" t="str">
        <f>'Wk 13-18 Input'!F13</f>
        <v>T</v>
      </c>
      <c r="V9" t="str">
        <f>'Wk 13-18 Input'!F32</f>
        <v>T</v>
      </c>
      <c r="W9" t="str">
        <f>'Wk 13-18 Input'!F51</f>
        <v>T</v>
      </c>
      <c r="X9" t="str">
        <f>'Wk 13-18 Input'!F70</f>
        <v>T</v>
      </c>
      <c r="Y9" t="str">
        <f>'Wk 13-18 Input'!F89</f>
        <v>T</v>
      </c>
      <c r="Z9" t="str">
        <f>'Wk 13-18 Input'!F108</f>
        <v>T</v>
      </c>
      <c r="AA9">
        <f>'Wk 13-18 Input'!G13+'Wk 13-18 Input'!G32+'Wk 13-18 Input'!G51+'Wk 13-18 Input'!G70+'Wk 13-18 Input'!G89+'Wk 13-18 Input'!G108</f>
        <v>3</v>
      </c>
      <c r="AB9">
        <f>'Wk 13-18 Input'!H13+'Wk 13-18 Input'!H32+'Wk 13-18 Input'!H51+'Wk 13-18 Input'!H70+'Wk 13-18 Input'!H89+'Wk 13-18 Input'!H108</f>
        <v>3</v>
      </c>
      <c r="AC9">
        <f>'Wk 13-18 Input'!I13+'Wk 13-18 Input'!I32+'Wk 13-18 Input'!I51+'Wk 13-18 Input'!I70+'Wk 13-18 Input'!I89+'Wk 13-18 Input'!I108</f>
        <v>0</v>
      </c>
      <c r="AD9">
        <f t="shared" si="4"/>
        <v>3.0007999999999999</v>
      </c>
      <c r="AE9">
        <f t="shared" si="5"/>
        <v>48</v>
      </c>
      <c r="AF9">
        <f t="shared" si="6"/>
        <v>48.000799999999998</v>
      </c>
      <c r="AG9">
        <f t="shared" si="7"/>
        <v>3</v>
      </c>
      <c r="AH9">
        <f t="shared" si="8"/>
        <v>1803000.08</v>
      </c>
      <c r="AI9">
        <f t="shared" si="9"/>
        <v>5</v>
      </c>
      <c r="AJ9">
        <f t="shared" si="10"/>
        <v>3005000.08</v>
      </c>
      <c r="AK9">
        <f>MAX('Wk 13-18 Input'!C13,'Wk 13-18 Input'!C32,'Wk 13-18 Input'!C51,'Wk 13-18 Input'!C70,'Wk 13-18 Input'!C89,'Wk 13-18 Input'!C108)</f>
        <v>0</v>
      </c>
      <c r="AL9">
        <f t="shared" si="11"/>
        <v>300000.08</v>
      </c>
      <c r="AM9">
        <f t="shared" si="12"/>
        <v>4800800.08</v>
      </c>
      <c r="AN9">
        <f>COUNTIF('Playoff Picture'!$E$5:$E$10,B9)</f>
        <v>1</v>
      </c>
      <c r="AO9">
        <f t="shared" si="13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3</v>
      </c>
      <c r="D10">
        <f>'Wk 1-6 Input'!I33</f>
        <v>3</v>
      </c>
      <c r="E10">
        <f>'Wk 1-6 Input'!I52</f>
        <v>3</v>
      </c>
      <c r="F10">
        <f>'Wk 1-6 Input'!I71</f>
        <v>3</v>
      </c>
      <c r="G10">
        <f>'Wk 1-6 Input'!I90</f>
        <v>3</v>
      </c>
      <c r="H10">
        <f>'Wk 1-6 Input'!I109</f>
        <v>3</v>
      </c>
      <c r="I10">
        <f t="shared" si="0"/>
        <v>18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18.000900000000001</v>
      </c>
      <c r="L10">
        <f>'Wk 7-12 Input'!I14</f>
        <v>5</v>
      </c>
      <c r="M10">
        <f>'Wk 7-12 Input'!I33</f>
        <v>5</v>
      </c>
      <c r="N10">
        <f>'Wk 7-12 Input'!I52</f>
        <v>5</v>
      </c>
      <c r="O10">
        <f>'Wk 7-12 Input'!I71</f>
        <v>5</v>
      </c>
      <c r="P10">
        <f>'Wk 7-12 Input'!I90</f>
        <v>5</v>
      </c>
      <c r="Q10">
        <f>'Wk 7-12 Input'!I109</f>
        <v>5</v>
      </c>
      <c r="R10">
        <f t="shared" si="2"/>
        <v>30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30.000900000000001</v>
      </c>
      <c r="U10" t="str">
        <f>'Wk 13-18 Input'!F14</f>
        <v>T</v>
      </c>
      <c r="V10" t="str">
        <f>'Wk 13-18 Input'!F33</f>
        <v>T</v>
      </c>
      <c r="W10" t="str">
        <f>'Wk 13-18 Input'!F52</f>
        <v>T</v>
      </c>
      <c r="X10" t="str">
        <f>'Wk 13-18 Input'!F71</f>
        <v>T</v>
      </c>
      <c r="Y10" t="str">
        <f>'Wk 13-18 Input'!F90</f>
        <v>T</v>
      </c>
      <c r="Z10" t="str">
        <f>'Wk 13-18 Input'!F109</f>
        <v>T</v>
      </c>
      <c r="AA10">
        <f>'Wk 13-18 Input'!G14+'Wk 13-18 Input'!G33+'Wk 13-18 Input'!G52+'Wk 13-18 Input'!G71+'Wk 13-18 Input'!G90+'Wk 13-18 Input'!G109</f>
        <v>3</v>
      </c>
      <c r="AB10">
        <f>'Wk 13-18 Input'!H14+'Wk 13-18 Input'!H33+'Wk 13-18 Input'!H52+'Wk 13-18 Input'!H71+'Wk 13-18 Input'!H90+'Wk 13-18 Input'!H109</f>
        <v>3</v>
      </c>
      <c r="AC10">
        <f>'Wk 13-18 Input'!I14+'Wk 13-18 Input'!I33+'Wk 13-18 Input'!I52+'Wk 13-18 Input'!I71+'Wk 13-18 Input'!I90+'Wk 13-18 Input'!I109</f>
        <v>0</v>
      </c>
      <c r="AD10">
        <f t="shared" si="4"/>
        <v>3.0009000000000001</v>
      </c>
      <c r="AE10">
        <f t="shared" si="5"/>
        <v>48</v>
      </c>
      <c r="AF10">
        <f t="shared" si="6"/>
        <v>48.000900000000001</v>
      </c>
      <c r="AG10">
        <f t="shared" si="7"/>
        <v>3</v>
      </c>
      <c r="AH10">
        <f t="shared" si="8"/>
        <v>1803000.09</v>
      </c>
      <c r="AI10">
        <f t="shared" si="9"/>
        <v>5</v>
      </c>
      <c r="AJ10">
        <f t="shared" si="10"/>
        <v>3005000.09</v>
      </c>
      <c r="AK10">
        <f>MAX('Wk 13-18 Input'!C14,'Wk 13-18 Input'!C33,'Wk 13-18 Input'!C52,'Wk 13-18 Input'!C71,'Wk 13-18 Input'!C90,'Wk 13-18 Input'!C109)</f>
        <v>0</v>
      </c>
      <c r="AL10">
        <f t="shared" si="11"/>
        <v>300000.09000000003</v>
      </c>
      <c r="AM10">
        <f t="shared" si="12"/>
        <v>4800800.09</v>
      </c>
      <c r="AN10">
        <f>COUNTIF('Playoff Picture'!$E$5:$E$10,B10)</f>
        <v>0</v>
      </c>
      <c r="AO10">
        <f t="shared" si="13"/>
        <v>4800800.09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3</v>
      </c>
      <c r="D11">
        <f>'Wk 1-6 Input'!I34</f>
        <v>3</v>
      </c>
      <c r="E11">
        <f>'Wk 1-6 Input'!I53</f>
        <v>3</v>
      </c>
      <c r="F11">
        <f>'Wk 1-6 Input'!I72</f>
        <v>3</v>
      </c>
      <c r="G11">
        <f>'Wk 1-6 Input'!I91</f>
        <v>3</v>
      </c>
      <c r="H11">
        <f>'Wk 1-6 Input'!I110</f>
        <v>3</v>
      </c>
      <c r="I11">
        <f t="shared" si="0"/>
        <v>18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18.001000000000001</v>
      </c>
      <c r="L11">
        <f>'Wk 7-12 Input'!I15</f>
        <v>5</v>
      </c>
      <c r="M11">
        <f>'Wk 7-12 Input'!I34</f>
        <v>5</v>
      </c>
      <c r="N11">
        <f>'Wk 7-12 Input'!I53</f>
        <v>5</v>
      </c>
      <c r="O11">
        <f>'Wk 7-12 Input'!I72</f>
        <v>5</v>
      </c>
      <c r="P11">
        <f>'Wk 7-12 Input'!I91</f>
        <v>5</v>
      </c>
      <c r="Q11">
        <f>'Wk 7-12 Input'!I110</f>
        <v>5</v>
      </c>
      <c r="R11">
        <f t="shared" si="2"/>
        <v>30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30.001000000000001</v>
      </c>
      <c r="U11" t="str">
        <f>'Wk 13-18 Input'!F15</f>
        <v>T</v>
      </c>
      <c r="V11" t="str">
        <f>'Wk 13-18 Input'!F34</f>
        <v>T</v>
      </c>
      <c r="W11" t="str">
        <f>'Wk 13-18 Input'!F53</f>
        <v>T</v>
      </c>
      <c r="X11" t="str">
        <f>'Wk 13-18 Input'!F72</f>
        <v>T</v>
      </c>
      <c r="Y11" t="str">
        <f>'Wk 13-18 Input'!F91</f>
        <v>T</v>
      </c>
      <c r="Z11" t="str">
        <f>'Wk 13-18 Input'!F110</f>
        <v>T</v>
      </c>
      <c r="AA11">
        <f>'Wk 13-18 Input'!G15+'Wk 13-18 Input'!G34+'Wk 13-18 Input'!G53+'Wk 13-18 Input'!G72+'Wk 13-18 Input'!G91+'Wk 13-18 Input'!G110</f>
        <v>3</v>
      </c>
      <c r="AB11">
        <f>'Wk 13-18 Input'!H15+'Wk 13-18 Input'!H34+'Wk 13-18 Input'!H53+'Wk 13-18 Input'!H72+'Wk 13-18 Input'!H91+'Wk 13-18 Input'!H110</f>
        <v>3</v>
      </c>
      <c r="AC11">
        <f>'Wk 13-18 Input'!I15+'Wk 13-18 Input'!I34+'Wk 13-18 Input'!I53+'Wk 13-18 Input'!I72+'Wk 13-18 Input'!I91+'Wk 13-18 Input'!I110</f>
        <v>0</v>
      </c>
      <c r="AD11">
        <f t="shared" si="4"/>
        <v>3.0009999999999999</v>
      </c>
      <c r="AE11">
        <f t="shared" si="5"/>
        <v>48</v>
      </c>
      <c r="AF11">
        <f t="shared" si="6"/>
        <v>48.000999999999998</v>
      </c>
      <c r="AG11">
        <f t="shared" si="7"/>
        <v>3</v>
      </c>
      <c r="AH11">
        <f t="shared" si="8"/>
        <v>1803000.1</v>
      </c>
      <c r="AI11">
        <f t="shared" si="9"/>
        <v>5</v>
      </c>
      <c r="AJ11">
        <f t="shared" si="10"/>
        <v>3005000.1</v>
      </c>
      <c r="AK11">
        <f>MAX('Wk 13-18 Input'!C15,'Wk 13-18 Input'!C34,'Wk 13-18 Input'!C53,'Wk 13-18 Input'!C72,'Wk 13-18 Input'!C91,'Wk 13-18 Input'!C110)</f>
        <v>0</v>
      </c>
      <c r="AL11">
        <f t="shared" si="11"/>
        <v>300000.09999999998</v>
      </c>
      <c r="AM11">
        <f t="shared" si="12"/>
        <v>4800800.0999999996</v>
      </c>
      <c r="AN11">
        <f>COUNTIF('Playoff Picture'!$E$5:$E$10,B11)</f>
        <v>0</v>
      </c>
      <c r="AO11">
        <f t="shared" si="13"/>
        <v>4800800.0999999996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3</v>
      </c>
      <c r="D12">
        <f>'Wk 1-6 Input'!I35</f>
        <v>3</v>
      </c>
      <c r="E12">
        <f>'Wk 1-6 Input'!I54</f>
        <v>3</v>
      </c>
      <c r="F12">
        <f>'Wk 1-6 Input'!I73</f>
        <v>3</v>
      </c>
      <c r="G12">
        <f>'Wk 1-6 Input'!I92</f>
        <v>3</v>
      </c>
      <c r="H12">
        <f>'Wk 1-6 Input'!I111</f>
        <v>3</v>
      </c>
      <c r="I12">
        <f t="shared" si="0"/>
        <v>18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18.001100000000001</v>
      </c>
      <c r="L12">
        <f>'Wk 7-12 Input'!I16</f>
        <v>5</v>
      </c>
      <c r="M12">
        <f>'Wk 7-12 Input'!I35</f>
        <v>5</v>
      </c>
      <c r="N12">
        <f>'Wk 7-12 Input'!I54</f>
        <v>5</v>
      </c>
      <c r="O12">
        <f>'Wk 7-12 Input'!I73</f>
        <v>5</v>
      </c>
      <c r="P12">
        <f>'Wk 7-12 Input'!I92</f>
        <v>5</v>
      </c>
      <c r="Q12">
        <f>'Wk 7-12 Input'!I111</f>
        <v>5</v>
      </c>
      <c r="R12">
        <f t="shared" si="2"/>
        <v>30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30.001100000000001</v>
      </c>
      <c r="U12" t="str">
        <f>'Wk 13-18 Input'!F16</f>
        <v>T</v>
      </c>
      <c r="V12" t="str">
        <f>'Wk 13-18 Input'!F35</f>
        <v>T</v>
      </c>
      <c r="W12" t="str">
        <f>'Wk 13-18 Input'!F54</f>
        <v>T</v>
      </c>
      <c r="X12" t="str">
        <f>'Wk 13-18 Input'!F73</f>
        <v>T</v>
      </c>
      <c r="Y12" t="str">
        <f>'Wk 13-18 Input'!F92</f>
        <v>T</v>
      </c>
      <c r="Z12" t="str">
        <f>'Wk 13-18 Input'!F111</f>
        <v>T</v>
      </c>
      <c r="AA12">
        <f>'Wk 13-18 Input'!G16+'Wk 13-18 Input'!G35+'Wk 13-18 Input'!G54+'Wk 13-18 Input'!G73+'Wk 13-18 Input'!G92+'Wk 13-18 Input'!G111</f>
        <v>3</v>
      </c>
      <c r="AB12">
        <f>'Wk 13-18 Input'!H16+'Wk 13-18 Input'!H35+'Wk 13-18 Input'!H54+'Wk 13-18 Input'!H73+'Wk 13-18 Input'!H92+'Wk 13-18 Input'!H111</f>
        <v>3</v>
      </c>
      <c r="AC12">
        <f>'Wk 13-18 Input'!I16+'Wk 13-18 Input'!I35+'Wk 13-18 Input'!I54+'Wk 13-18 Input'!I73+'Wk 13-18 Input'!I92+'Wk 13-18 Input'!I111</f>
        <v>0</v>
      </c>
      <c r="AD12">
        <f t="shared" si="4"/>
        <v>3.0011000000000001</v>
      </c>
      <c r="AE12">
        <f t="shared" si="5"/>
        <v>48</v>
      </c>
      <c r="AF12">
        <f t="shared" si="6"/>
        <v>48.001100000000001</v>
      </c>
      <c r="AG12">
        <f t="shared" si="7"/>
        <v>3</v>
      </c>
      <c r="AH12">
        <f t="shared" si="8"/>
        <v>1803000.11</v>
      </c>
      <c r="AI12">
        <f t="shared" si="9"/>
        <v>5</v>
      </c>
      <c r="AJ12">
        <f t="shared" si="10"/>
        <v>3005000.11</v>
      </c>
      <c r="AK12">
        <f>MAX('Wk 13-18 Input'!C16,'Wk 13-18 Input'!C35,'Wk 13-18 Input'!C54,'Wk 13-18 Input'!C73,'Wk 13-18 Input'!C92,'Wk 13-18 Input'!C111)</f>
        <v>0</v>
      </c>
      <c r="AL12">
        <f t="shared" si="11"/>
        <v>300000.11</v>
      </c>
      <c r="AM12">
        <f t="shared" si="12"/>
        <v>4800800.1100000003</v>
      </c>
      <c r="AN12">
        <f>COUNTIF('Playoff Picture'!$E$5:$E$10,B12)</f>
        <v>0</v>
      </c>
      <c r="AO12">
        <f t="shared" si="13"/>
        <v>4800800.1100000003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3</v>
      </c>
      <c r="D13">
        <f>'Wk 1-6 Input'!I36</f>
        <v>3</v>
      </c>
      <c r="E13">
        <f>'Wk 1-6 Input'!I55</f>
        <v>3</v>
      </c>
      <c r="F13">
        <f>'Wk 1-6 Input'!I74</f>
        <v>3</v>
      </c>
      <c r="G13">
        <f>'Wk 1-6 Input'!I93</f>
        <v>3</v>
      </c>
      <c r="H13">
        <f>'Wk 1-6 Input'!I112</f>
        <v>3</v>
      </c>
      <c r="I13">
        <f t="shared" si="0"/>
        <v>18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18.001200000000001</v>
      </c>
      <c r="L13">
        <f>'Wk 7-12 Input'!I17</f>
        <v>5</v>
      </c>
      <c r="M13">
        <f>'Wk 7-12 Input'!I36</f>
        <v>5</v>
      </c>
      <c r="N13">
        <f>'Wk 7-12 Input'!I55</f>
        <v>5</v>
      </c>
      <c r="O13">
        <f>'Wk 7-12 Input'!I74</f>
        <v>5</v>
      </c>
      <c r="P13">
        <f>'Wk 7-12 Input'!I93</f>
        <v>5</v>
      </c>
      <c r="Q13">
        <f>'Wk 7-12 Input'!I112</f>
        <v>5</v>
      </c>
      <c r="R13">
        <f t="shared" si="2"/>
        <v>30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30.001200000000001</v>
      </c>
      <c r="U13" t="str">
        <f>'Wk 13-18 Input'!F17</f>
        <v>T</v>
      </c>
      <c r="V13" t="str">
        <f>'Wk 13-18 Input'!F36</f>
        <v>T</v>
      </c>
      <c r="W13" t="str">
        <f>'Wk 13-18 Input'!F55</f>
        <v>T</v>
      </c>
      <c r="X13" t="str">
        <f>'Wk 13-18 Input'!F74</f>
        <v>T</v>
      </c>
      <c r="Y13" t="str">
        <f>'Wk 13-18 Input'!F93</f>
        <v>T</v>
      </c>
      <c r="Z13" t="str">
        <f>'Wk 13-18 Input'!F112</f>
        <v>T</v>
      </c>
      <c r="AA13">
        <f>'Wk 13-18 Input'!G17+'Wk 13-18 Input'!G36+'Wk 13-18 Input'!G55+'Wk 13-18 Input'!G74+'Wk 13-18 Input'!G93+'Wk 13-18 Input'!G112</f>
        <v>3</v>
      </c>
      <c r="AB13">
        <f>'Wk 13-18 Input'!H17+'Wk 13-18 Input'!H36+'Wk 13-18 Input'!H55+'Wk 13-18 Input'!H74+'Wk 13-18 Input'!H93+'Wk 13-18 Input'!H112</f>
        <v>3</v>
      </c>
      <c r="AC13">
        <f>'Wk 13-18 Input'!I17+'Wk 13-18 Input'!I36+'Wk 13-18 Input'!I55+'Wk 13-18 Input'!I74+'Wk 13-18 Input'!I93+'Wk 13-18 Input'!I112</f>
        <v>0</v>
      </c>
      <c r="AD13">
        <f t="shared" si="4"/>
        <v>3.0011999999999999</v>
      </c>
      <c r="AE13">
        <f t="shared" si="5"/>
        <v>48</v>
      </c>
      <c r="AF13">
        <f t="shared" si="6"/>
        <v>48.001199999999997</v>
      </c>
      <c r="AG13">
        <f t="shared" si="7"/>
        <v>3</v>
      </c>
      <c r="AH13">
        <f t="shared" si="8"/>
        <v>1803000.12</v>
      </c>
      <c r="AI13">
        <f t="shared" si="9"/>
        <v>5</v>
      </c>
      <c r="AJ13">
        <f t="shared" si="10"/>
        <v>3005000.12</v>
      </c>
      <c r="AK13">
        <f>MAX('Wk 13-18 Input'!C17,'Wk 13-18 Input'!C36,'Wk 13-18 Input'!C55,'Wk 13-18 Input'!C74,'Wk 13-18 Input'!C93,'Wk 13-18 Input'!C112)</f>
        <v>0</v>
      </c>
      <c r="AL13">
        <f t="shared" si="11"/>
        <v>300000.12</v>
      </c>
      <c r="AM13">
        <f t="shared" si="12"/>
        <v>4800800.12</v>
      </c>
      <c r="AN13">
        <f>COUNTIF('Playoff Picture'!$E$5:$E$10,B13)</f>
        <v>1</v>
      </c>
      <c r="AO13">
        <f t="shared" si="13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3</v>
      </c>
      <c r="D14">
        <f>'Wk 1-6 Input'!I37</f>
        <v>3</v>
      </c>
      <c r="E14">
        <f>'Wk 1-6 Input'!I56</f>
        <v>3</v>
      </c>
      <c r="F14">
        <f>'Wk 1-6 Input'!I75</f>
        <v>3</v>
      </c>
      <c r="G14">
        <f>'Wk 1-6 Input'!I94</f>
        <v>3</v>
      </c>
      <c r="H14">
        <f>'Wk 1-6 Input'!I113</f>
        <v>3</v>
      </c>
      <c r="I14">
        <f t="shared" si="0"/>
        <v>18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18.001300000000001</v>
      </c>
      <c r="L14">
        <f>'Wk 7-12 Input'!I18</f>
        <v>5</v>
      </c>
      <c r="M14">
        <f>'Wk 7-12 Input'!I37</f>
        <v>5</v>
      </c>
      <c r="N14">
        <f>'Wk 7-12 Input'!I56</f>
        <v>5</v>
      </c>
      <c r="O14">
        <f>'Wk 7-12 Input'!I75</f>
        <v>5</v>
      </c>
      <c r="P14">
        <f>'Wk 7-12 Input'!I94</f>
        <v>5</v>
      </c>
      <c r="Q14">
        <f>'Wk 7-12 Input'!I113</f>
        <v>5</v>
      </c>
      <c r="R14">
        <f t="shared" si="2"/>
        <v>30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30.001300000000001</v>
      </c>
      <c r="U14" t="str">
        <f>'Wk 13-18 Input'!F18</f>
        <v>T</v>
      </c>
      <c r="V14" t="str">
        <f>'Wk 13-18 Input'!F37</f>
        <v>T</v>
      </c>
      <c r="W14" t="str">
        <f>'Wk 13-18 Input'!F56</f>
        <v>T</v>
      </c>
      <c r="X14" t="str">
        <f>'Wk 13-18 Input'!F75</f>
        <v>T</v>
      </c>
      <c r="Y14" t="str">
        <f>'Wk 13-18 Input'!F94</f>
        <v>T</v>
      </c>
      <c r="Z14" t="str">
        <f>'Wk 13-18 Input'!F113</f>
        <v>T</v>
      </c>
      <c r="AA14">
        <f>'Wk 13-18 Input'!G18+'Wk 13-18 Input'!G37+'Wk 13-18 Input'!G56+'Wk 13-18 Input'!G75+'Wk 13-18 Input'!G94+'Wk 13-18 Input'!G113</f>
        <v>3</v>
      </c>
      <c r="AB14">
        <f>'Wk 13-18 Input'!H18+'Wk 13-18 Input'!H37+'Wk 13-18 Input'!H56+'Wk 13-18 Input'!H75+'Wk 13-18 Input'!H94+'Wk 13-18 Input'!H113</f>
        <v>3</v>
      </c>
      <c r="AC14">
        <f>'Wk 13-18 Input'!I18+'Wk 13-18 Input'!I37+'Wk 13-18 Input'!I56+'Wk 13-18 Input'!I75+'Wk 13-18 Input'!I94+'Wk 13-18 Input'!I113</f>
        <v>0</v>
      </c>
      <c r="AD14">
        <f t="shared" si="4"/>
        <v>3.0013000000000001</v>
      </c>
      <c r="AE14">
        <f t="shared" si="5"/>
        <v>48</v>
      </c>
      <c r="AF14">
        <f t="shared" si="6"/>
        <v>48.001300000000001</v>
      </c>
      <c r="AG14">
        <f t="shared" si="7"/>
        <v>3</v>
      </c>
      <c r="AH14">
        <f t="shared" si="8"/>
        <v>1803000.13</v>
      </c>
      <c r="AI14">
        <f t="shared" si="9"/>
        <v>5</v>
      </c>
      <c r="AJ14">
        <f t="shared" si="10"/>
        <v>3005000.13</v>
      </c>
      <c r="AK14">
        <f>MAX('Wk 13-18 Input'!C18,'Wk 13-18 Input'!C37,'Wk 13-18 Input'!C56,'Wk 13-18 Input'!C75,'Wk 13-18 Input'!C94,'Wk 13-18 Input'!C113)</f>
        <v>0</v>
      </c>
      <c r="AL14">
        <f t="shared" si="11"/>
        <v>300000.13</v>
      </c>
      <c r="AM14">
        <f t="shared" si="12"/>
        <v>4800800.13</v>
      </c>
      <c r="AN14">
        <f>COUNTIF('Playoff Picture'!$E$5:$E$10,B14)</f>
        <v>0</v>
      </c>
      <c r="AO14">
        <f t="shared" si="13"/>
        <v>4800800.13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3</v>
      </c>
      <c r="D15">
        <f>'Wk 1-6 Input'!I38</f>
        <v>3</v>
      </c>
      <c r="E15">
        <f>'Wk 1-6 Input'!I57</f>
        <v>3</v>
      </c>
      <c r="F15">
        <f>'Wk 1-6 Input'!I76</f>
        <v>3</v>
      </c>
      <c r="G15">
        <f>'Wk 1-6 Input'!I95</f>
        <v>3</v>
      </c>
      <c r="H15">
        <f>'Wk 1-6 Input'!I114</f>
        <v>3</v>
      </c>
      <c r="I15">
        <f t="shared" si="0"/>
        <v>18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18.0014</v>
      </c>
      <c r="L15">
        <f>'Wk 7-12 Input'!I19</f>
        <v>5</v>
      </c>
      <c r="M15">
        <f>'Wk 7-12 Input'!I38</f>
        <v>5</v>
      </c>
      <c r="N15">
        <f>'Wk 7-12 Input'!I57</f>
        <v>5</v>
      </c>
      <c r="O15">
        <f>'Wk 7-12 Input'!I76</f>
        <v>5</v>
      </c>
      <c r="P15">
        <f>'Wk 7-12 Input'!I95</f>
        <v>5</v>
      </c>
      <c r="Q15">
        <f>'Wk 7-12 Input'!I114</f>
        <v>5</v>
      </c>
      <c r="R15">
        <f t="shared" si="2"/>
        <v>30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30.0014</v>
      </c>
      <c r="U15" t="str">
        <f>'Wk 13-18 Input'!F19</f>
        <v>T</v>
      </c>
      <c r="V15" t="str">
        <f>'Wk 13-18 Input'!F38</f>
        <v>T</v>
      </c>
      <c r="W15" t="str">
        <f>'Wk 13-18 Input'!F57</f>
        <v>T</v>
      </c>
      <c r="X15" t="str">
        <f>'Wk 13-18 Input'!F76</f>
        <v>T</v>
      </c>
      <c r="Y15" t="str">
        <f>'Wk 13-18 Input'!F95</f>
        <v>T</v>
      </c>
      <c r="Z15" t="str">
        <f>'Wk 13-18 Input'!F114</f>
        <v>T</v>
      </c>
      <c r="AA15">
        <f>'Wk 13-18 Input'!G19+'Wk 13-18 Input'!G38+'Wk 13-18 Input'!G57+'Wk 13-18 Input'!G76+'Wk 13-18 Input'!G95+'Wk 13-18 Input'!G114</f>
        <v>3</v>
      </c>
      <c r="AB15">
        <f>'Wk 13-18 Input'!H19+'Wk 13-18 Input'!H38+'Wk 13-18 Input'!H57+'Wk 13-18 Input'!H76+'Wk 13-18 Input'!H95+'Wk 13-18 Input'!H114</f>
        <v>3</v>
      </c>
      <c r="AC15">
        <f>'Wk 13-18 Input'!I19+'Wk 13-18 Input'!I38+'Wk 13-18 Input'!I57+'Wk 13-18 Input'!I76+'Wk 13-18 Input'!I95+'Wk 13-18 Input'!I114</f>
        <v>0</v>
      </c>
      <c r="AD15">
        <f t="shared" si="4"/>
        <v>3.0013999999999998</v>
      </c>
      <c r="AE15">
        <f t="shared" si="5"/>
        <v>48</v>
      </c>
      <c r="AF15">
        <f t="shared" si="6"/>
        <v>48.001399999999997</v>
      </c>
      <c r="AG15">
        <f t="shared" si="7"/>
        <v>3</v>
      </c>
      <c r="AH15">
        <f t="shared" si="8"/>
        <v>1803000.14</v>
      </c>
      <c r="AI15">
        <f t="shared" si="9"/>
        <v>5</v>
      </c>
      <c r="AJ15">
        <f t="shared" si="10"/>
        <v>3005000.14</v>
      </c>
      <c r="AK15">
        <f>MAX('Wk 13-18 Input'!C19,'Wk 13-18 Input'!C38,'Wk 13-18 Input'!C57,'Wk 13-18 Input'!C76,'Wk 13-18 Input'!C95,'Wk 13-18 Input'!C114)</f>
        <v>0</v>
      </c>
      <c r="AL15">
        <f t="shared" si="11"/>
        <v>300000.14</v>
      </c>
      <c r="AM15">
        <f t="shared" si="12"/>
        <v>4800800.1399999997</v>
      </c>
      <c r="AN15">
        <f>COUNTIF('Playoff Picture'!$E$5:$E$10,B15)</f>
        <v>1</v>
      </c>
      <c r="AO15">
        <f t="shared" si="13"/>
        <v>0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3</v>
      </c>
      <c r="D16">
        <f>'Wk 1-6 Input'!I39</f>
        <v>3</v>
      </c>
      <c r="E16">
        <f>'Wk 1-6 Input'!I58</f>
        <v>3</v>
      </c>
      <c r="F16">
        <f>'Wk 1-6 Input'!I77</f>
        <v>3</v>
      </c>
      <c r="G16">
        <f>'Wk 1-6 Input'!I96</f>
        <v>3</v>
      </c>
      <c r="H16">
        <f>'Wk 1-6 Input'!I115</f>
        <v>3</v>
      </c>
      <c r="I16">
        <f t="shared" si="0"/>
        <v>18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18.0015</v>
      </c>
      <c r="L16">
        <f>'Wk 7-12 Input'!I20</f>
        <v>5</v>
      </c>
      <c r="M16">
        <f>'Wk 7-12 Input'!I39</f>
        <v>5</v>
      </c>
      <c r="N16">
        <f>'Wk 7-12 Input'!I58</f>
        <v>5</v>
      </c>
      <c r="O16">
        <f>'Wk 7-12 Input'!I77</f>
        <v>5</v>
      </c>
      <c r="P16">
        <f>'Wk 7-12 Input'!I96</f>
        <v>5</v>
      </c>
      <c r="Q16">
        <f>'Wk 7-12 Input'!I115</f>
        <v>5</v>
      </c>
      <c r="R16">
        <f t="shared" si="2"/>
        <v>30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30.0015</v>
      </c>
      <c r="U16" t="str">
        <f>'Wk 13-18 Input'!F20</f>
        <v>T</v>
      </c>
      <c r="V16" t="str">
        <f>'Wk 13-18 Input'!F39</f>
        <v>T</v>
      </c>
      <c r="W16" t="str">
        <f>'Wk 13-18 Input'!F58</f>
        <v>T</v>
      </c>
      <c r="X16" t="str">
        <f>'Wk 13-18 Input'!F77</f>
        <v>T</v>
      </c>
      <c r="Y16" t="str">
        <f>'Wk 13-18 Input'!F96</f>
        <v>T</v>
      </c>
      <c r="Z16" t="str">
        <f>'Wk 13-18 Input'!F115</f>
        <v>T</v>
      </c>
      <c r="AA16">
        <f>'Wk 13-18 Input'!G20+'Wk 13-18 Input'!G39+'Wk 13-18 Input'!G58+'Wk 13-18 Input'!G77+'Wk 13-18 Input'!G96+'Wk 13-18 Input'!G115</f>
        <v>3</v>
      </c>
      <c r="AB16">
        <f>'Wk 13-18 Input'!H20+'Wk 13-18 Input'!H39+'Wk 13-18 Input'!H58+'Wk 13-18 Input'!H77+'Wk 13-18 Input'!H96+'Wk 13-18 Input'!H115</f>
        <v>3</v>
      </c>
      <c r="AC16">
        <f>'Wk 13-18 Input'!I20+'Wk 13-18 Input'!I39+'Wk 13-18 Input'!I58+'Wk 13-18 Input'!I77+'Wk 13-18 Input'!I96+'Wk 13-18 Input'!I115</f>
        <v>0</v>
      </c>
      <c r="AD16">
        <f t="shared" si="4"/>
        <v>3.0015000000000001</v>
      </c>
      <c r="AE16">
        <f t="shared" si="5"/>
        <v>48</v>
      </c>
      <c r="AF16">
        <f t="shared" si="6"/>
        <v>48.0015</v>
      </c>
      <c r="AG16">
        <f t="shared" si="7"/>
        <v>3</v>
      </c>
      <c r="AH16">
        <f t="shared" si="8"/>
        <v>1803000.15</v>
      </c>
      <c r="AI16">
        <f t="shared" si="9"/>
        <v>5</v>
      </c>
      <c r="AJ16">
        <f t="shared" si="10"/>
        <v>3005000.15</v>
      </c>
      <c r="AK16">
        <f>MAX('Wk 13-18 Input'!C20,'Wk 13-18 Input'!C39,'Wk 13-18 Input'!C58,'Wk 13-18 Input'!C77,'Wk 13-18 Input'!C96,'Wk 13-18 Input'!C115)</f>
        <v>0</v>
      </c>
      <c r="AL16">
        <f t="shared" si="11"/>
        <v>300000.15000000002</v>
      </c>
      <c r="AM16">
        <f t="shared" si="12"/>
        <v>4800800.1500000004</v>
      </c>
      <c r="AN16">
        <f>COUNTIF('Playoff Picture'!$E$5:$E$10,B16)</f>
        <v>1</v>
      </c>
      <c r="AO16">
        <f t="shared" si="13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3</v>
      </c>
      <c r="D17">
        <f>'Wk 1-6 Input'!I40</f>
        <v>3</v>
      </c>
      <c r="E17">
        <f>'Wk 1-6 Input'!I59</f>
        <v>3</v>
      </c>
      <c r="F17">
        <f>'Wk 1-6 Input'!I78</f>
        <v>3</v>
      </c>
      <c r="G17">
        <f>'Wk 1-6 Input'!I97</f>
        <v>3</v>
      </c>
      <c r="H17">
        <f>'Wk 1-6 Input'!I116</f>
        <v>3</v>
      </c>
      <c r="I17">
        <f t="shared" si="0"/>
        <v>18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18.0016</v>
      </c>
      <c r="L17">
        <f>'Wk 7-12 Input'!I21</f>
        <v>5</v>
      </c>
      <c r="M17">
        <f>'Wk 7-12 Input'!I40</f>
        <v>5</v>
      </c>
      <c r="N17">
        <f>'Wk 7-12 Input'!I59</f>
        <v>5</v>
      </c>
      <c r="O17">
        <f>'Wk 7-12 Input'!I78</f>
        <v>5</v>
      </c>
      <c r="P17">
        <f>'Wk 7-12 Input'!I97</f>
        <v>5</v>
      </c>
      <c r="Q17">
        <f>'Wk 7-12 Input'!I116</f>
        <v>5</v>
      </c>
      <c r="R17">
        <f t="shared" si="2"/>
        <v>30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30.0016</v>
      </c>
      <c r="U17" t="str">
        <f>'Wk 13-18 Input'!F21</f>
        <v>T</v>
      </c>
      <c r="V17" t="str">
        <f>'Wk 13-18 Input'!F40</f>
        <v>T</v>
      </c>
      <c r="W17" t="str">
        <f>'Wk 13-18 Input'!F59</f>
        <v>T</v>
      </c>
      <c r="X17" t="str">
        <f>'Wk 13-18 Input'!F78</f>
        <v>T</v>
      </c>
      <c r="Y17" t="str">
        <f>'Wk 13-18 Input'!F97</f>
        <v>T</v>
      </c>
      <c r="Z17" t="str">
        <f>'Wk 13-18 Input'!F116</f>
        <v>T</v>
      </c>
      <c r="AA17">
        <f>'Wk 13-18 Input'!G21+'Wk 13-18 Input'!G40+'Wk 13-18 Input'!G59+'Wk 13-18 Input'!G78+'Wk 13-18 Input'!G97+'Wk 13-18 Input'!G116</f>
        <v>3</v>
      </c>
      <c r="AB17">
        <f>'Wk 13-18 Input'!H21+'Wk 13-18 Input'!H40+'Wk 13-18 Input'!H59+'Wk 13-18 Input'!H78+'Wk 13-18 Input'!H97+'Wk 13-18 Input'!H116</f>
        <v>3</v>
      </c>
      <c r="AC17">
        <f>'Wk 13-18 Input'!I21+'Wk 13-18 Input'!I40+'Wk 13-18 Input'!I59+'Wk 13-18 Input'!I78+'Wk 13-18 Input'!I97+'Wk 13-18 Input'!I116</f>
        <v>0</v>
      </c>
      <c r="AD17">
        <f t="shared" si="4"/>
        <v>3.0015999999999998</v>
      </c>
      <c r="AE17">
        <f t="shared" si="5"/>
        <v>48</v>
      </c>
      <c r="AF17">
        <f t="shared" si="6"/>
        <v>48.001600000000003</v>
      </c>
      <c r="AG17">
        <f t="shared" si="7"/>
        <v>3</v>
      </c>
      <c r="AH17">
        <f t="shared" si="8"/>
        <v>1803000.16</v>
      </c>
      <c r="AI17">
        <f t="shared" si="9"/>
        <v>5</v>
      </c>
      <c r="AJ17">
        <f t="shared" si="10"/>
        <v>3005000.16</v>
      </c>
      <c r="AK17">
        <f>MAX('Wk 13-18 Input'!C21,'Wk 13-18 Input'!C40,'Wk 13-18 Input'!C59,'Wk 13-18 Input'!C78,'Wk 13-18 Input'!C97,'Wk 13-18 Input'!C116)</f>
        <v>0</v>
      </c>
      <c r="AL17">
        <f t="shared" si="11"/>
        <v>300000.15999999997</v>
      </c>
      <c r="AM17">
        <f t="shared" si="12"/>
        <v>4800800.16</v>
      </c>
      <c r="AN17">
        <f>COUNTIF('Playoff Picture'!$E$5:$E$10,B17)</f>
        <v>1</v>
      </c>
      <c r="AO17">
        <f t="shared" si="13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2026-08-13T21:10:06Z</dcterms:modified>
  <dc:language>en-US</dc:language>
</cp:coreProperties>
</file>