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07" documentId="11_C5FB6D5EBB7DB41C9C4944A345A03722CFCA9995" xr6:coauthVersionLast="47" xr6:coauthVersionMax="47" xr10:uidLastSave="{FBE74F20-650C-4E5C-BC64-8F1646B794E3}"/>
  <bookViews>
    <workbookView xWindow="28680" yWindow="-120" windowWidth="29040" windowHeight="16440" tabRatio="857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G13" i="13"/>
  <c r="G14" i="8" s="1"/>
  <c r="F13" i="13"/>
  <c r="E13" i="13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F12" i="13"/>
  <c r="E12" i="13"/>
  <c r="B12" i="13"/>
  <c r="AC11" i="13"/>
  <c r="E66" i="8" s="1"/>
  <c r="AB11" i="13"/>
  <c r="AA11" i="13"/>
  <c r="AD11" i="13" s="1"/>
  <c r="Z11" i="13"/>
  <c r="Y11" i="13"/>
  <c r="G49" i="8" s="1"/>
  <c r="X11" i="13"/>
  <c r="F49" i="8" s="1"/>
  <c r="W11" i="13"/>
  <c r="E49" i="8" s="1"/>
  <c r="V11" i="13"/>
  <c r="D49" i="8" s="1"/>
  <c r="U11" i="13"/>
  <c r="Q11" i="13"/>
  <c r="P11" i="13"/>
  <c r="O11" i="13"/>
  <c r="F27" i="8" s="1"/>
  <c r="N11" i="13"/>
  <c r="E27" i="8" s="1"/>
  <c r="M11" i="13"/>
  <c r="L11" i="13"/>
  <c r="H11" i="13"/>
  <c r="H12" i="8" s="1"/>
  <c r="G11" i="13"/>
  <c r="G12" i="8" s="1"/>
  <c r="F11" i="13"/>
  <c r="F12" i="8" s="1"/>
  <c r="E11" i="13"/>
  <c r="E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F11" i="8" s="1"/>
  <c r="E10" i="13"/>
  <c r="E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E9" i="13"/>
  <c r="E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N8" i="13"/>
  <c r="M8" i="13"/>
  <c r="D24" i="8" s="1"/>
  <c r="L8" i="13"/>
  <c r="C24" i="8" s="1"/>
  <c r="H8" i="13"/>
  <c r="H9" i="8" s="1"/>
  <c r="G8" i="13"/>
  <c r="G9" i="8" s="1"/>
  <c r="F8" i="13"/>
  <c r="F9" i="8" s="1"/>
  <c r="E8" i="13"/>
  <c r="E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N7" i="13"/>
  <c r="M7" i="13"/>
  <c r="L7" i="13"/>
  <c r="H7" i="13"/>
  <c r="H8" i="8" s="1"/>
  <c r="G7" i="13"/>
  <c r="G8" i="8" s="1"/>
  <c r="F7" i="13"/>
  <c r="F8" i="8" s="1"/>
  <c r="E7" i="13"/>
  <c r="E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E6" i="13"/>
  <c r="E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F5" i="13"/>
  <c r="F6" i="8" s="1"/>
  <c r="E5" i="13"/>
  <c r="E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E4" i="13"/>
  <c r="E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E3" i="13"/>
  <c r="E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E2" i="13"/>
  <c r="E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I49" i="8"/>
  <c r="H49" i="8"/>
  <c r="C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E41" i="8"/>
  <c r="J37" i="8"/>
  <c r="I37" i="8"/>
  <c r="B37" i="8"/>
  <c r="B36" i="8"/>
  <c r="I35" i="8"/>
  <c r="H35" i="8"/>
  <c r="B35" i="8"/>
  <c r="B34" i="8"/>
  <c r="E29" i="8"/>
  <c r="B28" i="8"/>
  <c r="H27" i="8"/>
  <c r="D27" i="8"/>
  <c r="C27" i="8"/>
  <c r="D26" i="8"/>
  <c r="B25" i="8"/>
  <c r="H24" i="8"/>
  <c r="F24" i="8"/>
  <c r="E24" i="8"/>
  <c r="F23" i="8"/>
  <c r="E23" i="8"/>
  <c r="D23" i="8"/>
  <c r="B23" i="8"/>
  <c r="H22" i="8"/>
  <c r="F21" i="8"/>
  <c r="B21" i="8"/>
  <c r="F20" i="8"/>
  <c r="B20" i="8"/>
  <c r="B19" i="8"/>
  <c r="B18" i="8"/>
  <c r="H14" i="8"/>
  <c r="F14" i="8"/>
  <c r="E14" i="8"/>
  <c r="F13" i="8"/>
  <c r="E13" i="8"/>
  <c r="B13" i="8"/>
  <c r="H11" i="8"/>
  <c r="G11" i="8"/>
  <c r="H10" i="8"/>
  <c r="B10" i="8"/>
  <c r="B8" i="8"/>
  <c r="H7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I55" i="4"/>
  <c r="J54" i="4"/>
  <c r="I54" i="4"/>
  <c r="J53" i="4"/>
  <c r="E56" i="3" s="1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E49" i="3" s="1"/>
  <c r="I46" i="4"/>
  <c r="J45" i="4"/>
  <c r="I45" i="4"/>
  <c r="J44" i="4"/>
  <c r="I44" i="4"/>
  <c r="J43" i="4"/>
  <c r="I43" i="4"/>
  <c r="J42" i="4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8" i="3"/>
  <c r="E57" i="3"/>
  <c r="E55" i="3"/>
  <c r="E54" i="3"/>
  <c r="E53" i="3"/>
  <c r="E52" i="3"/>
  <c r="E51" i="3"/>
  <c r="E50" i="3"/>
  <c r="E48" i="3"/>
  <c r="E47" i="3"/>
  <c r="E46" i="3"/>
  <c r="E45" i="3"/>
  <c r="E19" i="3"/>
  <c r="E18" i="3"/>
  <c r="E17" i="3"/>
  <c r="E16" i="3"/>
  <c r="E15" i="3"/>
  <c r="E14" i="3"/>
  <c r="E13" i="3"/>
  <c r="E12" i="3"/>
  <c r="E11" i="3"/>
  <c r="E10" i="3"/>
  <c r="E7" i="3"/>
  <c r="E6" i="3"/>
  <c r="C32" i="5" l="1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4" i="5"/>
  <c r="G44" i="5" s="1"/>
  <c r="I44" i="5" s="1"/>
  <c r="H44" i="5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H42" i="5"/>
  <c r="F42" i="5"/>
  <c r="G42" i="5" s="1"/>
  <c r="I42" i="5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F39" i="5"/>
  <c r="G39" i="5" s="1"/>
  <c r="E47" i="5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F36" i="5"/>
  <c r="G36" i="5" s="1"/>
  <c r="I36" i="5" s="1"/>
  <c r="E42" i="5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F43" i="5"/>
  <c r="G43" i="5" s="1"/>
  <c r="I43" i="5" s="1"/>
  <c r="E37" i="5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H41" i="5"/>
  <c r="F41" i="5"/>
  <c r="G41" i="5" s="1"/>
  <c r="I41" i="5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F38" i="5"/>
  <c r="G38" i="5" s="1"/>
  <c r="E46" i="5"/>
  <c r="H38" i="5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F45" i="5"/>
  <c r="G45" i="5" s="1"/>
  <c r="E41" i="5"/>
  <c r="H45" i="5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H37" i="5"/>
  <c r="F37" i="5"/>
  <c r="G37" i="5" s="1"/>
  <c r="I37" i="5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H46" i="5"/>
  <c r="F46" i="5"/>
  <c r="G46" i="5" s="1"/>
  <c r="I46" i="5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H40" i="5"/>
  <c r="F40" i="5"/>
  <c r="G40" i="5" s="1"/>
  <c r="I40" i="5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F47" i="5"/>
  <c r="G47" i="5" s="1"/>
  <c r="I47" i="5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25" i="5" l="1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<sst xmlns="http://schemas.openxmlformats.org/spreadsheetml/2006/main" count="3599" uniqueCount="346">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</sst>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M35" sqref="M35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3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2" t="s">
        <v>25</v>
      </c>
      <c r="B1" s="22"/>
      <c r="C1" s="22"/>
      <c r="D1" s="22"/>
      <c r="E1" s="22"/>
      <c r="F1" s="2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2" t="s">
        <v>36</v>
      </c>
      <c r="B56" s="22"/>
      <c r="C56" s="22"/>
      <c r="D56" s="22"/>
      <c r="E56" s="22"/>
      <c r="F56" s="2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2" t="s">
        <v>43</v>
      </c>
      <c r="B111" s="22"/>
      <c r="C111" s="22"/>
      <c r="D111" s="22"/>
      <c r="E111" s="22"/>
      <c r="F111" s="2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12" zoomScaleNormal="100" workbookViewId="0">
      <selection activeCell="R41" sqref="R41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13" zoomScaleNormal="100" workbookViewId="0">
      <selection activeCell="D38" sqref="D3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6" zoomScaleNormal="100" workbookViewId="0">
      <selection activeCell="O22" sqref="O2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187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-</v>
      </c>
      <c r="G36">
        <f t="shared" ref="G36:G47" si="6">IF(F36="W",6,IF(F36="T",3,0))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196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200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2" t="s">
        <v>205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19</v>
      </c>
      <c r="J3">
        <f>Helper!J2</f>
        <v>1</v>
      </c>
      <c r="K3">
        <f>MAX(Helper!C2:H2)</f>
        <v>14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21</v>
      </c>
      <c r="J4">
        <f>Helper!J3</f>
        <v>1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20</v>
      </c>
      <c r="J5">
        <f>Helper!J4</f>
        <v>1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20</v>
      </c>
      <c r="J6">
        <f>Helper!J5</f>
        <v>1</v>
      </c>
      <c r="K6">
        <f>MAX(Helper!C5:H5)</f>
        <v>14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22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20</v>
      </c>
      <c r="J8">
        <f>Helper!J7</f>
        <v>1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19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12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15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31</v>
      </c>
      <c r="J12">
        <f>Helper!J11</f>
        <v>2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28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19</v>
      </c>
      <c r="J14">
        <f>Helper!J13</f>
        <v>1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19</v>
      </c>
      <c r="D57">
        <f>Helper!R2</f>
        <v>0</v>
      </c>
      <c r="E57">
        <f>Helper!AC2</f>
        <v>0</v>
      </c>
      <c r="F57">
        <f>Helper!AE2</f>
        <v>19</v>
      </c>
      <c r="G57">
        <f>Helper!K2</f>
        <v>19.0001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21</v>
      </c>
      <c r="D58">
        <f>Helper!R3</f>
        <v>0</v>
      </c>
      <c r="E58">
        <f>Helper!AC3</f>
        <v>0</v>
      </c>
      <c r="F58">
        <f>Helper!AE3</f>
        <v>21</v>
      </c>
      <c r="G58">
        <f>Helper!K3</f>
        <v>21.0002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20</v>
      </c>
      <c r="D59">
        <f>Helper!R4</f>
        <v>0</v>
      </c>
      <c r="E59">
        <f>Helper!AC4</f>
        <v>0</v>
      </c>
      <c r="F59">
        <f>Helper!AE4</f>
        <v>20</v>
      </c>
      <c r="G59">
        <f>Helper!K4</f>
        <v>20.000299999999999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20</v>
      </c>
      <c r="D60">
        <f>Helper!R5</f>
        <v>0</v>
      </c>
      <c r="E60">
        <f>Helper!AC5</f>
        <v>0</v>
      </c>
      <c r="F60">
        <f>Helper!AE5</f>
        <v>20</v>
      </c>
      <c r="G60">
        <f>Helper!K5</f>
        <v>20.000399999999999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22</v>
      </c>
      <c r="D61">
        <f>Helper!R6</f>
        <v>0</v>
      </c>
      <c r="E61">
        <f>Helper!AC6</f>
        <v>0</v>
      </c>
      <c r="F61">
        <f>Helper!AE6</f>
        <v>22</v>
      </c>
      <c r="G61">
        <f>Helper!K6</f>
        <v>22.000499999999999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20</v>
      </c>
      <c r="D62">
        <f>Helper!R7</f>
        <v>0</v>
      </c>
      <c r="E62">
        <f>Helper!AC7</f>
        <v>0</v>
      </c>
      <c r="F62">
        <f>Helper!AE7</f>
        <v>20</v>
      </c>
      <c r="G62">
        <f>Helper!K7</f>
        <v>20.000599999999999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19</v>
      </c>
      <c r="D63">
        <f>Helper!R8</f>
        <v>0</v>
      </c>
      <c r="E63">
        <f>Helper!AC8</f>
        <v>0</v>
      </c>
      <c r="F63">
        <f>Helper!AE8</f>
        <v>19</v>
      </c>
      <c r="G63">
        <f>Helper!K8</f>
        <v>19.000699999999998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12</v>
      </c>
      <c r="D64">
        <f>Helper!R9</f>
        <v>0</v>
      </c>
      <c r="E64">
        <f>Helper!AC9</f>
        <v>0</v>
      </c>
      <c r="F64">
        <f>Helper!AE9</f>
        <v>12</v>
      </c>
      <c r="G64">
        <f>Helper!K9</f>
        <v>12.0008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15</v>
      </c>
      <c r="D65">
        <f>Helper!R10</f>
        <v>0</v>
      </c>
      <c r="E65">
        <f>Helper!AC10</f>
        <v>0</v>
      </c>
      <c r="F65">
        <f>Helper!AE10</f>
        <v>15</v>
      </c>
      <c r="G65">
        <f>Helper!K10</f>
        <v>15.0009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31</v>
      </c>
      <c r="D66">
        <f>Helper!R11</f>
        <v>0</v>
      </c>
      <c r="E66">
        <f>Helper!AC11</f>
        <v>0</v>
      </c>
      <c r="F66">
        <f>Helper!AE11</f>
        <v>31</v>
      </c>
      <c r="G66">
        <f>Helper!K11</f>
        <v>31.001000000000001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28</v>
      </c>
      <c r="D67">
        <f>Helper!R12</f>
        <v>0</v>
      </c>
      <c r="E67">
        <f>Helper!AC12</f>
        <v>0</v>
      </c>
      <c r="F67">
        <f>Helper!AE12</f>
        <v>28</v>
      </c>
      <c r="G67">
        <f>Helper!K12</f>
        <v>28.001100000000001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19</v>
      </c>
      <c r="D68">
        <f>Helper!R13</f>
        <v>0</v>
      </c>
      <c r="E68">
        <f>Helper!AC13</f>
        <v>0</v>
      </c>
      <c r="F68">
        <f>Helper!AE13</f>
        <v>19</v>
      </c>
      <c r="G68">
        <f>Helper!K13</f>
        <v>19.001200000000001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22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19</v>
      </c>
      <c r="J40" t="b">
        <f t="shared" ref="J40:J51" si="1">OR(H40=$E$5,H40=$E$6,H40=$E$7,H40=$E$8,H40=$E$9)</f>
        <v>0</v>
      </c>
      <c r="K40">
        <f>IF(J40,-1,I40+0.00001)</f>
        <v>19.00001</v>
      </c>
    </row>
    <row r="41" spans="1:11" ht="15" customHeight="1" x14ac:dyDescent="0.25">
      <c r="H41" t="str">
        <f>Roster!B4</f>
        <v>Chris Simmons</v>
      </c>
      <c r="I41">
        <f>Helper!AE3</f>
        <v>21</v>
      </c>
      <c r="J41" t="b">
        <f t="shared" si="1"/>
        <v>0</v>
      </c>
      <c r="K41">
        <f>IF(J41,-1,I41+0.00002)</f>
        <v>21.000019999999999</v>
      </c>
    </row>
    <row r="42" spans="1:11" ht="15" customHeight="1" x14ac:dyDescent="0.25">
      <c r="H42" t="str">
        <f>Roster!B5</f>
        <v>Jack Smith</v>
      </c>
      <c r="I42">
        <f>Helper!AE4</f>
        <v>20</v>
      </c>
      <c r="J42" t="b">
        <f t="shared" si="1"/>
        <v>0</v>
      </c>
      <c r="K42">
        <f>IF(J42,-1,I42+0.00003)</f>
        <v>20.000029999999999</v>
      </c>
    </row>
    <row r="43" spans="1:11" ht="15" customHeight="1" x14ac:dyDescent="0.25">
      <c r="H43" t="str">
        <f>Roster!B6</f>
        <v>Luke Ussery</v>
      </c>
      <c r="I43">
        <f>Helper!AE5</f>
        <v>20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22</v>
      </c>
      <c r="J44" t="b">
        <f t="shared" si="1"/>
        <v>0</v>
      </c>
      <c r="K44">
        <f>IF(J44,-1,I44+0.00005)</f>
        <v>22.000050000000002</v>
      </c>
    </row>
    <row r="45" spans="1:11" ht="15" customHeight="1" x14ac:dyDescent="0.25">
      <c r="H45" t="str">
        <f>Roster!B8</f>
        <v>Alan Loeser</v>
      </c>
      <c r="I45">
        <f>Helper!AE7</f>
        <v>20</v>
      </c>
      <c r="J45" t="b">
        <f t="shared" si="1"/>
        <v>0</v>
      </c>
      <c r="K45">
        <f>IF(J45,-1,I45+0.00006)</f>
        <v>20.000060000000001</v>
      </c>
    </row>
    <row r="46" spans="1:11" ht="15" customHeight="1" x14ac:dyDescent="0.25">
      <c r="H46" t="str">
        <f>Roster!B9</f>
        <v>Caleb Simmons</v>
      </c>
      <c r="I46">
        <f>Helper!AE8</f>
        <v>19</v>
      </c>
      <c r="J46" t="b">
        <f t="shared" si="1"/>
        <v>0</v>
      </c>
      <c r="K46">
        <f>IF(J46,-1,I46+0.00007)</f>
        <v>19.000070000000001</v>
      </c>
    </row>
    <row r="47" spans="1:11" ht="15" customHeight="1" x14ac:dyDescent="0.25">
      <c r="H47" t="str">
        <f>Roster!B10</f>
        <v>Larry Loeser</v>
      </c>
      <c r="I47">
        <f>Helper!AE9</f>
        <v>12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15</v>
      </c>
      <c r="J48" t="b">
        <f t="shared" si="1"/>
        <v>0</v>
      </c>
      <c r="K48">
        <f>IF(J48,-1,I48+0.00009)</f>
        <v>15.00009</v>
      </c>
    </row>
    <row r="49" spans="8:11" ht="15" customHeight="1" x14ac:dyDescent="0.25">
      <c r="H49" t="str">
        <f>Roster!B12</f>
        <v>Zach Zarra</v>
      </c>
      <c r="I49">
        <f>Helper!AE11</f>
        <v>31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28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19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19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1</v>
      </c>
      <c r="K2">
        <f>I2+0.0001</f>
        <v>19.0001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19</v>
      </c>
      <c r="AF2">
        <f>AE2+0.0001</f>
        <v>19.0001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21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1</v>
      </c>
      <c r="K3">
        <f>I3+0.0002</f>
        <v>21.0002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21</v>
      </c>
      <c r="AF3">
        <f>AE3+0.0002</f>
        <v>21.0002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20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1</v>
      </c>
      <c r="K4">
        <f>I4+0.0003</f>
        <v>20.000299999999999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20</v>
      </c>
      <c r="AF4">
        <f>AE4+0.0003</f>
        <v>20.000299999999999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20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1</v>
      </c>
      <c r="K5">
        <f>I5+0.0004</f>
        <v>20.000399999999999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20</v>
      </c>
      <c r="AF5">
        <f>AE5+0.0004</f>
        <v>20.000399999999999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22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22.000499999999999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22</v>
      </c>
      <c r="AF6">
        <f>AE6+0.0005</f>
        <v>22.000499999999999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20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1</v>
      </c>
      <c r="K7">
        <f>I7+0.0006</f>
        <v>20.000599999999999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20</v>
      </c>
      <c r="AF7">
        <f>AE7+0.0006</f>
        <v>20.000599999999999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19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19.000699999999998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19</v>
      </c>
      <c r="AF8">
        <f>AE8+0.0007</f>
        <v>19.000699999999998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12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12.0008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12</v>
      </c>
      <c r="AF9">
        <f>AE9+0.0008</f>
        <v>12.0008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15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15.0009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15</v>
      </c>
      <c r="AF10">
        <f>AE10+0.0009</f>
        <v>15.0009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31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2</v>
      </c>
      <c r="K11">
        <f>I11+0.001</f>
        <v>31.001000000000001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31</v>
      </c>
      <c r="AF11">
        <f>AE11+0.001</f>
        <v>31.001000000000001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28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28.001100000000001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28</v>
      </c>
      <c r="AF12">
        <f>AE12+0.0011</f>
        <v>28.001100000000001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19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1</v>
      </c>
      <c r="K13">
        <f>I13+0.0012</f>
        <v>19.001200000000001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19</v>
      </c>
      <c r="AF13">
        <f>AE13+0.0012</f>
        <v>19.001200000000001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2026-09-22T21:14:14Z</dcterms:modified>
  <dc:language>en-US</dc:language>
</cp:coreProperties>
</file>