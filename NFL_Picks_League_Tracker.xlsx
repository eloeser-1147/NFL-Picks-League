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1" documentId="13_ncr:1_{9DE1E4DF-9D2F-41C3-82DE-6EA75B0925C9}" xr6:coauthVersionLast="47" xr6:coauthVersionMax="47" xr10:uidLastSave="{9DAA369C-AF5F-4C27-BAA1-05D5AA990CA3}"/>
  <bookViews>
    <workbookView xWindow="29400" yWindow="-120" windowWidth="28320" windowHeight="16440" tabRatio="500" activeTab="3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4" i="4" l="1"/>
  <c r="AC13" i="13"/>
  <c r="AB13" i="13"/>
  <c r="J51" i="8" s="1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P13" i="13"/>
  <c r="O13" i="13"/>
  <c r="N13" i="13"/>
  <c r="M13" i="13"/>
  <c r="B13" i="13"/>
  <c r="AC12" i="13"/>
  <c r="AB12" i="13"/>
  <c r="J50" i="8" s="1"/>
  <c r="AA12" i="13"/>
  <c r="Z12" i="13"/>
  <c r="H50" i="8" s="1"/>
  <c r="Y12" i="13"/>
  <c r="G50" i="8" s="1"/>
  <c r="X12" i="13"/>
  <c r="F50" i="8" s="1"/>
  <c r="W12" i="13"/>
  <c r="E50" i="8" s="1"/>
  <c r="V12" i="13"/>
  <c r="D50" i="8" s="1"/>
  <c r="U12" i="13"/>
  <c r="C50" i="8" s="1"/>
  <c r="Q12" i="13"/>
  <c r="P12" i="13"/>
  <c r="O12" i="13"/>
  <c r="N12" i="13"/>
  <c r="M12" i="13"/>
  <c r="B12" i="13"/>
  <c r="AC11" i="13"/>
  <c r="AB11" i="13"/>
  <c r="J49" i="8" s="1"/>
  <c r="AA11" i="13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P11" i="13"/>
  <c r="O11" i="13"/>
  <c r="N11" i="13"/>
  <c r="M11" i="13"/>
  <c r="B11" i="13"/>
  <c r="AC10" i="13"/>
  <c r="AB10" i="13"/>
  <c r="J48" i="8" s="1"/>
  <c r="AA10" i="13"/>
  <c r="Z10" i="13"/>
  <c r="H48" i="8" s="1"/>
  <c r="Y10" i="13"/>
  <c r="G48" i="8" s="1"/>
  <c r="X10" i="13"/>
  <c r="F48" i="8" s="1"/>
  <c r="W10" i="13"/>
  <c r="E48" i="8" s="1"/>
  <c r="V10" i="13"/>
  <c r="D48" i="8" s="1"/>
  <c r="U10" i="13"/>
  <c r="C48" i="8" s="1"/>
  <c r="Q10" i="13"/>
  <c r="P10" i="13"/>
  <c r="O10" i="13"/>
  <c r="N10" i="13"/>
  <c r="M10" i="13"/>
  <c r="B10" i="13"/>
  <c r="AC9" i="13"/>
  <c r="AB9" i="13"/>
  <c r="J44" i="8" s="1"/>
  <c r="AA9" i="13"/>
  <c r="Z9" i="13"/>
  <c r="H44" i="8" s="1"/>
  <c r="Y9" i="13"/>
  <c r="G44" i="8" s="1"/>
  <c r="X9" i="13"/>
  <c r="F44" i="8" s="1"/>
  <c r="W9" i="13"/>
  <c r="E44" i="8" s="1"/>
  <c r="V9" i="13"/>
  <c r="D44" i="8" s="1"/>
  <c r="U9" i="13"/>
  <c r="C44" i="8" s="1"/>
  <c r="Q9" i="13"/>
  <c r="P9" i="13"/>
  <c r="O9" i="13"/>
  <c r="N9" i="13"/>
  <c r="M9" i="13"/>
  <c r="B9" i="13"/>
  <c r="AC8" i="13"/>
  <c r="AB8" i="13"/>
  <c r="J43" i="8" s="1"/>
  <c r="AA8" i="13"/>
  <c r="Z8" i="13"/>
  <c r="H43" i="8" s="1"/>
  <c r="Y8" i="13"/>
  <c r="G43" i="8" s="1"/>
  <c r="X8" i="13"/>
  <c r="F43" i="8" s="1"/>
  <c r="W8" i="13"/>
  <c r="E43" i="8" s="1"/>
  <c r="V8" i="13"/>
  <c r="D43" i="8" s="1"/>
  <c r="U8" i="13"/>
  <c r="C43" i="8" s="1"/>
  <c r="Q8" i="13"/>
  <c r="P8" i="13"/>
  <c r="O8" i="13"/>
  <c r="N8" i="13"/>
  <c r="M8" i="13"/>
  <c r="B8" i="13"/>
  <c r="AC7" i="13"/>
  <c r="AB7" i="13"/>
  <c r="J42" i="8" s="1"/>
  <c r="AA7" i="13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P7" i="13"/>
  <c r="O7" i="13"/>
  <c r="N7" i="13"/>
  <c r="M7" i="13"/>
  <c r="B7" i="13"/>
  <c r="AC6" i="13"/>
  <c r="AB6" i="13"/>
  <c r="J41" i="8" s="1"/>
  <c r="AA6" i="13"/>
  <c r="Z6" i="13"/>
  <c r="H41" i="8" s="1"/>
  <c r="Y6" i="13"/>
  <c r="G41" i="8" s="1"/>
  <c r="X6" i="13"/>
  <c r="F41" i="8" s="1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B6" i="13"/>
  <c r="AC5" i="13"/>
  <c r="AB5" i="13"/>
  <c r="J37" i="8" s="1"/>
  <c r="AA5" i="13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H21" i="8" s="1"/>
  <c r="P5" i="13"/>
  <c r="G21" i="8" s="1"/>
  <c r="O5" i="13"/>
  <c r="F21" i="8" s="1"/>
  <c r="N5" i="13"/>
  <c r="E21" i="8" s="1"/>
  <c r="M5" i="13"/>
  <c r="D21" i="8" s="1"/>
  <c r="B5" i="13"/>
  <c r="AC4" i="13"/>
  <c r="AB4" i="13"/>
  <c r="J36" i="8" s="1"/>
  <c r="AA4" i="13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F20" i="8" s="1"/>
  <c r="N4" i="13"/>
  <c r="E20" i="8" s="1"/>
  <c r="M4" i="13"/>
  <c r="D20" i="8" s="1"/>
  <c r="B4" i="13"/>
  <c r="AC3" i="13"/>
  <c r="E58" i="8" s="1"/>
  <c r="AB3" i="13"/>
  <c r="AA3" i="13"/>
  <c r="AD3" i="13" s="1"/>
  <c r="Z3" i="13"/>
  <c r="Y3" i="13"/>
  <c r="X3" i="13"/>
  <c r="W3" i="13"/>
  <c r="V3" i="13"/>
  <c r="U3" i="13"/>
  <c r="Q3" i="13"/>
  <c r="P3" i="13"/>
  <c r="O3" i="13"/>
  <c r="N3" i="13"/>
  <c r="M3" i="13"/>
  <c r="B3" i="13"/>
  <c r="AC2" i="13"/>
  <c r="AB2" i="13"/>
  <c r="J34" i="8" s="1"/>
  <c r="AA2" i="13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F18" i="8" s="1"/>
  <c r="N2" i="13"/>
  <c r="E18" i="8" s="1"/>
  <c r="M2" i="13"/>
  <c r="D18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D10" i="10"/>
  <c r="H10" i="10" s="1"/>
  <c r="D9" i="10"/>
  <c r="H9" i="10" s="1"/>
  <c r="D8" i="10"/>
  <c r="H8" i="10" s="1"/>
  <c r="D7" i="10"/>
  <c r="H7" i="10" s="1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B37" i="9"/>
  <c r="E36" i="9"/>
  <c r="D36" i="9"/>
  <c r="B36" i="9"/>
  <c r="E35" i="9"/>
  <c r="D35" i="9"/>
  <c r="B35" i="9"/>
  <c r="E34" i="9"/>
  <c r="D34" i="9"/>
  <c r="B34" i="9"/>
  <c r="E33" i="9"/>
  <c r="D33" i="9"/>
  <c r="B33" i="9"/>
  <c r="E32" i="9"/>
  <c r="D32" i="9"/>
  <c r="B32" i="9"/>
  <c r="E31" i="9"/>
  <c r="D31" i="9"/>
  <c r="B31" i="9"/>
  <c r="E30" i="9"/>
  <c r="D30" i="9"/>
  <c r="B30" i="9"/>
  <c r="E29" i="9"/>
  <c r="D29" i="9"/>
  <c r="B29" i="9"/>
  <c r="E28" i="9"/>
  <c r="D28" i="9"/>
  <c r="B28" i="9"/>
  <c r="E27" i="9"/>
  <c r="D27" i="9"/>
  <c r="B27" i="9"/>
  <c r="E26" i="9"/>
  <c r="D26" i="9"/>
  <c r="D38" i="9" s="1"/>
  <c r="B26" i="9"/>
  <c r="C22" i="9"/>
  <c r="C21" i="9"/>
  <c r="C20" i="9"/>
  <c r="C19" i="9"/>
  <c r="C18" i="9"/>
  <c r="C17" i="9"/>
  <c r="K35" i="8"/>
  <c r="J35" i="8"/>
  <c r="I35" i="8"/>
  <c r="H35" i="8"/>
  <c r="G35" i="8"/>
  <c r="F35" i="8"/>
  <c r="E35" i="8"/>
  <c r="D35" i="8"/>
  <c r="C35" i="8"/>
  <c r="H29" i="8"/>
  <c r="G29" i="8"/>
  <c r="F29" i="8"/>
  <c r="E29" i="8"/>
  <c r="D29" i="8"/>
  <c r="B29" i="8"/>
  <c r="H28" i="8"/>
  <c r="G28" i="8"/>
  <c r="F28" i="8"/>
  <c r="E28" i="8"/>
  <c r="D28" i="8"/>
  <c r="B28" i="8"/>
  <c r="H27" i="8"/>
  <c r="G27" i="8"/>
  <c r="F27" i="8"/>
  <c r="E27" i="8"/>
  <c r="D27" i="8"/>
  <c r="B27" i="8"/>
  <c r="H26" i="8"/>
  <c r="G26" i="8"/>
  <c r="F26" i="8"/>
  <c r="E26" i="8"/>
  <c r="D26" i="8"/>
  <c r="B26" i="8"/>
  <c r="H25" i="8"/>
  <c r="G25" i="8"/>
  <c r="F25" i="8"/>
  <c r="E25" i="8"/>
  <c r="D25" i="8"/>
  <c r="B25" i="8"/>
  <c r="H24" i="8"/>
  <c r="G24" i="8"/>
  <c r="F24" i="8"/>
  <c r="E24" i="8"/>
  <c r="D24" i="8"/>
  <c r="B24" i="8"/>
  <c r="H23" i="8"/>
  <c r="G23" i="8"/>
  <c r="F23" i="8"/>
  <c r="E23" i="8"/>
  <c r="D23" i="8"/>
  <c r="B23" i="8"/>
  <c r="H19" i="8"/>
  <c r="G19" i="8"/>
  <c r="F19" i="8"/>
  <c r="E19" i="8"/>
  <c r="D19" i="8"/>
  <c r="B14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C52" i="6"/>
  <c r="B52" i="6"/>
  <c r="C51" i="6"/>
  <c r="B51" i="6"/>
  <c r="C47" i="6"/>
  <c r="B47" i="6"/>
  <c r="C46" i="6"/>
  <c r="B46" i="6"/>
  <c r="C45" i="6"/>
  <c r="B45" i="6"/>
  <c r="C44" i="6"/>
  <c r="B44" i="6"/>
  <c r="E43" i="6"/>
  <c r="C43" i="6"/>
  <c r="B43" i="6"/>
  <c r="C42" i="6"/>
  <c r="B42" i="6"/>
  <c r="C41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I324" i="4"/>
  <c r="J323" i="4"/>
  <c r="I323" i="4"/>
  <c r="J322" i="4"/>
  <c r="I322" i="4"/>
  <c r="J321" i="4"/>
  <c r="I321" i="4"/>
  <c r="J320" i="4"/>
  <c r="I320" i="4"/>
  <c r="J319" i="4"/>
  <c r="I319" i="4"/>
  <c r="J318" i="4"/>
  <c r="I318" i="4"/>
  <c r="J317" i="4"/>
  <c r="I317" i="4"/>
  <c r="J316" i="4"/>
  <c r="I316" i="4"/>
  <c r="J315" i="4"/>
  <c r="I315" i="4"/>
  <c r="J314" i="4"/>
  <c r="I314" i="4"/>
  <c r="J313" i="4"/>
  <c r="I313" i="4"/>
  <c r="J312" i="4"/>
  <c r="I312" i="4"/>
  <c r="J311" i="4"/>
  <c r="I311" i="4"/>
  <c r="J310" i="4"/>
  <c r="I310" i="4"/>
  <c r="E307" i="4"/>
  <c r="J306" i="4"/>
  <c r="I306" i="4"/>
  <c r="J305" i="4"/>
  <c r="I305" i="4"/>
  <c r="J304" i="4"/>
  <c r="I304" i="4"/>
  <c r="J303" i="4"/>
  <c r="I303" i="4"/>
  <c r="J302" i="4"/>
  <c r="I302" i="4"/>
  <c r="J301" i="4"/>
  <c r="I301" i="4"/>
  <c r="J300" i="4"/>
  <c r="I300" i="4"/>
  <c r="J299" i="4"/>
  <c r="I299" i="4"/>
  <c r="J298" i="4"/>
  <c r="I298" i="4"/>
  <c r="J297" i="4"/>
  <c r="I297" i="4"/>
  <c r="J296" i="4"/>
  <c r="I296" i="4"/>
  <c r="J295" i="4"/>
  <c r="I295" i="4"/>
  <c r="J294" i="4"/>
  <c r="I294" i="4"/>
  <c r="J293" i="4"/>
  <c r="I293" i="4"/>
  <c r="J292" i="4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I283" i="4"/>
  <c r="J282" i="4"/>
  <c r="I282" i="4"/>
  <c r="J281" i="4"/>
  <c r="I281" i="4"/>
  <c r="J280" i="4"/>
  <c r="I280" i="4"/>
  <c r="J279" i="4"/>
  <c r="I279" i="4"/>
  <c r="J278" i="4"/>
  <c r="I278" i="4"/>
  <c r="J277" i="4"/>
  <c r="I277" i="4"/>
  <c r="J276" i="4"/>
  <c r="I276" i="4"/>
  <c r="J275" i="4"/>
  <c r="I275" i="4"/>
  <c r="J274" i="4"/>
  <c r="I274" i="4"/>
  <c r="J273" i="4"/>
  <c r="I273" i="4"/>
  <c r="J272" i="4"/>
  <c r="E275" i="3" s="1"/>
  <c r="I272" i="4"/>
  <c r="E269" i="4"/>
  <c r="E272" i="3" s="1"/>
  <c r="J268" i="4"/>
  <c r="E271" i="3" s="1"/>
  <c r="I268" i="4"/>
  <c r="J267" i="4"/>
  <c r="E270" i="3" s="1"/>
  <c r="I267" i="4"/>
  <c r="J266" i="4"/>
  <c r="E269" i="3" s="1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E264" i="3" s="1"/>
  <c r="I261" i="4"/>
  <c r="J260" i="4"/>
  <c r="E263" i="3" s="1"/>
  <c r="I260" i="4"/>
  <c r="J259" i="4"/>
  <c r="E262" i="3" s="1"/>
  <c r="I259" i="4"/>
  <c r="J258" i="4"/>
  <c r="E261" i="3" s="1"/>
  <c r="I258" i="4"/>
  <c r="J257" i="4"/>
  <c r="E260" i="3" s="1"/>
  <c r="I257" i="4"/>
  <c r="J256" i="4"/>
  <c r="E259" i="3" s="1"/>
  <c r="I256" i="4"/>
  <c r="J255" i="4"/>
  <c r="E258" i="3" s="1"/>
  <c r="I255" i="4"/>
  <c r="J254" i="4"/>
  <c r="E257" i="3" s="1"/>
  <c r="I254" i="4"/>
  <c r="J253" i="4"/>
  <c r="E256" i="3" s="1"/>
  <c r="I253" i="4"/>
  <c r="E250" i="4"/>
  <c r="E253" i="3" s="1"/>
  <c r="J249" i="4"/>
  <c r="E252" i="3" s="1"/>
  <c r="I249" i="4"/>
  <c r="J248" i="4"/>
  <c r="E251" i="3" s="1"/>
  <c r="I248" i="4"/>
  <c r="J247" i="4"/>
  <c r="E250" i="3" s="1"/>
  <c r="I247" i="4"/>
  <c r="J246" i="4"/>
  <c r="E249" i="3" s="1"/>
  <c r="I246" i="4"/>
  <c r="J245" i="4"/>
  <c r="E248" i="3" s="1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E243" i="3" s="1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E232" i="4"/>
  <c r="E235" i="3" s="1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E230" i="3" s="1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E224" i="3" s="1"/>
  <c r="I221" i="4"/>
  <c r="J220" i="4"/>
  <c r="E223" i="3" s="1"/>
  <c r="I220" i="4"/>
  <c r="J219" i="4"/>
  <c r="E222" i="3" s="1"/>
  <c r="I219" i="4"/>
  <c r="J218" i="4"/>
  <c r="E221" i="3" s="1"/>
  <c r="I218" i="4"/>
  <c r="E215" i="4"/>
  <c r="E218" i="3" s="1"/>
  <c r="J214" i="4"/>
  <c r="E217" i="3" s="1"/>
  <c r="I214" i="4"/>
  <c r="J213" i="4"/>
  <c r="E216" i="3" s="1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I208" i="4"/>
  <c r="J207" i="4"/>
  <c r="I207" i="4"/>
  <c r="J206" i="4"/>
  <c r="I206" i="4"/>
  <c r="J205" i="4"/>
  <c r="I205" i="4"/>
  <c r="J204" i="4"/>
  <c r="I204" i="4"/>
  <c r="J203" i="4"/>
  <c r="I203" i="4"/>
  <c r="J202" i="4"/>
  <c r="I202" i="4"/>
  <c r="J201" i="4"/>
  <c r="I201" i="4"/>
  <c r="J200" i="4"/>
  <c r="I200" i="4"/>
  <c r="J199" i="4"/>
  <c r="I199" i="4"/>
  <c r="E196" i="4"/>
  <c r="J195" i="4"/>
  <c r="I195" i="4"/>
  <c r="J194" i="4"/>
  <c r="I194" i="4"/>
  <c r="J193" i="4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I178" i="4"/>
  <c r="J177" i="4"/>
  <c r="I177" i="4"/>
  <c r="J176" i="4"/>
  <c r="I176" i="4"/>
  <c r="J175" i="4"/>
  <c r="I175" i="4"/>
  <c r="J174" i="4"/>
  <c r="I174" i="4"/>
  <c r="J173" i="4"/>
  <c r="I173" i="4"/>
  <c r="J172" i="4"/>
  <c r="I172" i="4"/>
  <c r="J171" i="4"/>
  <c r="I171" i="4"/>
  <c r="J170" i="4"/>
  <c r="I170" i="4"/>
  <c r="J169" i="4"/>
  <c r="I169" i="4"/>
  <c r="J168" i="4"/>
  <c r="I168" i="4"/>
  <c r="J167" i="4"/>
  <c r="I167" i="4"/>
  <c r="J166" i="4"/>
  <c r="I166" i="4"/>
  <c r="E163" i="4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I142" i="4"/>
  <c r="J141" i="4"/>
  <c r="I141" i="4"/>
  <c r="J140" i="4"/>
  <c r="I140" i="4"/>
  <c r="J139" i="4"/>
  <c r="I139" i="4"/>
  <c r="J138" i="4"/>
  <c r="I138" i="4"/>
  <c r="J137" i="4"/>
  <c r="I137" i="4"/>
  <c r="J136" i="4"/>
  <c r="I136" i="4"/>
  <c r="J135" i="4"/>
  <c r="I135" i="4"/>
  <c r="J134" i="4"/>
  <c r="I134" i="4"/>
  <c r="J133" i="4"/>
  <c r="I133" i="4"/>
  <c r="J132" i="4"/>
  <c r="I132" i="4"/>
  <c r="J131" i="4"/>
  <c r="I131" i="4"/>
  <c r="E128" i="4"/>
  <c r="J127" i="4"/>
  <c r="I127" i="4"/>
  <c r="J126" i="4"/>
  <c r="E129" i="3" s="1"/>
  <c r="I126" i="4"/>
  <c r="J125" i="4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E122" i="3" s="1"/>
  <c r="I119" i="4"/>
  <c r="J118" i="4"/>
  <c r="I118" i="4"/>
  <c r="J117" i="4"/>
  <c r="I117" i="4"/>
  <c r="J116" i="4"/>
  <c r="E119" i="3" s="1"/>
  <c r="I116" i="4"/>
  <c r="J115" i="4"/>
  <c r="I115" i="4"/>
  <c r="J114" i="4"/>
  <c r="E117" i="3" s="1"/>
  <c r="E111" i="4"/>
  <c r="J110" i="4"/>
  <c r="I110" i="4"/>
  <c r="J109" i="4"/>
  <c r="I109" i="4"/>
  <c r="J108" i="4"/>
  <c r="I108" i="4"/>
  <c r="J107" i="4"/>
  <c r="I107" i="4"/>
  <c r="J106" i="4"/>
  <c r="I106" i="4"/>
  <c r="J105" i="4"/>
  <c r="I105" i="4"/>
  <c r="J104" i="4"/>
  <c r="I104" i="4"/>
  <c r="J103" i="4"/>
  <c r="I103" i="4"/>
  <c r="J102" i="4"/>
  <c r="I102" i="4"/>
  <c r="J101" i="4"/>
  <c r="I101" i="4"/>
  <c r="J100" i="4"/>
  <c r="I100" i="4"/>
  <c r="J99" i="4"/>
  <c r="I99" i="4"/>
  <c r="J98" i="4"/>
  <c r="I98" i="4"/>
  <c r="J97" i="4"/>
  <c r="I97" i="4"/>
  <c r="E94" i="4"/>
  <c r="J93" i="4"/>
  <c r="I93" i="4"/>
  <c r="J92" i="4"/>
  <c r="I92" i="4"/>
  <c r="J91" i="4"/>
  <c r="I91" i="4"/>
  <c r="J90" i="4"/>
  <c r="I90" i="4"/>
  <c r="J89" i="4"/>
  <c r="I89" i="4"/>
  <c r="J88" i="4"/>
  <c r="I88" i="4"/>
  <c r="J87" i="4"/>
  <c r="I87" i="4"/>
  <c r="J86" i="4"/>
  <c r="I86" i="4"/>
  <c r="J85" i="4"/>
  <c r="I85" i="4"/>
  <c r="J84" i="4"/>
  <c r="I84" i="4"/>
  <c r="J83" i="4"/>
  <c r="I83" i="4"/>
  <c r="J82" i="4"/>
  <c r="I82" i="4"/>
  <c r="J81" i="4"/>
  <c r="I81" i="4"/>
  <c r="J80" i="4"/>
  <c r="I80" i="4"/>
  <c r="J79" i="4"/>
  <c r="I79" i="4"/>
  <c r="E76" i="4"/>
  <c r="J75" i="4"/>
  <c r="I75" i="4"/>
  <c r="J74" i="4"/>
  <c r="I74" i="4"/>
  <c r="J73" i="4"/>
  <c r="I73" i="4"/>
  <c r="J72" i="4"/>
  <c r="I72" i="4"/>
  <c r="J71" i="4"/>
  <c r="I71" i="4"/>
  <c r="J70" i="4"/>
  <c r="I70" i="4"/>
  <c r="J69" i="4"/>
  <c r="I69" i="4"/>
  <c r="J68" i="4"/>
  <c r="I68" i="4"/>
  <c r="J67" i="4"/>
  <c r="I67" i="4"/>
  <c r="J66" i="4"/>
  <c r="I66" i="4"/>
  <c r="J65" i="4"/>
  <c r="I65" i="4"/>
  <c r="J64" i="4"/>
  <c r="I64" i="4"/>
  <c r="J63" i="4"/>
  <c r="I63" i="4"/>
  <c r="J62" i="4"/>
  <c r="I62" i="4"/>
  <c r="J61" i="4"/>
  <c r="I61" i="4"/>
  <c r="J60" i="4"/>
  <c r="I60" i="4"/>
  <c r="E57" i="4"/>
  <c r="J56" i="4"/>
  <c r="I56" i="4"/>
  <c r="J55" i="4"/>
  <c r="I55" i="4"/>
  <c r="J54" i="4"/>
  <c r="I54" i="4"/>
  <c r="J53" i="4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I46" i="4"/>
  <c r="J45" i="4"/>
  <c r="I45" i="4"/>
  <c r="J44" i="4"/>
  <c r="I44" i="4"/>
  <c r="J43" i="4"/>
  <c r="I43" i="4"/>
  <c r="J42" i="4"/>
  <c r="I42" i="4"/>
  <c r="J41" i="4"/>
  <c r="I41" i="4"/>
  <c r="E38" i="4"/>
  <c r="J37" i="4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J29" i="4"/>
  <c r="I29" i="4"/>
  <c r="J28" i="4"/>
  <c r="I28" i="4"/>
  <c r="J27" i="4"/>
  <c r="I27" i="4"/>
  <c r="J26" i="4"/>
  <c r="I26" i="4"/>
  <c r="J25" i="4"/>
  <c r="I25" i="4"/>
  <c r="J24" i="4"/>
  <c r="I24" i="4"/>
  <c r="J23" i="4"/>
  <c r="I23" i="4"/>
  <c r="J22" i="4"/>
  <c r="I22" i="4"/>
  <c r="E19" i="4"/>
  <c r="J18" i="4"/>
  <c r="I18" i="4"/>
  <c r="J17" i="4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I6" i="4"/>
  <c r="J5" i="4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E211" i="3"/>
  <c r="E210" i="3"/>
  <c r="E209" i="3"/>
  <c r="E208" i="3"/>
  <c r="E207" i="3"/>
  <c r="E206" i="3"/>
  <c r="E205" i="3"/>
  <c r="E204" i="3"/>
  <c r="E203" i="3"/>
  <c r="E202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E131" i="3"/>
  <c r="E130" i="3"/>
  <c r="E128" i="3"/>
  <c r="E121" i="3"/>
  <c r="E120" i="3"/>
  <c r="E118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38" i="9" l="1"/>
  <c r="K51" i="8"/>
  <c r="E68" i="8"/>
  <c r="AD13" i="13"/>
  <c r="I51" i="8"/>
  <c r="B68" i="8"/>
  <c r="B51" i="8"/>
  <c r="K50" i="8"/>
  <c r="E67" i="8"/>
  <c r="AD12" i="13"/>
  <c r="I50" i="8"/>
  <c r="B67" i="8"/>
  <c r="B50" i="8"/>
  <c r="B13" i="8"/>
  <c r="K49" i="8"/>
  <c r="E66" i="8"/>
  <c r="AD11" i="13"/>
  <c r="I49" i="8"/>
  <c r="B12" i="8"/>
  <c r="B66" i="8"/>
  <c r="B49" i="8"/>
  <c r="K48" i="8"/>
  <c r="E65" i="8"/>
  <c r="I48" i="8"/>
  <c r="AD10" i="13"/>
  <c r="B11" i="8"/>
  <c r="B48" i="8"/>
  <c r="B65" i="8"/>
  <c r="K44" i="8"/>
  <c r="E64" i="8"/>
  <c r="I44" i="8"/>
  <c r="AD9" i="13"/>
  <c r="B10" i="8"/>
  <c r="B44" i="8"/>
  <c r="B64" i="8"/>
  <c r="K43" i="8"/>
  <c r="E63" i="8"/>
  <c r="AD8" i="13"/>
  <c r="I43" i="8"/>
  <c r="B63" i="8"/>
  <c r="B9" i="8"/>
  <c r="B43" i="8"/>
  <c r="E62" i="8"/>
  <c r="K42" i="8"/>
  <c r="I42" i="8"/>
  <c r="AD7" i="13"/>
  <c r="B42" i="8"/>
  <c r="B62" i="8"/>
  <c r="B8" i="8"/>
  <c r="K41" i="8"/>
  <c r="E61" i="8"/>
  <c r="AD6" i="13"/>
  <c r="I41" i="8"/>
  <c r="B7" i="8"/>
  <c r="B41" i="8"/>
  <c r="B61" i="8"/>
  <c r="B22" i="8"/>
  <c r="K37" i="8"/>
  <c r="E60" i="8"/>
  <c r="AD5" i="13"/>
  <c r="I37" i="8"/>
  <c r="B21" i="8"/>
  <c r="B6" i="8"/>
  <c r="B37" i="8"/>
  <c r="B60" i="8"/>
  <c r="K36" i="8"/>
  <c r="E59" i="8"/>
  <c r="I36" i="8"/>
  <c r="AD4" i="13"/>
  <c r="B36" i="8"/>
  <c r="B20" i="8"/>
  <c r="B59" i="8"/>
  <c r="B5" i="8"/>
  <c r="B58" i="8"/>
  <c r="B35" i="8"/>
  <c r="B19" i="8"/>
  <c r="B4" i="8"/>
  <c r="E57" i="8"/>
  <c r="K34" i="8"/>
  <c r="AD2" i="13"/>
  <c r="I34" i="8"/>
  <c r="B34" i="8"/>
  <c r="B18" i="8"/>
  <c r="B57" i="8"/>
  <c r="B3" i="8"/>
  <c r="C14" i="10"/>
  <c r="B6" i="11" s="1"/>
  <c r="I6" i="11" s="1"/>
  <c r="J6" i="11" s="1"/>
  <c r="C15" i="10"/>
  <c r="B7" i="11" s="1"/>
  <c r="I7" i="11" s="1"/>
  <c r="J7" i="11" s="1"/>
  <c r="C16" i="10"/>
  <c r="B8" i="11" s="1"/>
  <c r="I8" i="11" s="1"/>
  <c r="J8" i="11" s="1"/>
  <c r="C17" i="10"/>
  <c r="B9" i="11" s="1"/>
  <c r="I9" i="11" s="1"/>
  <c r="J9" i="11" s="1"/>
  <c r="C18" i="10"/>
  <c r="C19" i="10"/>
  <c r="F52" i="6"/>
  <c r="G52" i="6" s="1"/>
  <c r="I52" i="6" s="1"/>
  <c r="H52" i="6"/>
  <c r="E58" i="6"/>
  <c r="E57" i="6"/>
  <c r="F51" i="6"/>
  <c r="G51" i="6" s="1"/>
  <c r="H51" i="6"/>
  <c r="E42" i="6"/>
  <c r="H47" i="6"/>
  <c r="F47" i="6"/>
  <c r="G47" i="6" s="1"/>
  <c r="I47" i="6" s="1"/>
  <c r="H46" i="6"/>
  <c r="F46" i="6"/>
  <c r="G46" i="6" s="1"/>
  <c r="I46" i="6" s="1"/>
  <c r="H45" i="6"/>
  <c r="F45" i="6"/>
  <c r="G45" i="6" s="1"/>
  <c r="I45" i="6" s="1"/>
  <c r="E38" i="6"/>
  <c r="E39" i="6"/>
  <c r="H44" i="6"/>
  <c r="F44" i="6"/>
  <c r="G44" i="6" s="1"/>
  <c r="I44" i="6" s="1"/>
  <c r="F43" i="6"/>
  <c r="G43" i="6" s="1"/>
  <c r="H43" i="6"/>
  <c r="E46" i="6"/>
  <c r="H42" i="6"/>
  <c r="F42" i="6"/>
  <c r="G42" i="6" s="1"/>
  <c r="I42" i="6" s="1"/>
  <c r="E47" i="6"/>
  <c r="H41" i="6"/>
  <c r="E37" i="6"/>
  <c r="F41" i="6"/>
  <c r="G41" i="6" s="1"/>
  <c r="I41" i="6" s="1"/>
  <c r="C51" i="7"/>
  <c r="C52" i="7"/>
  <c r="C53" i="7"/>
  <c r="C54" i="7"/>
  <c r="C55" i="7"/>
  <c r="C56" i="7"/>
  <c r="C57" i="7"/>
  <c r="C58" i="7"/>
  <c r="C59" i="7"/>
  <c r="C60" i="7"/>
  <c r="C61" i="7"/>
  <c r="C62" i="7"/>
  <c r="C36" i="7"/>
  <c r="C37" i="7"/>
  <c r="C38" i="7"/>
  <c r="C39" i="7"/>
  <c r="C40" i="7"/>
  <c r="C41" i="7"/>
  <c r="C42" i="7"/>
  <c r="C43" i="7"/>
  <c r="C44" i="7"/>
  <c r="C45" i="7"/>
  <c r="C46" i="7"/>
  <c r="C47" i="7"/>
  <c r="C21" i="7"/>
  <c r="C22" i="7"/>
  <c r="C23" i="7"/>
  <c r="C24" i="7"/>
  <c r="C25" i="7"/>
  <c r="C26" i="7"/>
  <c r="C27" i="7"/>
  <c r="C28" i="7"/>
  <c r="C29" i="7"/>
  <c r="C30" i="7"/>
  <c r="C31" i="7"/>
  <c r="C32" i="7"/>
  <c r="C6" i="7"/>
  <c r="C7" i="7"/>
  <c r="C9" i="7"/>
  <c r="C12" i="7"/>
  <c r="C13" i="7"/>
  <c r="C14" i="7"/>
  <c r="C15" i="7"/>
  <c r="C16" i="7"/>
  <c r="C17" i="7"/>
  <c r="C8" i="7"/>
  <c r="C11" i="7"/>
  <c r="C10" i="7"/>
  <c r="C89" i="7"/>
  <c r="C81" i="7"/>
  <c r="C82" i="7"/>
  <c r="C83" i="7"/>
  <c r="C84" i="7"/>
  <c r="C88" i="7"/>
  <c r="C87" i="7"/>
  <c r="C86" i="7"/>
  <c r="C85" i="7"/>
  <c r="C90" i="7"/>
  <c r="C92" i="7"/>
  <c r="C91" i="7"/>
  <c r="C66" i="7"/>
  <c r="C74" i="7"/>
  <c r="C75" i="7"/>
  <c r="C76" i="7"/>
  <c r="C77" i="7"/>
  <c r="C67" i="7"/>
  <c r="C68" i="7"/>
  <c r="C69" i="7"/>
  <c r="C70" i="7"/>
  <c r="C71" i="7"/>
  <c r="C72" i="7"/>
  <c r="C73" i="7"/>
  <c r="C92" i="6"/>
  <c r="C91" i="6"/>
  <c r="C90" i="6"/>
  <c r="C89" i="6"/>
  <c r="C88" i="6"/>
  <c r="C87" i="6"/>
  <c r="C86" i="6"/>
  <c r="C85" i="6"/>
  <c r="C83" i="6"/>
  <c r="C82" i="6"/>
  <c r="C81" i="6"/>
  <c r="C84" i="6"/>
  <c r="C76" i="6"/>
  <c r="C75" i="6"/>
  <c r="C74" i="6"/>
  <c r="C73" i="6"/>
  <c r="C72" i="6"/>
  <c r="C71" i="6"/>
  <c r="C70" i="6"/>
  <c r="C69" i="6"/>
  <c r="C68" i="6"/>
  <c r="C67" i="6"/>
  <c r="C66" i="6"/>
  <c r="C77" i="6"/>
  <c r="C61" i="6"/>
  <c r="C60" i="6"/>
  <c r="C62" i="6"/>
  <c r="C59" i="6"/>
  <c r="C58" i="6"/>
  <c r="C57" i="6"/>
  <c r="C56" i="6"/>
  <c r="C55" i="6"/>
  <c r="C54" i="6"/>
  <c r="C53" i="6"/>
  <c r="C36" i="6"/>
  <c r="C40" i="6"/>
  <c r="C39" i="6"/>
  <c r="C38" i="6"/>
  <c r="C37" i="6"/>
  <c r="C29" i="6"/>
  <c r="C30" i="6"/>
  <c r="C31" i="6"/>
  <c r="C32" i="6"/>
  <c r="C23" i="6"/>
  <c r="C21" i="6"/>
  <c r="C22" i="6"/>
  <c r="C24" i="6"/>
  <c r="C25" i="6"/>
  <c r="C26" i="6"/>
  <c r="C27" i="6"/>
  <c r="C28" i="6"/>
  <c r="C17" i="6"/>
  <c r="C6" i="6"/>
  <c r="C7" i="6"/>
  <c r="C8" i="6"/>
  <c r="C9" i="6"/>
  <c r="C10" i="6"/>
  <c r="C13" i="6"/>
  <c r="C14" i="6"/>
  <c r="C11" i="6"/>
  <c r="C15" i="6"/>
  <c r="C12" i="6"/>
  <c r="C16" i="6"/>
  <c r="C92" i="5"/>
  <c r="C89" i="5"/>
  <c r="C90" i="5"/>
  <c r="C83" i="5"/>
  <c r="C82" i="5"/>
  <c r="C81" i="5"/>
  <c r="C91" i="5"/>
  <c r="C88" i="5"/>
  <c r="C84" i="5"/>
  <c r="C85" i="5"/>
  <c r="C86" i="5"/>
  <c r="C87" i="5"/>
  <c r="C69" i="5"/>
  <c r="C66" i="5"/>
  <c r="C77" i="5"/>
  <c r="C72" i="5"/>
  <c r="C70" i="5"/>
  <c r="C73" i="5"/>
  <c r="C74" i="5"/>
  <c r="C75" i="5"/>
  <c r="C67" i="5"/>
  <c r="C76" i="5"/>
  <c r="C71" i="5"/>
  <c r="C68" i="5"/>
  <c r="C51" i="5"/>
  <c r="C56" i="5"/>
  <c r="C54" i="5"/>
  <c r="C61" i="5"/>
  <c r="C52" i="5"/>
  <c r="C53" i="5"/>
  <c r="C55" i="5"/>
  <c r="C62" i="5"/>
  <c r="C60" i="5"/>
  <c r="C59" i="5"/>
  <c r="C58" i="5"/>
  <c r="C57" i="5"/>
  <c r="C47" i="5"/>
  <c r="C46" i="5"/>
  <c r="C45" i="5"/>
  <c r="C44" i="5"/>
  <c r="C43" i="5"/>
  <c r="C41" i="5"/>
  <c r="C36" i="5"/>
  <c r="C37" i="5"/>
  <c r="C39" i="5"/>
  <c r="C40" i="5"/>
  <c r="C42" i="5"/>
  <c r="C38" i="5"/>
  <c r="C28" i="5"/>
  <c r="C29" i="5"/>
  <c r="C30" i="5"/>
  <c r="C31" i="5"/>
  <c r="C32" i="5"/>
  <c r="C21" i="5"/>
  <c r="C22" i="5"/>
  <c r="C23" i="5"/>
  <c r="C24" i="5"/>
  <c r="C25" i="5"/>
  <c r="C26" i="5"/>
  <c r="C27" i="5"/>
  <c r="C17" i="5"/>
  <c r="C9" i="5"/>
  <c r="C6" i="5"/>
  <c r="C7" i="5"/>
  <c r="C8" i="5"/>
  <c r="C10" i="5"/>
  <c r="C11" i="5"/>
  <c r="C12" i="5"/>
  <c r="C13" i="5"/>
  <c r="C14" i="5"/>
  <c r="C15" i="5"/>
  <c r="C16" i="5"/>
  <c r="H14" i="9" l="1"/>
  <c r="H15" i="9"/>
  <c r="H16" i="9"/>
  <c r="H13" i="9"/>
  <c r="H12" i="9"/>
  <c r="H10" i="9"/>
  <c r="H9" i="9"/>
  <c r="H11" i="9"/>
  <c r="H7" i="9"/>
  <c r="H6" i="9"/>
  <c r="H5" i="9"/>
  <c r="H8" i="9"/>
  <c r="C13" i="11"/>
  <c r="D13" i="11"/>
  <c r="E13" i="11"/>
  <c r="F13" i="11"/>
  <c r="G13" i="11"/>
  <c r="C14" i="11"/>
  <c r="D14" i="11"/>
  <c r="E14" i="11"/>
  <c r="F14" i="11"/>
  <c r="G14" i="11"/>
  <c r="C15" i="11"/>
  <c r="D15" i="11"/>
  <c r="E15" i="11"/>
  <c r="F15" i="11"/>
  <c r="G15" i="11"/>
  <c r="C16" i="11"/>
  <c r="D16" i="11"/>
  <c r="E16" i="11"/>
  <c r="G16" i="11"/>
  <c r="F16" i="11"/>
  <c r="F51" i="7"/>
  <c r="I51" i="7"/>
  <c r="E54" i="7"/>
  <c r="F52" i="7"/>
  <c r="I52" i="7"/>
  <c r="E53" i="7"/>
  <c r="F53" i="7"/>
  <c r="I53" i="7"/>
  <c r="E52" i="7"/>
  <c r="F54" i="7"/>
  <c r="I54" i="7"/>
  <c r="E51" i="7"/>
  <c r="F55" i="7"/>
  <c r="I55" i="7"/>
  <c r="E58" i="7"/>
  <c r="F56" i="7"/>
  <c r="I56" i="7"/>
  <c r="E57" i="7"/>
  <c r="F57" i="7"/>
  <c r="I57" i="7"/>
  <c r="E56" i="7"/>
  <c r="F58" i="7"/>
  <c r="I58" i="7"/>
  <c r="E55" i="7"/>
  <c r="F59" i="7"/>
  <c r="I59" i="7"/>
  <c r="E62" i="7"/>
  <c r="F60" i="7"/>
  <c r="I60" i="7"/>
  <c r="E61" i="7"/>
  <c r="F61" i="7"/>
  <c r="I61" i="7"/>
  <c r="E60" i="7"/>
  <c r="F62" i="7"/>
  <c r="I62" i="7"/>
  <c r="E59" i="7"/>
  <c r="F36" i="7"/>
  <c r="I36" i="7"/>
  <c r="E37" i="7"/>
  <c r="F37" i="7"/>
  <c r="I37" i="7"/>
  <c r="E36" i="7"/>
  <c r="F38" i="7"/>
  <c r="I38" i="7"/>
  <c r="E39" i="7"/>
  <c r="F39" i="7"/>
  <c r="I39" i="7"/>
  <c r="E38" i="7"/>
  <c r="F40" i="7"/>
  <c r="I40" i="7"/>
  <c r="E41" i="7"/>
  <c r="F41" i="7"/>
  <c r="I41" i="7"/>
  <c r="E40" i="7"/>
  <c r="F42" i="7"/>
  <c r="I42" i="7"/>
  <c r="E43" i="7"/>
  <c r="F43" i="7"/>
  <c r="I43" i="7"/>
  <c r="E42" i="7"/>
  <c r="F44" i="7"/>
  <c r="I44" i="7"/>
  <c r="E45" i="7"/>
  <c r="F45" i="7"/>
  <c r="I45" i="7"/>
  <c r="E44" i="7"/>
  <c r="F46" i="7"/>
  <c r="I46" i="7"/>
  <c r="E47" i="7"/>
  <c r="F47" i="7"/>
  <c r="I47" i="7"/>
  <c r="E46" i="7"/>
  <c r="F21" i="7"/>
  <c r="I21" i="7"/>
  <c r="E23" i="7"/>
  <c r="F22" i="7"/>
  <c r="I22" i="7"/>
  <c r="E24" i="7"/>
  <c r="F23" i="7"/>
  <c r="I23" i="7"/>
  <c r="E21" i="7"/>
  <c r="F24" i="7"/>
  <c r="I24" i="7"/>
  <c r="E22" i="7"/>
  <c r="F25" i="7"/>
  <c r="I25" i="7"/>
  <c r="E27" i="7"/>
  <c r="F26" i="7"/>
  <c r="I26" i="7"/>
  <c r="E28" i="7"/>
  <c r="F27" i="7"/>
  <c r="I27" i="7"/>
  <c r="E25" i="7"/>
  <c r="F28" i="7"/>
  <c r="I28" i="7"/>
  <c r="E26" i="7"/>
  <c r="F29" i="7"/>
  <c r="I29" i="7"/>
  <c r="E31" i="7"/>
  <c r="F30" i="7"/>
  <c r="I30" i="7"/>
  <c r="E32" i="7"/>
  <c r="F31" i="7"/>
  <c r="I31" i="7"/>
  <c r="E29" i="7"/>
  <c r="F32" i="7"/>
  <c r="I32" i="7"/>
  <c r="E30" i="7"/>
  <c r="F6" i="7"/>
  <c r="I6" i="7"/>
  <c r="E9" i="7"/>
  <c r="F7" i="7"/>
  <c r="I7" i="7"/>
  <c r="E8" i="7"/>
  <c r="F9" i="7"/>
  <c r="I9" i="7"/>
  <c r="E6" i="7"/>
  <c r="E11" i="7"/>
  <c r="F12" i="7"/>
  <c r="I12" i="7"/>
  <c r="F13" i="7"/>
  <c r="I13" i="7"/>
  <c r="E10" i="7"/>
  <c r="F14" i="7"/>
  <c r="I14" i="7"/>
  <c r="E17" i="7"/>
  <c r="F15" i="7"/>
  <c r="I15" i="7"/>
  <c r="E16" i="7"/>
  <c r="F16" i="7"/>
  <c r="I16" i="7"/>
  <c r="E15" i="7"/>
  <c r="F17" i="7"/>
  <c r="I17" i="7"/>
  <c r="E14" i="7"/>
  <c r="F8" i="7"/>
  <c r="I8" i="7"/>
  <c r="E7" i="7"/>
  <c r="F11" i="7"/>
  <c r="E12" i="7"/>
  <c r="I11" i="7"/>
  <c r="F10" i="7"/>
  <c r="I10" i="7"/>
  <c r="E13" i="7"/>
  <c r="F89" i="7"/>
  <c r="I89" i="7"/>
  <c r="E90" i="7"/>
  <c r="F81" i="7"/>
  <c r="I81" i="7"/>
  <c r="E82" i="7"/>
  <c r="F82" i="7"/>
  <c r="I82" i="7"/>
  <c r="E81" i="7"/>
  <c r="F83" i="7"/>
  <c r="I83" i="7"/>
  <c r="E84" i="7"/>
  <c r="F84" i="7"/>
  <c r="I84" i="7"/>
  <c r="E83" i="7"/>
  <c r="F88" i="7"/>
  <c r="I88" i="7"/>
  <c r="E87" i="7"/>
  <c r="F87" i="7"/>
  <c r="I87" i="7"/>
  <c r="E88" i="7"/>
  <c r="F86" i="7"/>
  <c r="I86" i="7"/>
  <c r="E85" i="7"/>
  <c r="F85" i="7"/>
  <c r="I85" i="7"/>
  <c r="E86" i="7"/>
  <c r="F90" i="7"/>
  <c r="I90" i="7"/>
  <c r="E89" i="7"/>
  <c r="F92" i="7"/>
  <c r="I92" i="7"/>
  <c r="E91" i="7"/>
  <c r="F91" i="7"/>
  <c r="I91" i="7"/>
  <c r="E92" i="7"/>
  <c r="F66" i="7"/>
  <c r="I66" i="7"/>
  <c r="E68" i="7"/>
  <c r="F74" i="7"/>
  <c r="I74" i="7"/>
  <c r="E76" i="7"/>
  <c r="F75" i="7"/>
  <c r="I75" i="7"/>
  <c r="E77" i="7"/>
  <c r="F76" i="7"/>
  <c r="I76" i="7"/>
  <c r="E74" i="7"/>
  <c r="F77" i="7"/>
  <c r="I77" i="7"/>
  <c r="E75" i="7"/>
  <c r="F67" i="7"/>
  <c r="I67" i="7"/>
  <c r="E69" i="7"/>
  <c r="F68" i="7"/>
  <c r="I68" i="7"/>
  <c r="E66" i="7"/>
  <c r="F69" i="7"/>
  <c r="I69" i="7"/>
  <c r="E67" i="7"/>
  <c r="F70" i="7"/>
  <c r="I70" i="7"/>
  <c r="E72" i="7"/>
  <c r="F71" i="7"/>
  <c r="I71" i="7"/>
  <c r="E73" i="7"/>
  <c r="F72" i="7"/>
  <c r="I72" i="7"/>
  <c r="E70" i="7"/>
  <c r="F73" i="7"/>
  <c r="I73" i="7"/>
  <c r="E71" i="7"/>
  <c r="F92" i="6"/>
  <c r="G92" i="6" s="1"/>
  <c r="I92" i="6" s="1"/>
  <c r="H92" i="6"/>
  <c r="E84" i="6"/>
  <c r="F91" i="6"/>
  <c r="G91" i="6" s="1"/>
  <c r="H91" i="6"/>
  <c r="E83" i="6"/>
  <c r="F90" i="6"/>
  <c r="G90" i="6" s="1"/>
  <c r="H90" i="6"/>
  <c r="E88" i="6"/>
  <c r="F89" i="6"/>
  <c r="G89" i="6" s="1"/>
  <c r="H89" i="6"/>
  <c r="E87" i="6"/>
  <c r="F88" i="6"/>
  <c r="G88" i="6" s="1"/>
  <c r="H88" i="6"/>
  <c r="E90" i="6"/>
  <c r="F87" i="6"/>
  <c r="G87" i="6" s="1"/>
  <c r="H87" i="6"/>
  <c r="E89" i="6"/>
  <c r="F86" i="6"/>
  <c r="G86" i="6" s="1"/>
  <c r="H86" i="6"/>
  <c r="E81" i="6"/>
  <c r="F85" i="6"/>
  <c r="G85" i="6" s="1"/>
  <c r="H85" i="6"/>
  <c r="E82" i="6"/>
  <c r="F83" i="6"/>
  <c r="G83" i="6" s="1"/>
  <c r="H83" i="6"/>
  <c r="E91" i="6"/>
  <c r="F82" i="6"/>
  <c r="G82" i="6" s="1"/>
  <c r="H82" i="6"/>
  <c r="E85" i="6"/>
  <c r="F81" i="6"/>
  <c r="G81" i="6" s="1"/>
  <c r="H81" i="6"/>
  <c r="E86" i="6"/>
  <c r="F84" i="6"/>
  <c r="G84" i="6" s="1"/>
  <c r="H84" i="6"/>
  <c r="E92" i="6"/>
  <c r="F76" i="6"/>
  <c r="G76" i="6" s="1"/>
  <c r="H76" i="6"/>
  <c r="E72" i="6"/>
  <c r="F75" i="6"/>
  <c r="G75" i="6" s="1"/>
  <c r="H75" i="6"/>
  <c r="E66" i="6"/>
  <c r="F74" i="6"/>
  <c r="G74" i="6" s="1"/>
  <c r="H74" i="6"/>
  <c r="E67" i="6"/>
  <c r="F73" i="6"/>
  <c r="G73" i="6" s="1"/>
  <c r="H73" i="6"/>
  <c r="E77" i="6"/>
  <c r="F72" i="6"/>
  <c r="G72" i="6" s="1"/>
  <c r="H72" i="6"/>
  <c r="E76" i="6"/>
  <c r="F71" i="6"/>
  <c r="G71" i="6" s="1"/>
  <c r="H71" i="6"/>
  <c r="E69" i="6"/>
  <c r="F70" i="6"/>
  <c r="G70" i="6" s="1"/>
  <c r="H70" i="6"/>
  <c r="E68" i="6"/>
  <c r="F69" i="6"/>
  <c r="G69" i="6" s="1"/>
  <c r="H69" i="6"/>
  <c r="E71" i="6"/>
  <c r="F68" i="6"/>
  <c r="G68" i="6" s="1"/>
  <c r="H68" i="6"/>
  <c r="E70" i="6"/>
  <c r="F67" i="6"/>
  <c r="G67" i="6" s="1"/>
  <c r="H67" i="6"/>
  <c r="E74" i="6"/>
  <c r="F66" i="6"/>
  <c r="G66" i="6" s="1"/>
  <c r="H66" i="6"/>
  <c r="E75" i="6"/>
  <c r="F77" i="6"/>
  <c r="G77" i="6" s="1"/>
  <c r="H77" i="6"/>
  <c r="E73" i="6"/>
  <c r="F61" i="6"/>
  <c r="G61" i="6" s="1"/>
  <c r="H61" i="6"/>
  <c r="E54" i="6"/>
  <c r="F60" i="6"/>
  <c r="G60" i="6" s="1"/>
  <c r="H60" i="6"/>
  <c r="E55" i="6"/>
  <c r="F62" i="6"/>
  <c r="G62" i="6" s="1"/>
  <c r="H62" i="6"/>
  <c r="E53" i="6"/>
  <c r="F59" i="6"/>
  <c r="G59" i="6" s="1"/>
  <c r="H59" i="6"/>
  <c r="E56" i="6"/>
  <c r="F58" i="6"/>
  <c r="G58" i="6" s="1"/>
  <c r="H58" i="6"/>
  <c r="E52" i="6"/>
  <c r="F57" i="6"/>
  <c r="G57" i="6" s="1"/>
  <c r="H57" i="6"/>
  <c r="E51" i="6"/>
  <c r="F56" i="6"/>
  <c r="G56" i="6" s="1"/>
  <c r="H56" i="6"/>
  <c r="E59" i="6"/>
  <c r="F55" i="6"/>
  <c r="G55" i="6" s="1"/>
  <c r="I55" i="6" s="1"/>
  <c r="H55" i="6"/>
  <c r="E60" i="6"/>
  <c r="F54" i="6"/>
  <c r="G54" i="6" s="1"/>
  <c r="I54" i="6" s="1"/>
  <c r="H54" i="6"/>
  <c r="E61" i="6"/>
  <c r="F53" i="6"/>
  <c r="G53" i="6" s="1"/>
  <c r="I53" i="6" s="1"/>
  <c r="H53" i="6"/>
  <c r="E62" i="6"/>
  <c r="F36" i="6"/>
  <c r="G36" i="6" s="1"/>
  <c r="I36" i="6" s="1"/>
  <c r="H36" i="6"/>
  <c r="E40" i="6"/>
  <c r="F40" i="6"/>
  <c r="G40" i="6" s="1"/>
  <c r="H40" i="6"/>
  <c r="E36" i="6"/>
  <c r="F39" i="6"/>
  <c r="G39" i="6" s="1"/>
  <c r="H39" i="6"/>
  <c r="E44" i="6"/>
  <c r="F38" i="6"/>
  <c r="G38" i="6" s="1"/>
  <c r="H38" i="6"/>
  <c r="E45" i="6"/>
  <c r="F37" i="6"/>
  <c r="G37" i="6" s="1"/>
  <c r="H37" i="6"/>
  <c r="E41" i="6"/>
  <c r="F29" i="6"/>
  <c r="G29" i="6" s="1"/>
  <c r="H29" i="6"/>
  <c r="E28" i="6"/>
  <c r="F30" i="6"/>
  <c r="G30" i="6" s="1"/>
  <c r="H30" i="6"/>
  <c r="E27" i="6"/>
  <c r="F31" i="6"/>
  <c r="G31" i="6" s="1"/>
  <c r="H31" i="6"/>
  <c r="E22" i="6"/>
  <c r="F32" i="6"/>
  <c r="G32" i="6" s="1"/>
  <c r="H32" i="6"/>
  <c r="E21" i="6"/>
  <c r="F23" i="6"/>
  <c r="G23" i="6" s="1"/>
  <c r="H23" i="6"/>
  <c r="E26" i="6"/>
  <c r="F21" i="6"/>
  <c r="G21" i="6" s="1"/>
  <c r="H21" i="6"/>
  <c r="E32" i="6"/>
  <c r="F22" i="6"/>
  <c r="G22" i="6" s="1"/>
  <c r="H22" i="6"/>
  <c r="E31" i="6"/>
  <c r="F24" i="6"/>
  <c r="G24" i="6" s="1"/>
  <c r="H24" i="6"/>
  <c r="E25" i="6"/>
  <c r="F25" i="6"/>
  <c r="G25" i="6" s="1"/>
  <c r="H25" i="6"/>
  <c r="E24" i="6"/>
  <c r="F26" i="6"/>
  <c r="G26" i="6" s="1"/>
  <c r="H26" i="6"/>
  <c r="E23" i="6"/>
  <c r="F27" i="6"/>
  <c r="G27" i="6" s="1"/>
  <c r="H27" i="6"/>
  <c r="E30" i="6"/>
  <c r="F28" i="6"/>
  <c r="G28" i="6" s="1"/>
  <c r="H28" i="6"/>
  <c r="E29" i="6"/>
  <c r="F17" i="6"/>
  <c r="H17" i="6"/>
  <c r="L13" i="13" s="1"/>
  <c r="E11" i="6"/>
  <c r="H6" i="6"/>
  <c r="L2" i="13" s="1"/>
  <c r="E15" i="6"/>
  <c r="F7" i="6"/>
  <c r="H7" i="6"/>
  <c r="L3" i="13" s="1"/>
  <c r="E14" i="6"/>
  <c r="F8" i="6"/>
  <c r="H8" i="6"/>
  <c r="L4" i="13" s="1"/>
  <c r="E13" i="6"/>
  <c r="F9" i="6"/>
  <c r="H9" i="6"/>
  <c r="L5" i="13" s="1"/>
  <c r="E12" i="6"/>
  <c r="F10" i="6"/>
  <c r="H10" i="6"/>
  <c r="L6" i="13" s="1"/>
  <c r="E16" i="6"/>
  <c r="F13" i="6"/>
  <c r="H13" i="6"/>
  <c r="L9" i="13" s="1"/>
  <c r="E8" i="6"/>
  <c r="F14" i="6"/>
  <c r="H14" i="6"/>
  <c r="L10" i="13" s="1"/>
  <c r="E7" i="6"/>
  <c r="F11" i="6"/>
  <c r="H11" i="6"/>
  <c r="L7" i="13" s="1"/>
  <c r="E17" i="6"/>
  <c r="F15" i="6"/>
  <c r="H15" i="6"/>
  <c r="L11" i="13" s="1"/>
  <c r="E6" i="6"/>
  <c r="F6" i="6" s="1"/>
  <c r="F12" i="6"/>
  <c r="H12" i="6"/>
  <c r="L8" i="13" s="1"/>
  <c r="E9" i="6"/>
  <c r="F16" i="6"/>
  <c r="H16" i="6"/>
  <c r="L12" i="13" s="1"/>
  <c r="E10" i="6"/>
  <c r="F92" i="5"/>
  <c r="G92" i="5" s="1"/>
  <c r="I92" i="5" s="1"/>
  <c r="H92" i="5"/>
  <c r="H13" i="13" s="1"/>
  <c r="H14" i="8" s="1"/>
  <c r="E85" i="5"/>
  <c r="F85" i="5" s="1"/>
  <c r="G85" i="5" s="1"/>
  <c r="H89" i="5"/>
  <c r="E81" i="5"/>
  <c r="H90" i="5"/>
  <c r="E82" i="5"/>
  <c r="F83" i="5"/>
  <c r="G83" i="5" s="1"/>
  <c r="I83" i="5" s="1"/>
  <c r="H83" i="5"/>
  <c r="E87" i="5"/>
  <c r="F87" i="5" s="1"/>
  <c r="G87" i="5" s="1"/>
  <c r="F82" i="5"/>
  <c r="G82" i="5" s="1"/>
  <c r="I82" i="5" s="1"/>
  <c r="H82" i="5"/>
  <c r="E90" i="5"/>
  <c r="F90" i="5" s="1"/>
  <c r="G90" i="5" s="1"/>
  <c r="I90" i="5" s="1"/>
  <c r="F81" i="5"/>
  <c r="G81" i="5" s="1"/>
  <c r="I81" i="5" s="1"/>
  <c r="H81" i="5"/>
  <c r="H2" i="13" s="1"/>
  <c r="H3" i="8" s="1"/>
  <c r="E89" i="5"/>
  <c r="F89" i="5" s="1"/>
  <c r="G89" i="5" s="1"/>
  <c r="H91" i="5"/>
  <c r="E86" i="5"/>
  <c r="H88" i="5"/>
  <c r="E84" i="5"/>
  <c r="F84" i="5"/>
  <c r="G84" i="5" s="1"/>
  <c r="H84" i="5"/>
  <c r="H5" i="13" s="1"/>
  <c r="H6" i="8" s="1"/>
  <c r="E88" i="5"/>
  <c r="F88" i="5" s="1"/>
  <c r="G88" i="5" s="1"/>
  <c r="H85" i="5"/>
  <c r="E92" i="5"/>
  <c r="F86" i="5"/>
  <c r="G86" i="5" s="1"/>
  <c r="H86" i="5"/>
  <c r="H7" i="13" s="1"/>
  <c r="H8" i="8" s="1"/>
  <c r="E91" i="5"/>
  <c r="F91" i="5" s="1"/>
  <c r="G91" i="5" s="1"/>
  <c r="H87" i="5"/>
  <c r="E83" i="5"/>
  <c r="F69" i="5"/>
  <c r="G69" i="5" s="1"/>
  <c r="H69" i="5"/>
  <c r="G5" i="13" s="1"/>
  <c r="G6" i="8" s="1"/>
  <c r="E71" i="5"/>
  <c r="F71" i="5" s="1"/>
  <c r="G71" i="5" s="1"/>
  <c r="F66" i="5"/>
  <c r="G66" i="5" s="1"/>
  <c r="H66" i="5"/>
  <c r="G2" i="13" s="1"/>
  <c r="G3" i="8" s="1"/>
  <c r="E76" i="5"/>
  <c r="F76" i="5" s="1"/>
  <c r="G76" i="5" s="1"/>
  <c r="F77" i="5"/>
  <c r="G77" i="5" s="1"/>
  <c r="H77" i="5"/>
  <c r="G13" i="13" s="1"/>
  <c r="G14" i="8" s="1"/>
  <c r="E67" i="5"/>
  <c r="F67" i="5" s="1"/>
  <c r="G67" i="5" s="1"/>
  <c r="F72" i="5"/>
  <c r="G72" i="5" s="1"/>
  <c r="I72" i="5" s="1"/>
  <c r="H72" i="5"/>
  <c r="E75" i="5"/>
  <c r="F75" i="5" s="1"/>
  <c r="G75" i="5" s="1"/>
  <c r="F70" i="5"/>
  <c r="G70" i="5" s="1"/>
  <c r="I70" i="5" s="1"/>
  <c r="H70" i="5"/>
  <c r="G6" i="13" s="1"/>
  <c r="G7" i="8" s="1"/>
  <c r="E68" i="5"/>
  <c r="F68" i="5" s="1"/>
  <c r="G68" i="5" s="1"/>
  <c r="F73" i="5"/>
  <c r="G73" i="5" s="1"/>
  <c r="I73" i="5" s="1"/>
  <c r="H73" i="5"/>
  <c r="E74" i="5"/>
  <c r="F74" i="5" s="1"/>
  <c r="G74" i="5" s="1"/>
  <c r="H74" i="5"/>
  <c r="E73" i="5"/>
  <c r="H75" i="5"/>
  <c r="E72" i="5"/>
  <c r="H67" i="5"/>
  <c r="E77" i="5"/>
  <c r="H76" i="5"/>
  <c r="E66" i="5"/>
  <c r="H71" i="5"/>
  <c r="E69" i="5"/>
  <c r="H68" i="5"/>
  <c r="E70" i="5"/>
  <c r="H51" i="5"/>
  <c r="E58" i="5"/>
  <c r="H56" i="5"/>
  <c r="E59" i="5"/>
  <c r="F59" i="5" s="1"/>
  <c r="G59" i="5" s="1"/>
  <c r="H54" i="5"/>
  <c r="E61" i="5"/>
  <c r="F61" i="5"/>
  <c r="G61" i="5" s="1"/>
  <c r="H61" i="5"/>
  <c r="F12" i="13" s="1"/>
  <c r="F13" i="8" s="1"/>
  <c r="E54" i="5"/>
  <c r="F54" i="5" s="1"/>
  <c r="G54" i="5" s="1"/>
  <c r="H52" i="5"/>
  <c r="E57" i="5"/>
  <c r="F53" i="5"/>
  <c r="G53" i="5" s="1"/>
  <c r="H53" i="5"/>
  <c r="F4" i="13" s="1"/>
  <c r="F5" i="8" s="1"/>
  <c r="E62" i="5"/>
  <c r="F62" i="5" s="1"/>
  <c r="G62" i="5" s="1"/>
  <c r="F55" i="5"/>
  <c r="G55" i="5" s="1"/>
  <c r="I55" i="5" s="1"/>
  <c r="H55" i="5"/>
  <c r="E60" i="5"/>
  <c r="H62" i="5"/>
  <c r="E53" i="5"/>
  <c r="F60" i="5"/>
  <c r="G60" i="5" s="1"/>
  <c r="H60" i="5"/>
  <c r="F11" i="13" s="1"/>
  <c r="F12" i="8" s="1"/>
  <c r="E55" i="5"/>
  <c r="H59" i="5"/>
  <c r="E56" i="5"/>
  <c r="F56" i="5" s="1"/>
  <c r="G56" i="5" s="1"/>
  <c r="F58" i="5"/>
  <c r="G58" i="5" s="1"/>
  <c r="I58" i="5" s="1"/>
  <c r="H58" i="5"/>
  <c r="E51" i="5"/>
  <c r="F51" i="5" s="1"/>
  <c r="G51" i="5" s="1"/>
  <c r="F57" i="5"/>
  <c r="G57" i="5" s="1"/>
  <c r="H57" i="5"/>
  <c r="F8" i="13" s="1"/>
  <c r="F9" i="8" s="1"/>
  <c r="E52" i="5"/>
  <c r="F52" i="5" s="1"/>
  <c r="G52" i="5" s="1"/>
  <c r="F47" i="5"/>
  <c r="G47" i="5" s="1"/>
  <c r="H47" i="5"/>
  <c r="E13" i="13" s="1"/>
  <c r="E14" i="8" s="1"/>
  <c r="E39" i="5"/>
  <c r="H46" i="5"/>
  <c r="E38" i="5"/>
  <c r="F38" i="5" s="1"/>
  <c r="G38" i="5" s="1"/>
  <c r="H45" i="5"/>
  <c r="E41" i="5"/>
  <c r="F44" i="5"/>
  <c r="G44" i="5" s="1"/>
  <c r="H44" i="5"/>
  <c r="E10" i="13" s="1"/>
  <c r="E11" i="8" s="1"/>
  <c r="E40" i="5"/>
  <c r="F40" i="5" s="1"/>
  <c r="G40" i="5" s="1"/>
  <c r="F43" i="5"/>
  <c r="G43" i="5" s="1"/>
  <c r="H43" i="5"/>
  <c r="E9" i="13" s="1"/>
  <c r="E10" i="8" s="1"/>
  <c r="E37" i="5"/>
  <c r="F37" i="5" s="1"/>
  <c r="G37" i="5" s="1"/>
  <c r="F41" i="5"/>
  <c r="G41" i="5" s="1"/>
  <c r="H41" i="5"/>
  <c r="E7" i="13" s="1"/>
  <c r="E8" i="8" s="1"/>
  <c r="E45" i="5"/>
  <c r="F45" i="5" s="1"/>
  <c r="G45" i="5" s="1"/>
  <c r="F36" i="5"/>
  <c r="G36" i="5" s="1"/>
  <c r="H36" i="5"/>
  <c r="E2" i="13" s="1"/>
  <c r="E3" i="8" s="1"/>
  <c r="E42" i="5"/>
  <c r="H37" i="5"/>
  <c r="E43" i="5"/>
  <c r="F39" i="5"/>
  <c r="G39" i="5" s="1"/>
  <c r="H39" i="5"/>
  <c r="E5" i="13" s="1"/>
  <c r="E6" i="8" s="1"/>
  <c r="E47" i="5"/>
  <c r="H40" i="5"/>
  <c r="E44" i="5"/>
  <c r="F42" i="5"/>
  <c r="G42" i="5" s="1"/>
  <c r="H42" i="5"/>
  <c r="E8" i="13" s="1"/>
  <c r="E9" i="8" s="1"/>
  <c r="E36" i="5"/>
  <c r="H38" i="5"/>
  <c r="E46" i="5"/>
  <c r="F46" i="5" s="1"/>
  <c r="G46" i="5" s="1"/>
  <c r="H28" i="5"/>
  <c r="E31" i="5"/>
  <c r="F29" i="5"/>
  <c r="G29" i="5" s="1"/>
  <c r="H29" i="5"/>
  <c r="D10" i="13" s="1"/>
  <c r="D11" i="8" s="1"/>
  <c r="E24" i="5"/>
  <c r="F24" i="5" s="1"/>
  <c r="G24" i="5" s="1"/>
  <c r="F30" i="5"/>
  <c r="G30" i="5" s="1"/>
  <c r="H30" i="5"/>
  <c r="D11" i="13" s="1"/>
  <c r="D12" i="8" s="1"/>
  <c r="E23" i="5"/>
  <c r="F23" i="5" s="1"/>
  <c r="G23" i="5" s="1"/>
  <c r="F31" i="5"/>
  <c r="G31" i="5" s="1"/>
  <c r="H31" i="5"/>
  <c r="D12" i="13" s="1"/>
  <c r="D13" i="8" s="1"/>
  <c r="E28" i="5"/>
  <c r="F28" i="5" s="1"/>
  <c r="G28" i="5" s="1"/>
  <c r="F32" i="5"/>
  <c r="G32" i="5" s="1"/>
  <c r="I32" i="5" s="1"/>
  <c r="H32" i="5"/>
  <c r="D13" i="13" s="1"/>
  <c r="D14" i="8" s="1"/>
  <c r="E27" i="5"/>
  <c r="F27" i="5" s="1"/>
  <c r="G27" i="5" s="1"/>
  <c r="F21" i="5"/>
  <c r="G21" i="5" s="1"/>
  <c r="I21" i="5" s="1"/>
  <c r="H21" i="5"/>
  <c r="D2" i="13" s="1"/>
  <c r="D3" i="8" s="1"/>
  <c r="E26" i="5"/>
  <c r="F26" i="5" s="1"/>
  <c r="G26" i="5" s="1"/>
  <c r="F22" i="5"/>
  <c r="G22" i="5" s="1"/>
  <c r="I22" i="5" s="1"/>
  <c r="H22" i="5"/>
  <c r="D3" i="13" s="1"/>
  <c r="D4" i="8" s="1"/>
  <c r="E25" i="5"/>
  <c r="H23" i="5"/>
  <c r="E30" i="5"/>
  <c r="H24" i="5"/>
  <c r="E29" i="5"/>
  <c r="F25" i="5"/>
  <c r="G25" i="5" s="1"/>
  <c r="H25" i="5"/>
  <c r="D6" i="13" s="1"/>
  <c r="D7" i="8" s="1"/>
  <c r="E22" i="5"/>
  <c r="H26" i="5"/>
  <c r="E21" i="5"/>
  <c r="H27" i="5"/>
  <c r="E32" i="5"/>
  <c r="H17" i="5"/>
  <c r="E13" i="5"/>
  <c r="H9" i="5"/>
  <c r="E15" i="5"/>
  <c r="H6" i="5"/>
  <c r="E10" i="5"/>
  <c r="H7" i="5"/>
  <c r="E11" i="5"/>
  <c r="H8" i="5"/>
  <c r="E14" i="5"/>
  <c r="F10" i="5"/>
  <c r="H10" i="5"/>
  <c r="E6" i="5"/>
  <c r="F6" i="5" s="1"/>
  <c r="F11" i="5"/>
  <c r="H11" i="5"/>
  <c r="E7" i="5"/>
  <c r="F7" i="5" s="1"/>
  <c r="H12" i="5"/>
  <c r="E16" i="5"/>
  <c r="F13" i="5"/>
  <c r="H13" i="5"/>
  <c r="E17" i="5"/>
  <c r="F17" i="5" s="1"/>
  <c r="F14" i="5"/>
  <c r="H14" i="5"/>
  <c r="E8" i="5"/>
  <c r="F8" i="5" s="1"/>
  <c r="F15" i="5"/>
  <c r="H15" i="5"/>
  <c r="E9" i="5"/>
  <c r="F9" i="5" s="1"/>
  <c r="F16" i="5"/>
  <c r="H16" i="5"/>
  <c r="E12" i="5"/>
  <c r="F12" i="5" s="1"/>
  <c r="I51" i="6"/>
  <c r="I43" i="6"/>
  <c r="B9" i="9" l="1"/>
  <c r="B8" i="9"/>
  <c r="B7" i="9"/>
  <c r="G51" i="7"/>
  <c r="H51" i="7"/>
  <c r="G52" i="7"/>
  <c r="H52" i="7"/>
  <c r="G53" i="7"/>
  <c r="H53" i="7"/>
  <c r="G54" i="7"/>
  <c r="H54" i="7"/>
  <c r="G55" i="7"/>
  <c r="H55" i="7"/>
  <c r="G56" i="7"/>
  <c r="H56" i="7"/>
  <c r="G57" i="7"/>
  <c r="H57" i="7"/>
  <c r="G58" i="7"/>
  <c r="H58" i="7"/>
  <c r="G59" i="7"/>
  <c r="H59" i="7"/>
  <c r="G60" i="7"/>
  <c r="H60" i="7"/>
  <c r="G61" i="7"/>
  <c r="H61" i="7"/>
  <c r="H62" i="7"/>
  <c r="G62" i="7"/>
  <c r="G36" i="7"/>
  <c r="H36" i="7"/>
  <c r="G37" i="7"/>
  <c r="H37" i="7"/>
  <c r="G38" i="7"/>
  <c r="H38" i="7"/>
  <c r="G39" i="7"/>
  <c r="H39" i="7"/>
  <c r="G40" i="7"/>
  <c r="H40" i="7"/>
  <c r="G41" i="7"/>
  <c r="H41" i="7"/>
  <c r="G42" i="7"/>
  <c r="H42" i="7"/>
  <c r="G43" i="7"/>
  <c r="H43" i="7"/>
  <c r="G44" i="7"/>
  <c r="H44" i="7"/>
  <c r="G45" i="7"/>
  <c r="H45" i="7"/>
  <c r="G46" i="7"/>
  <c r="H46" i="7"/>
  <c r="G47" i="7"/>
  <c r="H47" i="7"/>
  <c r="G21" i="7"/>
  <c r="H21" i="7"/>
  <c r="G22" i="7"/>
  <c r="H22" i="7"/>
  <c r="G23" i="7"/>
  <c r="H23" i="7"/>
  <c r="G24" i="7"/>
  <c r="H24" i="7"/>
  <c r="G25" i="7"/>
  <c r="H25" i="7"/>
  <c r="G26" i="7"/>
  <c r="H26" i="7"/>
  <c r="G27" i="7"/>
  <c r="H27" i="7"/>
  <c r="G28" i="7"/>
  <c r="H28" i="7"/>
  <c r="G29" i="7"/>
  <c r="H29" i="7"/>
  <c r="G30" i="7"/>
  <c r="H30" i="7"/>
  <c r="G31" i="7"/>
  <c r="H31" i="7"/>
  <c r="G32" i="7"/>
  <c r="H32" i="7"/>
  <c r="G6" i="7"/>
  <c r="H6" i="7"/>
  <c r="G7" i="7"/>
  <c r="H7" i="7"/>
  <c r="H9" i="7"/>
  <c r="G9" i="7"/>
  <c r="H12" i="7"/>
  <c r="G12" i="7"/>
  <c r="H13" i="7"/>
  <c r="G13" i="7"/>
  <c r="G14" i="7"/>
  <c r="H14" i="7"/>
  <c r="G15" i="7"/>
  <c r="H15" i="7"/>
  <c r="G16" i="7"/>
  <c r="H16" i="7"/>
  <c r="G17" i="7"/>
  <c r="H17" i="7"/>
  <c r="H8" i="7"/>
  <c r="G8" i="7"/>
  <c r="H11" i="7"/>
  <c r="G11" i="7"/>
  <c r="G10" i="7"/>
  <c r="H10" i="7"/>
  <c r="G89" i="7"/>
  <c r="H89" i="7"/>
  <c r="G81" i="7"/>
  <c r="H81" i="7"/>
  <c r="G82" i="7"/>
  <c r="H82" i="7"/>
  <c r="G83" i="7"/>
  <c r="H83" i="7"/>
  <c r="G84" i="7"/>
  <c r="H84" i="7"/>
  <c r="G88" i="7"/>
  <c r="H88" i="7"/>
  <c r="G87" i="7"/>
  <c r="H87" i="7"/>
  <c r="G86" i="7"/>
  <c r="H86" i="7"/>
  <c r="G85" i="7"/>
  <c r="H85" i="7"/>
  <c r="G90" i="7"/>
  <c r="H90" i="7"/>
  <c r="G92" i="7"/>
  <c r="H92" i="7"/>
  <c r="G91" i="7"/>
  <c r="H91" i="7"/>
  <c r="H66" i="7"/>
  <c r="G66" i="7"/>
  <c r="G74" i="7"/>
  <c r="H74" i="7"/>
  <c r="G75" i="7"/>
  <c r="H75" i="7"/>
  <c r="G76" i="7"/>
  <c r="H76" i="7"/>
  <c r="G77" i="7"/>
  <c r="H77" i="7"/>
  <c r="G67" i="7"/>
  <c r="H67" i="7"/>
  <c r="G68" i="7"/>
  <c r="H68" i="7"/>
  <c r="G69" i="7"/>
  <c r="H69" i="7"/>
  <c r="G70" i="7"/>
  <c r="H70" i="7"/>
  <c r="G71" i="7"/>
  <c r="H71" i="7"/>
  <c r="G72" i="7"/>
  <c r="H72" i="7"/>
  <c r="G73" i="7"/>
  <c r="H73" i="7"/>
  <c r="G17" i="6"/>
  <c r="I17" i="6" s="1"/>
  <c r="S13" i="13"/>
  <c r="J29" i="8" s="1"/>
  <c r="R13" i="13"/>
  <c r="C29" i="8"/>
  <c r="K29" i="8"/>
  <c r="G6" i="6"/>
  <c r="I6" i="6" s="1"/>
  <c r="S2" i="13"/>
  <c r="J18" i="8" s="1"/>
  <c r="R2" i="13"/>
  <c r="C18" i="8"/>
  <c r="K18" i="8"/>
  <c r="G7" i="6"/>
  <c r="I7" i="6" s="1"/>
  <c r="S3" i="13"/>
  <c r="J19" i="8" s="1"/>
  <c r="R3" i="13"/>
  <c r="C19" i="8"/>
  <c r="K19" i="8"/>
  <c r="G8" i="6"/>
  <c r="I8" i="6" s="1"/>
  <c r="S4" i="13"/>
  <c r="J20" i="8" s="1"/>
  <c r="R4" i="13"/>
  <c r="C20" i="8"/>
  <c r="K20" i="8"/>
  <c r="G9" i="6"/>
  <c r="I9" i="6" s="1"/>
  <c r="S5" i="13"/>
  <c r="J21" i="8" s="1"/>
  <c r="R5" i="13"/>
  <c r="C21" i="8"/>
  <c r="K21" i="8"/>
  <c r="G10" i="6"/>
  <c r="I10" i="6" s="1"/>
  <c r="S6" i="13"/>
  <c r="J22" i="8" s="1"/>
  <c r="R6" i="13"/>
  <c r="C22" i="8"/>
  <c r="K22" i="8"/>
  <c r="G13" i="6"/>
  <c r="I13" i="6" s="1"/>
  <c r="S9" i="13"/>
  <c r="J25" i="8" s="1"/>
  <c r="R9" i="13"/>
  <c r="C25" i="8"/>
  <c r="K25" i="8"/>
  <c r="G14" i="6"/>
  <c r="I14" i="6" s="1"/>
  <c r="S10" i="13"/>
  <c r="J26" i="8" s="1"/>
  <c r="R10" i="13"/>
  <c r="C26" i="8"/>
  <c r="K26" i="8"/>
  <c r="G11" i="6"/>
  <c r="I11" i="6" s="1"/>
  <c r="S7" i="13"/>
  <c r="J23" i="8" s="1"/>
  <c r="R7" i="13"/>
  <c r="C23" i="8"/>
  <c r="K23" i="8"/>
  <c r="G15" i="6"/>
  <c r="I15" i="6" s="1"/>
  <c r="S11" i="13"/>
  <c r="J27" i="8" s="1"/>
  <c r="R11" i="13"/>
  <c r="C27" i="8"/>
  <c r="K27" i="8"/>
  <c r="G12" i="6"/>
  <c r="I12" i="6" s="1"/>
  <c r="S8" i="13"/>
  <c r="J24" i="8" s="1"/>
  <c r="R8" i="13"/>
  <c r="C24" i="8"/>
  <c r="K24" i="8"/>
  <c r="G16" i="6"/>
  <c r="I16" i="6" s="1"/>
  <c r="S12" i="13"/>
  <c r="J28" i="8" s="1"/>
  <c r="R12" i="13"/>
  <c r="C28" i="8"/>
  <c r="K28" i="8"/>
  <c r="G17" i="5"/>
  <c r="J13" i="13"/>
  <c r="J14" i="8" s="1"/>
  <c r="G9" i="5"/>
  <c r="J5" i="13"/>
  <c r="J6" i="8" s="1"/>
  <c r="G6" i="5"/>
  <c r="J2" i="13"/>
  <c r="J3" i="8" s="1"/>
  <c r="G7" i="5"/>
  <c r="J3" i="13"/>
  <c r="J4" i="8" s="1"/>
  <c r="G8" i="5"/>
  <c r="J4" i="13"/>
  <c r="J5" i="8" s="1"/>
  <c r="G10" i="5"/>
  <c r="J6" i="13"/>
  <c r="J7" i="8" s="1"/>
  <c r="G11" i="5"/>
  <c r="J7" i="13"/>
  <c r="J8" i="8" s="1"/>
  <c r="G12" i="5"/>
  <c r="J8" i="13"/>
  <c r="J9" i="8" s="1"/>
  <c r="G13" i="5"/>
  <c r="J9" i="13"/>
  <c r="J10" i="8" s="1"/>
  <c r="G14" i="5"/>
  <c r="J10" i="13"/>
  <c r="J11" i="8" s="1"/>
  <c r="G15" i="5"/>
  <c r="J11" i="13"/>
  <c r="J12" i="8" s="1"/>
  <c r="G16" i="5"/>
  <c r="J12" i="13"/>
  <c r="J13" i="8" s="1"/>
  <c r="H11" i="13"/>
  <c r="H12" i="8" s="1"/>
  <c r="H3" i="13"/>
  <c r="H4" i="8" s="1"/>
  <c r="I91" i="6"/>
  <c r="I90" i="6"/>
  <c r="I89" i="6"/>
  <c r="I88" i="6"/>
  <c r="I87" i="6"/>
  <c r="I86" i="6"/>
  <c r="I85" i="6"/>
  <c r="I83" i="6"/>
  <c r="I82" i="6"/>
  <c r="I81" i="6"/>
  <c r="I84" i="6"/>
  <c r="I76" i="6"/>
  <c r="I75" i="6"/>
  <c r="I74" i="6"/>
  <c r="I73" i="6"/>
  <c r="I72" i="6"/>
  <c r="I71" i="6"/>
  <c r="H4" i="13"/>
  <c r="H5" i="8" s="1"/>
  <c r="I70" i="6"/>
  <c r="I69" i="6"/>
  <c r="I68" i="6"/>
  <c r="I67" i="6"/>
  <c r="I66" i="6"/>
  <c r="I77" i="6"/>
  <c r="I61" i="6"/>
  <c r="I60" i="6"/>
  <c r="I62" i="6"/>
  <c r="I59" i="6"/>
  <c r="I58" i="6"/>
  <c r="I57" i="6"/>
  <c r="I56" i="6"/>
  <c r="G8" i="13"/>
  <c r="G9" i="8" s="1"/>
  <c r="G9" i="13"/>
  <c r="G10" i="8" s="1"/>
  <c r="I40" i="6"/>
  <c r="I39" i="6"/>
  <c r="I38" i="6"/>
  <c r="I37" i="6"/>
  <c r="I29" i="6"/>
  <c r="I30" i="6"/>
  <c r="I31" i="6"/>
  <c r="I32" i="6"/>
  <c r="I23" i="6"/>
  <c r="I21" i="6"/>
  <c r="I22" i="6"/>
  <c r="I24" i="6"/>
  <c r="I25" i="6"/>
  <c r="I26" i="6"/>
  <c r="I27" i="6"/>
  <c r="I28" i="6"/>
  <c r="I84" i="5"/>
  <c r="I86" i="5"/>
  <c r="I69" i="5"/>
  <c r="I66" i="5"/>
  <c r="I77" i="5"/>
  <c r="I61" i="5"/>
  <c r="I53" i="5"/>
  <c r="F9" i="13"/>
  <c r="F10" i="8" s="1"/>
  <c r="I57" i="5"/>
  <c r="I47" i="5"/>
  <c r="I44" i="5"/>
  <c r="I43" i="5"/>
  <c r="I41" i="5"/>
  <c r="I36" i="5"/>
  <c r="F6" i="13"/>
  <c r="F7" i="8" s="1"/>
  <c r="I60" i="5"/>
  <c r="I39" i="5"/>
  <c r="I42" i="5"/>
  <c r="I29" i="5"/>
  <c r="I30" i="5"/>
  <c r="I31" i="5"/>
  <c r="I25" i="5"/>
  <c r="H6" i="13"/>
  <c r="H7" i="8" s="1"/>
  <c r="I85" i="5"/>
  <c r="H8" i="13"/>
  <c r="H9" i="8" s="1"/>
  <c r="I87" i="5"/>
  <c r="H10" i="13"/>
  <c r="H11" i="8" s="1"/>
  <c r="I89" i="5"/>
  <c r="H9" i="13"/>
  <c r="H10" i="8" s="1"/>
  <c r="I88" i="5"/>
  <c r="H12" i="13"/>
  <c r="H13" i="8" s="1"/>
  <c r="I91" i="5"/>
  <c r="G7" i="13"/>
  <c r="G8" i="8" s="1"/>
  <c r="I71" i="5"/>
  <c r="G12" i="13"/>
  <c r="G13" i="8" s="1"/>
  <c r="I76" i="5"/>
  <c r="G3" i="13"/>
  <c r="G4" i="8" s="1"/>
  <c r="I67" i="5"/>
  <c r="G11" i="13"/>
  <c r="G12" i="8" s="1"/>
  <c r="I75" i="5"/>
  <c r="G4" i="13"/>
  <c r="G5" i="8" s="1"/>
  <c r="I68" i="5"/>
  <c r="G10" i="13"/>
  <c r="G11" i="8" s="1"/>
  <c r="I74" i="5"/>
  <c r="F10" i="13"/>
  <c r="F11" i="8" s="1"/>
  <c r="I59" i="5"/>
  <c r="F5" i="13"/>
  <c r="F6" i="8" s="1"/>
  <c r="I54" i="5"/>
  <c r="F13" i="13"/>
  <c r="F14" i="8" s="1"/>
  <c r="I62" i="5"/>
  <c r="F7" i="13"/>
  <c r="F8" i="8" s="1"/>
  <c r="I56" i="5"/>
  <c r="F2" i="13"/>
  <c r="F3" i="8" s="1"/>
  <c r="I51" i="5"/>
  <c r="F3" i="13"/>
  <c r="F4" i="8" s="1"/>
  <c r="I52" i="5"/>
  <c r="E4" i="13"/>
  <c r="E5" i="8" s="1"/>
  <c r="I38" i="5"/>
  <c r="E6" i="13"/>
  <c r="E7" i="8" s="1"/>
  <c r="I40" i="5"/>
  <c r="E3" i="13"/>
  <c r="E4" i="8" s="1"/>
  <c r="I37" i="5"/>
  <c r="E11" i="13"/>
  <c r="E12" i="8" s="1"/>
  <c r="I45" i="5"/>
  <c r="E12" i="13"/>
  <c r="E13" i="8" s="1"/>
  <c r="I46" i="5"/>
  <c r="D5" i="13"/>
  <c r="D6" i="8" s="1"/>
  <c r="I24" i="5"/>
  <c r="D4" i="13"/>
  <c r="D5" i="8" s="1"/>
  <c r="I23" i="5"/>
  <c r="D9" i="13"/>
  <c r="D10" i="8" s="1"/>
  <c r="I28" i="5"/>
  <c r="D8" i="13"/>
  <c r="D9" i="8" s="1"/>
  <c r="I27" i="5"/>
  <c r="D7" i="13"/>
  <c r="D8" i="8" s="1"/>
  <c r="I26" i="5"/>
  <c r="T13" i="13" l="1"/>
  <c r="H68" i="8" s="1"/>
  <c r="I29" i="8"/>
  <c r="D68" i="8"/>
  <c r="T2" i="13"/>
  <c r="I18" i="8"/>
  <c r="D57" i="8"/>
  <c r="T3" i="13"/>
  <c r="H58" i="8" s="1"/>
  <c r="I19" i="8"/>
  <c r="D58" i="8"/>
  <c r="T4" i="13"/>
  <c r="H59" i="8" s="1"/>
  <c r="I20" i="8"/>
  <c r="D59" i="8"/>
  <c r="T5" i="13"/>
  <c r="H60" i="8" s="1"/>
  <c r="I21" i="8"/>
  <c r="D60" i="8"/>
  <c r="T6" i="13"/>
  <c r="H61" i="8" s="1"/>
  <c r="I22" i="8"/>
  <c r="D61" i="8"/>
  <c r="T9" i="13"/>
  <c r="H64" i="8" s="1"/>
  <c r="I25" i="8"/>
  <c r="D64" i="8"/>
  <c r="T10" i="13"/>
  <c r="H65" i="8" s="1"/>
  <c r="I26" i="8"/>
  <c r="D65" i="8"/>
  <c r="T7" i="13"/>
  <c r="H62" i="8" s="1"/>
  <c r="I23" i="8"/>
  <c r="D62" i="8"/>
  <c r="T11" i="13"/>
  <c r="H66" i="8" s="1"/>
  <c r="I27" i="8"/>
  <c r="D66" i="8"/>
  <c r="T8" i="13"/>
  <c r="H63" i="8" s="1"/>
  <c r="I24" i="8"/>
  <c r="D63" i="8"/>
  <c r="T12" i="13"/>
  <c r="H67" i="8" s="1"/>
  <c r="I28" i="8"/>
  <c r="D67" i="8"/>
  <c r="C13" i="13"/>
  <c r="I17" i="5"/>
  <c r="C5" i="13"/>
  <c r="I9" i="5"/>
  <c r="C2" i="13"/>
  <c r="I6" i="5"/>
  <c r="C3" i="13"/>
  <c r="I7" i="5"/>
  <c r="C4" i="13"/>
  <c r="I8" i="5"/>
  <c r="C6" i="13"/>
  <c r="I10" i="5"/>
  <c r="C7" i="13"/>
  <c r="I11" i="5"/>
  <c r="C8" i="13"/>
  <c r="I12" i="5"/>
  <c r="C9" i="13"/>
  <c r="I13" i="5"/>
  <c r="C10" i="13"/>
  <c r="I14" i="5"/>
  <c r="C11" i="13"/>
  <c r="I15" i="5"/>
  <c r="C12" i="13"/>
  <c r="I16" i="5"/>
  <c r="B6" i="9" l="1"/>
  <c r="H57" i="8"/>
  <c r="K14" i="8"/>
  <c r="C14" i="8"/>
  <c r="I13" i="13"/>
  <c r="K6" i="8"/>
  <c r="C6" i="8"/>
  <c r="I5" i="13"/>
  <c r="K3" i="8"/>
  <c r="C3" i="8"/>
  <c r="I2" i="13"/>
  <c r="K4" i="8"/>
  <c r="C4" i="8"/>
  <c r="I3" i="13"/>
  <c r="K5" i="8"/>
  <c r="C5" i="8"/>
  <c r="I4" i="13"/>
  <c r="K7" i="8"/>
  <c r="C7" i="8"/>
  <c r="I6" i="13"/>
  <c r="K8" i="8"/>
  <c r="C8" i="8"/>
  <c r="I7" i="13"/>
  <c r="K9" i="8"/>
  <c r="C9" i="8"/>
  <c r="I8" i="13"/>
  <c r="K10" i="8"/>
  <c r="C10" i="8"/>
  <c r="I9" i="13"/>
  <c r="K11" i="8"/>
  <c r="C11" i="8"/>
  <c r="I10" i="13"/>
  <c r="K12" i="8"/>
  <c r="C12" i="8"/>
  <c r="I11" i="13"/>
  <c r="K13" i="8"/>
  <c r="C13" i="8"/>
  <c r="I12" i="13"/>
  <c r="K13" i="13" l="1"/>
  <c r="G68" i="8" s="1"/>
  <c r="AE13" i="13"/>
  <c r="I14" i="8"/>
  <c r="C68" i="8"/>
  <c r="K5" i="13"/>
  <c r="G60" i="8" s="1"/>
  <c r="AE5" i="13"/>
  <c r="I6" i="8"/>
  <c r="C60" i="8"/>
  <c r="K2" i="13"/>
  <c r="AE2" i="13"/>
  <c r="I3" i="8"/>
  <c r="C57" i="8"/>
  <c r="K3" i="13"/>
  <c r="G58" i="8" s="1"/>
  <c r="AE3" i="13"/>
  <c r="I4" i="8"/>
  <c r="C58" i="8"/>
  <c r="K4" i="13"/>
  <c r="G59" i="8" s="1"/>
  <c r="AE4" i="13"/>
  <c r="I5" i="8"/>
  <c r="C59" i="8"/>
  <c r="K6" i="13"/>
  <c r="G61" i="8" s="1"/>
  <c r="AE6" i="13"/>
  <c r="I7" i="8"/>
  <c r="C61" i="8"/>
  <c r="K7" i="13"/>
  <c r="G62" i="8" s="1"/>
  <c r="AE7" i="13"/>
  <c r="I8" i="8"/>
  <c r="C62" i="8"/>
  <c r="K8" i="13"/>
  <c r="G63" i="8" s="1"/>
  <c r="AE8" i="13"/>
  <c r="I9" i="8"/>
  <c r="C63" i="8"/>
  <c r="K9" i="13"/>
  <c r="G64" i="8" s="1"/>
  <c r="AE9" i="13"/>
  <c r="I10" i="8"/>
  <c r="C64" i="8"/>
  <c r="K10" i="13"/>
  <c r="G65" i="8" s="1"/>
  <c r="AE10" i="13"/>
  <c r="I11" i="8"/>
  <c r="C65" i="8"/>
  <c r="K11" i="13"/>
  <c r="G66" i="8" s="1"/>
  <c r="AE11" i="13"/>
  <c r="I12" i="8"/>
  <c r="C66" i="8"/>
  <c r="K12" i="13"/>
  <c r="G67" i="8" s="1"/>
  <c r="AE12" i="13"/>
  <c r="I13" i="8"/>
  <c r="C67" i="8"/>
  <c r="AF13" i="13" l="1"/>
  <c r="I51" i="9"/>
  <c r="F68" i="8"/>
  <c r="AF5" i="13"/>
  <c r="F60" i="8"/>
  <c r="I43" i="9"/>
  <c r="B5" i="9"/>
  <c r="G57" i="8"/>
  <c r="AF2" i="13"/>
  <c r="I40" i="9"/>
  <c r="F57" i="8"/>
  <c r="AF3" i="13"/>
  <c r="I41" i="9"/>
  <c r="F58" i="8"/>
  <c r="AF4" i="13"/>
  <c r="I42" i="9"/>
  <c r="F59" i="8"/>
  <c r="AF6" i="13"/>
  <c r="F61" i="8"/>
  <c r="I44" i="9"/>
  <c r="AF7" i="13"/>
  <c r="I45" i="9"/>
  <c r="F62" i="8"/>
  <c r="AF8" i="13"/>
  <c r="I46" i="9"/>
  <c r="F63" i="8"/>
  <c r="AF9" i="13"/>
  <c r="I47" i="9"/>
  <c r="F64" i="8"/>
  <c r="AF10" i="13"/>
  <c r="F65" i="8"/>
  <c r="I48" i="9"/>
  <c r="AF11" i="13"/>
  <c r="F66" i="8"/>
  <c r="I49" i="9"/>
  <c r="AF12" i="13"/>
  <c r="F67" i="8"/>
  <c r="I50" i="9"/>
  <c r="C30" i="9" l="1"/>
  <c r="F30" i="9" s="1"/>
  <c r="C26" i="9"/>
  <c r="C31" i="9"/>
  <c r="F31" i="9" s="1"/>
  <c r="C32" i="9"/>
  <c r="F32" i="9" s="1"/>
  <c r="C34" i="9"/>
  <c r="F34" i="9" s="1"/>
  <c r="C35" i="9"/>
  <c r="F35" i="9" s="1"/>
  <c r="C36" i="9"/>
  <c r="F36" i="9" s="1"/>
  <c r="F5" i="9"/>
  <c r="C29" i="9"/>
  <c r="F29" i="9" s="1"/>
  <c r="C33" i="9"/>
  <c r="F33" i="9" s="1"/>
  <c r="C37" i="9"/>
  <c r="F37" i="9" s="1"/>
  <c r="E5" i="9"/>
  <c r="C27" i="9"/>
  <c r="F27" i="9" s="1"/>
  <c r="C28" i="9"/>
  <c r="F28" i="9" s="1"/>
  <c r="C38" i="9" l="1"/>
  <c r="F26" i="9"/>
  <c r="F38" i="9" s="1"/>
  <c r="E6" i="9"/>
  <c r="E7" i="9" s="1"/>
  <c r="B17" i="9"/>
  <c r="B5" i="10" s="1"/>
  <c r="B14" i="10" s="1"/>
  <c r="A6" i="11" s="1"/>
  <c r="B18" i="9" l="1"/>
  <c r="B6" i="10" s="1"/>
  <c r="B15" i="10" s="1"/>
  <c r="A7" i="11" s="1"/>
  <c r="F6" i="9"/>
  <c r="B19" i="9"/>
  <c r="B7" i="10" s="1"/>
  <c r="B16" i="10" s="1"/>
  <c r="A8" i="11" s="1"/>
  <c r="F7" i="9"/>
  <c r="B13" i="11"/>
  <c r="A22" i="11"/>
  <c r="E8" i="9"/>
  <c r="B14" i="11" l="1"/>
  <c r="A23" i="11"/>
  <c r="B15" i="11"/>
  <c r="A24" i="11"/>
  <c r="B20" i="9"/>
  <c r="B8" i="10" s="1"/>
  <c r="B17" i="10" s="1"/>
  <c r="A9" i="11" s="1"/>
  <c r="F8" i="9"/>
  <c r="E9" i="9"/>
  <c r="B16" i="11" l="1"/>
  <c r="A25" i="11"/>
  <c r="B21" i="9"/>
  <c r="B9" i="10" s="1"/>
  <c r="B18" i="10" s="1"/>
  <c r="F9" i="9"/>
  <c r="J44" i="9"/>
  <c r="K44" i="9" s="1"/>
  <c r="J45" i="9"/>
  <c r="K45" i="9" s="1"/>
  <c r="J46" i="9"/>
  <c r="K46" i="9" s="1"/>
  <c r="J40" i="9"/>
  <c r="K40" i="9" s="1"/>
  <c r="J42" i="9"/>
  <c r="K42" i="9" s="1"/>
  <c r="J51" i="9"/>
  <c r="K51" i="9" s="1"/>
  <c r="J47" i="9"/>
  <c r="K47" i="9" s="1"/>
  <c r="J48" i="9"/>
  <c r="K48" i="9" s="1"/>
  <c r="J50" i="9"/>
  <c r="K50" i="9" s="1"/>
  <c r="J43" i="9"/>
  <c r="K43" i="9" s="1"/>
  <c r="J49" i="9"/>
  <c r="K49" i="9" s="1"/>
  <c r="J41" i="9"/>
  <c r="K41" i="9" s="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<sst xmlns="http://schemas.openxmlformats.org/spreadsheetml/2006/main" count="4355" uniqueCount="359">
  <si>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</si>
  <si>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</si>
  <si>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</si>
  <si>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</si>
  <si>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</si>
  <si>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</si>
  <si>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</si>
  <si>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</si>
  <si>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</si>
  <si>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</si>
  <si>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</si>
  <si>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</si>
  <si>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</si>
  <si>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</si>
  <si>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</si>
  <si>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</si>
  <si>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</si>
  <si>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</si>
  <si>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</si>
  <si>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</si>
  <si>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</si>
  <si>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</si>
  <si>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</si>
  <si>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</si>
  <si>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</si>
  <si>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</si>
  <si>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</si>
  <si>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</si>
  <si>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</si>
  <si>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</si>
  <si>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</si>
  <si>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</si>
  <si>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</si>
  <si>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</si>
  <si>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</si>
  <si>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</si>
  <si>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</si>
  <si>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</si>
  <si>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</si>
  <si>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</si>
  <si>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</si>
  <si>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</si>
  <si>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</si>
  <si>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</si>
  <si>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</si>
  <si>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</si>
  <si>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</si>
  <si>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</si>
  <si>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</si>
  <si>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</si>
  <si>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</si>
  <si>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</si>
  <si>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</si>
  <si>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</si>
  <si>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</si>
  <si>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</si>
  <si>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</si>
  <si>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</si>
  <si>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</si>
  <si>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</si>
  <si>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</si>
  <si>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</si>
  <si>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</si>
  <si>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</si>
  <si>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</si>
  <si>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</si>
  <si>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</si>
  <si>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</si>
  <si>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</si>
  <si>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</si>
  <si>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</si>
  <si>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</si>
  <si>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</si>
  <si>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</si>
  <si>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</si>
  <si>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</si>
  <si>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</si>
  <si>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</si>
  <si>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</si>
  <si>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</si>
  <si>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</si>
  <si>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</si>
  <si>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</si>
  <si>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</si>
  <si>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</si>
  <si>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</si>
  <si>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</si>
  <si>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</si>
  <si>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</si>
  <si>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</si>
  <si>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</si>
  <si>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</si>
  <si>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</si>
  <si>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</si>
  <si>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</si>
  <si>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</si>
  <si>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WEIGHTED POINTS — assign 1-8, each value once</t>
  </si>
  <si>
    <t>Evan Pts</t>
  </si>
  <si>
    <t>Chris Pts</t>
  </si>
  <si>
    <t>Jack Pts</t>
  </si>
  <si>
    <t>Luke Pts</t>
  </si>
  <si>
    <t>Mikayla Pts</t>
  </si>
  <si>
    <t>Alan Pts</t>
  </si>
  <si>
    <t>Caleb Pts</t>
  </si>
  <si>
    <t>Larry Pts</t>
  </si>
  <si>
    <t>D. Michael Pts</t>
  </si>
  <si>
    <t>Zach Pts</t>
  </si>
  <si>
    <t>Jeffrey Pts</t>
  </si>
  <si>
    <t>Jake Pts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</si>
  <si>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</si>
  <si>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</si>
  <si>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</si>
  <si>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</si>
  <si>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</si>
  <si>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</si>
  <si>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</si>
  <si>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</si>
  <si>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</si>
  <si>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</si>
  <si>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</si>
  <si>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</si>
  <si>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</si>
  <si>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</si>
  <si>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</si>
  <si>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</si>
  <si>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</si>
  <si>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</si>
  <si>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</si>
  <si>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</si>
  <si>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</si>
  <si>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</si>
  <si>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</si>
  <si>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</si>
  <si>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</si>
  <si>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</si>
  <si>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</si>
  <si>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</si>
  <si>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</si>
  <si>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</si>
  <si>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</si>
  <si>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</si>
  <si>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</si>
  <si>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</si>
  <si>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</si>
  <si>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</si>
  <si>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</si>
  <si>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</si>
  <si>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</si>
  <si>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</si>
  <si>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</si>
  <si>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</si>
  <si>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</si>
  <si>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</si>
  <si>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</si>
  <si>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</si>
  <si>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</si>
  <si>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</si>
  <si>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</si>
  <si>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</si>
  <si>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</si>
  <si>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</si>
  <si>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</si>
  <si>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</si>
  <si>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</si>
  <si>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</si>
  <si>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</si>
  <si>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</si>
  <si>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</si>
  <si>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</si>
  <si>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</si>
  <si>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</si>
  <si>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</si>
  <si>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</si>
  <si>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</si>
  <si>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</si>
  <si>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</si>
  <si>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</si>
  <si>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</si>
  <si>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</si>
  <si>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</si>
  <si>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</si>
  <si>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</si>
  <si>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</si>
  <si>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</si>
  <si>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</si>
  <si>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</si>
  <si>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</si>
  <si>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</si>
  <si>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</si>
  <si>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</si>
  <si>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</si>
  <si>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</si>
  <si>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</si>
  <si>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</si>
  <si>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</si>
  <si>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</si>
  <si>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</si>
  <si>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</si>
  <si>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</si>
  <si>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</si>
  <si>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</si>
  <si>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</si>
  <si>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</si>
  <si>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</si>
  <si>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</si>
  <si>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</si>
  <si>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</si>
  <si>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</si>
  <si>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</si>
  <si>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</si>
  <si>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Weighted points auto-calculated from Picks Detail (pick × point value).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</si>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</sst>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E3B341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" fontId="15" fillId="8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center"/>
    </xf>
    <xf numFmtId="0" fontId="17" fillId="9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24"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9E6A03"/>
      <rgbColor rgb="FF800080"/>
      <rgbColor rgb="FF008080"/>
      <rgbColor rgb="FFC0C0C0"/>
      <rgbColor rgb="FF808080"/>
      <rgbColor rgb="FF58A6FF"/>
      <rgbColor rgb="FFDA3633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E3B341"/>
      <rgbColor rgb="FFD29922"/>
      <rgbColor rgb="FFF85149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G16" sqref="G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3" t="s">
        <v>0</v>
      </c>
      <c r="B1" s="23"/>
      <c r="C1" s="23"/>
      <c r="D1" s="23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7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4" t="s">
        <v>25</v>
      </c>
      <c r="B1" s="24"/>
      <c r="C1" s="24"/>
      <c r="D1" s="24"/>
      <c r="E1" s="24"/>
      <c r="F1" s="24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4" t="s">
        <v>36</v>
      </c>
      <c r="B56" s="24"/>
      <c r="C56" s="24"/>
      <c r="D56" s="24"/>
      <c r="E56" s="24"/>
      <c r="F56" s="24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4" t="s">
        <v>43</v>
      </c>
      <c r="B111" s="24"/>
      <c r="C111" s="24"/>
      <c r="D111" s="24"/>
      <c r="E111" s="24"/>
      <c r="F111" s="24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AD329"/>
  <sheetViews>
    <sheetView topLeftCell="A97" zoomScaleNormal="100" workbookViewId="0">
      <selection activeCell="I120" sqref="I120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  <col min="18" max="18" width="2" customWidth="1"/>
    <col min="19" max="30" width="9" customWidth="1"/>
  </cols>
  <sheetData>
    <row r="1" spans="1:17" ht="17.25" customHeight="1" x14ac:dyDescent="0.25">
      <c r="A1" s="26" t="s">
        <v>50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</row>
    <row r="2" spans="1:17" ht="15" customHeight="1" x14ac:dyDescent="0.25">
      <c r="A2" s="27" t="s">
        <v>51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</row>
    <row r="4" spans="1:17" ht="15" customHeight="1" x14ac:dyDescent="0.25">
      <c r="A4" s="25" t="s">
        <v>52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5" t="s">
        <v>90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5" t="s">
        <v>91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5" t="s">
        <v>92</v>
      </c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5" t="s">
        <v>93</v>
      </c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>TB</v>
      </c>
      <c r="F82" s="10" t="s">
        <v>63</v>
      </c>
      <c r="G82" s="10" t="s">
        <v>85</v>
      </c>
      <c r="H82" s="10" t="s">
        <v>85</v>
      </c>
      <c r="I82" s="10"/>
      <c r="J82" s="10"/>
      <c r="K82" s="10" t="s">
        <v>85</v>
      </c>
      <c r="L82" s="10" t="s">
        <v>85</v>
      </c>
      <c r="M82" s="10" t="s">
        <v>85</v>
      </c>
      <c r="N82" s="10" t="s">
        <v>63</v>
      </c>
      <c r="O82" s="10"/>
      <c r="P82" s="10"/>
      <c r="Q82" s="10" t="s">
        <v>85</v>
      </c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>PHI</v>
      </c>
      <c r="F83" s="10" t="s">
        <v>72</v>
      </c>
      <c r="G83" s="10" t="s">
        <v>84</v>
      </c>
      <c r="H83" s="10" t="s">
        <v>72</v>
      </c>
      <c r="I83" s="10"/>
      <c r="J83" s="10" t="s">
        <v>72</v>
      </c>
      <c r="K83" s="10" t="s">
        <v>84</v>
      </c>
      <c r="L83" s="10" t="s">
        <v>72</v>
      </c>
      <c r="M83" s="10" t="s">
        <v>72</v>
      </c>
      <c r="N83" s="10" t="s">
        <v>72</v>
      </c>
      <c r="O83" s="10" t="s">
        <v>72</v>
      </c>
      <c r="P83" s="10" t="s">
        <v>72</v>
      </c>
      <c r="Q83" s="10" t="s">
        <v>72</v>
      </c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>HOU</v>
      </c>
      <c r="F84" s="10" t="s">
        <v>68</v>
      </c>
      <c r="G84" s="10" t="s">
        <v>68</v>
      </c>
      <c r="H84" s="10" t="s">
        <v>76</v>
      </c>
      <c r="I84" s="10"/>
      <c r="J84" s="10" t="s">
        <v>68</v>
      </c>
      <c r="K84" s="10" t="s">
        <v>68</v>
      </c>
      <c r="L84" s="10" t="s">
        <v>76</v>
      </c>
      <c r="M84" s="10" t="s">
        <v>68</v>
      </c>
      <c r="N84" s="10" t="s">
        <v>76</v>
      </c>
      <c r="O84" s="10" t="s">
        <v>68</v>
      </c>
      <c r="P84" s="10" t="s">
        <v>68</v>
      </c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>MIA</v>
      </c>
      <c r="F85" s="10" t="s">
        <v>64</v>
      </c>
      <c r="G85" s="10" t="s">
        <v>64</v>
      </c>
      <c r="H85" s="10" t="s">
        <v>64</v>
      </c>
      <c r="I85" s="10"/>
      <c r="J85" s="10" t="s">
        <v>64</v>
      </c>
      <c r="K85" s="10" t="s">
        <v>64</v>
      </c>
      <c r="L85" s="10" t="s">
        <v>64</v>
      </c>
      <c r="M85" s="10" t="s">
        <v>64</v>
      </c>
      <c r="N85" s="10" t="s">
        <v>79</v>
      </c>
      <c r="O85" s="10" t="s">
        <v>64</v>
      </c>
      <c r="P85" s="10" t="s">
        <v>64</v>
      </c>
      <c r="Q85" s="10" t="s">
        <v>64</v>
      </c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>NE</v>
      </c>
      <c r="F86" s="10" t="s">
        <v>57</v>
      </c>
      <c r="G86" s="10" t="s">
        <v>80</v>
      </c>
      <c r="H86" s="10" t="s">
        <v>57</v>
      </c>
      <c r="I86" s="10"/>
      <c r="J86" s="10" t="s">
        <v>80</v>
      </c>
      <c r="K86" s="10" t="s">
        <v>80</v>
      </c>
      <c r="L86" s="10" t="s">
        <v>57</v>
      </c>
      <c r="M86" s="10" t="s">
        <v>57</v>
      </c>
      <c r="N86" s="10" t="s">
        <v>80</v>
      </c>
      <c r="O86" s="10" t="s">
        <v>57</v>
      </c>
      <c r="P86" s="10" t="s">
        <v>80</v>
      </c>
      <c r="Q86" s="10" t="s">
        <v>57</v>
      </c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>MIN</v>
      </c>
      <c r="F87" s="10" t="s">
        <v>82</v>
      </c>
      <c r="G87" s="10" t="s">
        <v>82</v>
      </c>
      <c r="H87" s="10" t="s">
        <v>65</v>
      </c>
      <c r="I87" s="10"/>
      <c r="J87" s="10" t="s">
        <v>82</v>
      </c>
      <c r="K87" s="10" t="s">
        <v>82</v>
      </c>
      <c r="L87" s="10" t="s">
        <v>82</v>
      </c>
      <c r="M87" s="10" t="s">
        <v>82</v>
      </c>
      <c r="N87" s="10" t="s">
        <v>65</v>
      </c>
      <c r="O87" s="10" t="s">
        <v>82</v>
      </c>
      <c r="P87" s="10" t="s">
        <v>65</v>
      </c>
      <c r="Q87" s="10" t="s">
        <v>65</v>
      </c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>NYJ</v>
      </c>
      <c r="F88" s="10" t="s">
        <v>71</v>
      </c>
      <c r="G88" s="10" t="s">
        <v>71</v>
      </c>
      <c r="H88" s="10" t="s">
        <v>71</v>
      </c>
      <c r="I88" s="10"/>
      <c r="J88" s="10" t="s">
        <v>71</v>
      </c>
      <c r="K88" s="10" t="s">
        <v>71</v>
      </c>
      <c r="L88" s="10" t="s">
        <v>71</v>
      </c>
      <c r="M88" s="10" t="s">
        <v>71</v>
      </c>
      <c r="N88" s="10" t="s">
        <v>71</v>
      </c>
      <c r="O88" s="10" t="s">
        <v>71</v>
      </c>
      <c r="P88" s="10" t="s">
        <v>71</v>
      </c>
      <c r="Q88" s="10" t="s">
        <v>71</v>
      </c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>PIT</v>
      </c>
      <c r="F89" s="10" t="s">
        <v>70</v>
      </c>
      <c r="G89" s="10" t="s">
        <v>70</v>
      </c>
      <c r="H89" s="10" t="s">
        <v>70</v>
      </c>
      <c r="I89" s="10"/>
      <c r="J89" s="10" t="s">
        <v>74</v>
      </c>
      <c r="K89" s="10" t="s">
        <v>74</v>
      </c>
      <c r="L89" s="10" t="s">
        <v>70</v>
      </c>
      <c r="M89" s="10" t="s">
        <v>70</v>
      </c>
      <c r="N89" s="10" t="s">
        <v>70</v>
      </c>
      <c r="O89" s="10" t="s">
        <v>70</v>
      </c>
      <c r="P89" s="10" t="s">
        <v>70</v>
      </c>
      <c r="Q89" s="10" t="s">
        <v>74</v>
      </c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>NYG</v>
      </c>
      <c r="F90" s="10" t="s">
        <v>86</v>
      </c>
      <c r="G90" s="10" t="s">
        <v>86</v>
      </c>
      <c r="H90" s="10" t="s">
        <v>86</v>
      </c>
      <c r="I90" s="10"/>
      <c r="J90" s="10" t="s">
        <v>86</v>
      </c>
      <c r="K90" s="10" t="s">
        <v>86</v>
      </c>
      <c r="L90" s="10" t="s">
        <v>86</v>
      </c>
      <c r="M90" s="10" t="s">
        <v>83</v>
      </c>
      <c r="N90" s="10" t="s">
        <v>86</v>
      </c>
      <c r="O90" s="10" t="s">
        <v>83</v>
      </c>
      <c r="P90" s="10" t="s">
        <v>86</v>
      </c>
      <c r="Q90" s="10" t="s">
        <v>83</v>
      </c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>DEN</v>
      </c>
      <c r="F91" s="10" t="s">
        <v>87</v>
      </c>
      <c r="G91" s="10" t="s">
        <v>87</v>
      </c>
      <c r="H91" s="10" t="s">
        <v>87</v>
      </c>
      <c r="I91" s="10"/>
      <c r="J91" s="10" t="s">
        <v>87</v>
      </c>
      <c r="K91" s="10" t="s">
        <v>87</v>
      </c>
      <c r="L91" s="10" t="s">
        <v>87</v>
      </c>
      <c r="M91" s="10" t="s">
        <v>87</v>
      </c>
      <c r="N91" s="10" t="s">
        <v>78</v>
      </c>
      <c r="O91" s="10" t="s">
        <v>87</v>
      </c>
      <c r="P91" s="10" t="s">
        <v>87</v>
      </c>
      <c r="Q91" s="10" t="s">
        <v>87</v>
      </c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>GB</v>
      </c>
      <c r="F92" s="10" t="s">
        <v>61</v>
      </c>
      <c r="G92" s="10" t="s">
        <v>61</v>
      </c>
      <c r="H92" s="10" t="s">
        <v>61</v>
      </c>
      <c r="I92" s="10"/>
      <c r="J92" s="10" t="s">
        <v>81</v>
      </c>
      <c r="K92" s="10" t="s">
        <v>61</v>
      </c>
      <c r="L92" s="10" t="s">
        <v>61</v>
      </c>
      <c r="M92" s="10" t="s">
        <v>61</v>
      </c>
      <c r="N92" s="10" t="s">
        <v>81</v>
      </c>
      <c r="O92" s="10" t="s">
        <v>61</v>
      </c>
      <c r="P92" s="10" t="s">
        <v>61</v>
      </c>
      <c r="Q92" s="10" t="s">
        <v>61</v>
      </c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>DET</v>
      </c>
      <c r="F93" s="10" t="s">
        <v>77</v>
      </c>
      <c r="G93" s="10" t="s">
        <v>66</v>
      </c>
      <c r="H93" s="10" t="s">
        <v>66</v>
      </c>
      <c r="I93" s="10"/>
      <c r="J93" s="10" t="s">
        <v>77</v>
      </c>
      <c r="K93" s="10" t="s">
        <v>66</v>
      </c>
      <c r="L93" s="10" t="s">
        <v>66</v>
      </c>
      <c r="M93" s="10" t="s">
        <v>66</v>
      </c>
      <c r="N93" s="10" t="s">
        <v>77</v>
      </c>
      <c r="O93" s="10" t="s">
        <v>66</v>
      </c>
      <c r="P93" s="10" t="s">
        <v>77</v>
      </c>
      <c r="Q93" s="10" t="s">
        <v>77</v>
      </c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>SF</v>
      </c>
      <c r="F94" s="10" t="s">
        <v>59</v>
      </c>
      <c r="G94" s="10" t="s">
        <v>59</v>
      </c>
      <c r="H94" s="10" t="s">
        <v>58</v>
      </c>
      <c r="I94" s="10"/>
      <c r="J94" s="10" t="s">
        <v>59</v>
      </c>
      <c r="K94" s="10" t="s">
        <v>59</v>
      </c>
      <c r="L94" s="10" t="s">
        <v>59</v>
      </c>
      <c r="M94" s="10" t="s">
        <v>59</v>
      </c>
      <c r="N94" s="10" t="s">
        <v>59</v>
      </c>
      <c r="O94" s="10" t="s">
        <v>59</v>
      </c>
      <c r="P94" s="10" t="s">
        <v>58</v>
      </c>
      <c r="Q94" s="10" t="s">
        <v>58</v>
      </c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>BAL</v>
      </c>
      <c r="F95" s="10" t="s">
        <v>69</v>
      </c>
      <c r="G95" s="10" t="s">
        <v>69</v>
      </c>
      <c r="H95" s="10" t="s">
        <v>73</v>
      </c>
      <c r="I95" s="10"/>
      <c r="J95" s="10" t="s">
        <v>69</v>
      </c>
      <c r="K95" s="10" t="s">
        <v>69</v>
      </c>
      <c r="L95" s="10" t="s">
        <v>73</v>
      </c>
      <c r="M95" s="10" t="s">
        <v>73</v>
      </c>
      <c r="N95" s="10" t="s">
        <v>73</v>
      </c>
      <c r="O95" s="10" t="s">
        <v>69</v>
      </c>
      <c r="P95" s="10" t="s">
        <v>69</v>
      </c>
      <c r="Q95" s="10" t="s">
        <v>73</v>
      </c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>BUF</v>
      </c>
      <c r="F96" s="10" t="s">
        <v>67</v>
      </c>
      <c r="G96" s="10" t="s">
        <v>67</v>
      </c>
      <c r="H96" s="10" t="s">
        <v>67</v>
      </c>
      <c r="I96" s="10"/>
      <c r="J96" s="10" t="s">
        <v>67</v>
      </c>
      <c r="K96" s="10" t="s">
        <v>67</v>
      </c>
      <c r="L96" s="10" t="s">
        <v>67</v>
      </c>
      <c r="M96" s="10" t="s">
        <v>67</v>
      </c>
      <c r="N96" s="10" t="s">
        <v>67</v>
      </c>
      <c r="O96" s="10" t="s">
        <v>60</v>
      </c>
      <c r="P96" s="10" t="s">
        <v>67</v>
      </c>
      <c r="Q96" s="10" t="s">
        <v>67</v>
      </c>
    </row>
    <row r="97" spans="1:17" x14ac:dyDescent="0.25">
      <c r="A97" s="11" t="s">
        <v>63</v>
      </c>
      <c r="B97" s="12" t="s">
        <v>89</v>
      </c>
      <c r="E97" s="13">
        <f>'NFL Schedule'!E94</f>
        <v>71</v>
      </c>
      <c r="F97" s="14">
        <v>51</v>
      </c>
      <c r="G97" s="14">
        <v>52</v>
      </c>
      <c r="H97" s="14">
        <v>43</v>
      </c>
      <c r="I97" s="14"/>
      <c r="J97" s="14">
        <v>45</v>
      </c>
      <c r="K97" s="14">
        <v>42</v>
      </c>
      <c r="L97" s="14">
        <v>52</v>
      </c>
      <c r="M97" s="14">
        <v>45</v>
      </c>
      <c r="N97" s="14">
        <v>55</v>
      </c>
      <c r="O97" s="14">
        <v>50</v>
      </c>
      <c r="P97" s="14">
        <v>52</v>
      </c>
      <c r="Q97" s="14">
        <v>51</v>
      </c>
    </row>
    <row r="98" spans="1:17" ht="15" customHeight="1" x14ac:dyDescent="0.25">
      <c r="A98" s="25" t="s">
        <v>94</v>
      </c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>DEN</v>
      </c>
      <c r="F100" s="10" t="s">
        <v>87</v>
      </c>
      <c r="G100" s="10" t="s">
        <v>58</v>
      </c>
      <c r="H100" s="10" t="s">
        <v>58</v>
      </c>
      <c r="I100" s="10"/>
      <c r="J100" s="10"/>
      <c r="K100" s="10" t="s">
        <v>58</v>
      </c>
      <c r="L100" s="10" t="s">
        <v>58</v>
      </c>
      <c r="M100" s="10" t="s">
        <v>87</v>
      </c>
      <c r="N100" s="10" t="s">
        <v>58</v>
      </c>
      <c r="O100" s="10" t="s">
        <v>58</v>
      </c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>HOU</v>
      </c>
      <c r="F101" s="10" t="s">
        <v>68</v>
      </c>
      <c r="G101" s="10" t="s">
        <v>72</v>
      </c>
      <c r="H101" s="10" t="s">
        <v>72</v>
      </c>
      <c r="I101" s="10"/>
      <c r="J101" s="10" t="s">
        <v>72</v>
      </c>
      <c r="K101" s="10" t="s">
        <v>72</v>
      </c>
      <c r="L101" s="10" t="s">
        <v>72</v>
      </c>
      <c r="M101" s="10" t="s">
        <v>72</v>
      </c>
      <c r="N101" s="10" t="s">
        <v>68</v>
      </c>
      <c r="O101" s="10" t="s">
        <v>72</v>
      </c>
      <c r="P101" s="10" t="s">
        <v>68</v>
      </c>
      <c r="Q101" s="10" t="s">
        <v>72</v>
      </c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>CHI</v>
      </c>
      <c r="F102" s="10" t="s">
        <v>73</v>
      </c>
      <c r="G102" s="10" t="s">
        <v>61</v>
      </c>
      <c r="H102" s="10" t="s">
        <v>61</v>
      </c>
      <c r="I102" s="10"/>
      <c r="J102" s="10" t="s">
        <v>61</v>
      </c>
      <c r="K102" s="10" t="s">
        <v>61</v>
      </c>
      <c r="L102" s="10" t="s">
        <v>61</v>
      </c>
      <c r="M102" s="10" t="s">
        <v>61</v>
      </c>
      <c r="N102" s="10" t="s">
        <v>73</v>
      </c>
      <c r="O102" s="10" t="s">
        <v>73</v>
      </c>
      <c r="P102" s="10" t="s">
        <v>61</v>
      </c>
      <c r="Q102" s="10" t="s">
        <v>61</v>
      </c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>CLE</v>
      </c>
      <c r="F103" s="10" t="s">
        <v>69</v>
      </c>
      <c r="G103" s="10" t="s">
        <v>69</v>
      </c>
      <c r="H103" s="10" t="s">
        <v>71</v>
      </c>
      <c r="I103" s="10"/>
      <c r="J103" s="10" t="s">
        <v>71</v>
      </c>
      <c r="K103" s="10" t="s">
        <v>71</v>
      </c>
      <c r="L103" s="10" t="s">
        <v>69</v>
      </c>
      <c r="M103" s="10" t="s">
        <v>69</v>
      </c>
      <c r="N103" s="10" t="s">
        <v>69</v>
      </c>
      <c r="O103" s="10" t="s">
        <v>71</v>
      </c>
      <c r="P103" s="10" t="s">
        <v>71</v>
      </c>
      <c r="Q103" s="10" t="s">
        <v>69</v>
      </c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>TEN</v>
      </c>
      <c r="F104" s="10" t="s">
        <v>76</v>
      </c>
      <c r="G104" s="10" t="s">
        <v>70</v>
      </c>
      <c r="H104" s="10" t="s">
        <v>76</v>
      </c>
      <c r="I104" s="10"/>
      <c r="J104" s="10" t="s">
        <v>70</v>
      </c>
      <c r="K104" s="10" t="s">
        <v>70</v>
      </c>
      <c r="L104" s="10" t="s">
        <v>70</v>
      </c>
      <c r="M104" s="10" t="s">
        <v>70</v>
      </c>
      <c r="N104" s="10" t="s">
        <v>70</v>
      </c>
      <c r="O104" s="10" t="s">
        <v>70</v>
      </c>
      <c r="P104" s="10" t="s">
        <v>70</v>
      </c>
      <c r="Q104" s="10" t="s">
        <v>70</v>
      </c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>NYJ</v>
      </c>
      <c r="F105" s="10" t="s">
        <v>57</v>
      </c>
      <c r="G105" s="10" t="s">
        <v>57</v>
      </c>
      <c r="H105" s="10" t="s">
        <v>57</v>
      </c>
      <c r="I105" s="10"/>
      <c r="J105" s="10" t="s">
        <v>75</v>
      </c>
      <c r="K105" s="10" t="s">
        <v>57</v>
      </c>
      <c r="L105" s="10" t="s">
        <v>75</v>
      </c>
      <c r="M105" s="10" t="s">
        <v>57</v>
      </c>
      <c r="N105" s="10" t="s">
        <v>75</v>
      </c>
      <c r="O105" s="10" t="s">
        <v>57</v>
      </c>
      <c r="P105" s="10" t="s">
        <v>57</v>
      </c>
      <c r="Q105" s="10" t="s">
        <v>57</v>
      </c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>NO</v>
      </c>
      <c r="F106" s="10" t="s">
        <v>86</v>
      </c>
      <c r="G106" s="10" t="s">
        <v>86</v>
      </c>
      <c r="H106" s="10" t="s">
        <v>86</v>
      </c>
      <c r="I106" s="10"/>
      <c r="J106" s="10" t="s">
        <v>86</v>
      </c>
      <c r="K106" s="10" t="s">
        <v>86</v>
      </c>
      <c r="L106" s="10" t="s">
        <v>86</v>
      </c>
      <c r="M106" s="10" t="s">
        <v>86</v>
      </c>
      <c r="N106" s="10" t="s">
        <v>65</v>
      </c>
      <c r="O106" s="10" t="s">
        <v>86</v>
      </c>
      <c r="P106" s="10" t="s">
        <v>86</v>
      </c>
      <c r="Q106" s="10" t="s">
        <v>65</v>
      </c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>CAR</v>
      </c>
      <c r="F107" s="10" t="s">
        <v>62</v>
      </c>
      <c r="G107" s="10" t="s">
        <v>62</v>
      </c>
      <c r="H107" s="10" t="s">
        <v>62</v>
      </c>
      <c r="I107" s="10"/>
      <c r="J107" s="10" t="s">
        <v>84</v>
      </c>
      <c r="K107" s="10" t="s">
        <v>84</v>
      </c>
      <c r="L107" s="10" t="s">
        <v>62</v>
      </c>
      <c r="M107" s="10" t="s">
        <v>62</v>
      </c>
      <c r="N107" s="10" t="s">
        <v>62</v>
      </c>
      <c r="O107" s="10" t="s">
        <v>62</v>
      </c>
      <c r="P107" s="10" t="s">
        <v>62</v>
      </c>
      <c r="Q107" s="10" t="s">
        <v>62</v>
      </c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>PIT</v>
      </c>
      <c r="F108" s="10" t="s">
        <v>74</v>
      </c>
      <c r="G108" s="10" t="s">
        <v>74</v>
      </c>
      <c r="H108" s="10" t="s">
        <v>74</v>
      </c>
      <c r="I108" s="10"/>
      <c r="J108" s="10" t="s">
        <v>74</v>
      </c>
      <c r="K108" s="10" t="s">
        <v>63</v>
      </c>
      <c r="L108" s="10" t="s">
        <v>74</v>
      </c>
      <c r="M108" s="10" t="s">
        <v>74</v>
      </c>
      <c r="N108" s="10" t="s">
        <v>63</v>
      </c>
      <c r="O108" s="10" t="s">
        <v>74</v>
      </c>
      <c r="P108" s="10" t="s">
        <v>74</v>
      </c>
      <c r="Q108" s="10" t="s">
        <v>74</v>
      </c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60</v>
      </c>
      <c r="E109" s="9" t="str">
        <f>'NFL Schedule'!J106</f>
        <v>ARI</v>
      </c>
      <c r="F109" s="10" t="s">
        <v>60</v>
      </c>
      <c r="G109" s="10" t="s">
        <v>60</v>
      </c>
      <c r="H109" s="10" t="s">
        <v>77</v>
      </c>
      <c r="I109" s="10"/>
      <c r="J109" s="10" t="s">
        <v>77</v>
      </c>
      <c r="K109" s="10" t="s">
        <v>60</v>
      </c>
      <c r="L109" s="10" t="s">
        <v>77</v>
      </c>
      <c r="M109" s="10" t="s">
        <v>60</v>
      </c>
      <c r="N109" s="10" t="s">
        <v>77</v>
      </c>
      <c r="O109" s="10" t="s">
        <v>77</v>
      </c>
      <c r="P109" s="10" t="s">
        <v>60</v>
      </c>
      <c r="Q109" s="10" t="s">
        <v>60</v>
      </c>
    </row>
    <row r="110" spans="1:17" ht="15" customHeight="1" x14ac:dyDescent="0.25">
      <c r="A110" s="7">
        <v>11</v>
      </c>
      <c r="B110" s="7" t="s">
        <v>78</v>
      </c>
      <c r="C110" s="8" t="s">
        <v>54</v>
      </c>
      <c r="D110" s="7" t="s">
        <v>88</v>
      </c>
      <c r="E110" s="9" t="str">
        <f>'NFL Schedule'!J107</f>
        <v>KC</v>
      </c>
      <c r="F110" s="10" t="s">
        <v>78</v>
      </c>
      <c r="G110" s="10" t="s">
        <v>88</v>
      </c>
      <c r="H110" s="10" t="s">
        <v>78</v>
      </c>
      <c r="I110" s="10"/>
      <c r="J110" s="10" t="s">
        <v>88</v>
      </c>
      <c r="K110" s="10" t="s">
        <v>88</v>
      </c>
      <c r="L110" s="10" t="s">
        <v>88</v>
      </c>
      <c r="M110" s="10" t="s">
        <v>88</v>
      </c>
      <c r="N110" s="10" t="s">
        <v>78</v>
      </c>
      <c r="O110" s="10" t="s">
        <v>88</v>
      </c>
      <c r="P110" s="10" t="s">
        <v>88</v>
      </c>
      <c r="Q110" s="10" t="s">
        <v>88</v>
      </c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>LV</v>
      </c>
      <c r="F111" s="10" t="s">
        <v>67</v>
      </c>
      <c r="G111" s="10" t="s">
        <v>67</v>
      </c>
      <c r="H111" s="10" t="s">
        <v>67</v>
      </c>
      <c r="I111" s="10"/>
      <c r="J111" s="10" t="s">
        <v>67</v>
      </c>
      <c r="K111" s="10" t="s">
        <v>67</v>
      </c>
      <c r="L111" s="10" t="s">
        <v>67</v>
      </c>
      <c r="M111" s="10" t="s">
        <v>80</v>
      </c>
      <c r="N111" s="10" t="s">
        <v>80</v>
      </c>
      <c r="O111" s="10" t="s">
        <v>67</v>
      </c>
      <c r="P111" s="10" t="s">
        <v>67</v>
      </c>
      <c r="Q111" s="10" t="s">
        <v>67</v>
      </c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>GB</v>
      </c>
      <c r="F112" s="10" t="s">
        <v>85</v>
      </c>
      <c r="G112" s="10" t="s">
        <v>81</v>
      </c>
      <c r="H112" s="10" t="s">
        <v>81</v>
      </c>
      <c r="I112" s="10"/>
      <c r="J112" s="10" t="s">
        <v>81</v>
      </c>
      <c r="K112" s="10" t="s">
        <v>81</v>
      </c>
      <c r="L112" s="10" t="s">
        <v>81</v>
      </c>
      <c r="M112" s="10" t="s">
        <v>81</v>
      </c>
      <c r="N112" s="10" t="s">
        <v>85</v>
      </c>
      <c r="O112" s="10" t="s">
        <v>81</v>
      </c>
      <c r="P112" s="10" t="s">
        <v>85</v>
      </c>
      <c r="Q112" s="10" t="s">
        <v>81</v>
      </c>
    </row>
    <row r="113" spans="1:30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>WAS</v>
      </c>
      <c r="F113" s="10" t="s">
        <v>59</v>
      </c>
      <c r="G113" s="10" t="s">
        <v>59</v>
      </c>
      <c r="H113" s="10" t="s">
        <v>59</v>
      </c>
      <c r="I113" s="10"/>
      <c r="J113" s="10" t="s">
        <v>59</v>
      </c>
      <c r="K113" s="10" t="s">
        <v>59</v>
      </c>
      <c r="L113" s="10" t="s">
        <v>59</v>
      </c>
      <c r="M113" s="10" t="s">
        <v>59</v>
      </c>
      <c r="N113" s="10" t="s">
        <v>83</v>
      </c>
      <c r="O113" s="10" t="s">
        <v>59</v>
      </c>
      <c r="P113" s="10" t="s">
        <v>59</v>
      </c>
      <c r="Q113" s="10" t="s">
        <v>59</v>
      </c>
    </row>
    <row r="114" spans="1:30" x14ac:dyDescent="0.25">
      <c r="A114" s="11" t="s">
        <v>63</v>
      </c>
      <c r="B114" s="12" t="s">
        <v>89</v>
      </c>
      <c r="E114" s="13">
        <f>'NFL Schedule'!E111</f>
        <v>40</v>
      </c>
      <c r="F114" s="14">
        <v>46</v>
      </c>
      <c r="G114" s="14">
        <v>52</v>
      </c>
      <c r="H114" s="14">
        <v>49</v>
      </c>
      <c r="I114" s="14"/>
      <c r="J114" s="14">
        <v>50</v>
      </c>
      <c r="K114" s="14">
        <v>42</v>
      </c>
      <c r="L114" s="14">
        <v>42</v>
      </c>
      <c r="M114" s="14">
        <v>47</v>
      </c>
      <c r="N114" s="14">
        <v>50</v>
      </c>
      <c r="O114" s="14">
        <v>45</v>
      </c>
      <c r="P114" s="14">
        <v>43</v>
      </c>
      <c r="Q114" s="14">
        <v>51</v>
      </c>
    </row>
    <row r="115" spans="1:30" ht="15" customHeight="1" x14ac:dyDescent="0.25">
      <c r="A115" s="25" t="s">
        <v>95</v>
      </c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S115" s="25" t="s">
        <v>96</v>
      </c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</row>
    <row r="116" spans="1:30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  <c r="S116" s="6" t="s">
        <v>97</v>
      </c>
      <c r="T116" s="6" t="s">
        <v>98</v>
      </c>
      <c r="U116" s="6" t="s">
        <v>99</v>
      </c>
      <c r="V116" s="6" t="s">
        <v>100</v>
      </c>
      <c r="W116" s="6" t="s">
        <v>101</v>
      </c>
      <c r="X116" s="6" t="s">
        <v>102</v>
      </c>
      <c r="Y116" s="6" t="s">
        <v>103</v>
      </c>
      <c r="Z116" s="6" t="s">
        <v>104</v>
      </c>
      <c r="AA116" s="6" t="s">
        <v>105</v>
      </c>
      <c r="AB116" s="6" t="s">
        <v>106</v>
      </c>
      <c r="AC116" s="6" t="s">
        <v>107</v>
      </c>
      <c r="AD116" s="6" t="s">
        <v>108</v>
      </c>
    </row>
    <row r="117" spans="1:30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</row>
    <row r="118" spans="1:30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</row>
    <row r="119" spans="1:30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</row>
    <row r="120" spans="1:30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</row>
    <row r="121" spans="1:30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</row>
    <row r="122" spans="1:30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</row>
    <row r="123" spans="1:30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</row>
    <row r="124" spans="1:30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</row>
    <row r="125" spans="1:30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</row>
    <row r="126" spans="1:30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</row>
    <row r="127" spans="1:30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</row>
    <row r="128" spans="1:30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</row>
    <row r="129" spans="1:30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</row>
    <row r="130" spans="1:30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</row>
    <row r="131" spans="1:30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S131" s="11" t="str">
        <f t="shared" ref="S131:AD131" si="0">IF(COUNT(S117:S130)=0,"",IF(AND(COUNT(S117:S130)=8,SUM(S117:S130)=36,MIN(S117:S130)&gt;=1,MAX(S117:S130)&lt;=8,SUMPRODUCT((S117:S130&lt;&gt;"")*(COUNTIF(S117:S130,S117:S130)&gt;1))=0,COUNTA(F117:F130)=8),"✓","FIX"))</f>
        <v/>
      </c>
      <c r="T131" s="11" t="str">
        <f t="shared" si="0"/>
        <v/>
      </c>
      <c r="U131" s="11" t="str">
        <f t="shared" si="0"/>
        <v/>
      </c>
      <c r="V131" s="11" t="str">
        <f t="shared" si="0"/>
        <v/>
      </c>
      <c r="W131" s="11" t="str">
        <f t="shared" si="0"/>
        <v/>
      </c>
      <c r="X131" s="11" t="str">
        <f t="shared" si="0"/>
        <v/>
      </c>
      <c r="Y131" s="11" t="str">
        <f t="shared" si="0"/>
        <v/>
      </c>
      <c r="Z131" s="11" t="str">
        <f t="shared" si="0"/>
        <v/>
      </c>
      <c r="AA131" s="11" t="str">
        <f t="shared" si="0"/>
        <v/>
      </c>
      <c r="AB131" s="11" t="str">
        <f t="shared" si="0"/>
        <v/>
      </c>
      <c r="AC131" s="11" t="str">
        <f t="shared" si="0"/>
        <v/>
      </c>
      <c r="AD131" s="11" t="str">
        <f t="shared" si="0"/>
        <v/>
      </c>
    </row>
    <row r="132" spans="1:30" ht="15" customHeight="1" x14ac:dyDescent="0.25">
      <c r="A132" s="25" t="s">
        <v>109</v>
      </c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S132" s="25" t="s">
        <v>96</v>
      </c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</row>
    <row r="133" spans="1:30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  <c r="S133" s="6" t="s">
        <v>97</v>
      </c>
      <c r="T133" s="6" t="s">
        <v>98</v>
      </c>
      <c r="U133" s="6" t="s">
        <v>99</v>
      </c>
      <c r="V133" s="6" t="s">
        <v>100</v>
      </c>
      <c r="W133" s="6" t="s">
        <v>101</v>
      </c>
      <c r="X133" s="6" t="s">
        <v>102</v>
      </c>
      <c r="Y133" s="6" t="s">
        <v>103</v>
      </c>
      <c r="Z133" s="6" t="s">
        <v>104</v>
      </c>
      <c r="AA133" s="6" t="s">
        <v>105</v>
      </c>
      <c r="AB133" s="6" t="s">
        <v>106</v>
      </c>
      <c r="AC133" s="6" t="s">
        <v>107</v>
      </c>
      <c r="AD133" s="6" t="s">
        <v>108</v>
      </c>
    </row>
    <row r="134" spans="1:30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</row>
    <row r="135" spans="1:30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</row>
    <row r="136" spans="1:30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</row>
    <row r="137" spans="1:30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</row>
    <row r="138" spans="1:30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</row>
    <row r="139" spans="1:30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</row>
    <row r="140" spans="1:30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</row>
    <row r="141" spans="1:30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</row>
    <row r="142" spans="1:30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</row>
    <row r="143" spans="1:30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</row>
    <row r="144" spans="1:30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</row>
    <row r="145" spans="1:30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</row>
    <row r="146" spans="1:30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</row>
    <row r="147" spans="1:30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</row>
    <row r="148" spans="1:30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S148" s="11" t="str">
        <f t="shared" ref="S148:AD148" si="1">IF(COUNT(S134:S147)=0,"",IF(AND(COUNT(S134:S147)=8,SUM(S134:S147)=36,MIN(S134:S147)&gt;=1,MAX(S134:S147)&lt;=8,SUMPRODUCT((S134:S147&lt;&gt;"")*(COUNTIF(S134:S147,S134:S147)&gt;1))=0,COUNTA(F134:F147)=8),"✓","FIX"))</f>
        <v/>
      </c>
      <c r="T148" s="11" t="str">
        <f t="shared" si="1"/>
        <v/>
      </c>
      <c r="U148" s="11" t="str">
        <f t="shared" si="1"/>
        <v/>
      </c>
      <c r="V148" s="11" t="str">
        <f t="shared" si="1"/>
        <v/>
      </c>
      <c r="W148" s="11" t="str">
        <f t="shared" si="1"/>
        <v/>
      </c>
      <c r="X148" s="11" t="str">
        <f t="shared" si="1"/>
        <v/>
      </c>
      <c r="Y148" s="11" t="str">
        <f t="shared" si="1"/>
        <v/>
      </c>
      <c r="Z148" s="11" t="str">
        <f t="shared" si="1"/>
        <v/>
      </c>
      <c r="AA148" s="11" t="str">
        <f t="shared" si="1"/>
        <v/>
      </c>
      <c r="AB148" s="11" t="str">
        <f t="shared" si="1"/>
        <v/>
      </c>
      <c r="AC148" s="11" t="str">
        <f t="shared" si="1"/>
        <v/>
      </c>
      <c r="AD148" s="11" t="str">
        <f t="shared" si="1"/>
        <v/>
      </c>
    </row>
    <row r="149" spans="1:30" ht="15" customHeight="1" x14ac:dyDescent="0.25">
      <c r="A149" s="25" t="s">
        <v>110</v>
      </c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S149" s="25" t="s">
        <v>96</v>
      </c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</row>
    <row r="150" spans="1:30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  <c r="S150" s="6" t="s">
        <v>97</v>
      </c>
      <c r="T150" s="6" t="s">
        <v>98</v>
      </c>
      <c r="U150" s="6" t="s">
        <v>99</v>
      </c>
      <c r="V150" s="6" t="s">
        <v>100</v>
      </c>
      <c r="W150" s="6" t="s">
        <v>101</v>
      </c>
      <c r="X150" s="6" t="s">
        <v>102</v>
      </c>
      <c r="Y150" s="6" t="s">
        <v>103</v>
      </c>
      <c r="Z150" s="6" t="s">
        <v>104</v>
      </c>
      <c r="AA150" s="6" t="s">
        <v>105</v>
      </c>
      <c r="AB150" s="6" t="s">
        <v>106</v>
      </c>
      <c r="AC150" s="6" t="s">
        <v>107</v>
      </c>
      <c r="AD150" s="6" t="s">
        <v>108</v>
      </c>
    </row>
    <row r="151" spans="1:30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</row>
    <row r="152" spans="1:30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</row>
    <row r="153" spans="1:30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</row>
    <row r="154" spans="1:30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</row>
    <row r="155" spans="1:30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</row>
    <row r="156" spans="1:30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</row>
    <row r="157" spans="1:30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</row>
    <row r="158" spans="1:30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</row>
    <row r="159" spans="1:30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</row>
    <row r="160" spans="1:30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</row>
    <row r="161" spans="1:30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</row>
    <row r="162" spans="1:30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</row>
    <row r="163" spans="1:30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</row>
    <row r="164" spans="1:30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</row>
    <row r="165" spans="1:30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</row>
    <row r="166" spans="1:30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S166" s="11" t="str">
        <f t="shared" ref="S166:AD166" si="2">IF(COUNT(S151:S165)=0,"",IF(AND(COUNT(S151:S165)=8,SUM(S151:S165)=36,MIN(S151:S165)&gt;=1,MAX(S151:S165)&lt;=8,SUMPRODUCT((S151:S165&lt;&gt;"")*(COUNTIF(S151:S165,S151:S165)&gt;1))=0,COUNTA(F151:F165)=8),"✓","FIX"))</f>
        <v/>
      </c>
      <c r="T166" s="11" t="str">
        <f t="shared" si="2"/>
        <v/>
      </c>
      <c r="U166" s="11" t="str">
        <f t="shared" si="2"/>
        <v/>
      </c>
      <c r="V166" s="11" t="str">
        <f t="shared" si="2"/>
        <v/>
      </c>
      <c r="W166" s="11" t="str">
        <f t="shared" si="2"/>
        <v/>
      </c>
      <c r="X166" s="11" t="str">
        <f t="shared" si="2"/>
        <v/>
      </c>
      <c r="Y166" s="11" t="str">
        <f t="shared" si="2"/>
        <v/>
      </c>
      <c r="Z166" s="11" t="str">
        <f t="shared" si="2"/>
        <v/>
      </c>
      <c r="AA166" s="11" t="str">
        <f t="shared" si="2"/>
        <v/>
      </c>
      <c r="AB166" s="11" t="str">
        <f t="shared" si="2"/>
        <v/>
      </c>
      <c r="AC166" s="11" t="str">
        <f t="shared" si="2"/>
        <v/>
      </c>
      <c r="AD166" s="11" t="str">
        <f t="shared" si="2"/>
        <v/>
      </c>
    </row>
    <row r="167" spans="1:30" ht="15" customHeight="1" x14ac:dyDescent="0.25">
      <c r="A167" s="25" t="s">
        <v>111</v>
      </c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S167" s="25" t="s">
        <v>96</v>
      </c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</row>
    <row r="168" spans="1:30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  <c r="S168" s="6" t="s">
        <v>97</v>
      </c>
      <c r="T168" s="6" t="s">
        <v>98</v>
      </c>
      <c r="U168" s="6" t="s">
        <v>99</v>
      </c>
      <c r="V168" s="6" t="s">
        <v>100</v>
      </c>
      <c r="W168" s="6" t="s">
        <v>101</v>
      </c>
      <c r="X168" s="6" t="s">
        <v>102</v>
      </c>
      <c r="Y168" s="6" t="s">
        <v>103</v>
      </c>
      <c r="Z168" s="6" t="s">
        <v>104</v>
      </c>
      <c r="AA168" s="6" t="s">
        <v>105</v>
      </c>
      <c r="AB168" s="6" t="s">
        <v>106</v>
      </c>
      <c r="AC168" s="6" t="s">
        <v>107</v>
      </c>
      <c r="AD168" s="6" t="s">
        <v>108</v>
      </c>
    </row>
    <row r="169" spans="1:30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</row>
    <row r="170" spans="1:30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</row>
    <row r="171" spans="1:30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</row>
    <row r="172" spans="1:30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</row>
    <row r="173" spans="1:30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</row>
    <row r="174" spans="1:30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</row>
    <row r="175" spans="1:30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</row>
    <row r="176" spans="1:30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</row>
    <row r="177" spans="1:30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</row>
    <row r="178" spans="1:30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</row>
    <row r="179" spans="1:30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</row>
    <row r="180" spans="1:30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</row>
    <row r="181" spans="1:30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</row>
    <row r="182" spans="1:30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</row>
    <row r="183" spans="1:30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S183" s="11" t="str">
        <f t="shared" ref="S183:AD183" si="3">IF(COUNT(S169:S182)=0,"",IF(AND(COUNT(S169:S182)=8,SUM(S169:S182)=36,MIN(S169:S182)&gt;=1,MAX(S169:S182)&lt;=8,SUMPRODUCT((S169:S182&lt;&gt;"")*(COUNTIF(S169:S182,S169:S182)&gt;1))=0,COUNTA(F169:F182)=8),"✓","FIX"))</f>
        <v/>
      </c>
      <c r="T183" s="11" t="str">
        <f t="shared" si="3"/>
        <v/>
      </c>
      <c r="U183" s="11" t="str">
        <f t="shared" si="3"/>
        <v/>
      </c>
      <c r="V183" s="11" t="str">
        <f t="shared" si="3"/>
        <v/>
      </c>
      <c r="W183" s="11" t="str">
        <f t="shared" si="3"/>
        <v/>
      </c>
      <c r="X183" s="11" t="str">
        <f t="shared" si="3"/>
        <v/>
      </c>
      <c r="Y183" s="11" t="str">
        <f t="shared" si="3"/>
        <v/>
      </c>
      <c r="Z183" s="11" t="str">
        <f t="shared" si="3"/>
        <v/>
      </c>
      <c r="AA183" s="11" t="str">
        <f t="shared" si="3"/>
        <v/>
      </c>
      <c r="AB183" s="11" t="str">
        <f t="shared" si="3"/>
        <v/>
      </c>
      <c r="AC183" s="11" t="str">
        <f t="shared" si="3"/>
        <v/>
      </c>
      <c r="AD183" s="11" t="str">
        <f t="shared" si="3"/>
        <v/>
      </c>
    </row>
    <row r="184" spans="1:30" ht="15" customHeight="1" x14ac:dyDescent="0.25">
      <c r="A184" s="25" t="s">
        <v>112</v>
      </c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S184" s="25" t="s">
        <v>96</v>
      </c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</row>
    <row r="185" spans="1:30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  <c r="S185" s="6" t="s">
        <v>97</v>
      </c>
      <c r="T185" s="6" t="s">
        <v>98</v>
      </c>
      <c r="U185" s="6" t="s">
        <v>99</v>
      </c>
      <c r="V185" s="6" t="s">
        <v>100</v>
      </c>
      <c r="W185" s="6" t="s">
        <v>101</v>
      </c>
      <c r="X185" s="6" t="s">
        <v>102</v>
      </c>
      <c r="Y185" s="6" t="s">
        <v>103</v>
      </c>
      <c r="Z185" s="6" t="s">
        <v>104</v>
      </c>
      <c r="AA185" s="6" t="s">
        <v>105</v>
      </c>
      <c r="AB185" s="6" t="s">
        <v>106</v>
      </c>
      <c r="AC185" s="6" t="s">
        <v>107</v>
      </c>
      <c r="AD185" s="6" t="s">
        <v>108</v>
      </c>
    </row>
    <row r="186" spans="1:30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</row>
    <row r="187" spans="1:30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</row>
    <row r="188" spans="1:30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</row>
    <row r="189" spans="1:30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</row>
    <row r="190" spans="1:30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</row>
    <row r="191" spans="1:30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</row>
    <row r="192" spans="1:30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</row>
    <row r="193" spans="1:30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</row>
    <row r="194" spans="1:30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</row>
    <row r="195" spans="1:30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</row>
    <row r="196" spans="1:30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</row>
    <row r="197" spans="1:30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</row>
    <row r="198" spans="1:30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</row>
    <row r="199" spans="1:30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S199" s="11" t="str">
        <f t="shared" ref="S199:AD199" si="4">IF(COUNT(S186:S198)=0,"",IF(AND(COUNT(S186:S198)=8,SUM(S186:S198)=36,MIN(S186:S198)&gt;=1,MAX(S186:S198)&lt;=8,SUMPRODUCT((S186:S198&lt;&gt;"")*(COUNTIF(S186:S198,S186:S198)&gt;1))=0,COUNTA(F186:F198)=8),"✓","FIX"))</f>
        <v/>
      </c>
      <c r="T199" s="11" t="str">
        <f t="shared" si="4"/>
        <v/>
      </c>
      <c r="U199" s="11" t="str">
        <f t="shared" si="4"/>
        <v/>
      </c>
      <c r="V199" s="11" t="str">
        <f t="shared" si="4"/>
        <v/>
      </c>
      <c r="W199" s="11" t="str">
        <f t="shared" si="4"/>
        <v/>
      </c>
      <c r="X199" s="11" t="str">
        <f t="shared" si="4"/>
        <v/>
      </c>
      <c r="Y199" s="11" t="str">
        <f t="shared" si="4"/>
        <v/>
      </c>
      <c r="Z199" s="11" t="str">
        <f t="shared" si="4"/>
        <v/>
      </c>
      <c r="AA199" s="11" t="str">
        <f t="shared" si="4"/>
        <v/>
      </c>
      <c r="AB199" s="11" t="str">
        <f t="shared" si="4"/>
        <v/>
      </c>
      <c r="AC199" s="11" t="str">
        <f t="shared" si="4"/>
        <v/>
      </c>
      <c r="AD199" s="11" t="str">
        <f t="shared" si="4"/>
        <v/>
      </c>
    </row>
    <row r="200" spans="1:30" ht="15" customHeight="1" x14ac:dyDescent="0.25">
      <c r="A200" s="25" t="s">
        <v>113</v>
      </c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S200" s="25" t="s">
        <v>96</v>
      </c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</row>
    <row r="201" spans="1:30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  <c r="S201" s="6" t="s">
        <v>97</v>
      </c>
      <c r="T201" s="6" t="s">
        <v>98</v>
      </c>
      <c r="U201" s="6" t="s">
        <v>99</v>
      </c>
      <c r="V201" s="6" t="s">
        <v>100</v>
      </c>
      <c r="W201" s="6" t="s">
        <v>101</v>
      </c>
      <c r="X201" s="6" t="s">
        <v>102</v>
      </c>
      <c r="Y201" s="6" t="s">
        <v>103</v>
      </c>
      <c r="Z201" s="6" t="s">
        <v>104</v>
      </c>
      <c r="AA201" s="6" t="s">
        <v>105</v>
      </c>
      <c r="AB201" s="6" t="s">
        <v>106</v>
      </c>
      <c r="AC201" s="6" t="s">
        <v>107</v>
      </c>
      <c r="AD201" s="6" t="s">
        <v>108</v>
      </c>
    </row>
    <row r="202" spans="1:30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30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30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30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30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30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30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  <row r="211" spans="1:30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</row>
    <row r="212" spans="1:30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</row>
    <row r="213" spans="1:30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</row>
    <row r="214" spans="1:30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</row>
    <row r="215" spans="1:30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</row>
    <row r="216" spans="1:30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</row>
    <row r="217" spans="1:30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</row>
    <row r="218" spans="1:30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S218" s="11" t="str">
        <f t="shared" ref="S218:AD218" si="5">IF(COUNT(S202:S217)=0,"",IF(AND(COUNT(S202:S217)=8,SUM(S202:S217)=36,MIN(S202:S217)&gt;=1,MAX(S202:S217)&lt;=8,SUMPRODUCT((S202:S217&lt;&gt;"")*(COUNTIF(S202:S217,S202:S217)&gt;1))=0,COUNTA(F202:F217)=8),"✓","FIX"))</f>
        <v/>
      </c>
      <c r="T218" s="11" t="str">
        <f t="shared" si="5"/>
        <v/>
      </c>
      <c r="U218" s="11" t="str">
        <f t="shared" si="5"/>
        <v/>
      </c>
      <c r="V218" s="11" t="str">
        <f t="shared" si="5"/>
        <v/>
      </c>
      <c r="W218" s="11" t="str">
        <f t="shared" si="5"/>
        <v/>
      </c>
      <c r="X218" s="11" t="str">
        <f t="shared" si="5"/>
        <v/>
      </c>
      <c r="Y218" s="11" t="str">
        <f t="shared" si="5"/>
        <v/>
      </c>
      <c r="Z218" s="11" t="str">
        <f t="shared" si="5"/>
        <v/>
      </c>
      <c r="AA218" s="11" t="str">
        <f t="shared" si="5"/>
        <v/>
      </c>
      <c r="AB218" s="11" t="str">
        <f t="shared" si="5"/>
        <v/>
      </c>
      <c r="AC218" s="11" t="str">
        <f t="shared" si="5"/>
        <v/>
      </c>
      <c r="AD218" s="11" t="str">
        <f t="shared" si="5"/>
        <v/>
      </c>
    </row>
    <row r="219" spans="1:30" ht="15" customHeight="1" x14ac:dyDescent="0.25">
      <c r="A219" s="25" t="s">
        <v>114</v>
      </c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</row>
    <row r="220" spans="1:30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30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30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30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30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5" t="s">
        <v>115</v>
      </c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5" t="s">
        <v>116</v>
      </c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5" t="s">
        <v>117</v>
      </c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5" t="s">
        <v>118</v>
      </c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5" t="s">
        <v>119</v>
      </c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6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S115:AD115"/>
    <mergeCell ref="A132:Q132"/>
    <mergeCell ref="S132:AD132"/>
    <mergeCell ref="A149:Q149"/>
    <mergeCell ref="S149:AD149"/>
    <mergeCell ref="A167:Q167"/>
    <mergeCell ref="S167:AD167"/>
    <mergeCell ref="A184:Q184"/>
    <mergeCell ref="S184:AD184"/>
    <mergeCell ref="A200:Q200"/>
    <mergeCell ref="S200:AD200"/>
    <mergeCell ref="A219:Q219"/>
    <mergeCell ref="A236:Q236"/>
    <mergeCell ref="A254:Q254"/>
    <mergeCell ref="A273:Q273"/>
    <mergeCell ref="A292:Q292"/>
    <mergeCell ref="A311:Q311"/>
  </mergeCells>
  <conditionalFormatting sqref="S117:AD130">
    <cfRule type="expression" dxfId="23" priority="2">
      <formula>AND(S117&lt;&gt;"",COUNTIF(S$117:S$130,S117)&gt;1)</formula>
    </cfRule>
    <cfRule type="expression" dxfId="22" priority="3">
      <formula>OR(AND(F117&lt;&gt;"",S117=""),AND(F117="",S117&lt;&gt;""))</formula>
    </cfRule>
  </conditionalFormatting>
  <conditionalFormatting sqref="S131:AD131">
    <cfRule type="expression" dxfId="21" priority="4">
      <formula>S131="✓"</formula>
    </cfRule>
    <cfRule type="expression" dxfId="20" priority="5">
      <formula>S131="FIX"</formula>
    </cfRule>
  </conditionalFormatting>
  <conditionalFormatting sqref="S134:AD147">
    <cfRule type="expression" dxfId="19" priority="6">
      <formula>AND(S134&lt;&gt;"",COUNTIF(S$134:S$147,S134)&gt;1)</formula>
    </cfRule>
    <cfRule type="expression" dxfId="18" priority="7">
      <formula>OR(AND(F134&lt;&gt;"",S134=""),AND(F134="",S134&lt;&gt;""))</formula>
    </cfRule>
  </conditionalFormatting>
  <conditionalFormatting sqref="S148:AD148">
    <cfRule type="expression" dxfId="17" priority="8">
      <formula>S148="✓"</formula>
    </cfRule>
    <cfRule type="expression" dxfId="16" priority="9">
      <formula>S148="FIX"</formula>
    </cfRule>
  </conditionalFormatting>
  <conditionalFormatting sqref="S151:AD165">
    <cfRule type="expression" dxfId="15" priority="10">
      <formula>AND(S151&lt;&gt;"",COUNTIF(S$151:S$165,S151)&gt;1)</formula>
    </cfRule>
    <cfRule type="expression" dxfId="14" priority="11">
      <formula>OR(AND(F151&lt;&gt;"",S151=""),AND(F151="",S151&lt;&gt;""))</formula>
    </cfRule>
  </conditionalFormatting>
  <conditionalFormatting sqref="S166:AD166">
    <cfRule type="expression" dxfId="13" priority="12">
      <formula>S166="✓"</formula>
    </cfRule>
    <cfRule type="expression" dxfId="12" priority="13">
      <formula>S166="FIX"</formula>
    </cfRule>
  </conditionalFormatting>
  <conditionalFormatting sqref="S169:AD182">
    <cfRule type="expression" dxfId="11" priority="14">
      <formula>AND(S169&lt;&gt;"",COUNTIF(S$169:S$182,S169)&gt;1)</formula>
    </cfRule>
    <cfRule type="expression" dxfId="10" priority="15">
      <formula>OR(AND(F169&lt;&gt;"",S169=""),AND(F169="",S169&lt;&gt;""))</formula>
    </cfRule>
  </conditionalFormatting>
  <conditionalFormatting sqref="S183:AD183">
    <cfRule type="expression" dxfId="9" priority="16">
      <formula>S183="✓"</formula>
    </cfRule>
    <cfRule type="expression" dxfId="8" priority="17">
      <formula>S183="FIX"</formula>
    </cfRule>
  </conditionalFormatting>
  <conditionalFormatting sqref="S186:AD198">
    <cfRule type="expression" dxfId="7" priority="18">
      <formula>AND(S186&lt;&gt;"",COUNTIF(S$186:S$198,S186)&gt;1)</formula>
    </cfRule>
    <cfRule type="expression" dxfId="6" priority="19">
      <formula>OR(AND(F186&lt;&gt;"",S186=""),AND(F186="",S186&lt;&gt;""))</formula>
    </cfRule>
  </conditionalFormatting>
  <conditionalFormatting sqref="S199:AD199">
    <cfRule type="expression" dxfId="5" priority="20">
      <formula>S199="✓"</formula>
    </cfRule>
    <cfRule type="expression" dxfId="4" priority="21">
      <formula>S199="FIX"</formula>
    </cfRule>
  </conditionalFormatting>
  <conditionalFormatting sqref="S202:AD217">
    <cfRule type="expression" dxfId="3" priority="22">
      <formula>AND(S202&lt;&gt;"",COUNTIF(S$202:S$217,S202)&gt;1)</formula>
    </cfRule>
    <cfRule type="expression" dxfId="2" priority="23">
      <formula>OR(AND(F202&lt;&gt;"",S202=""),AND(F202="",S202&lt;&gt;""))</formula>
    </cfRule>
  </conditionalFormatting>
  <conditionalFormatting sqref="S218:AD218">
    <cfRule type="expression" dxfId="1" priority="24">
      <formula>S218="✓"</formula>
    </cfRule>
    <cfRule type="expression" dxfId="0" priority="25">
      <formula>S218="FIX"</formula>
    </cfRule>
  </conditionalFormatting>
  <dataValidations count="274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17:AD130" xr:uid="{00000000-0002-0000-0200-00000C010000}">
      <formula1>AND(ISNUMBER(S117),S117&gt;=1,S117&lt;=8,INT(S117)=S117,COUNTIF(S$117:S$130,S117)=1)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34:AD147" xr:uid="{00000000-0002-0000-0200-00000D010000}">
      <formula1>AND(ISNUMBER(S134),S134&gt;=1,S134&lt;=8,INT(S134)=S134,COUNTIF(S$134:S$147,S134)=1)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51:AD165" xr:uid="{00000000-0002-0000-0200-00000E010000}">
      <formula1>AND(ISNUMBER(S151),S151&gt;=1,S151&lt;=8,INT(S151)=S151,COUNTIF(S$151:S$165,S151)=1)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69:AD182" xr:uid="{00000000-0002-0000-0200-00000F010000}">
      <formula1>AND(ISNUMBER(S169),S169&gt;=1,S169&lt;=8,INT(S169)=S169,COUNTIF(S$169:S$182,S169)=1)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86:AD198" xr:uid="{00000000-0002-0000-0200-000010010000}">
      <formula1>AND(ISNUMBER(S186),S186&gt;=1,S186&lt;=8,INT(S186)=S186,COUNTIF(S$186:S$198,S186)=1)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202:AD217" xr:uid="{00000000-0002-0000-0200-000011010000}">
      <formula1>AND(ISNUMBER(S202),S202&gt;=1,S202&lt;=8,INT(S202)=S202,COUNTIF(S$202:S$217,S202)=1)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abSelected="1" topLeftCell="A94" zoomScaleNormal="100" workbookViewId="0">
      <selection activeCell="H114" sqref="H114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120</v>
      </c>
      <c r="B2" t="s">
        <v>121</v>
      </c>
      <c r="C2" t="s">
        <v>122</v>
      </c>
      <c r="D2" t="s">
        <v>53</v>
      </c>
      <c r="E2" t="s">
        <v>123</v>
      </c>
      <c r="F2" t="s">
        <v>55</v>
      </c>
      <c r="G2" t="s">
        <v>124</v>
      </c>
      <c r="H2" t="s">
        <v>125</v>
      </c>
      <c r="I2" t="s">
        <v>126</v>
      </c>
      <c r="J2" t="s">
        <v>127</v>
      </c>
    </row>
    <row r="3" spans="1:10" ht="15" customHeight="1" x14ac:dyDescent="0.25">
      <c r="A3">
        <v>1</v>
      </c>
      <c r="B3" t="s">
        <v>128</v>
      </c>
      <c r="C3" t="s">
        <v>129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130</v>
      </c>
      <c r="C4" t="s">
        <v>131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132</v>
      </c>
      <c r="C5" t="s">
        <v>133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132</v>
      </c>
      <c r="C6" t="s">
        <v>133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132</v>
      </c>
      <c r="C7" t="s">
        <v>133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132</v>
      </c>
      <c r="C8" t="s">
        <v>133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132</v>
      </c>
      <c r="C9" t="s">
        <v>133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132</v>
      </c>
      <c r="C10" t="s">
        <v>133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132</v>
      </c>
      <c r="C11" t="s">
        <v>133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132</v>
      </c>
      <c r="C12" t="s">
        <v>133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132</v>
      </c>
      <c r="C13" t="s">
        <v>134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132</v>
      </c>
      <c r="C14" t="s">
        <v>134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132</v>
      </c>
      <c r="C15" t="s">
        <v>134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132</v>
      </c>
      <c r="C16" t="s">
        <v>134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132</v>
      </c>
      <c r="C17" t="s">
        <v>129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135</v>
      </c>
      <c r="C18" t="s">
        <v>136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6" t="s">
        <v>89</v>
      </c>
      <c r="E19" s="17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120</v>
      </c>
      <c r="B21" t="s">
        <v>121</v>
      </c>
      <c r="C21" t="s">
        <v>122</v>
      </c>
      <c r="D21" t="s">
        <v>53</v>
      </c>
      <c r="E21" t="s">
        <v>123</v>
      </c>
      <c r="F21" t="s">
        <v>55</v>
      </c>
      <c r="G21" t="s">
        <v>124</v>
      </c>
      <c r="H21" t="s">
        <v>125</v>
      </c>
      <c r="I21" t="s">
        <v>126</v>
      </c>
      <c r="J21" t="s">
        <v>127</v>
      </c>
    </row>
    <row r="22" spans="1:10" ht="15" customHeight="1" x14ac:dyDescent="0.25">
      <c r="A22">
        <v>2</v>
      </c>
      <c r="B22" t="s">
        <v>137</v>
      </c>
      <c r="C22" t="s">
        <v>136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138</v>
      </c>
      <c r="C23" t="s">
        <v>133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138</v>
      </c>
      <c r="C24" t="s">
        <v>133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138</v>
      </c>
      <c r="C25" t="s">
        <v>133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138</v>
      </c>
      <c r="C26" t="s">
        <v>133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138</v>
      </c>
      <c r="C27" t="s">
        <v>133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138</v>
      </c>
      <c r="C28" t="s">
        <v>133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138</v>
      </c>
      <c r="C29" t="s">
        <v>133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138</v>
      </c>
      <c r="C30" t="s">
        <v>133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138</v>
      </c>
      <c r="C31" t="s">
        <v>139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138</v>
      </c>
      <c r="C32" t="s">
        <v>139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138</v>
      </c>
      <c r="C33" t="s">
        <v>134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138</v>
      </c>
      <c r="C34" t="s">
        <v>134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138</v>
      </c>
      <c r="C35" t="s">
        <v>134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138</v>
      </c>
      <c r="C36" t="s">
        <v>129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140</v>
      </c>
      <c r="C37" t="s">
        <v>136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6" t="s">
        <v>89</v>
      </c>
      <c r="E38" s="17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120</v>
      </c>
      <c r="B40" t="s">
        <v>121</v>
      </c>
      <c r="C40" t="s">
        <v>122</v>
      </c>
      <c r="D40" t="s">
        <v>53</v>
      </c>
      <c r="E40" t="s">
        <v>123</v>
      </c>
      <c r="F40" t="s">
        <v>55</v>
      </c>
      <c r="G40" t="s">
        <v>124</v>
      </c>
      <c r="H40" t="s">
        <v>125</v>
      </c>
      <c r="I40" t="s">
        <v>126</v>
      </c>
      <c r="J40" t="s">
        <v>127</v>
      </c>
    </row>
    <row r="41" spans="1:10" ht="15" customHeight="1" x14ac:dyDescent="0.25">
      <c r="A41">
        <v>3</v>
      </c>
      <c r="B41" t="s">
        <v>141</v>
      </c>
      <c r="C41" t="s">
        <v>136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142</v>
      </c>
      <c r="C42" t="s">
        <v>133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142</v>
      </c>
      <c r="C43" t="s">
        <v>133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142</v>
      </c>
      <c r="C44" t="s">
        <v>133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142</v>
      </c>
      <c r="C45" t="s">
        <v>133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142</v>
      </c>
      <c r="C46" t="s">
        <v>133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142</v>
      </c>
      <c r="C47" t="s">
        <v>133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142</v>
      </c>
      <c r="C48" t="s">
        <v>133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142</v>
      </c>
      <c r="C49" t="s">
        <v>133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142</v>
      </c>
      <c r="C50" t="s">
        <v>133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142</v>
      </c>
      <c r="C51" t="s">
        <v>139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142</v>
      </c>
      <c r="C52" t="s">
        <v>139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142</v>
      </c>
      <c r="C53" t="s">
        <v>134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142</v>
      </c>
      <c r="C54" t="s">
        <v>134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142</v>
      </c>
      <c r="C55" t="s">
        <v>129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143</v>
      </c>
      <c r="C56" t="s">
        <v>136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6" t="s">
        <v>89</v>
      </c>
      <c r="E57" s="17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120</v>
      </c>
      <c r="B59" t="s">
        <v>121</v>
      </c>
      <c r="C59" t="s">
        <v>122</v>
      </c>
      <c r="D59" t="s">
        <v>53</v>
      </c>
      <c r="E59" t="s">
        <v>123</v>
      </c>
      <c r="F59" t="s">
        <v>55</v>
      </c>
      <c r="G59" t="s">
        <v>124</v>
      </c>
      <c r="H59" t="s">
        <v>125</v>
      </c>
      <c r="I59" t="s">
        <v>126</v>
      </c>
      <c r="J59" t="s">
        <v>127</v>
      </c>
    </row>
    <row r="60" spans="1:10" ht="15" customHeight="1" x14ac:dyDescent="0.25">
      <c r="A60">
        <v>4</v>
      </c>
      <c r="B60" t="s">
        <v>144</v>
      </c>
      <c r="C60" t="s">
        <v>136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145</v>
      </c>
      <c r="C61" t="s">
        <v>146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145</v>
      </c>
      <c r="C62" t="s">
        <v>133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145</v>
      </c>
      <c r="C63" t="s">
        <v>133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145</v>
      </c>
      <c r="C64" t="s">
        <v>133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145</v>
      </c>
      <c r="C65" t="s">
        <v>133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145</v>
      </c>
      <c r="C66" t="s">
        <v>133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145</v>
      </c>
      <c r="C67" t="s">
        <v>133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145</v>
      </c>
      <c r="C68" t="s">
        <v>133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145</v>
      </c>
      <c r="C69" t="s">
        <v>133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145</v>
      </c>
      <c r="C70" t="s">
        <v>139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145</v>
      </c>
      <c r="C71" t="s">
        <v>134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145</v>
      </c>
      <c r="C72" t="s">
        <v>134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145</v>
      </c>
      <c r="C73" t="s">
        <v>134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145</v>
      </c>
      <c r="C74" t="s">
        <v>129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147</v>
      </c>
      <c r="C75" t="s">
        <v>136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6" t="s">
        <v>89</v>
      </c>
      <c r="E76" s="17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120</v>
      </c>
      <c r="B78" t="s">
        <v>121</v>
      </c>
      <c r="C78" t="s">
        <v>122</v>
      </c>
      <c r="D78" t="s">
        <v>53</v>
      </c>
      <c r="E78" t="s">
        <v>123</v>
      </c>
      <c r="F78" t="s">
        <v>55</v>
      </c>
      <c r="G78" t="s">
        <v>124</v>
      </c>
      <c r="H78" t="s">
        <v>125</v>
      </c>
      <c r="I78" t="s">
        <v>126</v>
      </c>
      <c r="J78" t="s">
        <v>127</v>
      </c>
    </row>
    <row r="79" spans="1:10" ht="15" customHeight="1" x14ac:dyDescent="0.25">
      <c r="A79">
        <v>5</v>
      </c>
      <c r="B79" t="s">
        <v>148</v>
      </c>
      <c r="C79" t="s">
        <v>136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149</v>
      </c>
      <c r="C80" t="s">
        <v>146</v>
      </c>
      <c r="D80" t="s">
        <v>84</v>
      </c>
      <c r="E80">
        <v>17</v>
      </c>
      <c r="F80" t="s">
        <v>72</v>
      </c>
      <c r="G80">
        <v>19</v>
      </c>
      <c r="H80">
        <v>6.5</v>
      </c>
      <c r="I80" t="str">
        <f t="shared" si="8"/>
        <v>JAX</v>
      </c>
      <c r="J80" t="str">
        <f t="shared" si="9"/>
        <v>PHI</v>
      </c>
    </row>
    <row r="81" spans="1:10" ht="15" customHeight="1" x14ac:dyDescent="0.25">
      <c r="A81">
        <v>5</v>
      </c>
      <c r="B81" t="s">
        <v>149</v>
      </c>
      <c r="C81" t="s">
        <v>133</v>
      </c>
      <c r="D81" t="s">
        <v>68</v>
      </c>
      <c r="E81">
        <v>26</v>
      </c>
      <c r="F81" t="s">
        <v>76</v>
      </c>
      <c r="G81">
        <v>3</v>
      </c>
      <c r="H81">
        <v>-7.5</v>
      </c>
      <c r="I81" t="str">
        <f t="shared" si="8"/>
        <v>HOU</v>
      </c>
      <c r="J81" t="str">
        <f t="shared" si="9"/>
        <v>HOU</v>
      </c>
    </row>
    <row r="82" spans="1:10" ht="15" customHeight="1" x14ac:dyDescent="0.25">
      <c r="A82">
        <v>5</v>
      </c>
      <c r="B82" t="s">
        <v>149</v>
      </c>
      <c r="C82" t="s">
        <v>133</v>
      </c>
      <c r="D82" t="s">
        <v>64</v>
      </c>
      <c r="E82">
        <v>31</v>
      </c>
      <c r="F82" t="s">
        <v>79</v>
      </c>
      <c r="G82">
        <v>24</v>
      </c>
      <c r="H82">
        <v>-7.5</v>
      </c>
      <c r="I82" t="str">
        <f t="shared" si="8"/>
        <v>CIN</v>
      </c>
      <c r="J82" t="str">
        <f t="shared" si="9"/>
        <v>MIA</v>
      </c>
    </row>
    <row r="83" spans="1:10" ht="15" customHeight="1" x14ac:dyDescent="0.25">
      <c r="A83">
        <v>5</v>
      </c>
      <c r="B83" t="s">
        <v>149</v>
      </c>
      <c r="C83" t="s">
        <v>133</v>
      </c>
      <c r="D83" t="s">
        <v>80</v>
      </c>
      <c r="E83">
        <v>17</v>
      </c>
      <c r="F83" t="s">
        <v>57</v>
      </c>
      <c r="G83">
        <v>45</v>
      </c>
      <c r="H83">
        <v>3.5</v>
      </c>
      <c r="I83" t="str">
        <f t="shared" si="8"/>
        <v>NE</v>
      </c>
      <c r="J83" t="str">
        <f t="shared" si="9"/>
        <v>NE</v>
      </c>
    </row>
    <row r="84" spans="1:10" ht="15" customHeight="1" x14ac:dyDescent="0.25">
      <c r="A84">
        <v>5</v>
      </c>
      <c r="B84" t="s">
        <v>149</v>
      </c>
      <c r="C84" t="s">
        <v>133</v>
      </c>
      <c r="D84" t="s">
        <v>82</v>
      </c>
      <c r="E84">
        <v>23</v>
      </c>
      <c r="F84" t="s">
        <v>65</v>
      </c>
      <c r="G84">
        <v>13</v>
      </c>
      <c r="H84">
        <v>-1.5</v>
      </c>
      <c r="I84" t="str">
        <f t="shared" si="8"/>
        <v>MIN</v>
      </c>
      <c r="J84" t="str">
        <f t="shared" si="9"/>
        <v>MIN</v>
      </c>
    </row>
    <row r="85" spans="1:10" ht="15" customHeight="1" x14ac:dyDescent="0.25">
      <c r="A85">
        <v>5</v>
      </c>
      <c r="B85" t="s">
        <v>149</v>
      </c>
      <c r="C85" t="s">
        <v>133</v>
      </c>
      <c r="D85" t="s">
        <v>71</v>
      </c>
      <c r="E85">
        <v>12</v>
      </c>
      <c r="F85" t="s">
        <v>75</v>
      </c>
      <c r="G85">
        <v>17</v>
      </c>
      <c r="H85">
        <v>2.5</v>
      </c>
      <c r="I85" t="str">
        <f t="shared" si="8"/>
        <v>NYJ</v>
      </c>
      <c r="J85" t="str">
        <f t="shared" si="9"/>
        <v>NYJ</v>
      </c>
    </row>
    <row r="86" spans="1:10" ht="15" customHeight="1" x14ac:dyDescent="0.25">
      <c r="A86">
        <v>5</v>
      </c>
      <c r="B86" t="s">
        <v>149</v>
      </c>
      <c r="C86" t="s">
        <v>133</v>
      </c>
      <c r="D86" t="s">
        <v>70</v>
      </c>
      <c r="E86">
        <v>22</v>
      </c>
      <c r="F86" t="s">
        <v>74</v>
      </c>
      <c r="G86">
        <v>34</v>
      </c>
      <c r="H86">
        <v>2.5</v>
      </c>
      <c r="I86" t="str">
        <f t="shared" si="8"/>
        <v>PIT</v>
      </c>
      <c r="J86" t="str">
        <f t="shared" si="9"/>
        <v>PIT</v>
      </c>
    </row>
    <row r="87" spans="1:10" ht="15" customHeight="1" x14ac:dyDescent="0.25">
      <c r="A87">
        <v>5</v>
      </c>
      <c r="B87" t="s">
        <v>149</v>
      </c>
      <c r="C87" t="s">
        <v>133</v>
      </c>
      <c r="D87" t="s">
        <v>86</v>
      </c>
      <c r="E87">
        <v>27</v>
      </c>
      <c r="F87" t="s">
        <v>83</v>
      </c>
      <c r="G87">
        <v>27</v>
      </c>
      <c r="H87">
        <v>3.5</v>
      </c>
      <c r="I87" t="str">
        <f t="shared" si="8"/>
        <v>TIE</v>
      </c>
      <c r="J87" t="str">
        <f t="shared" si="9"/>
        <v>NYG</v>
      </c>
    </row>
    <row r="88" spans="1:10" ht="15" customHeight="1" x14ac:dyDescent="0.25">
      <c r="A88">
        <v>5</v>
      </c>
      <c r="B88" t="s">
        <v>149</v>
      </c>
      <c r="C88" t="s">
        <v>139</v>
      </c>
      <c r="D88" t="s">
        <v>87</v>
      </c>
      <c r="E88">
        <v>23</v>
      </c>
      <c r="F88" t="s">
        <v>78</v>
      </c>
      <c r="G88">
        <v>17</v>
      </c>
      <c r="H88">
        <v>-3.5</v>
      </c>
      <c r="I88" t="str">
        <f t="shared" si="8"/>
        <v>DEN</v>
      </c>
      <c r="J88" t="str">
        <f t="shared" si="9"/>
        <v>DEN</v>
      </c>
    </row>
    <row r="89" spans="1:10" ht="15" customHeight="1" x14ac:dyDescent="0.25">
      <c r="A89">
        <v>5</v>
      </c>
      <c r="B89" t="s">
        <v>149</v>
      </c>
      <c r="C89" t="s">
        <v>134</v>
      </c>
      <c r="D89" t="s">
        <v>61</v>
      </c>
      <c r="E89">
        <v>7</v>
      </c>
      <c r="F89" t="s">
        <v>81</v>
      </c>
      <c r="G89">
        <v>31</v>
      </c>
      <c r="H89">
        <v>-2.5</v>
      </c>
      <c r="I89" t="str">
        <f t="shared" si="8"/>
        <v>GB</v>
      </c>
      <c r="J89" t="str">
        <f t="shared" si="9"/>
        <v>GB</v>
      </c>
    </row>
    <row r="90" spans="1:10" ht="15" customHeight="1" x14ac:dyDescent="0.25">
      <c r="A90">
        <v>5</v>
      </c>
      <c r="B90" t="s">
        <v>149</v>
      </c>
      <c r="C90" t="s">
        <v>134</v>
      </c>
      <c r="D90" t="s">
        <v>66</v>
      </c>
      <c r="E90">
        <v>45</v>
      </c>
      <c r="F90" t="s">
        <v>77</v>
      </c>
      <c r="G90">
        <v>21</v>
      </c>
      <c r="H90">
        <v>-4.5</v>
      </c>
      <c r="I90" t="str">
        <f t="shared" si="8"/>
        <v>DET</v>
      </c>
      <c r="J90" t="str">
        <f t="shared" si="9"/>
        <v>DET</v>
      </c>
    </row>
    <row r="91" spans="1:10" ht="15" customHeight="1" x14ac:dyDescent="0.25">
      <c r="A91">
        <v>5</v>
      </c>
      <c r="B91" t="s">
        <v>149</v>
      </c>
      <c r="C91" t="s">
        <v>134</v>
      </c>
      <c r="D91" t="s">
        <v>59</v>
      </c>
      <c r="E91">
        <v>32</v>
      </c>
      <c r="F91" t="s">
        <v>58</v>
      </c>
      <c r="G91">
        <v>29</v>
      </c>
      <c r="H91">
        <v>2.5</v>
      </c>
      <c r="I91" t="str">
        <f t="shared" si="8"/>
        <v>SF</v>
      </c>
      <c r="J91" t="str">
        <f t="shared" si="9"/>
        <v>SF</v>
      </c>
    </row>
    <row r="92" spans="1:10" ht="15" customHeight="1" x14ac:dyDescent="0.25">
      <c r="A92">
        <v>5</v>
      </c>
      <c r="B92" t="s">
        <v>149</v>
      </c>
      <c r="C92" t="s">
        <v>129</v>
      </c>
      <c r="D92" t="s">
        <v>69</v>
      </c>
      <c r="E92">
        <v>30</v>
      </c>
      <c r="F92" t="s">
        <v>73</v>
      </c>
      <c r="G92">
        <v>23</v>
      </c>
      <c r="H92">
        <v>2.5</v>
      </c>
      <c r="I92" t="str">
        <f t="shared" si="8"/>
        <v>BAL</v>
      </c>
      <c r="J92" t="str">
        <f t="shared" si="9"/>
        <v>BAL</v>
      </c>
    </row>
    <row r="93" spans="1:10" ht="15" customHeight="1" x14ac:dyDescent="0.25">
      <c r="A93">
        <v>5</v>
      </c>
      <c r="B93" t="s">
        <v>150</v>
      </c>
      <c r="C93" t="s">
        <v>136</v>
      </c>
      <c r="D93" t="s">
        <v>67</v>
      </c>
      <c r="E93">
        <v>37</v>
      </c>
      <c r="F93" t="s">
        <v>60</v>
      </c>
      <c r="G93">
        <v>34</v>
      </c>
      <c r="H93">
        <v>2.5</v>
      </c>
      <c r="I93" t="str">
        <f t="shared" si="8"/>
        <v>BUF</v>
      </c>
      <c r="J93" t="str">
        <f t="shared" si="9"/>
        <v>BUF</v>
      </c>
    </row>
    <row r="94" spans="1:10" x14ac:dyDescent="0.25">
      <c r="D94" s="16" t="s">
        <v>89</v>
      </c>
      <c r="E94" s="17">
        <f>IF(AND(E93&lt;&gt;"",G93&lt;&gt;""),E93+G93,"")</f>
        <v>71</v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120</v>
      </c>
      <c r="B96" t="s">
        <v>121</v>
      </c>
      <c r="C96" t="s">
        <v>122</v>
      </c>
      <c r="D96" t="s">
        <v>53</v>
      </c>
      <c r="E96" t="s">
        <v>123</v>
      </c>
      <c r="F96" t="s">
        <v>55</v>
      </c>
      <c r="G96" t="s">
        <v>124</v>
      </c>
      <c r="H96" t="s">
        <v>125</v>
      </c>
      <c r="I96" t="s">
        <v>126</v>
      </c>
      <c r="J96" t="s">
        <v>127</v>
      </c>
    </row>
    <row r="97" spans="1:10" ht="15" customHeight="1" x14ac:dyDescent="0.25">
      <c r="A97">
        <v>6</v>
      </c>
      <c r="B97" t="s">
        <v>151</v>
      </c>
      <c r="C97" t="s">
        <v>136</v>
      </c>
      <c r="D97" t="s">
        <v>58</v>
      </c>
      <c r="E97">
        <v>14</v>
      </c>
      <c r="F97" t="s">
        <v>87</v>
      </c>
      <c r="G97">
        <v>17</v>
      </c>
      <c r="H97">
        <v>-2.5</v>
      </c>
      <c r="I97" t="str">
        <f t="shared" ref="I97:I110" si="10">IF(OR(E97="",G97=""),"",IF(E97&gt;G97,D97,IF(G97&gt;E97,F97,"TIE")))</f>
        <v>DEN</v>
      </c>
      <c r="J97" t="str">
        <f t="shared" ref="J97:J110" si="11">IF(OR(E97="",G97="",H97=""),"",IF(E97+H97&gt;G97,D97,IF(E97+H97&lt;G97,F97,"PUSH")))</f>
        <v>DEN</v>
      </c>
    </row>
    <row r="98" spans="1:10" ht="15" customHeight="1" x14ac:dyDescent="0.25">
      <c r="A98">
        <v>6</v>
      </c>
      <c r="B98" t="s">
        <v>152</v>
      </c>
      <c r="C98" t="s">
        <v>146</v>
      </c>
      <c r="D98" t="s">
        <v>68</v>
      </c>
      <c r="E98">
        <v>34</v>
      </c>
      <c r="F98" t="s">
        <v>72</v>
      </c>
      <c r="G98">
        <v>31</v>
      </c>
      <c r="H98">
        <v>2.5</v>
      </c>
      <c r="I98" t="str">
        <f t="shared" si="10"/>
        <v>HOU</v>
      </c>
      <c r="J98" t="str">
        <f t="shared" si="11"/>
        <v>HOU</v>
      </c>
    </row>
    <row r="99" spans="1:10" ht="15" customHeight="1" x14ac:dyDescent="0.25">
      <c r="A99">
        <v>6</v>
      </c>
      <c r="B99" t="s">
        <v>152</v>
      </c>
      <c r="C99" t="s">
        <v>133</v>
      </c>
      <c r="D99" t="s">
        <v>61</v>
      </c>
      <c r="E99">
        <v>31</v>
      </c>
      <c r="F99" t="s">
        <v>73</v>
      </c>
      <c r="G99">
        <v>23</v>
      </c>
      <c r="H99">
        <v>-3.5</v>
      </c>
      <c r="I99" t="str">
        <f t="shared" si="10"/>
        <v>CHI</v>
      </c>
      <c r="J99" t="str">
        <f t="shared" si="11"/>
        <v>CHI</v>
      </c>
    </row>
    <row r="100" spans="1:10" ht="15" customHeight="1" x14ac:dyDescent="0.25">
      <c r="A100">
        <v>6</v>
      </c>
      <c r="B100" t="s">
        <v>152</v>
      </c>
      <c r="C100" t="s">
        <v>133</v>
      </c>
      <c r="D100" t="s">
        <v>69</v>
      </c>
      <c r="E100">
        <v>10</v>
      </c>
      <c r="F100" t="s">
        <v>71</v>
      </c>
      <c r="G100">
        <v>13</v>
      </c>
      <c r="H100">
        <v>-4.5</v>
      </c>
      <c r="I100" t="str">
        <f t="shared" si="10"/>
        <v>CLE</v>
      </c>
      <c r="J100" t="str">
        <f t="shared" si="11"/>
        <v>CLE</v>
      </c>
    </row>
    <row r="101" spans="1:10" ht="15" customHeight="1" x14ac:dyDescent="0.25">
      <c r="A101">
        <v>6</v>
      </c>
      <c r="B101" t="s">
        <v>152</v>
      </c>
      <c r="C101" t="s">
        <v>133</v>
      </c>
      <c r="D101" t="s">
        <v>76</v>
      </c>
      <c r="E101">
        <v>26</v>
      </c>
      <c r="F101" t="s">
        <v>70</v>
      </c>
      <c r="G101">
        <v>20</v>
      </c>
      <c r="H101">
        <v>6.5</v>
      </c>
      <c r="I101" t="str">
        <f t="shared" si="10"/>
        <v>TEN</v>
      </c>
      <c r="J101" t="str">
        <f t="shared" si="11"/>
        <v>TEN</v>
      </c>
    </row>
    <row r="102" spans="1:10" ht="15" customHeight="1" x14ac:dyDescent="0.25">
      <c r="A102">
        <v>6</v>
      </c>
      <c r="B102" t="s">
        <v>152</v>
      </c>
      <c r="C102" t="s">
        <v>133</v>
      </c>
      <c r="D102" t="s">
        <v>75</v>
      </c>
      <c r="E102">
        <v>19</v>
      </c>
      <c r="F102" t="s">
        <v>57</v>
      </c>
      <c r="G102">
        <v>26</v>
      </c>
      <c r="H102">
        <v>7.5</v>
      </c>
      <c r="I102" t="str">
        <f t="shared" si="10"/>
        <v>NE</v>
      </c>
      <c r="J102" t="str">
        <f t="shared" si="11"/>
        <v>NYJ</v>
      </c>
    </row>
    <row r="103" spans="1:10" ht="15" customHeight="1" x14ac:dyDescent="0.25">
      <c r="A103">
        <v>6</v>
      </c>
      <c r="B103" t="s">
        <v>152</v>
      </c>
      <c r="C103" t="s">
        <v>133</v>
      </c>
      <c r="D103" t="s">
        <v>65</v>
      </c>
      <c r="E103">
        <v>34</v>
      </c>
      <c r="F103" t="s">
        <v>86</v>
      </c>
      <c r="G103">
        <v>27</v>
      </c>
      <c r="H103">
        <v>1.5</v>
      </c>
      <c r="I103" t="str">
        <f t="shared" si="10"/>
        <v>NO</v>
      </c>
      <c r="J103" t="str">
        <f t="shared" si="11"/>
        <v>NO</v>
      </c>
    </row>
    <row r="104" spans="1:10" ht="15" customHeight="1" x14ac:dyDescent="0.25">
      <c r="A104">
        <v>6</v>
      </c>
      <c r="B104" t="s">
        <v>152</v>
      </c>
      <c r="C104" t="s">
        <v>133</v>
      </c>
      <c r="D104" t="s">
        <v>62</v>
      </c>
      <c r="E104">
        <v>25</v>
      </c>
      <c r="F104" t="s">
        <v>84</v>
      </c>
      <c r="G104">
        <v>14</v>
      </c>
      <c r="H104">
        <v>1.5</v>
      </c>
      <c r="I104" t="str">
        <f t="shared" si="10"/>
        <v>CAR</v>
      </c>
      <c r="J104" t="str">
        <f t="shared" si="11"/>
        <v>CAR</v>
      </c>
    </row>
    <row r="105" spans="1:10" ht="15" customHeight="1" x14ac:dyDescent="0.25">
      <c r="A105">
        <v>6</v>
      </c>
      <c r="B105" t="s">
        <v>152</v>
      </c>
      <c r="C105" t="s">
        <v>133</v>
      </c>
      <c r="D105" t="s">
        <v>74</v>
      </c>
      <c r="E105">
        <v>26</v>
      </c>
      <c r="F105" t="s">
        <v>63</v>
      </c>
      <c r="G105">
        <v>19</v>
      </c>
      <c r="H105">
        <v>-2.5</v>
      </c>
      <c r="I105" t="str">
        <f t="shared" si="10"/>
        <v>PIT</v>
      </c>
      <c r="J105" t="str">
        <f t="shared" si="11"/>
        <v>PIT</v>
      </c>
    </row>
    <row r="106" spans="1:10" ht="15" customHeight="1" x14ac:dyDescent="0.25">
      <c r="A106">
        <v>6</v>
      </c>
      <c r="B106" t="s">
        <v>152</v>
      </c>
      <c r="C106" t="s">
        <v>139</v>
      </c>
      <c r="D106" t="s">
        <v>77</v>
      </c>
      <c r="E106">
        <v>18</v>
      </c>
      <c r="F106" t="s">
        <v>60</v>
      </c>
      <c r="G106">
        <v>16</v>
      </c>
      <c r="H106">
        <v>13.5</v>
      </c>
      <c r="I106" t="str">
        <f t="shared" si="10"/>
        <v>ARI</v>
      </c>
      <c r="J106" t="str">
        <f t="shared" si="11"/>
        <v>ARI</v>
      </c>
    </row>
    <row r="107" spans="1:10" ht="15" customHeight="1" x14ac:dyDescent="0.25">
      <c r="A107">
        <v>6</v>
      </c>
      <c r="B107" t="s">
        <v>152</v>
      </c>
      <c r="C107" t="s">
        <v>134</v>
      </c>
      <c r="D107" t="s">
        <v>78</v>
      </c>
      <c r="E107">
        <v>6</v>
      </c>
      <c r="F107" t="s">
        <v>88</v>
      </c>
      <c r="G107">
        <v>22</v>
      </c>
      <c r="H107">
        <v>8.5</v>
      </c>
      <c r="I107" t="str">
        <f t="shared" si="10"/>
        <v>KC</v>
      </c>
      <c r="J107" t="str">
        <f t="shared" si="11"/>
        <v>KC</v>
      </c>
    </row>
    <row r="108" spans="1:10" ht="15" customHeight="1" x14ac:dyDescent="0.25">
      <c r="A108">
        <v>6</v>
      </c>
      <c r="B108" t="s">
        <v>152</v>
      </c>
      <c r="C108" t="s">
        <v>134</v>
      </c>
      <c r="D108" t="s">
        <v>67</v>
      </c>
      <c r="E108">
        <v>33</v>
      </c>
      <c r="F108" t="s">
        <v>80</v>
      </c>
      <c r="G108">
        <v>30</v>
      </c>
      <c r="H108">
        <v>-5.5</v>
      </c>
      <c r="I108" t="str">
        <f t="shared" si="10"/>
        <v>BUF</v>
      </c>
      <c r="J108" t="str">
        <f t="shared" si="11"/>
        <v>LV</v>
      </c>
    </row>
    <row r="109" spans="1:10" ht="15" customHeight="1" x14ac:dyDescent="0.25">
      <c r="A109">
        <v>6</v>
      </c>
      <c r="B109" t="s">
        <v>152</v>
      </c>
      <c r="C109" t="s">
        <v>129</v>
      </c>
      <c r="D109" t="s">
        <v>85</v>
      </c>
      <c r="E109">
        <v>13</v>
      </c>
      <c r="F109" t="s">
        <v>81</v>
      </c>
      <c r="G109">
        <v>23</v>
      </c>
      <c r="H109">
        <v>1.5</v>
      </c>
      <c r="I109" t="str">
        <f t="shared" si="10"/>
        <v>GB</v>
      </c>
      <c r="J109" t="str">
        <f t="shared" si="11"/>
        <v>GB</v>
      </c>
    </row>
    <row r="110" spans="1:10" ht="15" customHeight="1" x14ac:dyDescent="0.25">
      <c r="A110">
        <v>6</v>
      </c>
      <c r="B110" t="s">
        <v>153</v>
      </c>
      <c r="C110" t="s">
        <v>136</v>
      </c>
      <c r="D110" t="s">
        <v>83</v>
      </c>
      <c r="E110">
        <v>17</v>
      </c>
      <c r="F110" t="s">
        <v>59</v>
      </c>
      <c r="G110">
        <v>23</v>
      </c>
      <c r="H110">
        <v>7.5</v>
      </c>
      <c r="I110" t="str">
        <f t="shared" si="10"/>
        <v>SF</v>
      </c>
      <c r="J110" t="str">
        <f t="shared" si="11"/>
        <v>WAS</v>
      </c>
    </row>
    <row r="111" spans="1:10" x14ac:dyDescent="0.25">
      <c r="D111" s="16" t="s">
        <v>89</v>
      </c>
      <c r="E111" s="17">
        <f>IF(AND(E110&lt;&gt;"",G110&lt;&gt;""),E110+G110,"")</f>
        <v>40</v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120</v>
      </c>
      <c r="B113" t="s">
        <v>121</v>
      </c>
      <c r="C113" t="s">
        <v>122</v>
      </c>
      <c r="D113" t="s">
        <v>53</v>
      </c>
      <c r="E113" t="s">
        <v>123</v>
      </c>
      <c r="F113" t="s">
        <v>55</v>
      </c>
      <c r="G113" t="s">
        <v>124</v>
      </c>
      <c r="H113" t="s">
        <v>125</v>
      </c>
      <c r="I113" t="s">
        <v>126</v>
      </c>
      <c r="J113" t="s">
        <v>127</v>
      </c>
    </row>
    <row r="114" spans="1:10" ht="15" customHeight="1" x14ac:dyDescent="0.25">
      <c r="A114">
        <v>7</v>
      </c>
      <c r="B114" t="s">
        <v>154</v>
      </c>
      <c r="C114" t="s">
        <v>136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155</v>
      </c>
      <c r="C115" t="s">
        <v>146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155</v>
      </c>
      <c r="C116" t="s">
        <v>133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155</v>
      </c>
      <c r="C117" t="s">
        <v>133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155</v>
      </c>
      <c r="C118" t="s">
        <v>133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155</v>
      </c>
      <c r="C119" t="s">
        <v>133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155</v>
      </c>
      <c r="C120" t="s">
        <v>133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155</v>
      </c>
      <c r="C121" t="s">
        <v>133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155</v>
      </c>
      <c r="C122" t="s">
        <v>133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155</v>
      </c>
      <c r="C123" t="s">
        <v>139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155</v>
      </c>
      <c r="C124" t="s">
        <v>134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155</v>
      </c>
      <c r="C125" t="s">
        <v>134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155</v>
      </c>
      <c r="C126" t="s">
        <v>129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156</v>
      </c>
      <c r="C127" t="s">
        <v>136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6" t="s">
        <v>89</v>
      </c>
      <c r="E128" s="17" t="str">
        <f>IF(AND(E127&lt;&gt;"",G127&lt;&gt;""),E127+G127,"")</f>
        <v/>
      </c>
    </row>
    <row r="129" spans="1:10" ht="15" customHeight="1" x14ac:dyDescent="0.25">
      <c r="A129" t="s">
        <v>109</v>
      </c>
    </row>
    <row r="130" spans="1:10" ht="15" customHeight="1" x14ac:dyDescent="0.25">
      <c r="A130" t="s">
        <v>120</v>
      </c>
      <c r="B130" t="s">
        <v>121</v>
      </c>
      <c r="C130" t="s">
        <v>122</v>
      </c>
      <c r="D130" t="s">
        <v>53</v>
      </c>
      <c r="E130" t="s">
        <v>123</v>
      </c>
      <c r="F130" t="s">
        <v>55</v>
      </c>
      <c r="G130" t="s">
        <v>124</v>
      </c>
      <c r="H130" t="s">
        <v>125</v>
      </c>
      <c r="I130" t="s">
        <v>126</v>
      </c>
      <c r="J130" t="s">
        <v>127</v>
      </c>
    </row>
    <row r="131" spans="1:10" ht="15" customHeight="1" x14ac:dyDescent="0.25">
      <c r="A131">
        <v>8</v>
      </c>
      <c r="B131" t="s">
        <v>157</v>
      </c>
      <c r="C131" t="s">
        <v>136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158</v>
      </c>
      <c r="C132" t="s">
        <v>133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158</v>
      </c>
      <c r="C133" t="s">
        <v>133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158</v>
      </c>
      <c r="C134" t="s">
        <v>133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158</v>
      </c>
      <c r="C135" t="s">
        <v>133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158</v>
      </c>
      <c r="C136" t="s">
        <v>133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158</v>
      </c>
      <c r="C137" t="s">
        <v>133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158</v>
      </c>
      <c r="C138" t="s">
        <v>133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158</v>
      </c>
      <c r="C139" t="s">
        <v>133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158</v>
      </c>
      <c r="C140" t="s">
        <v>139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158</v>
      </c>
      <c r="C141" t="s">
        <v>134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158</v>
      </c>
      <c r="C142" t="s">
        <v>134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158</v>
      </c>
      <c r="C143" t="s">
        <v>129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159</v>
      </c>
      <c r="C144" t="s">
        <v>136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6" t="s">
        <v>89</v>
      </c>
      <c r="E145" s="17" t="str">
        <f>IF(AND(E144&lt;&gt;"",G144&lt;&gt;""),E144+G144,"")</f>
        <v/>
      </c>
    </row>
    <row r="146" spans="1:10" ht="15" customHeight="1" x14ac:dyDescent="0.25">
      <c r="A146" t="s">
        <v>110</v>
      </c>
    </row>
    <row r="147" spans="1:10" ht="15" customHeight="1" x14ac:dyDescent="0.25">
      <c r="A147" t="s">
        <v>120</v>
      </c>
      <c r="B147" t="s">
        <v>121</v>
      </c>
      <c r="C147" t="s">
        <v>122</v>
      </c>
      <c r="D147" t="s">
        <v>53</v>
      </c>
      <c r="E147" t="s">
        <v>123</v>
      </c>
      <c r="F147" t="s">
        <v>55</v>
      </c>
      <c r="G147" t="s">
        <v>124</v>
      </c>
      <c r="H147" t="s">
        <v>125</v>
      </c>
      <c r="I147" t="s">
        <v>126</v>
      </c>
      <c r="J147" t="s">
        <v>127</v>
      </c>
    </row>
    <row r="148" spans="1:10" ht="15" customHeight="1" x14ac:dyDescent="0.25">
      <c r="A148">
        <v>9</v>
      </c>
      <c r="B148" t="s">
        <v>160</v>
      </c>
      <c r="C148" t="s">
        <v>136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161</v>
      </c>
      <c r="C149" t="s">
        <v>146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161</v>
      </c>
      <c r="C150" t="s">
        <v>133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161</v>
      </c>
      <c r="C151" t="s">
        <v>133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161</v>
      </c>
      <c r="C152" t="s">
        <v>133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161</v>
      </c>
      <c r="C153" t="s">
        <v>133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161</v>
      </c>
      <c r="C154" t="s">
        <v>133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161</v>
      </c>
      <c r="C155" t="s">
        <v>133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161</v>
      </c>
      <c r="C156" t="s">
        <v>133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161</v>
      </c>
      <c r="C157" t="s">
        <v>139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161</v>
      </c>
      <c r="C158" t="s">
        <v>139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161</v>
      </c>
      <c r="C159" t="s">
        <v>134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161</v>
      </c>
      <c r="C160" t="s">
        <v>134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161</v>
      </c>
      <c r="C161" t="s">
        <v>129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162</v>
      </c>
      <c r="C162" t="s">
        <v>136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6" t="s">
        <v>89</v>
      </c>
      <c r="E163" s="17" t="str">
        <f>IF(AND(E162&lt;&gt;"",G162&lt;&gt;""),E162+G162,"")</f>
        <v/>
      </c>
    </row>
    <row r="164" spans="1:10" ht="15" customHeight="1" x14ac:dyDescent="0.25">
      <c r="A164" t="s">
        <v>111</v>
      </c>
    </row>
    <row r="165" spans="1:10" ht="15" customHeight="1" x14ac:dyDescent="0.25">
      <c r="A165" t="s">
        <v>120</v>
      </c>
      <c r="B165" t="s">
        <v>121</v>
      </c>
      <c r="C165" t="s">
        <v>122</v>
      </c>
      <c r="D165" t="s">
        <v>53</v>
      </c>
      <c r="E165" t="s">
        <v>123</v>
      </c>
      <c r="F165" t="s">
        <v>55</v>
      </c>
      <c r="G165" t="s">
        <v>124</v>
      </c>
      <c r="H165" t="s">
        <v>125</v>
      </c>
      <c r="I165" t="s">
        <v>126</v>
      </c>
      <c r="J165" t="s">
        <v>127</v>
      </c>
    </row>
    <row r="166" spans="1:10" ht="15" customHeight="1" x14ac:dyDescent="0.25">
      <c r="A166">
        <v>10</v>
      </c>
      <c r="B166" t="s">
        <v>163</v>
      </c>
      <c r="C166" t="s">
        <v>136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164</v>
      </c>
      <c r="C167" t="s">
        <v>146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164</v>
      </c>
      <c r="C168" t="s">
        <v>133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164</v>
      </c>
      <c r="C169" t="s">
        <v>133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164</v>
      </c>
      <c r="C170" t="s">
        <v>133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164</v>
      </c>
      <c r="C171" t="s">
        <v>133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164</v>
      </c>
      <c r="C172" t="s">
        <v>133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164</v>
      </c>
      <c r="C173" t="s">
        <v>133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164</v>
      </c>
      <c r="C174" t="s">
        <v>133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164</v>
      </c>
      <c r="C175" t="s">
        <v>139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164</v>
      </c>
      <c r="C176" t="s">
        <v>139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164</v>
      </c>
      <c r="C177" t="s">
        <v>134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164</v>
      </c>
      <c r="C178" t="s">
        <v>129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165</v>
      </c>
      <c r="C179" t="s">
        <v>136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6" t="s">
        <v>89</v>
      </c>
      <c r="E180" s="17" t="str">
        <f>IF(AND(E179&lt;&gt;"",G179&lt;&gt;""),E179+G179,"")</f>
        <v/>
      </c>
    </row>
    <row r="181" spans="1:10" ht="15" customHeight="1" x14ac:dyDescent="0.25">
      <c r="A181" t="s">
        <v>112</v>
      </c>
    </row>
    <row r="182" spans="1:10" ht="15" customHeight="1" x14ac:dyDescent="0.25">
      <c r="A182" t="s">
        <v>120</v>
      </c>
      <c r="B182" t="s">
        <v>121</v>
      </c>
      <c r="C182" t="s">
        <v>122</v>
      </c>
      <c r="D182" t="s">
        <v>53</v>
      </c>
      <c r="E182" t="s">
        <v>123</v>
      </c>
      <c r="F182" t="s">
        <v>55</v>
      </c>
      <c r="G182" t="s">
        <v>124</v>
      </c>
      <c r="H182" t="s">
        <v>125</v>
      </c>
      <c r="I182" t="s">
        <v>126</v>
      </c>
      <c r="J182" t="s">
        <v>127</v>
      </c>
    </row>
    <row r="183" spans="1:10" ht="15" customHeight="1" x14ac:dyDescent="0.25">
      <c r="A183">
        <v>11</v>
      </c>
      <c r="B183" t="s">
        <v>166</v>
      </c>
      <c r="C183" t="s">
        <v>136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167</v>
      </c>
      <c r="C184" t="s">
        <v>133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167</v>
      </c>
      <c r="C185" t="s">
        <v>133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167</v>
      </c>
      <c r="C186" t="s">
        <v>133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167</v>
      </c>
      <c r="C187" t="s">
        <v>133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167</v>
      </c>
      <c r="C188" t="s">
        <v>133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167</v>
      </c>
      <c r="C189" t="s">
        <v>133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167</v>
      </c>
      <c r="C190" t="s">
        <v>133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167</v>
      </c>
      <c r="C191" t="s">
        <v>139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167</v>
      </c>
      <c r="C192" t="s">
        <v>134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167</v>
      </c>
      <c r="C193" t="s">
        <v>134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167</v>
      </c>
      <c r="C194" t="s">
        <v>129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168</v>
      </c>
      <c r="C195" t="s">
        <v>136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6" t="s">
        <v>89</v>
      </c>
      <c r="E196" s="17" t="str">
        <f>IF(AND(E195&lt;&gt;"",G195&lt;&gt;""),E195+G195,"")</f>
        <v/>
      </c>
    </row>
    <row r="197" spans="1:10" ht="15" customHeight="1" x14ac:dyDescent="0.25">
      <c r="A197" t="s">
        <v>113</v>
      </c>
    </row>
    <row r="198" spans="1:10" ht="15" customHeight="1" x14ac:dyDescent="0.25">
      <c r="A198" t="s">
        <v>120</v>
      </c>
      <c r="B198" t="s">
        <v>121</v>
      </c>
      <c r="C198" t="s">
        <v>122</v>
      </c>
      <c r="D198" t="s">
        <v>53</v>
      </c>
      <c r="E198" t="s">
        <v>123</v>
      </c>
      <c r="F198" t="s">
        <v>55</v>
      </c>
      <c r="G198" t="s">
        <v>124</v>
      </c>
      <c r="H198" t="s">
        <v>125</v>
      </c>
      <c r="I198" t="s">
        <v>126</v>
      </c>
      <c r="J198" t="s">
        <v>127</v>
      </c>
    </row>
    <row r="199" spans="1:10" ht="15" customHeight="1" x14ac:dyDescent="0.25">
      <c r="A199">
        <v>12</v>
      </c>
      <c r="B199" t="s">
        <v>169</v>
      </c>
      <c r="C199" t="s">
        <v>170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171</v>
      </c>
      <c r="C200" t="s">
        <v>133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171</v>
      </c>
      <c r="C201" t="s">
        <v>172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171</v>
      </c>
      <c r="C202" t="s">
        <v>129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173</v>
      </c>
      <c r="C203" t="s">
        <v>174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175</v>
      </c>
      <c r="C204" t="s">
        <v>133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175</v>
      </c>
      <c r="C205" t="s">
        <v>133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175</v>
      </c>
      <c r="C206" t="s">
        <v>133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175</v>
      </c>
      <c r="C207" t="s">
        <v>133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175</v>
      </c>
      <c r="C208" t="s">
        <v>133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175</v>
      </c>
      <c r="C209" t="s">
        <v>133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175</v>
      </c>
      <c r="C210" t="s">
        <v>139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175</v>
      </c>
      <c r="C211" t="s">
        <v>134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175</v>
      </c>
      <c r="C212" t="s">
        <v>134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175</v>
      </c>
      <c r="C213" t="s">
        <v>129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176</v>
      </c>
      <c r="C214" t="s">
        <v>136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6" t="s">
        <v>89</v>
      </c>
      <c r="E215" s="17" t="str">
        <f>IF(AND(E214&lt;&gt;"",G214&lt;&gt;""),E214+G214,"")</f>
        <v/>
      </c>
    </row>
    <row r="216" spans="1:10" ht="15" customHeight="1" x14ac:dyDescent="0.25">
      <c r="A216" t="s">
        <v>114</v>
      </c>
    </row>
    <row r="217" spans="1:10" ht="15" customHeight="1" x14ac:dyDescent="0.25">
      <c r="A217" t="s">
        <v>120</v>
      </c>
      <c r="B217" t="s">
        <v>121</v>
      </c>
      <c r="C217" t="s">
        <v>122</v>
      </c>
      <c r="D217" t="s">
        <v>53</v>
      </c>
      <c r="E217" t="s">
        <v>123</v>
      </c>
      <c r="F217" t="s">
        <v>55</v>
      </c>
      <c r="G217" t="s">
        <v>124</v>
      </c>
      <c r="H217" t="s">
        <v>125</v>
      </c>
      <c r="I217" t="s">
        <v>126</v>
      </c>
      <c r="J217" t="s">
        <v>127</v>
      </c>
    </row>
    <row r="218" spans="1:10" ht="15" customHeight="1" x14ac:dyDescent="0.25">
      <c r="A218">
        <v>13</v>
      </c>
      <c r="B218" t="s">
        <v>177</v>
      </c>
      <c r="C218" t="s">
        <v>136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178</v>
      </c>
      <c r="C219" t="s">
        <v>133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178</v>
      </c>
      <c r="C220" t="s">
        <v>133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178</v>
      </c>
      <c r="C221" t="s">
        <v>133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178</v>
      </c>
      <c r="C222" t="s">
        <v>133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178</v>
      </c>
      <c r="C223" t="s">
        <v>133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178</v>
      </c>
      <c r="C224" t="s">
        <v>133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178</v>
      </c>
      <c r="C225" t="s">
        <v>133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178</v>
      </c>
      <c r="C226" t="s">
        <v>139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178</v>
      </c>
      <c r="C227" t="s">
        <v>139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178</v>
      </c>
      <c r="C228" t="s">
        <v>134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178</v>
      </c>
      <c r="C229" t="s">
        <v>134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178</v>
      </c>
      <c r="C230" t="s">
        <v>129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179</v>
      </c>
      <c r="C231" t="s">
        <v>136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6" t="s">
        <v>89</v>
      </c>
      <c r="E232" s="17" t="str">
        <f>IF(AND(E231&lt;&gt;"",G231&lt;&gt;""),E231+G231,"")</f>
        <v/>
      </c>
    </row>
    <row r="233" spans="1:10" ht="15" customHeight="1" x14ac:dyDescent="0.25">
      <c r="A233" t="s">
        <v>115</v>
      </c>
    </row>
    <row r="234" spans="1:10" ht="15" customHeight="1" x14ac:dyDescent="0.25">
      <c r="A234" t="s">
        <v>120</v>
      </c>
      <c r="B234" t="s">
        <v>121</v>
      </c>
      <c r="C234" t="s">
        <v>122</v>
      </c>
      <c r="D234" t="s">
        <v>53</v>
      </c>
      <c r="E234" t="s">
        <v>123</v>
      </c>
      <c r="F234" t="s">
        <v>55</v>
      </c>
      <c r="G234" t="s">
        <v>124</v>
      </c>
      <c r="H234" t="s">
        <v>125</v>
      </c>
      <c r="I234" t="s">
        <v>126</v>
      </c>
      <c r="J234" t="s">
        <v>127</v>
      </c>
    </row>
    <row r="235" spans="1:10" ht="15" customHeight="1" x14ac:dyDescent="0.25">
      <c r="A235">
        <v>14</v>
      </c>
      <c r="B235" t="s">
        <v>180</v>
      </c>
      <c r="C235" t="s">
        <v>136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181</v>
      </c>
      <c r="C236" t="s">
        <v>133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181</v>
      </c>
      <c r="C237" t="s">
        <v>133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181</v>
      </c>
      <c r="C238" t="s">
        <v>133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181</v>
      </c>
      <c r="C239" t="s">
        <v>133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181</v>
      </c>
      <c r="C240" t="s">
        <v>133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181</v>
      </c>
      <c r="C241" t="s">
        <v>133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181</v>
      </c>
      <c r="C242" t="s">
        <v>133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181</v>
      </c>
      <c r="C243" t="s">
        <v>133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181</v>
      </c>
      <c r="C244" t="s">
        <v>139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181</v>
      </c>
      <c r="C245" t="s">
        <v>134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181</v>
      </c>
      <c r="C246" t="s">
        <v>134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181</v>
      </c>
      <c r="C247" t="s">
        <v>134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181</v>
      </c>
      <c r="C248" t="s">
        <v>129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182</v>
      </c>
      <c r="C249" t="s">
        <v>136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6" t="s">
        <v>89</v>
      </c>
      <c r="E250" s="17" t="str">
        <f>IF(AND(E249&lt;&gt;"",G249&lt;&gt;""),E249+G249,"")</f>
        <v/>
      </c>
    </row>
    <row r="251" spans="1:10" ht="15" customHeight="1" x14ac:dyDescent="0.25">
      <c r="A251" t="s">
        <v>116</v>
      </c>
    </row>
    <row r="252" spans="1:10" ht="15" customHeight="1" x14ac:dyDescent="0.25">
      <c r="A252" t="s">
        <v>120</v>
      </c>
      <c r="B252" t="s">
        <v>121</v>
      </c>
      <c r="C252" t="s">
        <v>122</v>
      </c>
      <c r="D252" t="s">
        <v>53</v>
      </c>
      <c r="E252" t="s">
        <v>123</v>
      </c>
      <c r="F252" t="s">
        <v>55</v>
      </c>
      <c r="G252" t="s">
        <v>124</v>
      </c>
      <c r="H252" t="s">
        <v>125</v>
      </c>
      <c r="I252" t="s">
        <v>126</v>
      </c>
      <c r="J252" t="s">
        <v>127</v>
      </c>
    </row>
    <row r="253" spans="1:10" ht="15" customHeight="1" x14ac:dyDescent="0.25">
      <c r="A253">
        <v>15</v>
      </c>
      <c r="B253" t="s">
        <v>183</v>
      </c>
      <c r="C253" t="s">
        <v>136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184</v>
      </c>
      <c r="C254" t="s">
        <v>185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184</v>
      </c>
      <c r="C255" t="s">
        <v>129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186</v>
      </c>
      <c r="C256" t="s">
        <v>133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186</v>
      </c>
      <c r="C257" t="s">
        <v>133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186</v>
      </c>
      <c r="C258" t="s">
        <v>133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186</v>
      </c>
      <c r="C259" t="s">
        <v>133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186</v>
      </c>
      <c r="C260" t="s">
        <v>133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186</v>
      </c>
      <c r="C261" t="s">
        <v>133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186</v>
      </c>
      <c r="C262" t="s">
        <v>133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186</v>
      </c>
      <c r="C263" t="s">
        <v>133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186</v>
      </c>
      <c r="C264" t="s">
        <v>139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186</v>
      </c>
      <c r="C265" t="s">
        <v>134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186</v>
      </c>
      <c r="C266" t="s">
        <v>134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186</v>
      </c>
      <c r="C267" t="s">
        <v>129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187</v>
      </c>
      <c r="C268" t="s">
        <v>136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6" t="s">
        <v>89</v>
      </c>
      <c r="E269" s="17" t="str">
        <f>IF(AND(E268&lt;&gt;"",G268&lt;&gt;""),E268+G268,"")</f>
        <v/>
      </c>
    </row>
    <row r="270" spans="1:10" ht="15" customHeight="1" x14ac:dyDescent="0.25">
      <c r="A270" t="s">
        <v>117</v>
      </c>
    </row>
    <row r="271" spans="1:10" ht="15" customHeight="1" x14ac:dyDescent="0.25">
      <c r="A271" t="s">
        <v>120</v>
      </c>
      <c r="B271" t="s">
        <v>121</v>
      </c>
      <c r="C271" t="s">
        <v>122</v>
      </c>
      <c r="D271" t="s">
        <v>53</v>
      </c>
      <c r="E271" t="s">
        <v>123</v>
      </c>
      <c r="F271" t="s">
        <v>55</v>
      </c>
      <c r="G271" t="s">
        <v>124</v>
      </c>
      <c r="H271" t="s">
        <v>125</v>
      </c>
      <c r="I271" t="s">
        <v>126</v>
      </c>
      <c r="J271" t="s">
        <v>127</v>
      </c>
    </row>
    <row r="272" spans="1:10" ht="15" customHeight="1" x14ac:dyDescent="0.25">
      <c r="A272">
        <v>16</v>
      </c>
      <c r="B272" t="s">
        <v>188</v>
      </c>
      <c r="C272" t="s">
        <v>136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189</v>
      </c>
      <c r="C273" t="s">
        <v>133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189</v>
      </c>
      <c r="C274" t="s">
        <v>172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189</v>
      </c>
      <c r="C275" t="s">
        <v>136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190</v>
      </c>
      <c r="C276" t="s">
        <v>133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190</v>
      </c>
      <c r="C277" t="s">
        <v>133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190</v>
      </c>
      <c r="C278" t="s">
        <v>133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190</v>
      </c>
      <c r="C279" t="s">
        <v>133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190</v>
      </c>
      <c r="C280" t="s">
        <v>139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190</v>
      </c>
      <c r="C281" t="s">
        <v>134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190</v>
      </c>
      <c r="C282" t="s">
        <v>129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191</v>
      </c>
      <c r="C283" t="s">
        <v>136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192</v>
      </c>
      <c r="C284" t="s">
        <v>192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192</v>
      </c>
      <c r="C285" t="s">
        <v>192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192</v>
      </c>
      <c r="C286" t="s">
        <v>192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192</v>
      </c>
      <c r="C287" t="s">
        <v>192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6" t="s">
        <v>89</v>
      </c>
      <c r="E288" s="17" t="str">
        <f>IF(AND(E287&lt;&gt;"",G287&lt;&gt;""),E287+G287,"")</f>
        <v/>
      </c>
    </row>
    <row r="289" spans="1:10" ht="15" customHeight="1" x14ac:dyDescent="0.25">
      <c r="A289" t="s">
        <v>118</v>
      </c>
    </row>
    <row r="290" spans="1:10" ht="15" customHeight="1" x14ac:dyDescent="0.25">
      <c r="A290" t="s">
        <v>120</v>
      </c>
      <c r="B290" t="s">
        <v>121</v>
      </c>
      <c r="C290" t="s">
        <v>122</v>
      </c>
      <c r="D290" t="s">
        <v>53</v>
      </c>
      <c r="E290" t="s">
        <v>123</v>
      </c>
      <c r="F290" t="s">
        <v>55</v>
      </c>
      <c r="G290" t="s">
        <v>124</v>
      </c>
      <c r="H290" t="s">
        <v>125</v>
      </c>
      <c r="I290" t="s">
        <v>126</v>
      </c>
      <c r="J290" t="s">
        <v>127</v>
      </c>
    </row>
    <row r="291" spans="1:10" ht="15" customHeight="1" x14ac:dyDescent="0.25">
      <c r="A291">
        <v>17</v>
      </c>
      <c r="B291" t="s">
        <v>193</v>
      </c>
      <c r="C291" t="s">
        <v>136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194</v>
      </c>
      <c r="C292" t="s">
        <v>133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194</v>
      </c>
      <c r="C293" t="s">
        <v>133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194</v>
      </c>
      <c r="C294" t="s">
        <v>133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194</v>
      </c>
      <c r="C295" t="s">
        <v>133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194</v>
      </c>
      <c r="C296" t="s">
        <v>133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194</v>
      </c>
      <c r="C297" t="s">
        <v>133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194</v>
      </c>
      <c r="C298" t="s">
        <v>133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194</v>
      </c>
      <c r="C299" t="s">
        <v>139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194</v>
      </c>
      <c r="C300" t="s">
        <v>134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194</v>
      </c>
      <c r="C301" t="s">
        <v>129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195</v>
      </c>
      <c r="C302" t="s">
        <v>136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192</v>
      </c>
      <c r="C303" t="s">
        <v>192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192</v>
      </c>
      <c r="C304" t="s">
        <v>192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192</v>
      </c>
      <c r="C305" t="s">
        <v>192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192</v>
      </c>
      <c r="C306" t="s">
        <v>192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6" t="s">
        <v>89</v>
      </c>
      <c r="E307" s="17" t="str">
        <f>IF(AND(E306&lt;&gt;"",G306&lt;&gt;""),E306+G306,"")</f>
        <v/>
      </c>
    </row>
    <row r="308" spans="1:10" ht="15" customHeight="1" x14ac:dyDescent="0.25">
      <c r="A308" t="s">
        <v>119</v>
      </c>
    </row>
    <row r="309" spans="1:10" ht="15" customHeight="1" x14ac:dyDescent="0.25">
      <c r="A309" t="s">
        <v>120</v>
      </c>
      <c r="B309" t="s">
        <v>121</v>
      </c>
      <c r="C309" t="s">
        <v>122</v>
      </c>
      <c r="D309" t="s">
        <v>53</v>
      </c>
      <c r="E309" t="s">
        <v>123</v>
      </c>
      <c r="F309" t="s">
        <v>55</v>
      </c>
      <c r="G309" t="s">
        <v>124</v>
      </c>
      <c r="H309" t="s">
        <v>125</v>
      </c>
      <c r="I309" t="s">
        <v>126</v>
      </c>
      <c r="J309" t="s">
        <v>127</v>
      </c>
    </row>
    <row r="310" spans="1:10" ht="15" customHeight="1" x14ac:dyDescent="0.25">
      <c r="A310">
        <v>18</v>
      </c>
      <c r="B310" t="s">
        <v>192</v>
      </c>
      <c r="C310" t="s">
        <v>192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192</v>
      </c>
      <c r="C311" t="s">
        <v>192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192</v>
      </c>
      <c r="C312" t="s">
        <v>192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192</v>
      </c>
      <c r="C313" t="s">
        <v>192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192</v>
      </c>
      <c r="C314" t="s">
        <v>192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192</v>
      </c>
      <c r="C315" t="s">
        <v>192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192</v>
      </c>
      <c r="C316" t="s">
        <v>192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192</v>
      </c>
      <c r="C317" t="s">
        <v>192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192</v>
      </c>
      <c r="C318" t="s">
        <v>192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192</v>
      </c>
      <c r="C319" t="s">
        <v>192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192</v>
      </c>
      <c r="C320" t="s">
        <v>192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192</v>
      </c>
      <c r="C321" t="s">
        <v>192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192</v>
      </c>
      <c r="C322" t="s">
        <v>192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192</v>
      </c>
      <c r="C323" t="s">
        <v>192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192</v>
      </c>
      <c r="C324" t="s">
        <v>192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192</v>
      </c>
      <c r="C325" t="s">
        <v>192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6" t="s">
        <v>89</v>
      </c>
      <c r="E326" s="17" t="str">
        <f>IF(AND(E325&lt;&gt;"",G325&lt;&gt;""),E325+G325,"")</f>
        <v/>
      </c>
    </row>
    <row r="327" spans="1:10" ht="15" customHeight="1" x14ac:dyDescent="0.25">
      <c r="A327" t="s">
        <v>196</v>
      </c>
    </row>
    <row r="328" spans="1:10" ht="15" customHeight="1" x14ac:dyDescent="0.25">
      <c r="A328" t="s">
        <v>120</v>
      </c>
      <c r="B328" t="s">
        <v>121</v>
      </c>
      <c r="C328" t="s">
        <v>122</v>
      </c>
      <c r="D328" t="s">
        <v>53</v>
      </c>
      <c r="E328" t="s">
        <v>123</v>
      </c>
      <c r="F328" t="s">
        <v>55</v>
      </c>
      <c r="G328" t="s">
        <v>124</v>
      </c>
      <c r="H328" t="s">
        <v>125</v>
      </c>
      <c r="I328" t="s">
        <v>126</v>
      </c>
      <c r="J328" t="s">
        <v>127</v>
      </c>
    </row>
    <row r="329" spans="1:10" ht="15" customHeight="1" x14ac:dyDescent="0.25">
      <c r="A329">
        <v>19</v>
      </c>
      <c r="B329" t="s">
        <v>192</v>
      </c>
      <c r="C329" t="s">
        <v>192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192</v>
      </c>
      <c r="C330" t="s">
        <v>192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192</v>
      </c>
      <c r="C331" t="s">
        <v>192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192</v>
      </c>
      <c r="C332" t="s">
        <v>192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197</v>
      </c>
    </row>
    <row r="335" spans="1:10" ht="15" customHeight="1" x14ac:dyDescent="0.25">
      <c r="A335" t="s">
        <v>120</v>
      </c>
      <c r="B335" t="s">
        <v>121</v>
      </c>
      <c r="C335" t="s">
        <v>122</v>
      </c>
      <c r="D335" t="s">
        <v>53</v>
      </c>
      <c r="E335" t="s">
        <v>123</v>
      </c>
      <c r="F335" t="s">
        <v>55</v>
      </c>
      <c r="G335" t="s">
        <v>124</v>
      </c>
      <c r="H335" t="s">
        <v>125</v>
      </c>
      <c r="I335" t="s">
        <v>126</v>
      </c>
      <c r="J335" t="s">
        <v>127</v>
      </c>
    </row>
    <row r="336" spans="1:10" ht="15" customHeight="1" x14ac:dyDescent="0.25">
      <c r="A336">
        <v>20</v>
      </c>
      <c r="B336" t="s">
        <v>192</v>
      </c>
      <c r="C336" t="s">
        <v>192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192</v>
      </c>
      <c r="C337" t="s">
        <v>192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192</v>
      </c>
      <c r="C338" t="s">
        <v>192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192</v>
      </c>
      <c r="C339" t="s">
        <v>192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198</v>
      </c>
    </row>
    <row r="342" spans="1:10" ht="15" customHeight="1" x14ac:dyDescent="0.25">
      <c r="A342" t="s">
        <v>120</v>
      </c>
      <c r="B342" t="s">
        <v>121</v>
      </c>
      <c r="C342" t="s">
        <v>122</v>
      </c>
      <c r="D342" t="s">
        <v>53</v>
      </c>
      <c r="E342" t="s">
        <v>123</v>
      </c>
      <c r="F342" t="s">
        <v>55</v>
      </c>
      <c r="G342" t="s">
        <v>124</v>
      </c>
      <c r="H342" t="s">
        <v>125</v>
      </c>
      <c r="I342" t="s">
        <v>126</v>
      </c>
      <c r="J342" t="s">
        <v>127</v>
      </c>
    </row>
    <row r="343" spans="1:10" ht="15" customHeight="1" x14ac:dyDescent="0.25">
      <c r="A343">
        <v>21</v>
      </c>
      <c r="B343" t="s">
        <v>192</v>
      </c>
      <c r="C343" t="s">
        <v>192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192</v>
      </c>
      <c r="C344" t="s">
        <v>192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199</v>
      </c>
    </row>
    <row r="347" spans="1:10" ht="15" customHeight="1" x14ac:dyDescent="0.25">
      <c r="A347" t="s">
        <v>120</v>
      </c>
      <c r="B347" t="s">
        <v>121</v>
      </c>
      <c r="C347" t="s">
        <v>122</v>
      </c>
      <c r="D347" t="s">
        <v>53</v>
      </c>
      <c r="E347" t="s">
        <v>123</v>
      </c>
      <c r="F347" t="s">
        <v>55</v>
      </c>
      <c r="G347" t="s">
        <v>124</v>
      </c>
      <c r="H347" t="s">
        <v>125</v>
      </c>
      <c r="I347" t="s">
        <v>126</v>
      </c>
      <c r="J347" t="s">
        <v>127</v>
      </c>
    </row>
    <row r="348" spans="1:10" ht="15" customHeight="1" x14ac:dyDescent="0.25">
      <c r="A348">
        <v>22</v>
      </c>
      <c r="B348" t="s">
        <v>192</v>
      </c>
      <c r="C348" t="s">
        <v>192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42" zoomScaleNormal="100" workbookViewId="0">
      <selection activeCell="D97" sqref="D9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4" t="s">
        <v>200</v>
      </c>
      <c r="B1" s="24"/>
      <c r="C1" s="24"/>
      <c r="D1" s="24"/>
      <c r="E1" s="24"/>
      <c r="F1" s="24"/>
      <c r="G1" s="24"/>
      <c r="H1" s="24"/>
      <c r="I1" s="24"/>
    </row>
    <row r="2" spans="1:9" ht="15" customHeight="1" x14ac:dyDescent="0.25">
      <c r="A2" s="5" t="s">
        <v>201</v>
      </c>
    </row>
    <row r="4" spans="1:9" ht="15" customHeight="1" x14ac:dyDescent="0.25">
      <c r="A4" s="18" t="s">
        <v>52</v>
      </c>
    </row>
    <row r="5" spans="1:9" ht="15" customHeight="1" x14ac:dyDescent="0.25">
      <c r="A5" s="2" t="s">
        <v>1</v>
      </c>
      <c r="B5" s="2" t="s">
        <v>2</v>
      </c>
      <c r="C5" s="2" t="s">
        <v>202</v>
      </c>
      <c r="D5" s="2" t="s">
        <v>203</v>
      </c>
      <c r="E5" s="2" t="s">
        <v>204</v>
      </c>
      <c r="F5" s="2" t="s">
        <v>205</v>
      </c>
      <c r="G5" s="2" t="s">
        <v>206</v>
      </c>
      <c r="H5" s="2" t="s">
        <v>207</v>
      </c>
      <c r="I5" s="2" t="s">
        <v>208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8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202</v>
      </c>
      <c r="D20" s="2" t="s">
        <v>203</v>
      </c>
      <c r="E20" s="2" t="s">
        <v>204</v>
      </c>
      <c r="F20" s="2" t="s">
        <v>205</v>
      </c>
      <c r="G20" s="2" t="s">
        <v>206</v>
      </c>
      <c r="H20" s="2" t="s">
        <v>207</v>
      </c>
      <c r="I20" s="2" t="s">
        <v>208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8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202</v>
      </c>
      <c r="D35" s="2" t="s">
        <v>203</v>
      </c>
      <c r="E35" s="2" t="s">
        <v>204</v>
      </c>
      <c r="F35" s="2" t="s">
        <v>205</v>
      </c>
      <c r="G35" s="2" t="s">
        <v>206</v>
      </c>
      <c r="H35" s="2" t="s">
        <v>207</v>
      </c>
      <c r="I35" s="2" t="s">
        <v>208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8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202</v>
      </c>
      <c r="D50" s="2" t="s">
        <v>203</v>
      </c>
      <c r="E50" s="2" t="s">
        <v>204</v>
      </c>
      <c r="F50" s="2" t="s">
        <v>205</v>
      </c>
      <c r="G50" s="2" t="s">
        <v>206</v>
      </c>
      <c r="H50" s="2" t="s">
        <v>207</v>
      </c>
      <c r="I50" s="2" t="s">
        <v>208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8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202</v>
      </c>
      <c r="D65" s="2" t="s">
        <v>203</v>
      </c>
      <c r="E65" s="2" t="s">
        <v>204</v>
      </c>
      <c r="F65" s="2" t="s">
        <v>205</v>
      </c>
      <c r="G65" s="2" t="s">
        <v>206</v>
      </c>
      <c r="H65" s="2" t="s">
        <v>207</v>
      </c>
      <c r="I65" s="2" t="s">
        <v>208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9</v>
      </c>
      <c r="D66">
        <v>11</v>
      </c>
      <c r="E66">
        <f>IFERROR(INDEX(C$66:C$77,MATCH(11,A$66:A$77,0)),0)</f>
        <v>5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9</v>
      </c>
      <c r="I66">
        <f t="shared" ref="I66:I77" si="14">G66+H66</f>
        <v>15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9</v>
      </c>
      <c r="D67">
        <v>12</v>
      </c>
      <c r="E67">
        <f>IFERROR(INDEX(C$66:C$77,MATCH(12,A$66:A$77,0)),0)</f>
        <v>4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W</v>
      </c>
      <c r="G67">
        <f t="shared" si="12"/>
        <v>6</v>
      </c>
      <c r="H67">
        <f t="shared" si="13"/>
        <v>9</v>
      </c>
      <c r="I67">
        <f t="shared" si="14"/>
        <v>15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5</v>
      </c>
      <c r="D68">
        <v>5</v>
      </c>
      <c r="E68">
        <f>IFERROR(INDEX(C$66:C$77,MATCH(5,A$66:A$77,0)),0)</f>
        <v>9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L</v>
      </c>
      <c r="G68">
        <f t="shared" si="12"/>
        <v>0</v>
      </c>
      <c r="H68">
        <f t="shared" si="13"/>
        <v>5</v>
      </c>
      <c r="I68">
        <f t="shared" si="14"/>
        <v>5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10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9</v>
      </c>
      <c r="D70">
        <v>3</v>
      </c>
      <c r="E70">
        <f>IFERROR(INDEX(C$66:C$77,MATCH(3,A$66:A$77,0)),0)</f>
        <v>5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W</v>
      </c>
      <c r="G70">
        <f t="shared" si="12"/>
        <v>6</v>
      </c>
      <c r="H70">
        <f t="shared" si="13"/>
        <v>9</v>
      </c>
      <c r="I70">
        <f t="shared" si="14"/>
        <v>15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10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W</v>
      </c>
      <c r="G71">
        <f t="shared" si="12"/>
        <v>6</v>
      </c>
      <c r="H71">
        <f t="shared" si="13"/>
        <v>10</v>
      </c>
      <c r="I71">
        <f t="shared" si="14"/>
        <v>16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7</v>
      </c>
      <c r="D72">
        <v>10</v>
      </c>
      <c r="E72">
        <f>IFERROR(INDEX(C$66:C$77,MATCH(10,A$66:A$77,0)),0)</f>
        <v>7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W</v>
      </c>
      <c r="G72">
        <f t="shared" si="12"/>
        <v>6</v>
      </c>
      <c r="H72">
        <f t="shared" si="13"/>
        <v>7</v>
      </c>
      <c r="I72">
        <f t="shared" si="14"/>
        <v>13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7</v>
      </c>
      <c r="D73">
        <v>9</v>
      </c>
      <c r="E73">
        <f>IFERROR(INDEX(C$66:C$77,MATCH(9,A$66:A$77,0)),0)</f>
        <v>6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W</v>
      </c>
      <c r="G73">
        <f t="shared" si="12"/>
        <v>6</v>
      </c>
      <c r="H73">
        <f t="shared" si="13"/>
        <v>7</v>
      </c>
      <c r="I73">
        <f t="shared" si="14"/>
        <v>13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6</v>
      </c>
      <c r="D74">
        <v>8</v>
      </c>
      <c r="E74">
        <f>IFERROR(INDEX(C$66:C$77,MATCH(8,A$66:A$77,0)),0)</f>
        <v>7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L</v>
      </c>
      <c r="G74">
        <f t="shared" si="12"/>
        <v>0</v>
      </c>
      <c r="H74">
        <f t="shared" si="13"/>
        <v>6</v>
      </c>
      <c r="I74">
        <f t="shared" si="14"/>
        <v>6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7</v>
      </c>
      <c r="D75">
        <v>7</v>
      </c>
      <c r="E75">
        <f>IFERROR(INDEX(C$66:C$77,MATCH(7,A$66:A$77,0)),0)</f>
        <v>7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L</v>
      </c>
      <c r="G75">
        <f t="shared" si="12"/>
        <v>0</v>
      </c>
      <c r="H75">
        <f t="shared" si="13"/>
        <v>7</v>
      </c>
      <c r="I75">
        <f t="shared" si="14"/>
        <v>7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5</v>
      </c>
      <c r="D76">
        <v>1</v>
      </c>
      <c r="E76">
        <f>IFERROR(INDEX(C$66:C$77,MATCH(1,A$66:A$77,0)),0)</f>
        <v>9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L</v>
      </c>
      <c r="G76">
        <f t="shared" si="12"/>
        <v>0</v>
      </c>
      <c r="H76">
        <f t="shared" si="13"/>
        <v>5</v>
      </c>
      <c r="I76">
        <f t="shared" si="14"/>
        <v>5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4</v>
      </c>
      <c r="D77">
        <v>2</v>
      </c>
      <c r="E77">
        <f>IFERROR(INDEX(C$66:C$77,MATCH(2,A$66:A$77,0)),0)</f>
        <v>9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L</v>
      </c>
      <c r="G77">
        <f t="shared" si="12"/>
        <v>0</v>
      </c>
      <c r="H77">
        <f t="shared" si="13"/>
        <v>4</v>
      </c>
      <c r="I77">
        <f t="shared" si="14"/>
        <v>4</v>
      </c>
    </row>
    <row r="79" spans="1:9" ht="15" customHeight="1" x14ac:dyDescent="0.25">
      <c r="A79" s="18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202</v>
      </c>
      <c r="D80" s="2" t="s">
        <v>203</v>
      </c>
      <c r="E80" s="2" t="s">
        <v>204</v>
      </c>
      <c r="F80" s="2" t="s">
        <v>205</v>
      </c>
      <c r="G80" s="2" t="s">
        <v>206</v>
      </c>
      <c r="H80" s="2" t="s">
        <v>207</v>
      </c>
      <c r="I80" s="2" t="s">
        <v>208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5</v>
      </c>
      <c r="D81">
        <v>9</v>
      </c>
      <c r="E81">
        <f>IFERROR(INDEX(C$81:C$92,MATCH(9,A$81:A$92,0)),0)</f>
        <v>7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L</v>
      </c>
      <c r="G81">
        <f t="shared" ref="G81:G92" si="15">IF(F81="W",6,IF(F81="T",3,0))</f>
        <v>0</v>
      </c>
      <c r="H81">
        <f t="shared" ref="H81:H92" si="16">IF(C81="",0,C81)</f>
        <v>5</v>
      </c>
      <c r="I81">
        <f t="shared" ref="I81:I92" si="17">G81+H81</f>
        <v>5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5</v>
      </c>
      <c r="D82">
        <v>10</v>
      </c>
      <c r="E82">
        <f>IFERROR(INDEX(C$81:C$92,MATCH(10,A$81:A$92,0)),0)</f>
        <v>6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L</v>
      </c>
      <c r="G82">
        <f t="shared" si="15"/>
        <v>0</v>
      </c>
      <c r="H82">
        <f t="shared" si="16"/>
        <v>5</v>
      </c>
      <c r="I82">
        <f t="shared" si="17"/>
        <v>5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7</v>
      </c>
      <c r="D83">
        <v>7</v>
      </c>
      <c r="E83">
        <f>IFERROR(INDEX(C$81:C$92,MATCH(7,A$81:A$92,0)),0)</f>
        <v>7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L</v>
      </c>
      <c r="G83">
        <f t="shared" si="15"/>
        <v>0</v>
      </c>
      <c r="H83">
        <f t="shared" si="16"/>
        <v>7</v>
      </c>
      <c r="I83">
        <f t="shared" si="17"/>
        <v>7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7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7</v>
      </c>
      <c r="D85">
        <v>12</v>
      </c>
      <c r="E85">
        <f>IFERROR(INDEX(C$81:C$92,MATCH(12,A$81:A$92,0)),0)</f>
        <v>6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W</v>
      </c>
      <c r="G85">
        <f t="shared" si="15"/>
        <v>6</v>
      </c>
      <c r="H85">
        <f t="shared" si="16"/>
        <v>7</v>
      </c>
      <c r="I85">
        <f t="shared" si="17"/>
        <v>13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4</v>
      </c>
      <c r="D86">
        <v>11</v>
      </c>
      <c r="E86">
        <f>IFERROR(INDEX(C$81:C$92,MATCH(11,A$81:A$92,0)),0)</f>
        <v>6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L</v>
      </c>
      <c r="G86">
        <f t="shared" si="15"/>
        <v>0</v>
      </c>
      <c r="H86">
        <f t="shared" si="16"/>
        <v>4</v>
      </c>
      <c r="I86">
        <f t="shared" si="17"/>
        <v>4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7</v>
      </c>
      <c r="D87">
        <v>3</v>
      </c>
      <c r="E87">
        <f>IFERROR(INDEX(C$81:C$92,MATCH(3,A$81:A$92,0)),0)</f>
        <v>7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W</v>
      </c>
      <c r="G87">
        <f t="shared" si="15"/>
        <v>6</v>
      </c>
      <c r="H87">
        <f t="shared" si="16"/>
        <v>7</v>
      </c>
      <c r="I87">
        <f t="shared" si="17"/>
        <v>13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7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W</v>
      </c>
      <c r="G88">
        <f t="shared" si="15"/>
        <v>6</v>
      </c>
      <c r="H88">
        <f t="shared" si="16"/>
        <v>7</v>
      </c>
      <c r="I88">
        <f t="shared" si="17"/>
        <v>13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7</v>
      </c>
      <c r="D89">
        <v>1</v>
      </c>
      <c r="E89">
        <f>IFERROR(INDEX(C$81:C$92,MATCH(1,A$81:A$92,0)),0)</f>
        <v>5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W</v>
      </c>
      <c r="G89">
        <f t="shared" si="15"/>
        <v>6</v>
      </c>
      <c r="H89">
        <f t="shared" si="16"/>
        <v>7</v>
      </c>
      <c r="I89">
        <f t="shared" si="17"/>
        <v>13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6</v>
      </c>
      <c r="D90">
        <v>2</v>
      </c>
      <c r="E90">
        <f>IFERROR(INDEX(C$81:C$92,MATCH(2,A$81:A$92,0)),0)</f>
        <v>5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W</v>
      </c>
      <c r="G90">
        <f t="shared" si="15"/>
        <v>6</v>
      </c>
      <c r="H90">
        <f t="shared" si="16"/>
        <v>6</v>
      </c>
      <c r="I90">
        <f t="shared" si="17"/>
        <v>12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6</v>
      </c>
      <c r="D91">
        <v>6</v>
      </c>
      <c r="E91">
        <f>IFERROR(INDEX(C$81:C$92,MATCH(6,A$81:A$92,0)),0)</f>
        <v>4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W</v>
      </c>
      <c r="G91">
        <f t="shared" si="15"/>
        <v>6</v>
      </c>
      <c r="H91">
        <f t="shared" si="16"/>
        <v>6</v>
      </c>
      <c r="I91">
        <f t="shared" si="17"/>
        <v>12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6</v>
      </c>
      <c r="D92">
        <v>5</v>
      </c>
      <c r="E92">
        <f>IFERROR(INDEX(C$81:C$92,MATCH(5,A$81:A$92,0)),0)</f>
        <v>7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L</v>
      </c>
      <c r="G92">
        <f t="shared" si="15"/>
        <v>0</v>
      </c>
      <c r="H92">
        <f t="shared" si="16"/>
        <v>6</v>
      </c>
      <c r="I92">
        <f t="shared" si="17"/>
        <v>6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zoomScaleNormal="100" workbookViewId="0">
      <selection activeCell="R16" sqref="R16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4" t="s">
        <v>209</v>
      </c>
      <c r="B1" s="24"/>
      <c r="C1" s="24"/>
      <c r="D1" s="24"/>
      <c r="E1" s="24"/>
      <c r="F1" s="24"/>
      <c r="G1" s="24"/>
      <c r="H1" s="24"/>
      <c r="I1" s="24"/>
    </row>
    <row r="2" spans="1:9" ht="15" customHeight="1" x14ac:dyDescent="0.25">
      <c r="A2" s="5" t="s">
        <v>210</v>
      </c>
    </row>
    <row r="4" spans="1:9" ht="15" customHeight="1" x14ac:dyDescent="0.25">
      <c r="A4" s="18" t="s">
        <v>95</v>
      </c>
    </row>
    <row r="5" spans="1:9" ht="15" customHeight="1" x14ac:dyDescent="0.25">
      <c r="A5" s="2" t="s">
        <v>1</v>
      </c>
      <c r="B5" s="2" t="s">
        <v>2</v>
      </c>
      <c r="C5" s="2" t="s">
        <v>211</v>
      </c>
      <c r="D5" s="2" t="s">
        <v>203</v>
      </c>
      <c r="E5" s="2" t="s">
        <v>212</v>
      </c>
      <c r="F5" s="2" t="s">
        <v>205</v>
      </c>
      <c r="G5" s="2" t="s">
        <v>206</v>
      </c>
      <c r="H5" s="2" t="s">
        <v>207</v>
      </c>
      <c r="I5" s="2" t="s">
        <v>208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Detail'!E117:E130)*('Picks Detail'!S117:S130))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Detail'!E117:E130)*('Picks Detail'!T117:T130))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Detail'!E117:E130)*('Picks Detail'!U117:U130))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Detail'!E117:E130)*('Picks Detail'!V117:V130))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Detail'!E117:E130)*('Picks Detail'!W117:W130))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Detail'!E117:E130)*('Picks Detail'!X117:X130))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Detail'!E117:E130)*('Picks Detail'!Y117:Y130))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Detail'!E117:E130)*('Picks Detail'!Z117:Z130))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Detail'!E117:E130)*('Picks Detail'!AA117:AA130))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Detail'!E117:E130)*('Picks Detail'!AB117:AB130))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Detail'!E117:E130)*('Picks Detail'!AC117:AC130))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Detail'!E117:E130)*('Picks Detail'!AD117:AD130))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8" t="s">
        <v>109</v>
      </c>
    </row>
    <row r="20" spans="1:9" ht="15" customHeight="1" x14ac:dyDescent="0.25">
      <c r="A20" s="2" t="s">
        <v>1</v>
      </c>
      <c r="B20" s="2" t="s">
        <v>2</v>
      </c>
      <c r="C20" s="2" t="s">
        <v>211</v>
      </c>
      <c r="D20" s="2" t="s">
        <v>203</v>
      </c>
      <c r="E20" s="2" t="s">
        <v>212</v>
      </c>
      <c r="F20" s="2" t="s">
        <v>205</v>
      </c>
      <c r="G20" s="2" t="s">
        <v>206</v>
      </c>
      <c r="H20" s="2" t="s">
        <v>207</v>
      </c>
      <c r="I20" s="2" t="s">
        <v>208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Detail'!E134:E147)*('Picks Detail'!S134:S147))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Detail'!E134:E147)*('Picks Detail'!T134:T147))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Detail'!E134:E147)*('Picks Detail'!U134:U147))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Detail'!E134:E147)*('Picks Detail'!V134:V147))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Detail'!E134:E147)*('Picks Detail'!W134:W147))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Detail'!E134:E147)*('Picks Detail'!X134:X147))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Detail'!E134:E147)*('Picks Detail'!Y134:Y147))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Detail'!E134:E147)*('Picks Detail'!Z134:Z147))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Detail'!E134:E147)*('Picks Detail'!AA134:AA147))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Detail'!E134:E147)*('Picks Detail'!AB134:AB147))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Detail'!E134:E147)*('Picks Detail'!AC134:AC147))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Detail'!E134:E147)*('Picks Detail'!AD134:AD147))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8" t="s">
        <v>110</v>
      </c>
    </row>
    <row r="35" spans="1:9" ht="15" customHeight="1" x14ac:dyDescent="0.25">
      <c r="A35" s="2" t="s">
        <v>1</v>
      </c>
      <c r="B35" s="2" t="s">
        <v>2</v>
      </c>
      <c r="C35" s="2" t="s">
        <v>211</v>
      </c>
      <c r="D35" s="2" t="s">
        <v>203</v>
      </c>
      <c r="E35" s="2" t="s">
        <v>212</v>
      </c>
      <c r="F35" s="2" t="s">
        <v>205</v>
      </c>
      <c r="G35" s="2" t="s">
        <v>206</v>
      </c>
      <c r="H35" s="2" t="s">
        <v>207</v>
      </c>
      <c r="I35" s="2" t="s">
        <v>208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Detail'!E151:E165)*('Picks Detail'!S151:S165))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Detail'!E151:E165)*('Picks Detail'!T151:T165))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Detail'!E151:E165)*('Picks Detail'!U151:U165))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Detail'!E151:E165)*('Picks Detail'!V151:V165))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Detail'!E151:E165)*('Picks Detail'!W151:W165))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Detail'!E151:E165)*('Picks Detail'!X151:X165))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Detail'!E151:E165)*('Picks Detail'!Y151:Y165))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Detail'!E151:E165)*('Picks Detail'!Z151:Z165))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Detail'!E151:E165)*('Picks Detail'!AA151:AA165))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Detail'!E151:E165)*('Picks Detail'!AB151:AB165))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Detail'!E151:E165)*('Picks Detail'!AC151:AC165))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Detail'!E151:E165)*('Picks Detail'!AD151:AD165))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8" t="s">
        <v>111</v>
      </c>
    </row>
    <row r="50" spans="1:9" ht="15" customHeight="1" x14ac:dyDescent="0.25">
      <c r="A50" s="2" t="s">
        <v>1</v>
      </c>
      <c r="B50" s="2" t="s">
        <v>2</v>
      </c>
      <c r="C50" s="2" t="s">
        <v>211</v>
      </c>
      <c r="D50" s="2" t="s">
        <v>203</v>
      </c>
      <c r="E50" s="2" t="s">
        <v>212</v>
      </c>
      <c r="F50" s="2" t="s">
        <v>205</v>
      </c>
      <c r="G50" s="2" t="s">
        <v>206</v>
      </c>
      <c r="H50" s="2" t="s">
        <v>207</v>
      </c>
      <c r="I50" s="2" t="s">
        <v>208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Detail'!E169:E182)*('Picks Detail'!S169:S182))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Detail'!E169:E182)*('Picks Detail'!T169:T182))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Detail'!E169:E182)*('Picks Detail'!U169:U182))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Detail'!E169:E182)*('Picks Detail'!V169:V182))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Detail'!E169:E182)*('Picks Detail'!W169:W182))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Detail'!E169:E182)*('Picks Detail'!X169:X182))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Detail'!E169:E182)*('Picks Detail'!Y169:Y182))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Detail'!E169:E182)*('Picks Detail'!Z169:Z182))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Detail'!E169:E182)*('Picks Detail'!AA169:AA182))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Detail'!E169:E182)*('Picks Detail'!AB169:AB182))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Detail'!E169:E182)*('Picks Detail'!AC169:AC182))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Detail'!E169:E182)*('Picks Detail'!AD169:AD182))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8" t="s">
        <v>112</v>
      </c>
    </row>
    <row r="65" spans="1:9" ht="15" customHeight="1" x14ac:dyDescent="0.25">
      <c r="A65" s="2" t="s">
        <v>1</v>
      </c>
      <c r="B65" s="2" t="s">
        <v>2</v>
      </c>
      <c r="C65" s="2" t="s">
        <v>211</v>
      </c>
      <c r="D65" s="2" t="s">
        <v>203</v>
      </c>
      <c r="E65" s="2" t="s">
        <v>212</v>
      </c>
      <c r="F65" s="2" t="s">
        <v>205</v>
      </c>
      <c r="G65" s="2" t="s">
        <v>206</v>
      </c>
      <c r="H65" s="2" t="s">
        <v>207</v>
      </c>
      <c r="I65" s="2" t="s">
        <v>208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Detail'!E186:E198)*('Picks Detail'!S186:S198))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Detail'!E186:E198)*('Picks Detail'!T186:T198))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Detail'!E186:E198)*('Picks Detail'!U186:U198))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Detail'!E186:E198)*('Picks Detail'!V186:V198))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Detail'!E186:E198)*('Picks Detail'!W186:W198))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Detail'!E186:E198)*('Picks Detail'!X186:X198))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Detail'!E186:E198)*('Picks Detail'!Y186:Y198))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Detail'!E186:E198)*('Picks Detail'!Z186:Z198))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Detail'!E186:E198)*('Picks Detail'!AA186:AA198))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Detail'!E186:E198)*('Picks Detail'!AB186:AB198))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Detail'!E186:E198)*('Picks Detail'!AC186:AC198))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Detail'!E186:E198)*('Picks Detail'!AD186:AD198))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8" t="s">
        <v>113</v>
      </c>
    </row>
    <row r="80" spans="1:9" ht="15" customHeight="1" x14ac:dyDescent="0.25">
      <c r="A80" s="2" t="s">
        <v>1</v>
      </c>
      <c r="B80" s="2" t="s">
        <v>2</v>
      </c>
      <c r="C80" s="2" t="s">
        <v>211</v>
      </c>
      <c r="D80" s="2" t="s">
        <v>203</v>
      </c>
      <c r="E80" s="2" t="s">
        <v>212</v>
      </c>
      <c r="F80" s="2" t="s">
        <v>205</v>
      </c>
      <c r="G80" s="2" t="s">
        <v>206</v>
      </c>
      <c r="H80" s="2" t="s">
        <v>207</v>
      </c>
      <c r="I80" s="2" t="s">
        <v>208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Detail'!E202:E217)*('Picks Detail'!S202:S217))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Detail'!E202:E217)*('Picks Detail'!T202:T217))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Detail'!E202:E217)*('Picks Detail'!U202:U217))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Detail'!E202:E217)*('Picks Detail'!V202:V217))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Detail'!E202:E217)*('Picks Detail'!W202:W217))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Detail'!E202:E217)*('Picks Detail'!X202:X217))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Detail'!E202:E217)*('Picks Detail'!Y202:Y217))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Detail'!E202:E217)*('Picks Detail'!Z202:Z217))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Detail'!E202:E217)*('Picks Detail'!AA202:AA217))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Detail'!E202:E217)*('Picks Detail'!AB202:AB217))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Detail'!E202:E217)*('Picks Detail'!AC202:AC217))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Detail'!E202:E217)*('Picks Detail'!AD202:AD217))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4" t="s">
        <v>213</v>
      </c>
      <c r="B1" s="24"/>
      <c r="C1" s="24"/>
      <c r="D1" s="24"/>
      <c r="E1" s="24"/>
      <c r="F1" s="24"/>
      <c r="G1" s="24"/>
      <c r="H1" s="24"/>
      <c r="I1" s="24"/>
    </row>
    <row r="2" spans="1:9" ht="15" customHeight="1" x14ac:dyDescent="0.25">
      <c r="A2" s="5" t="s">
        <v>214</v>
      </c>
    </row>
    <row r="4" spans="1:9" ht="15" customHeight="1" x14ac:dyDescent="0.25">
      <c r="A4" s="18" t="s">
        <v>114</v>
      </c>
    </row>
    <row r="5" spans="1:9" ht="15" customHeight="1" x14ac:dyDescent="0.25">
      <c r="A5" s="2" t="s">
        <v>1</v>
      </c>
      <c r="B5" s="2" t="s">
        <v>2</v>
      </c>
      <c r="C5" s="2" t="s">
        <v>202</v>
      </c>
      <c r="D5" s="2" t="s">
        <v>203</v>
      </c>
      <c r="E5" s="2" t="s">
        <v>204</v>
      </c>
      <c r="F5" s="2" t="s">
        <v>205</v>
      </c>
      <c r="G5" s="2" t="s">
        <v>215</v>
      </c>
      <c r="H5" s="2" t="s">
        <v>216</v>
      </c>
      <c r="I5" s="2" t="s">
        <v>217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8" t="s">
        <v>115</v>
      </c>
    </row>
    <row r="20" spans="1:9" ht="15" customHeight="1" x14ac:dyDescent="0.25">
      <c r="A20" s="2" t="s">
        <v>1</v>
      </c>
      <c r="B20" s="2" t="s">
        <v>2</v>
      </c>
      <c r="C20" s="2" t="s">
        <v>202</v>
      </c>
      <c r="D20" s="2" t="s">
        <v>203</v>
      </c>
      <c r="E20" s="2" t="s">
        <v>204</v>
      </c>
      <c r="F20" s="2" t="s">
        <v>205</v>
      </c>
      <c r="G20" s="2" t="s">
        <v>215</v>
      </c>
      <c r="H20" s="2" t="s">
        <v>216</v>
      </c>
      <c r="I20" s="2" t="s">
        <v>217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8" t="s">
        <v>116</v>
      </c>
    </row>
    <row r="35" spans="1:9" ht="15" customHeight="1" x14ac:dyDescent="0.25">
      <c r="A35" s="2" t="s">
        <v>1</v>
      </c>
      <c r="B35" s="2" t="s">
        <v>2</v>
      </c>
      <c r="C35" s="2" t="s">
        <v>202</v>
      </c>
      <c r="D35" s="2" t="s">
        <v>203</v>
      </c>
      <c r="E35" s="2" t="s">
        <v>204</v>
      </c>
      <c r="F35" s="2" t="s">
        <v>205</v>
      </c>
      <c r="G35" s="2" t="s">
        <v>215</v>
      </c>
      <c r="H35" s="2" t="s">
        <v>216</v>
      </c>
      <c r="I35" s="2" t="s">
        <v>217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8" t="s">
        <v>117</v>
      </c>
    </row>
    <row r="50" spans="1:9" ht="15" customHeight="1" x14ac:dyDescent="0.25">
      <c r="A50" s="2" t="s">
        <v>1</v>
      </c>
      <c r="B50" s="2" t="s">
        <v>2</v>
      </c>
      <c r="C50" s="2" t="s">
        <v>202</v>
      </c>
      <c r="D50" s="2" t="s">
        <v>203</v>
      </c>
      <c r="E50" s="2" t="s">
        <v>204</v>
      </c>
      <c r="F50" s="2" t="s">
        <v>205</v>
      </c>
      <c r="G50" s="2" t="s">
        <v>215</v>
      </c>
      <c r="H50" s="2" t="s">
        <v>216</v>
      </c>
      <c r="I50" s="2" t="s">
        <v>217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8" t="s">
        <v>118</v>
      </c>
    </row>
    <row r="65" spans="1:9" ht="15" customHeight="1" x14ac:dyDescent="0.25">
      <c r="A65" s="2" t="s">
        <v>1</v>
      </c>
      <c r="B65" s="2" t="s">
        <v>2</v>
      </c>
      <c r="C65" s="2" t="s">
        <v>202</v>
      </c>
      <c r="D65" s="2" t="s">
        <v>203</v>
      </c>
      <c r="E65" s="2" t="s">
        <v>204</v>
      </c>
      <c r="F65" s="2" t="s">
        <v>205</v>
      </c>
      <c r="G65" s="2" t="s">
        <v>215</v>
      </c>
      <c r="H65" s="2" t="s">
        <v>216</v>
      </c>
      <c r="I65" s="2" t="s">
        <v>217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8" t="s">
        <v>119</v>
      </c>
    </row>
    <row r="80" spans="1:9" ht="15" customHeight="1" x14ac:dyDescent="0.25">
      <c r="A80" s="2" t="s">
        <v>1</v>
      </c>
      <c r="B80" s="2" t="s">
        <v>2</v>
      </c>
      <c r="C80" s="2" t="s">
        <v>202</v>
      </c>
      <c r="D80" s="2" t="s">
        <v>203</v>
      </c>
      <c r="E80" s="2" t="s">
        <v>204</v>
      </c>
      <c r="F80" s="2" t="s">
        <v>205</v>
      </c>
      <c r="G80" s="2" t="s">
        <v>215</v>
      </c>
      <c r="H80" s="2" t="s">
        <v>216</v>
      </c>
      <c r="I80" s="2" t="s">
        <v>217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4" t="s">
        <v>218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ht="15" customHeight="1" x14ac:dyDescent="0.25">
      <c r="A2" s="2" t="s">
        <v>219</v>
      </c>
      <c r="B2" s="2" t="s">
        <v>220</v>
      </c>
      <c r="C2" s="2" t="s">
        <v>221</v>
      </c>
      <c r="D2" s="2" t="s">
        <v>222</v>
      </c>
      <c r="E2" s="2" t="s">
        <v>223</v>
      </c>
      <c r="F2" s="2" t="s">
        <v>224</v>
      </c>
      <c r="G2" s="2" t="s">
        <v>225</v>
      </c>
      <c r="H2" s="2" t="s">
        <v>226</v>
      </c>
      <c r="I2" s="2" t="s">
        <v>227</v>
      </c>
      <c r="J2" s="2" t="s">
        <v>228</v>
      </c>
      <c r="K2" s="2" t="s">
        <v>229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15</v>
      </c>
      <c r="H3">
        <f>Helper!H2</f>
        <v>5</v>
      </c>
      <c r="I3">
        <f>Helper!I2</f>
        <v>68</v>
      </c>
      <c r="J3">
        <f>Helper!J2</f>
        <v>3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15</v>
      </c>
      <c r="H4">
        <f>Helper!H3</f>
        <v>5</v>
      </c>
      <c r="I4">
        <f>Helper!I3</f>
        <v>68</v>
      </c>
      <c r="J4">
        <f>Helper!J3</f>
        <v>4</v>
      </c>
      <c r="K4">
        <f>MAX(Helper!C3:H3)</f>
        <v>15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5</v>
      </c>
      <c r="H5">
        <f>Helper!H4</f>
        <v>7</v>
      </c>
      <c r="I5">
        <f>Helper!I4</f>
        <v>61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15</v>
      </c>
      <c r="H7">
        <f>Helper!H6</f>
        <v>13</v>
      </c>
      <c r="I7">
        <f>Helper!I6</f>
        <v>71</v>
      </c>
      <c r="J7">
        <f>Helper!J6</f>
        <v>4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16</v>
      </c>
      <c r="H8">
        <f>Helper!H7</f>
        <v>4</v>
      </c>
      <c r="I8">
        <f>Helper!I7</f>
        <v>60</v>
      </c>
      <c r="J8">
        <f>Helper!J7</f>
        <v>3</v>
      </c>
      <c r="K8">
        <f>MAX(Helper!C7:H7)</f>
        <v>16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13</v>
      </c>
      <c r="H9">
        <f>Helper!H8</f>
        <v>13</v>
      </c>
      <c r="I9">
        <f>Helper!I8</f>
        <v>59</v>
      </c>
      <c r="J9">
        <f>Helper!J8</f>
        <v>3</v>
      </c>
      <c r="K9">
        <f>MAX(Helper!C8:H8)</f>
        <v>13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13</v>
      </c>
      <c r="H10">
        <f>Helper!H9</f>
        <v>13</v>
      </c>
      <c r="I10">
        <f>Helper!I9</f>
        <v>56</v>
      </c>
      <c r="J10">
        <f>Helper!J9</f>
        <v>2</v>
      </c>
      <c r="K10">
        <f>MAX(Helper!C9:H9)</f>
        <v>13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6</v>
      </c>
      <c r="H11">
        <f>Helper!H10</f>
        <v>13</v>
      </c>
      <c r="I11">
        <f>Helper!I10</f>
        <v>56</v>
      </c>
      <c r="J11">
        <f>Helper!J10</f>
        <v>2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7</v>
      </c>
      <c r="H12">
        <f>Helper!H11</f>
        <v>12</v>
      </c>
      <c r="I12">
        <f>Helper!I11</f>
        <v>68</v>
      </c>
      <c r="J12">
        <f>Helper!J11</f>
        <v>4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5</v>
      </c>
      <c r="H13">
        <f>Helper!H12</f>
        <v>12</v>
      </c>
      <c r="I13">
        <f>Helper!I12</f>
        <v>60</v>
      </c>
      <c r="J13">
        <f>Helper!J12</f>
        <v>3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4</v>
      </c>
      <c r="H14">
        <f>Helper!H13</f>
        <v>6</v>
      </c>
      <c r="I14">
        <f>Helper!I13</f>
        <v>48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8" t="s">
        <v>230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</row>
    <row r="17" spans="1:11" ht="15" customHeight="1" x14ac:dyDescent="0.25">
      <c r="A17" s="2" t="s">
        <v>219</v>
      </c>
      <c r="B17" s="2" t="s">
        <v>220</v>
      </c>
      <c r="C17" s="2" t="s">
        <v>231</v>
      </c>
      <c r="D17" s="2" t="s">
        <v>232</v>
      </c>
      <c r="E17" s="2" t="s">
        <v>233</v>
      </c>
      <c r="F17" s="2" t="s">
        <v>234</v>
      </c>
      <c r="G17" s="2" t="s">
        <v>235</v>
      </c>
      <c r="H17" s="2" t="s">
        <v>236</v>
      </c>
      <c r="I17" s="2" t="s">
        <v>227</v>
      </c>
      <c r="J17" s="2" t="s">
        <v>228</v>
      </c>
      <c r="K17" s="2" t="s">
        <v>229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9" t="s">
        <v>237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</row>
    <row r="32" spans="1:11" ht="15" customHeight="1" x14ac:dyDescent="0.25">
      <c r="A32" s="19" t="s">
        <v>238</v>
      </c>
    </row>
    <row r="33" spans="1:11" ht="15" customHeight="1" x14ac:dyDescent="0.25">
      <c r="A33" s="2" t="s">
        <v>219</v>
      </c>
      <c r="B33" s="2" t="s">
        <v>220</v>
      </c>
      <c r="C33" s="2" t="s">
        <v>239</v>
      </c>
      <c r="D33" s="2" t="s">
        <v>240</v>
      </c>
      <c r="E33" s="2" t="s">
        <v>241</v>
      </c>
      <c r="F33" s="2" t="s">
        <v>242</v>
      </c>
      <c r="G33" s="2" t="s">
        <v>243</v>
      </c>
      <c r="H33" s="2" t="s">
        <v>244</v>
      </c>
      <c r="I33" s="2" t="s">
        <v>215</v>
      </c>
      <c r="J33" s="2" t="s">
        <v>216</v>
      </c>
      <c r="K33" s="2" t="s">
        <v>245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9" t="s">
        <v>246</v>
      </c>
    </row>
    <row r="40" spans="1:11" ht="15" customHeight="1" x14ac:dyDescent="0.25">
      <c r="A40" s="2" t="s">
        <v>219</v>
      </c>
      <c r="B40" s="2" t="s">
        <v>220</v>
      </c>
      <c r="C40" s="2" t="s">
        <v>239</v>
      </c>
      <c r="D40" s="2" t="s">
        <v>240</v>
      </c>
      <c r="E40" s="2" t="s">
        <v>241</v>
      </c>
      <c r="F40" s="2" t="s">
        <v>242</v>
      </c>
      <c r="G40" s="2" t="s">
        <v>243</v>
      </c>
      <c r="H40" s="2" t="s">
        <v>244</v>
      </c>
      <c r="I40" s="2" t="s">
        <v>215</v>
      </c>
      <c r="J40" s="2" t="s">
        <v>216</v>
      </c>
      <c r="K40" s="2" t="s">
        <v>245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9" t="s">
        <v>247</v>
      </c>
    </row>
    <row r="47" spans="1:11" ht="15" customHeight="1" x14ac:dyDescent="0.25">
      <c r="A47" s="2" t="s">
        <v>219</v>
      </c>
      <c r="B47" s="2" t="s">
        <v>220</v>
      </c>
      <c r="C47" s="2" t="s">
        <v>239</v>
      </c>
      <c r="D47" s="2" t="s">
        <v>240</v>
      </c>
      <c r="E47" s="2" t="s">
        <v>241</v>
      </c>
      <c r="F47" s="2" t="s">
        <v>242</v>
      </c>
      <c r="G47" s="2" t="s">
        <v>243</v>
      </c>
      <c r="H47" s="2" t="s">
        <v>244</v>
      </c>
      <c r="I47" s="2" t="s">
        <v>215</v>
      </c>
      <c r="J47" s="2" t="s">
        <v>216</v>
      </c>
      <c r="K47" s="2" t="s">
        <v>245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30" t="s">
        <v>248</v>
      </c>
      <c r="B55" s="30"/>
      <c r="C55" s="30"/>
      <c r="D55" s="30"/>
      <c r="E55" s="30"/>
      <c r="F55" s="30"/>
      <c r="G55" s="30"/>
      <c r="H55" s="30"/>
    </row>
    <row r="56" spans="1:11" ht="15" customHeight="1" x14ac:dyDescent="0.25">
      <c r="A56" s="2" t="s">
        <v>219</v>
      </c>
      <c r="B56" s="2" t="s">
        <v>220</v>
      </c>
      <c r="C56" s="2" t="s">
        <v>249</v>
      </c>
      <c r="D56" s="2" t="s">
        <v>250</v>
      </c>
      <c r="E56" s="2" t="s">
        <v>251</v>
      </c>
      <c r="F56" s="2" t="s">
        <v>252</v>
      </c>
      <c r="G56" s="2" t="s">
        <v>253</v>
      </c>
      <c r="H56" s="2" t="s">
        <v>254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68</v>
      </c>
      <c r="D57">
        <f>Helper!R2</f>
        <v>0</v>
      </c>
      <c r="E57">
        <f>Helper!AC2</f>
        <v>0</v>
      </c>
      <c r="F57">
        <f>Helper!AE2</f>
        <v>68</v>
      </c>
      <c r="G57">
        <f>Helper!K2</f>
        <v>68.000100000000003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68</v>
      </c>
      <c r="D58">
        <f>Helper!R3</f>
        <v>0</v>
      </c>
      <c r="E58">
        <f>Helper!AC3</f>
        <v>0</v>
      </c>
      <c r="F58">
        <f>Helper!AE3</f>
        <v>68</v>
      </c>
      <c r="G58">
        <f>Helper!K3</f>
        <v>68.000200000000007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61</v>
      </c>
      <c r="D59">
        <f>Helper!R4</f>
        <v>0</v>
      </c>
      <c r="E59">
        <f>Helper!AC4</f>
        <v>0</v>
      </c>
      <c r="F59">
        <f>Helper!AE4</f>
        <v>61</v>
      </c>
      <c r="G59">
        <f>Helper!K4</f>
        <v>61.000300000000003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71</v>
      </c>
      <c r="D61">
        <f>Helper!R6</f>
        <v>0</v>
      </c>
      <c r="E61">
        <f>Helper!AC6</f>
        <v>0</v>
      </c>
      <c r="F61">
        <f>Helper!AE6</f>
        <v>71</v>
      </c>
      <c r="G61">
        <f>Helper!K6</f>
        <v>71.000500000000002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60</v>
      </c>
      <c r="D62">
        <f>Helper!R7</f>
        <v>0</v>
      </c>
      <c r="E62">
        <f>Helper!AC7</f>
        <v>0</v>
      </c>
      <c r="F62">
        <f>Helper!AE7</f>
        <v>60</v>
      </c>
      <c r="G62">
        <f>Helper!K7</f>
        <v>60.000599999999999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59</v>
      </c>
      <c r="D63">
        <f>Helper!R8</f>
        <v>0</v>
      </c>
      <c r="E63">
        <f>Helper!AC8</f>
        <v>0</v>
      </c>
      <c r="F63">
        <f>Helper!AE8</f>
        <v>59</v>
      </c>
      <c r="G63">
        <f>Helper!K8</f>
        <v>59.000700000000002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56</v>
      </c>
      <c r="D64">
        <f>Helper!R9</f>
        <v>0</v>
      </c>
      <c r="E64">
        <f>Helper!AC9</f>
        <v>0</v>
      </c>
      <c r="F64">
        <f>Helper!AE9</f>
        <v>56</v>
      </c>
      <c r="G64">
        <f>Helper!K9</f>
        <v>56.000799999999998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56</v>
      </c>
      <c r="D65">
        <f>Helper!R10</f>
        <v>0</v>
      </c>
      <c r="E65">
        <f>Helper!AC10</f>
        <v>0</v>
      </c>
      <c r="F65">
        <f>Helper!AE10</f>
        <v>56</v>
      </c>
      <c r="G65">
        <f>Helper!K10</f>
        <v>56.000900000000001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68</v>
      </c>
      <c r="D66">
        <f>Helper!R11</f>
        <v>0</v>
      </c>
      <c r="E66">
        <f>Helper!AC11</f>
        <v>0</v>
      </c>
      <c r="F66">
        <f>Helper!AE11</f>
        <v>68</v>
      </c>
      <c r="G66">
        <f>Helper!K11</f>
        <v>68.001000000000005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60</v>
      </c>
      <c r="D67">
        <f>Helper!R12</f>
        <v>0</v>
      </c>
      <c r="E67">
        <f>Helper!AC12</f>
        <v>0</v>
      </c>
      <c r="F67">
        <f>Helper!AE12</f>
        <v>60</v>
      </c>
      <c r="G67">
        <f>Helper!K12</f>
        <v>60.001100000000001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48</v>
      </c>
      <c r="D68">
        <f>Helper!R13</f>
        <v>0</v>
      </c>
      <c r="E68">
        <f>Helper!AC13</f>
        <v>0</v>
      </c>
      <c r="F68">
        <f>Helper!AE13</f>
        <v>48</v>
      </c>
      <c r="G68">
        <f>Helper!K13</f>
        <v>48.001199999999997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255</v>
      </c>
    </row>
    <row r="3" spans="1:8" ht="15" customHeight="1" x14ac:dyDescent="0.25">
      <c r="A3" s="20" t="s">
        <v>256</v>
      </c>
    </row>
    <row r="4" spans="1:8" ht="15" customHeight="1" x14ac:dyDescent="0.25">
      <c r="A4" s="2" t="s">
        <v>257</v>
      </c>
      <c r="B4" s="2" t="s">
        <v>258</v>
      </c>
      <c r="C4" s="2" t="s">
        <v>259</v>
      </c>
      <c r="D4" s="2" t="s">
        <v>260</v>
      </c>
      <c r="E4" s="2" t="s">
        <v>261</v>
      </c>
      <c r="F4" s="2" t="s">
        <v>262</v>
      </c>
      <c r="H4" s="21" t="s">
        <v>263</v>
      </c>
    </row>
    <row r="5" spans="1:8" ht="15" customHeight="1" x14ac:dyDescent="0.25">
      <c r="A5" t="s">
        <v>264</v>
      </c>
      <c r="B5" t="str">
        <f>INDEX(Helper!B$2:B$13,MATCH(MAX(Helper!K$2:K$13),Helper!K$2:K$13,0))</f>
        <v>Mikayla Simmons</v>
      </c>
      <c r="C5" t="s">
        <v>265</v>
      </c>
      <c r="D5" t="s">
        <v>266</v>
      </c>
      <c r="E5" t="str">
        <f>B5</f>
        <v>Mikayla Simmons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267</v>
      </c>
      <c r="B6" t="str">
        <f>INDEX(Helper!B$2:B$13,MATCH(MAX(Helper!T$2:T$13),Helper!T$2:T$13,0))</f>
        <v>Jake Andrews</v>
      </c>
      <c r="C6" t="s">
        <v>265</v>
      </c>
      <c r="D6" t="s">
        <v>268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269</v>
      </c>
      <c r="B7" t="str">
        <f>H5</f>
        <v>Luke Ussery</v>
      </c>
      <c r="C7" t="s">
        <v>270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271</v>
      </c>
      <c r="B8" t="str">
        <f>H9</f>
        <v>Larry Loeser</v>
      </c>
      <c r="C8" t="s">
        <v>270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272</v>
      </c>
      <c r="B9" t="str">
        <f>H13</f>
        <v>Jake Andrews</v>
      </c>
      <c r="C9" t="s">
        <v>270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20" t="s">
        <v>273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257</v>
      </c>
      <c r="B12" s="2" t="s">
        <v>220</v>
      </c>
      <c r="C12" s="2" t="s">
        <v>274</v>
      </c>
      <c r="D12" s="2" t="s">
        <v>260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275</v>
      </c>
      <c r="B13" t="str">
        <f>INDEX(H$40:H$51,MATCH(MAX(K$40:K$51),K$40:K$51,0))</f>
        <v>Zach Zarra</v>
      </c>
      <c r="C13">
        <f>INDEX(I$40:I$51,MATCH(MAX(K$40:K$51),K$40:K$51,0))</f>
        <v>68</v>
      </c>
      <c r="D13" t="s">
        <v>276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20" t="s">
        <v>277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220</v>
      </c>
      <c r="C16" s="2" t="s">
        <v>278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Mikayla Simmons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Zach Zarra</v>
      </c>
      <c r="C22" t="str">
        <f>"Wild Card 1"</f>
        <v>Wild Card 1</v>
      </c>
    </row>
    <row r="24" spans="1:6" ht="15" customHeight="1" x14ac:dyDescent="0.25">
      <c r="A24" s="20" t="s">
        <v>279</v>
      </c>
    </row>
    <row r="25" spans="1:6" ht="15" customHeight="1" x14ac:dyDescent="0.25">
      <c r="A25" s="2" t="s">
        <v>27</v>
      </c>
      <c r="B25" s="2" t="s">
        <v>220</v>
      </c>
      <c r="C25" s="2" t="s">
        <v>280</v>
      </c>
      <c r="D25" s="2" t="s">
        <v>281</v>
      </c>
      <c r="E25" s="2" t="s">
        <v>282</v>
      </c>
      <c r="F25" s="2" t="s">
        <v>283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25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25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284</v>
      </c>
      <c r="C38">
        <f>SUM(C26:C37)</f>
        <v>25</v>
      </c>
      <c r="D38">
        <f>SUM(D26:D37)</f>
        <v>0</v>
      </c>
      <c r="E38">
        <f>SUM(E26:E37)</f>
        <v>0</v>
      </c>
      <c r="F38">
        <f>SUM(F26:F37)</f>
        <v>25</v>
      </c>
    </row>
    <row r="39" spans="1:11" ht="15" customHeight="1" x14ac:dyDescent="0.25">
      <c r="H39" s="21" t="s">
        <v>285</v>
      </c>
    </row>
    <row r="40" spans="1:11" ht="15" customHeight="1" x14ac:dyDescent="0.25">
      <c r="H40" t="str">
        <f>Roster!B3</f>
        <v>Evan Loeser</v>
      </c>
      <c r="I40">
        <f>Helper!AE2</f>
        <v>68</v>
      </c>
      <c r="J40" t="b">
        <f t="shared" ref="J40:J51" si="1">OR(H40=$E$5,H40=$E$6,H40=$E$7,H40=$E$8,H40=$E$9)</f>
        <v>0</v>
      </c>
      <c r="K40">
        <f>IF(J40,-1,I40+0.00001)</f>
        <v>68.000010000000003</v>
      </c>
    </row>
    <row r="41" spans="1:11" ht="15" customHeight="1" x14ac:dyDescent="0.25">
      <c r="H41" t="str">
        <f>Roster!B4</f>
        <v>Chris Simmons</v>
      </c>
      <c r="I41">
        <f>Helper!AE3</f>
        <v>68</v>
      </c>
      <c r="J41" t="b">
        <f t="shared" si="1"/>
        <v>0</v>
      </c>
      <c r="K41">
        <f>IF(J41,-1,I41+0.00002)</f>
        <v>68.000020000000006</v>
      </c>
    </row>
    <row r="42" spans="1:11" ht="15" customHeight="1" x14ac:dyDescent="0.25">
      <c r="H42" t="str">
        <f>Roster!B5</f>
        <v>Jack Smith</v>
      </c>
      <c r="I42">
        <f>Helper!AE4</f>
        <v>61</v>
      </c>
      <c r="J42" t="b">
        <f t="shared" si="1"/>
        <v>0</v>
      </c>
      <c r="K42">
        <f>IF(J42,-1,I42+0.00003)</f>
        <v>61.000030000000002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71</v>
      </c>
      <c r="J44" t="b">
        <f t="shared" si="1"/>
        <v>1</v>
      </c>
      <c r="K44">
        <f>IF(J44,-1,I44+0.00005)</f>
        <v>-1</v>
      </c>
    </row>
    <row r="45" spans="1:11" ht="15" customHeight="1" x14ac:dyDescent="0.25">
      <c r="H45" t="str">
        <f>Roster!B8</f>
        <v>Alan Loeser</v>
      </c>
      <c r="I45">
        <f>Helper!AE7</f>
        <v>60</v>
      </c>
      <c r="J45" t="b">
        <f t="shared" si="1"/>
        <v>0</v>
      </c>
      <c r="K45">
        <f>IF(J45,-1,I45+0.00006)</f>
        <v>60.000059999999998</v>
      </c>
    </row>
    <row r="46" spans="1:11" ht="15" customHeight="1" x14ac:dyDescent="0.25">
      <c r="H46" t="str">
        <f>Roster!B9</f>
        <v>Caleb Simmons</v>
      </c>
      <c r="I46">
        <f>Helper!AE8</f>
        <v>59</v>
      </c>
      <c r="J46" t="b">
        <f t="shared" si="1"/>
        <v>0</v>
      </c>
      <c r="K46">
        <f>IF(J46,-1,I46+0.00007)</f>
        <v>59.000070000000001</v>
      </c>
    </row>
    <row r="47" spans="1:11" ht="15" customHeight="1" x14ac:dyDescent="0.25">
      <c r="H47" t="str">
        <f>Roster!B10</f>
        <v>Larry Loeser</v>
      </c>
      <c r="I47">
        <f>Helper!AE9</f>
        <v>56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56</v>
      </c>
      <c r="J48" t="b">
        <f t="shared" si="1"/>
        <v>0</v>
      </c>
      <c r="K48">
        <f>IF(J48,-1,I48+0.00009)</f>
        <v>56.00009</v>
      </c>
    </row>
    <row r="49" spans="8:11" ht="15" customHeight="1" x14ac:dyDescent="0.25">
      <c r="H49" t="str">
        <f>Roster!B12</f>
        <v>Zach Zarra</v>
      </c>
      <c r="I49">
        <f>Helper!AE11</f>
        <v>68</v>
      </c>
      <c r="J49" t="b">
        <f t="shared" si="1"/>
        <v>0</v>
      </c>
      <c r="K49">
        <f>IF(J49,-1,I49+0.0001)</f>
        <v>68.000100000000003</v>
      </c>
    </row>
    <row r="50" spans="8:11" ht="15" customHeight="1" x14ac:dyDescent="0.25">
      <c r="H50" t="str">
        <f>Roster!B13</f>
        <v>Jeffrey Loeser</v>
      </c>
      <c r="I50">
        <f>Helper!AE12</f>
        <v>60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48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286</v>
      </c>
    </row>
    <row r="2" spans="1:8" ht="15" customHeight="1" x14ac:dyDescent="0.25">
      <c r="A2" t="s">
        <v>287</v>
      </c>
    </row>
    <row r="4" spans="1:8" ht="15" customHeight="1" x14ac:dyDescent="0.25">
      <c r="A4" s="2" t="s">
        <v>27</v>
      </c>
      <c r="B4" s="2" t="s">
        <v>220</v>
      </c>
      <c r="C4" s="2" t="s">
        <v>211</v>
      </c>
      <c r="D4" s="2" t="s">
        <v>288</v>
      </c>
      <c r="E4" s="2" t="s">
        <v>289</v>
      </c>
      <c r="F4" s="2" t="s">
        <v>290</v>
      </c>
      <c r="G4" s="2" t="s">
        <v>291</v>
      </c>
      <c r="H4" s="2" t="s">
        <v>292</v>
      </c>
    </row>
    <row r="5" spans="1:8" ht="15" customHeight="1" x14ac:dyDescent="0.25">
      <c r="A5">
        <v>1</v>
      </c>
      <c r="B5" t="str">
        <f>'Playoff Picture'!B17</f>
        <v>Mikayla Simmons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Zach Zarra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20" t="s">
        <v>293</v>
      </c>
    </row>
    <row r="13" spans="1:8" ht="15" customHeight="1" x14ac:dyDescent="0.25">
      <c r="A13" s="2" t="s">
        <v>219</v>
      </c>
      <c r="B13" s="2" t="s">
        <v>220</v>
      </c>
      <c r="C13" s="2" t="s">
        <v>211</v>
      </c>
      <c r="D13" s="2"/>
      <c r="E13" s="2" t="s">
        <v>262</v>
      </c>
    </row>
    <row r="14" spans="1:8" ht="15" customHeight="1" x14ac:dyDescent="0.25">
      <c r="A14">
        <v>1</v>
      </c>
      <c r="B14" t="str">
        <f>INDEX($B$5:$B$10,MATCH(LARGE($H$5:$H$10,1),$H$5:$H$10,0))</f>
        <v>Mikayla Simmons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Zach Zarra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294</v>
      </c>
    </row>
    <row r="2" spans="1:11" ht="15" customHeight="1" x14ac:dyDescent="0.25">
      <c r="A2" t="s">
        <v>295</v>
      </c>
    </row>
    <row r="4" spans="1:11" ht="15" customHeight="1" x14ac:dyDescent="0.25">
      <c r="A4" s="20" t="s">
        <v>296</v>
      </c>
    </row>
    <row r="5" spans="1:11" ht="15" customHeight="1" x14ac:dyDescent="0.25">
      <c r="A5" s="2" t="s">
        <v>220</v>
      </c>
      <c r="B5" s="2" t="s">
        <v>297</v>
      </c>
      <c r="C5" s="2" t="s">
        <v>298</v>
      </c>
      <c r="D5" s="2" t="s">
        <v>299</v>
      </c>
      <c r="E5" s="2" t="s">
        <v>300</v>
      </c>
      <c r="F5" s="2" t="s">
        <v>301</v>
      </c>
      <c r="G5" s="2" t="s">
        <v>302</v>
      </c>
      <c r="H5" s="2" t="s">
        <v>303</v>
      </c>
      <c r="I5" s="2" t="s">
        <v>304</v>
      </c>
      <c r="J5" s="2"/>
      <c r="K5" s="2" t="s">
        <v>305</v>
      </c>
    </row>
    <row r="6" spans="1:11" ht="15" customHeight="1" x14ac:dyDescent="0.25">
      <c r="A6" t="str">
        <f>'Playoff Wild Card'!B14</f>
        <v>Mikayla Simmons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20" t="s">
        <v>306</v>
      </c>
    </row>
    <row r="12" spans="1:11" ht="15" customHeight="1" x14ac:dyDescent="0.25">
      <c r="A12" s="2" t="s">
        <v>307</v>
      </c>
      <c r="B12" s="2" t="s">
        <v>220</v>
      </c>
      <c r="C12" s="2" t="s">
        <v>297</v>
      </c>
      <c r="D12" s="2" t="s">
        <v>308</v>
      </c>
      <c r="E12" s="2" t="s">
        <v>309</v>
      </c>
      <c r="F12" s="2" t="s">
        <v>310</v>
      </c>
      <c r="G12" s="2" t="s">
        <v>311</v>
      </c>
      <c r="H12" s="2" t="s">
        <v>312</v>
      </c>
    </row>
    <row r="13" spans="1:11" ht="15" customHeight="1" x14ac:dyDescent="0.25">
      <c r="A13" t="s">
        <v>313</v>
      </c>
      <c r="B13" t="str">
        <f>INDEX($A$6:$A$9,MATCH(LARGE($J$6:$J$9,1),$J$6:$J$9,0))</f>
        <v>Mikayla Simmons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314</v>
      </c>
    </row>
    <row r="14" spans="1:11" ht="15" customHeight="1" x14ac:dyDescent="0.25">
      <c r="A14" t="s">
        <v>315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316</v>
      </c>
    </row>
    <row r="15" spans="1:11" ht="15" customHeight="1" x14ac:dyDescent="0.25">
      <c r="A15" t="s">
        <v>317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265</v>
      </c>
    </row>
    <row r="16" spans="1:11" ht="15" customHeight="1" x14ac:dyDescent="0.25">
      <c r="A16" t="s">
        <v>318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319</v>
      </c>
    </row>
    <row r="18" spans="1:4" ht="15" customHeight="1" x14ac:dyDescent="0.25">
      <c r="A18" s="22" t="s">
        <v>320</v>
      </c>
    </row>
    <row r="20" spans="1:4" ht="15" customHeight="1" x14ac:dyDescent="0.25">
      <c r="A20" s="20" t="s">
        <v>321</v>
      </c>
    </row>
    <row r="21" spans="1:4" ht="15" customHeight="1" x14ac:dyDescent="0.25">
      <c r="A21" s="2" t="s">
        <v>220</v>
      </c>
      <c r="B21" s="2" t="s">
        <v>322</v>
      </c>
      <c r="C21" s="2" t="s">
        <v>323</v>
      </c>
      <c r="D21" s="2" t="s">
        <v>324</v>
      </c>
    </row>
    <row r="22" spans="1:4" ht="15" customHeight="1" x14ac:dyDescent="0.25">
      <c r="A22" t="str">
        <f>A6</f>
        <v>Mikayla Simmons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customWidth="1"/>
    <col min="2" max="2" width="24" customWidth="1"/>
    <col min="3" max="3" width="60" customWidth="1"/>
  </cols>
  <sheetData>
    <row r="1" spans="1:3" ht="17.25" customHeight="1" x14ac:dyDescent="0.25">
      <c r="A1" s="1" t="s">
        <v>325</v>
      </c>
    </row>
    <row r="6" spans="1:3" ht="15" customHeight="1" x14ac:dyDescent="0.25">
      <c r="A6" s="2" t="s">
        <v>326</v>
      </c>
      <c r="B6" s="2" t="s">
        <v>327</v>
      </c>
      <c r="C6" s="2" t="s">
        <v>328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329</v>
      </c>
      <c r="D1" s="4" t="s">
        <v>330</v>
      </c>
      <c r="E1" s="4" t="s">
        <v>331</v>
      </c>
      <c r="F1" s="4" t="s">
        <v>332</v>
      </c>
      <c r="G1" s="4" t="s">
        <v>333</v>
      </c>
      <c r="H1" s="4" t="s">
        <v>334</v>
      </c>
      <c r="I1" s="4" t="s">
        <v>335</v>
      </c>
      <c r="J1" s="4" t="s">
        <v>336</v>
      </c>
      <c r="K1" s="4" t="s">
        <v>337</v>
      </c>
      <c r="L1" s="4" t="s">
        <v>338</v>
      </c>
      <c r="M1" s="4" t="s">
        <v>339</v>
      </c>
      <c r="N1" s="4" t="s">
        <v>340</v>
      </c>
      <c r="O1" s="4" t="s">
        <v>341</v>
      </c>
      <c r="P1" s="4" t="s">
        <v>342</v>
      </c>
      <c r="Q1" s="4" t="s">
        <v>343</v>
      </c>
      <c r="R1" s="4" t="s">
        <v>344</v>
      </c>
      <c r="S1" s="4" t="s">
        <v>345</v>
      </c>
      <c r="T1" s="4" t="s">
        <v>346</v>
      </c>
      <c r="U1" s="4" t="s">
        <v>347</v>
      </c>
      <c r="V1" s="4" t="s">
        <v>348</v>
      </c>
      <c r="W1" s="4" t="s">
        <v>349</v>
      </c>
      <c r="X1" s="4" t="s">
        <v>350</v>
      </c>
      <c r="Y1" s="4" t="s">
        <v>351</v>
      </c>
      <c r="Z1" s="4" t="s">
        <v>352</v>
      </c>
      <c r="AA1" s="4" t="s">
        <v>353</v>
      </c>
      <c r="AB1" s="4" t="s">
        <v>354</v>
      </c>
      <c r="AC1" s="4" t="s">
        <v>355</v>
      </c>
      <c r="AD1" s="4" t="s">
        <v>356</v>
      </c>
      <c r="AE1" s="4" t="s">
        <v>357</v>
      </c>
      <c r="AF1" s="4" t="s">
        <v>358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15</v>
      </c>
      <c r="H2">
        <f>IF(Roster!$B$16&gt;=6,'Wk 1-6 Input'!H81,0)+IF(Roster!$B$16&gt;6,'Wk 1-6 Input'!G81,0)</f>
        <v>5</v>
      </c>
      <c r="I2">
        <f t="shared" ref="I2:I13" si="0">SUM(C2:H2)</f>
        <v>68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3</v>
      </c>
      <c r="K2">
        <f>I2+0.0001</f>
        <v>68.000100000000003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68</v>
      </c>
      <c r="AF2">
        <f>AE2+0.0001</f>
        <v>68.000100000000003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15</v>
      </c>
      <c r="H3">
        <f>IF(Roster!$B$16&gt;=6,'Wk 1-6 Input'!H82,0)+IF(Roster!$B$16&gt;6,'Wk 1-6 Input'!G82,0)</f>
        <v>5</v>
      </c>
      <c r="I3">
        <f t="shared" si="0"/>
        <v>68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4</v>
      </c>
      <c r="K3">
        <f>I3+0.0002</f>
        <v>68.000200000000007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68</v>
      </c>
      <c r="AF3">
        <f>AE3+0.0002</f>
        <v>68.000200000000007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5</v>
      </c>
      <c r="H4">
        <f>IF(Roster!$B$16&gt;=6,'Wk 1-6 Input'!H83,0)+IF(Roster!$B$16&gt;6,'Wk 1-6 Input'!G83,0)</f>
        <v>7</v>
      </c>
      <c r="I4">
        <f t="shared" si="0"/>
        <v>61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61.000300000000003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61</v>
      </c>
      <c r="AF4">
        <f>AE4+0.0003</f>
        <v>61.000300000000003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15</v>
      </c>
      <c r="H6">
        <f>IF(Roster!$B$16&gt;=6,'Wk 1-6 Input'!H85,0)+IF(Roster!$B$16&gt;6,'Wk 1-6 Input'!G85,0)</f>
        <v>13</v>
      </c>
      <c r="I6">
        <f t="shared" si="0"/>
        <v>71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4</v>
      </c>
      <c r="K6">
        <f>I6+0.0005</f>
        <v>71.000500000000002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71</v>
      </c>
      <c r="AF6">
        <f>AE6+0.0005</f>
        <v>71.000500000000002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16</v>
      </c>
      <c r="H7">
        <f>IF(Roster!$B$16&gt;=6,'Wk 1-6 Input'!H86,0)+IF(Roster!$B$16&gt;6,'Wk 1-6 Input'!G86,0)</f>
        <v>4</v>
      </c>
      <c r="I7">
        <f t="shared" si="0"/>
        <v>60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3</v>
      </c>
      <c r="K7">
        <f>I7+0.0006</f>
        <v>60.000599999999999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60</v>
      </c>
      <c r="AF7">
        <f>AE7+0.0006</f>
        <v>60.000599999999999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13</v>
      </c>
      <c r="H8">
        <f>IF(Roster!$B$16&gt;=6,'Wk 1-6 Input'!H87,0)+IF(Roster!$B$16&gt;6,'Wk 1-6 Input'!G87,0)</f>
        <v>13</v>
      </c>
      <c r="I8">
        <f t="shared" si="0"/>
        <v>59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3</v>
      </c>
      <c r="K8">
        <f>I8+0.0007</f>
        <v>59.000700000000002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59</v>
      </c>
      <c r="AF8">
        <f>AE8+0.0007</f>
        <v>59.000700000000002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13</v>
      </c>
      <c r="H9">
        <f>IF(Roster!$B$16&gt;=6,'Wk 1-6 Input'!H88,0)+IF(Roster!$B$16&gt;6,'Wk 1-6 Input'!G88,0)</f>
        <v>13</v>
      </c>
      <c r="I9">
        <f t="shared" si="0"/>
        <v>56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2</v>
      </c>
      <c r="K9">
        <f>I9+0.0008</f>
        <v>56.000799999999998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56</v>
      </c>
      <c r="AF9">
        <f>AE9+0.0008</f>
        <v>56.000799999999998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6</v>
      </c>
      <c r="H10">
        <f>IF(Roster!$B$16&gt;=6,'Wk 1-6 Input'!H89,0)+IF(Roster!$B$16&gt;6,'Wk 1-6 Input'!G89,0)</f>
        <v>13</v>
      </c>
      <c r="I10">
        <f t="shared" si="0"/>
        <v>56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2</v>
      </c>
      <c r="K10">
        <f>I10+0.0009</f>
        <v>56.000900000000001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56</v>
      </c>
      <c r="AF10">
        <f>AE10+0.0009</f>
        <v>56.000900000000001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7</v>
      </c>
      <c r="H11">
        <f>IF(Roster!$B$16&gt;=6,'Wk 1-6 Input'!H90,0)+IF(Roster!$B$16&gt;6,'Wk 1-6 Input'!G90,0)</f>
        <v>12</v>
      </c>
      <c r="I11">
        <f t="shared" si="0"/>
        <v>68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4</v>
      </c>
      <c r="K11">
        <f>I11+0.001</f>
        <v>68.001000000000005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68</v>
      </c>
      <c r="AF11">
        <f>AE11+0.001</f>
        <v>68.001000000000005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5</v>
      </c>
      <c r="H12">
        <f>IF(Roster!$B$16&gt;=6,'Wk 1-6 Input'!H91,0)+IF(Roster!$B$16&gt;6,'Wk 1-6 Input'!G91,0)</f>
        <v>12</v>
      </c>
      <c r="I12">
        <f t="shared" si="0"/>
        <v>60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3</v>
      </c>
      <c r="K12">
        <f>I12+0.0011</f>
        <v>60.001100000000001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60</v>
      </c>
      <c r="AF12">
        <f>AE12+0.0011</f>
        <v>60.001100000000001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4</v>
      </c>
      <c r="H13">
        <f>IF(Roster!$B$16&gt;=6,'Wk 1-6 Input'!H92,0)+IF(Roster!$B$16&gt;6,'Wk 1-6 Input'!G92,0)</f>
        <v>6</v>
      </c>
      <c r="I13">
        <f t="shared" si="0"/>
        <v>48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48.001199999999997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48</v>
      </c>
      <c r="AF13">
        <f>AE13+0.0012</f>
        <v>48.001199999999997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2026-10-22T16:01:41Z</dcterms:modified>
  <dc:language>en-US</dc:language>
</cp:coreProperties>
</file>