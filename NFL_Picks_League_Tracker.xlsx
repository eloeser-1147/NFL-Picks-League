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810" documentId="11_C5FB6D5EBB7DB41C9C4944A345A03722CFCA9995" xr6:coauthVersionLast="47" xr6:coauthVersionMax="47" xr10:uidLastSave="{EFA93FC5-BED3-473F-B4A5-BFBE7A119BA7}"/>
  <bookViews>
    <workbookView xWindow="28680" yWindow="-120" windowWidth="29040" windowHeight="16440" tabRatio="857" activeTab="11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H29" i="8" s="1"/>
  <c r="P13" i="13"/>
  <c r="G29" i="8" s="1"/>
  <c r="O13" i="13"/>
  <c r="F29" i="8" s="1"/>
  <c r="N13" i="13"/>
  <c r="M13" i="13"/>
  <c r="D29" i="8" s="1"/>
  <c r="L13" i="13"/>
  <c r="C29" i="8" s="1"/>
  <c r="H13" i="13"/>
  <c r="H14" i="8" s="1"/>
  <c r="G13" i="13"/>
  <c r="G14" i="8" s="1"/>
  <c r="B13" i="13"/>
  <c r="AC12" i="13"/>
  <c r="K50" i="8" s="1"/>
  <c r="AB12" i="13"/>
  <c r="J50" i="8" s="1"/>
  <c r="AA12" i="13"/>
  <c r="AD12" i="13" s="1"/>
  <c r="Z12" i="13"/>
  <c r="H50" i="8" s="1"/>
  <c r="Y12" i="13"/>
  <c r="X12" i="13"/>
  <c r="F50" i="8" s="1"/>
  <c r="W12" i="13"/>
  <c r="E50" i="8" s="1"/>
  <c r="V12" i="13"/>
  <c r="D50" i="8" s="1"/>
  <c r="U12" i="13"/>
  <c r="C50" i="8" s="1"/>
  <c r="Q12" i="13"/>
  <c r="H28" i="8" s="1"/>
  <c r="P12" i="13"/>
  <c r="G28" i="8" s="1"/>
  <c r="O12" i="13"/>
  <c r="F28" i="8" s="1"/>
  <c r="N12" i="13"/>
  <c r="E28" i="8" s="1"/>
  <c r="M12" i="13"/>
  <c r="D28" i="8" s="1"/>
  <c r="L12" i="13"/>
  <c r="C28" i="8" s="1"/>
  <c r="H12" i="13"/>
  <c r="H13" i="8" s="1"/>
  <c r="G12" i="13"/>
  <c r="G13" i="8" s="1"/>
  <c r="B12" i="13"/>
  <c r="AC11" i="13"/>
  <c r="E66" i="8" s="1"/>
  <c r="AB11" i="13"/>
  <c r="AA11" i="13"/>
  <c r="AD11" i="13" s="1"/>
  <c r="Z11" i="13"/>
  <c r="H49" i="8" s="1"/>
  <c r="Y11" i="13"/>
  <c r="G49" i="8" s="1"/>
  <c r="X11" i="13"/>
  <c r="F49" i="8" s="1"/>
  <c r="W11" i="13"/>
  <c r="E49" i="8" s="1"/>
  <c r="V11" i="13"/>
  <c r="D49" i="8" s="1"/>
  <c r="U11" i="13"/>
  <c r="C49" i="8" s="1"/>
  <c r="Q11" i="13"/>
  <c r="H27" i="8" s="1"/>
  <c r="P11" i="13"/>
  <c r="O11" i="13"/>
  <c r="F27" i="8" s="1"/>
  <c r="N11" i="13"/>
  <c r="E27" i="8" s="1"/>
  <c r="M11" i="13"/>
  <c r="D27" i="8" s="1"/>
  <c r="L11" i="13"/>
  <c r="C27" i="8" s="1"/>
  <c r="H11" i="13"/>
  <c r="H12" i="8" s="1"/>
  <c r="G11" i="13"/>
  <c r="G12" i="8" s="1"/>
  <c r="B11" i="13"/>
  <c r="B49" i="8" s="1"/>
  <c r="AC10" i="13"/>
  <c r="AB10" i="13"/>
  <c r="AA10" i="13"/>
  <c r="AD10" i="13" s="1"/>
  <c r="Z10" i="13"/>
  <c r="Y10" i="13"/>
  <c r="X10" i="13"/>
  <c r="F48" i="8" s="1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D26" i="8" s="1"/>
  <c r="L10" i="13"/>
  <c r="H10" i="13"/>
  <c r="H11" i="8" s="1"/>
  <c r="G10" i="13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G25" i="8" s="1"/>
  <c r="O9" i="13"/>
  <c r="F25" i="8" s="1"/>
  <c r="N9" i="13"/>
  <c r="E25" i="8" s="1"/>
  <c r="M9" i="13"/>
  <c r="D25" i="8" s="1"/>
  <c r="L9" i="13"/>
  <c r="C25" i="8" s="1"/>
  <c r="H9" i="13"/>
  <c r="G9" i="13"/>
  <c r="G10" i="8" s="1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U8" i="13"/>
  <c r="Q8" i="13"/>
  <c r="P8" i="13"/>
  <c r="G24" i="8" s="1"/>
  <c r="O8" i="13"/>
  <c r="F24" i="8" s="1"/>
  <c r="N8" i="13"/>
  <c r="M8" i="13"/>
  <c r="D24" i="8" s="1"/>
  <c r="L8" i="13"/>
  <c r="C24" i="8" s="1"/>
  <c r="H8" i="13"/>
  <c r="H9" i="8" s="1"/>
  <c r="G8" i="13"/>
  <c r="G9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H23" i="8" s="1"/>
  <c r="P7" i="13"/>
  <c r="G23" i="8" s="1"/>
  <c r="O7" i="13"/>
  <c r="F23" i="8" s="1"/>
  <c r="N7" i="13"/>
  <c r="E23" i="8" s="1"/>
  <c r="M7" i="13"/>
  <c r="L7" i="13"/>
  <c r="H7" i="13"/>
  <c r="H8" i="8" s="1"/>
  <c r="G7" i="13"/>
  <c r="G8" i="8" s="1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E41" i="8" s="1"/>
  <c r="V6" i="13"/>
  <c r="D41" i="8" s="1"/>
  <c r="U6" i="13"/>
  <c r="C41" i="8" s="1"/>
  <c r="Q6" i="13"/>
  <c r="H22" i="8" s="1"/>
  <c r="P6" i="13"/>
  <c r="G22" i="8" s="1"/>
  <c r="O6" i="13"/>
  <c r="F22" i="8" s="1"/>
  <c r="N6" i="13"/>
  <c r="E22" i="8" s="1"/>
  <c r="M6" i="13"/>
  <c r="D22" i="8" s="1"/>
  <c r="L6" i="13"/>
  <c r="C22" i="8" s="1"/>
  <c r="H6" i="13"/>
  <c r="H7" i="8" s="1"/>
  <c r="G6" i="13"/>
  <c r="G7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N5" i="13"/>
  <c r="E21" i="8" s="1"/>
  <c r="M5" i="13"/>
  <c r="L5" i="13"/>
  <c r="C21" i="8" s="1"/>
  <c r="H5" i="13"/>
  <c r="H6" i="8" s="1"/>
  <c r="G5" i="13"/>
  <c r="G6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N4" i="13"/>
  <c r="E20" i="8" s="1"/>
  <c r="M4" i="13"/>
  <c r="D20" i="8" s="1"/>
  <c r="L4" i="13"/>
  <c r="H4" i="13"/>
  <c r="H5" i="8" s="1"/>
  <c r="G4" i="13"/>
  <c r="G5" i="8" s="1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G19" i="8" s="1"/>
  <c r="O3" i="13"/>
  <c r="F19" i="8" s="1"/>
  <c r="N3" i="13"/>
  <c r="E19" i="8" s="1"/>
  <c r="M3" i="13"/>
  <c r="D19" i="8" s="1"/>
  <c r="L3" i="13"/>
  <c r="H3" i="13"/>
  <c r="G3" i="13"/>
  <c r="G4" i="8" s="1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H2" i="13"/>
  <c r="H3" i="8" s="1"/>
  <c r="G2" i="13"/>
  <c r="G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G50" i="8"/>
  <c r="B50" i="8"/>
  <c r="K49" i="8"/>
  <c r="J49" i="8"/>
  <c r="K48" i="8"/>
  <c r="J48" i="8"/>
  <c r="I48" i="8"/>
  <c r="H48" i="8"/>
  <c r="G48" i="8"/>
  <c r="H44" i="8"/>
  <c r="G44" i="8"/>
  <c r="F44" i="8"/>
  <c r="E44" i="8"/>
  <c r="D44" i="8"/>
  <c r="B44" i="8"/>
  <c r="D43" i="8"/>
  <c r="C43" i="8"/>
  <c r="K42" i="8"/>
  <c r="I42" i="8"/>
  <c r="B42" i="8"/>
  <c r="F41" i="8"/>
  <c r="J37" i="8"/>
  <c r="I37" i="8"/>
  <c r="B37" i="8"/>
  <c r="B36" i="8"/>
  <c r="I35" i="8"/>
  <c r="H35" i="8"/>
  <c r="B35" i="8"/>
  <c r="B34" i="8"/>
  <c r="E29" i="8"/>
  <c r="B28" i="8"/>
  <c r="B25" i="8"/>
  <c r="H24" i="8"/>
  <c r="E24" i="8"/>
  <c r="D23" i="8"/>
  <c r="B23" i="8"/>
  <c r="F21" i="8"/>
  <c r="B21" i="8"/>
  <c r="F20" i="8"/>
  <c r="B20" i="8"/>
  <c r="B19" i="8"/>
  <c r="B18" i="8"/>
  <c r="B13" i="8"/>
  <c r="G11" i="8"/>
  <c r="H10" i="8"/>
  <c r="B10" i="8"/>
  <c r="B8" i="8"/>
  <c r="B6" i="8"/>
  <c r="B5" i="8"/>
  <c r="H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I93" i="4"/>
  <c r="J92" i="4"/>
  <c r="I92" i="4"/>
  <c r="J91" i="4"/>
  <c r="I91" i="4"/>
  <c r="J90" i="4"/>
  <c r="I90" i="4"/>
  <c r="J89" i="4"/>
  <c r="I89" i="4"/>
  <c r="J88" i="4"/>
  <c r="E91" i="3" s="1"/>
  <c r="I88" i="4"/>
  <c r="J87" i="4"/>
  <c r="I87" i="4"/>
  <c r="J86" i="4"/>
  <c r="I86" i="4"/>
  <c r="J85" i="4"/>
  <c r="I85" i="4"/>
  <c r="J84" i="4"/>
  <c r="I84" i="4"/>
  <c r="J83" i="4"/>
  <c r="I83" i="4"/>
  <c r="J82" i="4"/>
  <c r="E85" i="3" s="1"/>
  <c r="I82" i="4"/>
  <c r="J81" i="4"/>
  <c r="E84" i="3" s="1"/>
  <c r="I81" i="4"/>
  <c r="J80" i="4"/>
  <c r="I80" i="4"/>
  <c r="J79" i="4"/>
  <c r="I79" i="4"/>
  <c r="E76" i="4"/>
  <c r="J75" i="4"/>
  <c r="I75" i="4"/>
  <c r="J74" i="4"/>
  <c r="E77" i="3" s="1"/>
  <c r="I74" i="4"/>
  <c r="J73" i="4"/>
  <c r="E76" i="3" s="1"/>
  <c r="I73" i="4"/>
  <c r="J72" i="4"/>
  <c r="E75" i="3" s="1"/>
  <c r="I72" i="4"/>
  <c r="J71" i="4"/>
  <c r="E74" i="3" s="1"/>
  <c r="I71" i="4"/>
  <c r="J70" i="4"/>
  <c r="E73" i="3" s="1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E68" i="3" s="1"/>
  <c r="I65" i="4"/>
  <c r="J64" i="4"/>
  <c r="E67" i="3" s="1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I60" i="4"/>
  <c r="E57" i="4"/>
  <c r="E60" i="3" s="1"/>
  <c r="J56" i="4"/>
  <c r="E59" i="3" s="1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E53" i="3" s="1"/>
  <c r="I50" i="4"/>
  <c r="J49" i="4"/>
  <c r="E52" i="3" s="1"/>
  <c r="I49" i="4"/>
  <c r="J48" i="4"/>
  <c r="E51" i="3" s="1"/>
  <c r="I48" i="4"/>
  <c r="J47" i="4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6" i="3"/>
  <c r="E95" i="3"/>
  <c r="E94" i="3"/>
  <c r="E93" i="3"/>
  <c r="E92" i="3"/>
  <c r="E90" i="3"/>
  <c r="E89" i="3"/>
  <c r="E88" i="3"/>
  <c r="E87" i="3"/>
  <c r="E86" i="3"/>
  <c r="E83" i="3"/>
  <c r="E82" i="3"/>
  <c r="C75" i="5" s="1"/>
  <c r="E79" i="3"/>
  <c r="E78" i="3"/>
  <c r="E50" i="3"/>
  <c r="E47" i="3"/>
  <c r="E19" i="3"/>
  <c r="E18" i="3"/>
  <c r="E17" i="3"/>
  <c r="E16" i="3"/>
  <c r="E15" i="3"/>
  <c r="E14" i="3"/>
  <c r="E13" i="3"/>
  <c r="E12" i="3"/>
  <c r="E11" i="3"/>
  <c r="E10" i="3"/>
  <c r="E7" i="3"/>
  <c r="E6" i="3"/>
  <c r="I49" i="8" l="1"/>
  <c r="C32" i="5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H75" i="5"/>
  <c r="E72" i="5"/>
  <c r="F75" i="5"/>
  <c r="G75" i="5" s="1"/>
  <c r="E82" i="5"/>
  <c r="H90" i="5"/>
  <c r="F90" i="5"/>
  <c r="G90" i="5" s="1"/>
  <c r="I90" i="5" s="1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R8" i="13"/>
  <c r="K24" i="8"/>
  <c r="R10" i="13"/>
  <c r="C26" i="8"/>
  <c r="AD6" i="13"/>
  <c r="K18" i="8"/>
  <c r="K29" i="8"/>
  <c r="B12" i="8"/>
  <c r="B27" i="8"/>
  <c r="H6" i="9" l="1"/>
  <c r="H32" i="5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2" i="5" s="1"/>
  <c r="G22" i="5" s="1"/>
  <c r="F74" i="7"/>
  <c r="I74" i="7"/>
  <c r="E76" i="7"/>
  <c r="E40" i="5"/>
  <c r="F40" i="5" s="1"/>
  <c r="G40" i="5" s="1"/>
  <c r="H44" i="5"/>
  <c r="E10" i="13" s="1"/>
  <c r="E11" i="8" s="1"/>
  <c r="H67" i="5"/>
  <c r="F67" i="5"/>
  <c r="G67" i="5" s="1"/>
  <c r="E77" i="5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H68" i="5"/>
  <c r="F68" i="5"/>
  <c r="G68" i="5" s="1"/>
  <c r="E73" i="7"/>
  <c r="I71" i="7"/>
  <c r="F71" i="7"/>
  <c r="E71" i="6"/>
  <c r="F69" i="6"/>
  <c r="G69" i="6" s="1"/>
  <c r="I69" i="6" s="1"/>
  <c r="H69" i="6"/>
  <c r="E36" i="5"/>
  <c r="F36" i="5" s="1"/>
  <c r="G36" i="5" s="1"/>
  <c r="H42" i="5"/>
  <c r="E8" i="13" s="1"/>
  <c r="E9" i="8" s="1"/>
  <c r="I85" i="6"/>
  <c r="H52" i="6"/>
  <c r="F52" i="6"/>
  <c r="G52" i="6" s="1"/>
  <c r="E58" i="6"/>
  <c r="H58" i="5"/>
  <c r="F9" i="13" s="1"/>
  <c r="F10" i="8" s="1"/>
  <c r="E51" i="5"/>
  <c r="F51" i="5" s="1"/>
  <c r="G51" i="5" s="1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F5" i="13" s="1"/>
  <c r="F6" i="8" s="1"/>
  <c r="E61" i="5"/>
  <c r="F61" i="5" s="1"/>
  <c r="G61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E55" i="5"/>
  <c r="F55" i="5" s="1"/>
  <c r="G55" i="5" s="1"/>
  <c r="H60" i="5"/>
  <c r="F11" i="13" s="1"/>
  <c r="F12" i="8" s="1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69" i="5"/>
  <c r="G69" i="5" s="1"/>
  <c r="H69" i="5"/>
  <c r="I61" i="7"/>
  <c r="F61" i="7"/>
  <c r="E60" i="7"/>
  <c r="F17" i="7"/>
  <c r="I17" i="7"/>
  <c r="E14" i="7"/>
  <c r="I83" i="7"/>
  <c r="E84" i="7"/>
  <c r="F83" i="7"/>
  <c r="H77" i="5"/>
  <c r="E67" i="5"/>
  <c r="F77" i="5"/>
  <c r="G77" i="5" s="1"/>
  <c r="I7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E5" i="13" s="1"/>
  <c r="E6" i="8" s="1"/>
  <c r="F39" i="5"/>
  <c r="G39" i="5" s="1"/>
  <c r="E47" i="5"/>
  <c r="F47" i="5" s="1"/>
  <c r="G47" i="5" s="1"/>
  <c r="E59" i="6"/>
  <c r="H56" i="6"/>
  <c r="F56" i="6"/>
  <c r="G56" i="6" s="1"/>
  <c r="I56" i="6" s="1"/>
  <c r="E60" i="5"/>
  <c r="F60" i="5" s="1"/>
  <c r="G60" i="5" s="1"/>
  <c r="H55" i="5"/>
  <c r="F6" i="13" s="1"/>
  <c r="F7" i="8" s="1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F72" i="5"/>
  <c r="G72" i="5" s="1"/>
  <c r="E75" i="5"/>
  <c r="F76" i="5"/>
  <c r="G76" i="5" s="1"/>
  <c r="E66" i="5"/>
  <c r="H76" i="5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E2" i="13" s="1"/>
  <c r="E3" i="8" s="1"/>
  <c r="E42" i="5"/>
  <c r="F42" i="5" s="1"/>
  <c r="G42" i="5" s="1"/>
  <c r="E57" i="6"/>
  <c r="H51" i="6"/>
  <c r="F51" i="6"/>
  <c r="G51" i="6" s="1"/>
  <c r="I51" i="6" s="1"/>
  <c r="H62" i="5"/>
  <c r="F13" i="13" s="1"/>
  <c r="F14" i="8" s="1"/>
  <c r="E53" i="5"/>
  <c r="F53" i="5" s="1"/>
  <c r="G53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F71" i="5"/>
  <c r="G71" i="5" s="1"/>
  <c r="H71" i="5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E9" i="13" s="1"/>
  <c r="E10" i="8" s="1"/>
  <c r="E37" i="5"/>
  <c r="F37" i="5" s="1"/>
  <c r="G37" i="5" s="1"/>
  <c r="H57" i="6"/>
  <c r="F57" i="6"/>
  <c r="G57" i="6" s="1"/>
  <c r="I57" i="6" s="1"/>
  <c r="E51" i="6"/>
  <c r="H57" i="5"/>
  <c r="F8" i="13" s="1"/>
  <c r="F9" i="8" s="1"/>
  <c r="E52" i="5"/>
  <c r="F52" i="5" s="1"/>
  <c r="G52" i="5" s="1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F74" i="5"/>
  <c r="G74" i="5" s="1"/>
  <c r="I74" i="5" s="1"/>
  <c r="E73" i="5"/>
  <c r="E45" i="5"/>
  <c r="F45" i="5" s="1"/>
  <c r="G45" i="5" s="1"/>
  <c r="H41" i="5"/>
  <c r="E7" i="13" s="1"/>
  <c r="E8" i="8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H66" i="5"/>
  <c r="F66" i="5"/>
  <c r="G66" i="5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E46" i="5"/>
  <c r="F46" i="5" s="1"/>
  <c r="G46" i="5" s="1"/>
  <c r="H38" i="5"/>
  <c r="E4" i="13" s="1"/>
  <c r="E5" i="8" s="1"/>
  <c r="H62" i="6"/>
  <c r="F62" i="6"/>
  <c r="G62" i="6" s="1"/>
  <c r="I62" i="6" s="1"/>
  <c r="E53" i="6"/>
  <c r="H52" i="5"/>
  <c r="F3" i="13" s="1"/>
  <c r="F4" i="8" s="1"/>
  <c r="E57" i="5"/>
  <c r="F57" i="5" s="1"/>
  <c r="G57" i="5" s="1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3" i="5"/>
  <c r="G73" i="5" s="1"/>
  <c r="H73" i="5"/>
  <c r="E62" i="5"/>
  <c r="F62" i="5" s="1"/>
  <c r="G62" i="5" s="1"/>
  <c r="H53" i="5"/>
  <c r="F4" i="13" s="1"/>
  <c r="F5" i="8" s="1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E41" i="5"/>
  <c r="F41" i="5" s="1"/>
  <c r="G41" i="5" s="1"/>
  <c r="H45" i="5"/>
  <c r="E11" i="13" s="1"/>
  <c r="E12" i="8" s="1"/>
  <c r="H55" i="6"/>
  <c r="E60" i="6"/>
  <c r="F55" i="6"/>
  <c r="G55" i="6" s="1"/>
  <c r="H59" i="5"/>
  <c r="F10" i="13" s="1"/>
  <c r="F11" i="8" s="1"/>
  <c r="E56" i="5"/>
  <c r="F56" i="5" s="1"/>
  <c r="G56" i="5" s="1"/>
  <c r="H16" i="5"/>
  <c r="E12" i="5"/>
  <c r="F12" i="5" s="1"/>
  <c r="E24" i="7"/>
  <c r="I22" i="7"/>
  <c r="F22" i="7"/>
  <c r="E43" i="5"/>
  <c r="F43" i="5" s="1"/>
  <c r="G43" i="5" s="1"/>
  <c r="H37" i="5"/>
  <c r="E3" i="13" s="1"/>
  <c r="E4" i="8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F38" i="5" s="1"/>
  <c r="G38" i="5" s="1"/>
  <c r="H46" i="5"/>
  <c r="E12" i="13" s="1"/>
  <c r="E13" i="8" s="1"/>
  <c r="F53" i="6"/>
  <c r="G53" i="6" s="1"/>
  <c r="E62" i="6"/>
  <c r="H53" i="6"/>
  <c r="H61" i="5"/>
  <c r="F12" i="13" s="1"/>
  <c r="F13" i="8" s="1"/>
  <c r="E54" i="5"/>
  <c r="F54" i="5" s="1"/>
  <c r="G54" i="5" s="1"/>
  <c r="E27" i="7"/>
  <c r="F25" i="7"/>
  <c r="I25" i="7"/>
  <c r="I75" i="5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F44" i="5" s="1"/>
  <c r="G44" i="5" s="1"/>
  <c r="H40" i="5"/>
  <c r="E6" i="13" s="1"/>
  <c r="E7" i="8" s="1"/>
  <c r="E52" i="6"/>
  <c r="F58" i="6"/>
  <c r="G58" i="6" s="1"/>
  <c r="I58" i="6" s="1"/>
  <c r="H58" i="6"/>
  <c r="H56" i="5"/>
  <c r="F7" i="13" s="1"/>
  <c r="F8" i="8" s="1"/>
  <c r="E59" i="5"/>
  <c r="F59" i="5" s="1"/>
  <c r="G59" i="5" s="1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E68" i="5"/>
  <c r="F70" i="5"/>
  <c r="G70" i="5" s="1"/>
  <c r="I70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E13" i="13" s="1"/>
  <c r="E14" i="8" s="1"/>
  <c r="H60" i="6"/>
  <c r="F60" i="6"/>
  <c r="G60" i="6" s="1"/>
  <c r="E55" i="6"/>
  <c r="H51" i="5"/>
  <c r="F2" i="13" s="1"/>
  <c r="F3" i="8" s="1"/>
  <c r="E58" i="5"/>
  <c r="F58" i="5" s="1"/>
  <c r="G58" i="5" s="1"/>
  <c r="I23" i="7"/>
  <c r="E21" i="7"/>
  <c r="F23" i="7"/>
  <c r="I55" i="5" l="1"/>
  <c r="I54" i="5"/>
  <c r="I56" i="5"/>
  <c r="I52" i="5"/>
  <c r="I57" i="5"/>
  <c r="I58" i="5"/>
  <c r="I60" i="5"/>
  <c r="I59" i="5"/>
  <c r="I51" i="5"/>
  <c r="I46" i="5"/>
  <c r="I42" i="5"/>
  <c r="I36" i="5"/>
  <c r="I40" i="5"/>
  <c r="I41" i="5"/>
  <c r="I37" i="5"/>
  <c r="I47" i="5"/>
  <c r="I44" i="5"/>
  <c r="I43" i="5"/>
  <c r="I25" i="5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<sst xmlns="http://schemas.openxmlformats.org/spreadsheetml/2006/main" count="3965" uniqueCount="346">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</sst>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4" fillId="0" borderId="0" xfId="0" applyFont="1"/>
    <xf numFmtId="0" fontId="5" fillId="0" borderId="0" xfId="0" applyFont="1"/>
    <xf numFmtId="0" fontId="6" fillId="5" borderId="1" xfId="0" applyFont="1" applyFill="1" applyBorder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B16" sqref="B1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2" t="s">
        <v>0</v>
      </c>
      <c r="B1" s="22"/>
      <c r="C1" s="22"/>
      <c r="D1" s="22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5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3" t="s">
        <v>25</v>
      </c>
      <c r="B1" s="23"/>
      <c r="C1" s="23"/>
      <c r="D1" s="23"/>
      <c r="E1" s="23"/>
      <c r="F1" s="23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3" t="s">
        <v>36</v>
      </c>
      <c r="B56" s="23"/>
      <c r="C56" s="23"/>
      <c r="D56" s="23"/>
      <c r="E56" s="23"/>
      <c r="F56" s="23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3" t="s">
        <v>43</v>
      </c>
      <c r="B111" s="23"/>
      <c r="C111" s="23"/>
      <c r="D111" s="23"/>
      <c r="E111" s="23"/>
      <c r="F111" s="23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opLeftCell="A51" zoomScaleNormal="100" workbookViewId="0">
      <selection activeCell="R79" sqref="R79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4" t="s">
        <v>50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15" customHeight="1" x14ac:dyDescent="0.25">
      <c r="A2" s="25" t="s">
        <v>51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</row>
    <row r="4" spans="1:17" ht="15" customHeight="1" x14ac:dyDescent="0.25">
      <c r="A4" s="26" t="s">
        <v>52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6" t="s">
        <v>90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6" t="s">
        <v>91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>CHI</v>
      </c>
      <c r="F59" s="10" t="s">
        <v>61</v>
      </c>
      <c r="G59" s="10" t="s">
        <v>84</v>
      </c>
      <c r="H59" s="10" t="s">
        <v>84</v>
      </c>
      <c r="I59" s="10"/>
      <c r="J59" s="10" t="s">
        <v>84</v>
      </c>
      <c r="K59" s="10" t="s">
        <v>61</v>
      </c>
      <c r="L59" s="10" t="s">
        <v>84</v>
      </c>
      <c r="M59" s="10" t="s">
        <v>84</v>
      </c>
      <c r="N59" s="10" t="s">
        <v>84</v>
      </c>
      <c r="O59" s="10" t="s">
        <v>84</v>
      </c>
      <c r="P59" s="10" t="s">
        <v>84</v>
      </c>
      <c r="Q59" s="10" t="s">
        <v>84</v>
      </c>
    </row>
    <row r="60" spans="1:17" x14ac:dyDescent="0.25">
      <c r="A60" s="11" t="s">
        <v>63</v>
      </c>
      <c r="B60" s="12" t="s">
        <v>89</v>
      </c>
      <c r="E60" s="13">
        <f>'NFL Schedule'!E57</f>
        <v>34</v>
      </c>
      <c r="F60" s="14">
        <v>44</v>
      </c>
      <c r="G60" s="14">
        <v>40</v>
      </c>
      <c r="H60" s="14">
        <v>48</v>
      </c>
      <c r="I60" s="14"/>
      <c r="J60" s="14">
        <v>45</v>
      </c>
      <c r="K60" s="14">
        <v>43</v>
      </c>
      <c r="L60" s="14">
        <v>42</v>
      </c>
      <c r="M60" s="14">
        <v>43</v>
      </c>
      <c r="N60" s="14">
        <v>41</v>
      </c>
      <c r="O60" s="14">
        <v>42</v>
      </c>
      <c r="P60" s="14">
        <v>53</v>
      </c>
      <c r="Q60" s="14">
        <v>42</v>
      </c>
    </row>
    <row r="61" spans="1:17" ht="15" customHeight="1" x14ac:dyDescent="0.25">
      <c r="A61" s="26" t="s">
        <v>92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>CLE</v>
      </c>
      <c r="F63" s="10" t="s">
        <v>71</v>
      </c>
      <c r="G63" s="10" t="s">
        <v>74</v>
      </c>
      <c r="H63" s="10" t="s">
        <v>71</v>
      </c>
      <c r="I63" s="10" t="s">
        <v>74</v>
      </c>
      <c r="J63" s="10" t="s">
        <v>74</v>
      </c>
      <c r="K63" s="10" t="s">
        <v>74</v>
      </c>
      <c r="L63" s="10" t="s">
        <v>74</v>
      </c>
      <c r="M63" s="10" t="s">
        <v>71</v>
      </c>
      <c r="N63" s="10" t="s">
        <v>71</v>
      </c>
      <c r="O63" s="10" t="s">
        <v>74</v>
      </c>
      <c r="P63" s="10" t="s">
        <v>71</v>
      </c>
      <c r="Q63" s="10" t="s">
        <v>74</v>
      </c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>IND</v>
      </c>
      <c r="F64" s="10" t="s">
        <v>83</v>
      </c>
      <c r="G64" s="10" t="s">
        <v>70</v>
      </c>
      <c r="H64" s="10" t="s">
        <v>70</v>
      </c>
      <c r="I64" s="10" t="s">
        <v>83</v>
      </c>
      <c r="J64" s="10" t="s">
        <v>83</v>
      </c>
      <c r="K64" s="10" t="s">
        <v>83</v>
      </c>
      <c r="L64" s="10" t="s">
        <v>70</v>
      </c>
      <c r="M64" s="10" t="s">
        <v>70</v>
      </c>
      <c r="N64" s="10" t="s">
        <v>83</v>
      </c>
      <c r="O64" s="10" t="s">
        <v>70</v>
      </c>
      <c r="P64" s="10" t="s">
        <v>70</v>
      </c>
      <c r="Q64" s="10" t="s">
        <v>70</v>
      </c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>NE</v>
      </c>
      <c r="F65" s="10" t="s">
        <v>57</v>
      </c>
      <c r="G65" s="10" t="s">
        <v>67</v>
      </c>
      <c r="H65" s="10" t="s">
        <v>67</v>
      </c>
      <c r="I65" s="10" t="s">
        <v>57</v>
      </c>
      <c r="J65" s="10" t="s">
        <v>67</v>
      </c>
      <c r="K65" s="10" t="s">
        <v>57</v>
      </c>
      <c r="L65" s="10" t="s">
        <v>67</v>
      </c>
      <c r="M65" s="10" t="s">
        <v>67</v>
      </c>
      <c r="N65" s="10" t="s">
        <v>67</v>
      </c>
      <c r="O65" s="10" t="s">
        <v>57</v>
      </c>
      <c r="P65" s="10" t="s">
        <v>67</v>
      </c>
      <c r="Q65" s="10" t="s">
        <v>57</v>
      </c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>CHI</v>
      </c>
      <c r="F66" s="10" t="s">
        <v>61</v>
      </c>
      <c r="G66" s="10" t="s">
        <v>61</v>
      </c>
      <c r="H66" s="10" t="s">
        <v>75</v>
      </c>
      <c r="I66" s="10" t="s">
        <v>61</v>
      </c>
      <c r="J66" s="10" t="s">
        <v>61</v>
      </c>
      <c r="K66" s="10" t="s">
        <v>61</v>
      </c>
      <c r="L66" s="10" t="s">
        <v>61</v>
      </c>
      <c r="M66" s="10" t="s">
        <v>61</v>
      </c>
      <c r="N66" s="10" t="s">
        <v>61</v>
      </c>
      <c r="O66" s="10" t="s">
        <v>75</v>
      </c>
      <c r="P66" s="10" t="s">
        <v>61</v>
      </c>
      <c r="Q66" s="10" t="s">
        <v>61</v>
      </c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>JAX</v>
      </c>
      <c r="F67" s="10" t="s">
        <v>72</v>
      </c>
      <c r="G67" s="10" t="s">
        <v>64</v>
      </c>
      <c r="H67" s="10" t="s">
        <v>72</v>
      </c>
      <c r="I67" s="10" t="s">
        <v>72</v>
      </c>
      <c r="J67" s="10" t="s">
        <v>72</v>
      </c>
      <c r="K67" s="10" t="s">
        <v>72</v>
      </c>
      <c r="L67" s="10" t="s">
        <v>72</v>
      </c>
      <c r="M67" s="10" t="s">
        <v>72</v>
      </c>
      <c r="N67" s="10" t="s">
        <v>72</v>
      </c>
      <c r="O67" s="10" t="s">
        <v>72</v>
      </c>
      <c r="P67" s="10" t="s">
        <v>72</v>
      </c>
      <c r="Q67" s="10" t="s">
        <v>72</v>
      </c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>NYG</v>
      </c>
      <c r="F68" s="10" t="s">
        <v>77</v>
      </c>
      <c r="G68" s="10" t="s">
        <v>86</v>
      </c>
      <c r="H68" s="10" t="s">
        <v>77</v>
      </c>
      <c r="I68" s="10" t="s">
        <v>86</v>
      </c>
      <c r="J68" s="10" t="s">
        <v>86</v>
      </c>
      <c r="K68" s="10" t="s">
        <v>86</v>
      </c>
      <c r="L68" s="10" t="s">
        <v>86</v>
      </c>
      <c r="M68" s="10" t="s">
        <v>77</v>
      </c>
      <c r="N68" s="10" t="s">
        <v>86</v>
      </c>
      <c r="O68" s="10" t="s">
        <v>77</v>
      </c>
      <c r="P68" s="10" t="s">
        <v>77</v>
      </c>
      <c r="Q68" s="10" t="s">
        <v>77</v>
      </c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>LAR</v>
      </c>
      <c r="F69" s="10" t="s">
        <v>60</v>
      </c>
      <c r="G69" s="10" t="s">
        <v>84</v>
      </c>
      <c r="H69" s="10" t="s">
        <v>60</v>
      </c>
      <c r="I69" s="10" t="s">
        <v>60</v>
      </c>
      <c r="J69" s="10" t="s">
        <v>84</v>
      </c>
      <c r="K69" s="10" t="s">
        <v>84</v>
      </c>
      <c r="L69" s="10" t="s">
        <v>84</v>
      </c>
      <c r="M69" s="10" t="s">
        <v>60</v>
      </c>
      <c r="N69" s="10" t="s">
        <v>84</v>
      </c>
      <c r="O69" s="10" t="s">
        <v>60</v>
      </c>
      <c r="P69" s="10" t="s">
        <v>60</v>
      </c>
      <c r="Q69" s="10" t="s">
        <v>60</v>
      </c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>TB</v>
      </c>
      <c r="F70" s="10" t="s">
        <v>81</v>
      </c>
      <c r="G70" s="10" t="s">
        <v>63</v>
      </c>
      <c r="H70" s="10" t="s">
        <v>81</v>
      </c>
      <c r="I70" s="10" t="s">
        <v>63</v>
      </c>
      <c r="J70" s="10" t="s">
        <v>81</v>
      </c>
      <c r="K70" s="10" t="s">
        <v>81</v>
      </c>
      <c r="L70" s="10" t="s">
        <v>81</v>
      </c>
      <c r="M70" s="10" t="s">
        <v>81</v>
      </c>
      <c r="N70" s="10" t="s">
        <v>81</v>
      </c>
      <c r="O70" s="10" t="s">
        <v>81</v>
      </c>
      <c r="P70" s="10" t="s">
        <v>63</v>
      </c>
      <c r="Q70" s="10" t="s">
        <v>81</v>
      </c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>TEN</v>
      </c>
      <c r="F71" s="10" t="s">
        <v>69</v>
      </c>
      <c r="G71" s="10" t="s">
        <v>69</v>
      </c>
      <c r="H71" s="10" t="s">
        <v>76</v>
      </c>
      <c r="I71" s="10" t="s">
        <v>76</v>
      </c>
      <c r="J71" s="10" t="s">
        <v>69</v>
      </c>
      <c r="K71" s="10" t="s">
        <v>69</v>
      </c>
      <c r="L71" s="10" t="s">
        <v>69</v>
      </c>
      <c r="M71" s="10" t="s">
        <v>69</v>
      </c>
      <c r="N71" s="10" t="s">
        <v>69</v>
      </c>
      <c r="O71" s="10" t="s">
        <v>76</v>
      </c>
      <c r="P71" s="10" t="s">
        <v>69</v>
      </c>
      <c r="Q71" s="10" t="s">
        <v>69</v>
      </c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>DAL</v>
      </c>
      <c r="F72" s="10" t="s">
        <v>68</v>
      </c>
      <c r="G72" s="10" t="s">
        <v>85</v>
      </c>
      <c r="H72" s="10" t="s">
        <v>85</v>
      </c>
      <c r="I72" s="10" t="s">
        <v>68</v>
      </c>
      <c r="J72" s="10" t="s">
        <v>85</v>
      </c>
      <c r="K72" s="10" t="s">
        <v>68</v>
      </c>
      <c r="L72" s="10" t="s">
        <v>85</v>
      </c>
      <c r="M72" s="10" t="s">
        <v>85</v>
      </c>
      <c r="N72" s="10" t="s">
        <v>85</v>
      </c>
      <c r="O72" s="10" t="s">
        <v>85</v>
      </c>
      <c r="P72" s="10" t="s">
        <v>68</v>
      </c>
      <c r="Q72" s="10" t="s">
        <v>68</v>
      </c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>MIA</v>
      </c>
      <c r="F73" s="10" t="s">
        <v>82</v>
      </c>
      <c r="G73" s="10" t="s">
        <v>82</v>
      </c>
      <c r="H73" s="10" t="s">
        <v>82</v>
      </c>
      <c r="I73" s="10" t="s">
        <v>79</v>
      </c>
      <c r="J73" s="10" t="s">
        <v>82</v>
      </c>
      <c r="K73" s="10" t="s">
        <v>82</v>
      </c>
      <c r="L73" s="10" t="s">
        <v>82</v>
      </c>
      <c r="M73" s="10" t="s">
        <v>82</v>
      </c>
      <c r="N73" s="10" t="s">
        <v>82</v>
      </c>
      <c r="O73" s="10" t="s">
        <v>82</v>
      </c>
      <c r="P73" s="10" t="s">
        <v>82</v>
      </c>
      <c r="Q73" s="10" t="s">
        <v>82</v>
      </c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>LV</v>
      </c>
      <c r="F74" s="10" t="s">
        <v>88</v>
      </c>
      <c r="G74" s="10" t="s">
        <v>88</v>
      </c>
      <c r="H74" s="10" t="s">
        <v>88</v>
      </c>
      <c r="I74" s="10" t="s">
        <v>80</v>
      </c>
      <c r="J74" s="10" t="s">
        <v>88</v>
      </c>
      <c r="K74" s="10" t="s">
        <v>88</v>
      </c>
      <c r="L74" s="10" t="s">
        <v>88</v>
      </c>
      <c r="M74" s="10" t="s">
        <v>88</v>
      </c>
      <c r="N74" s="10" t="s">
        <v>80</v>
      </c>
      <c r="O74" s="10" t="s">
        <v>88</v>
      </c>
      <c r="P74" s="10" t="s">
        <v>88</v>
      </c>
      <c r="Q74" s="10" t="s">
        <v>88</v>
      </c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>SF</v>
      </c>
      <c r="F75" s="10" t="s">
        <v>59</v>
      </c>
      <c r="G75" s="10" t="s">
        <v>59</v>
      </c>
      <c r="H75" s="10" t="s">
        <v>59</v>
      </c>
      <c r="I75" s="10" t="s">
        <v>59</v>
      </c>
      <c r="J75" s="10" t="s">
        <v>59</v>
      </c>
      <c r="K75" s="10" t="s">
        <v>59</v>
      </c>
      <c r="L75" s="10" t="s">
        <v>59</v>
      </c>
      <c r="M75" s="10" t="s">
        <v>59</v>
      </c>
      <c r="N75" s="10" t="s">
        <v>59</v>
      </c>
      <c r="O75" s="10" t="s">
        <v>59</v>
      </c>
      <c r="P75" s="10" t="s">
        <v>59</v>
      </c>
      <c r="Q75" s="10" t="s">
        <v>59</v>
      </c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>LAC</v>
      </c>
      <c r="F76" s="10" t="s">
        <v>58</v>
      </c>
      <c r="G76" s="10" t="s">
        <v>58</v>
      </c>
      <c r="H76" s="10" t="s">
        <v>58</v>
      </c>
      <c r="I76" s="10" t="s">
        <v>78</v>
      </c>
      <c r="J76" s="10" t="s">
        <v>58</v>
      </c>
      <c r="K76" s="10" t="s">
        <v>58</v>
      </c>
      <c r="L76" s="10" t="s">
        <v>58</v>
      </c>
      <c r="M76" s="10" t="s">
        <v>58</v>
      </c>
      <c r="N76" s="10" t="s">
        <v>58</v>
      </c>
      <c r="O76" s="10" t="s">
        <v>58</v>
      </c>
      <c r="P76" s="10" t="s">
        <v>58</v>
      </c>
      <c r="Q76" s="10" t="s">
        <v>58</v>
      </c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>CAR</v>
      </c>
      <c r="F77" s="10" t="s">
        <v>62</v>
      </c>
      <c r="G77" s="10" t="s">
        <v>66</v>
      </c>
      <c r="H77" s="10" t="s">
        <v>62</v>
      </c>
      <c r="I77" s="10" t="s">
        <v>66</v>
      </c>
      <c r="J77" s="10" t="s">
        <v>66</v>
      </c>
      <c r="K77" s="10" t="s">
        <v>62</v>
      </c>
      <c r="L77" s="10" t="s">
        <v>66</v>
      </c>
      <c r="M77" s="10" t="s">
        <v>66</v>
      </c>
      <c r="N77" s="10" t="s">
        <v>66</v>
      </c>
      <c r="O77" s="10" t="s">
        <v>66</v>
      </c>
      <c r="P77" s="10" t="s">
        <v>66</v>
      </c>
      <c r="Q77" s="10" t="s">
        <v>62</v>
      </c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 t="s">
        <v>73</v>
      </c>
      <c r="G78" s="10" t="s">
        <v>73</v>
      </c>
      <c r="H78" s="10" t="s">
        <v>73</v>
      </c>
      <c r="I78" s="10" t="s">
        <v>73</v>
      </c>
      <c r="J78" s="10" t="s">
        <v>73</v>
      </c>
      <c r="K78" s="10" t="s">
        <v>73</v>
      </c>
      <c r="L78" s="10" t="s">
        <v>65</v>
      </c>
      <c r="M78" s="10" t="s">
        <v>73</v>
      </c>
      <c r="N78" s="10" t="s">
        <v>73</v>
      </c>
      <c r="O78" s="10" t="s">
        <v>65</v>
      </c>
      <c r="P78" s="10" t="s">
        <v>65</v>
      </c>
      <c r="Q78" s="10" t="s">
        <v>65</v>
      </c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>
        <v>45</v>
      </c>
      <c r="G79" s="14">
        <v>45</v>
      </c>
      <c r="H79" s="14">
        <v>51</v>
      </c>
      <c r="I79" s="14">
        <v>40</v>
      </c>
      <c r="J79" s="14">
        <v>32</v>
      </c>
      <c r="K79" s="14">
        <v>42</v>
      </c>
      <c r="L79" s="14">
        <v>42</v>
      </c>
      <c r="M79" s="14">
        <v>45</v>
      </c>
      <c r="N79" s="14">
        <v>49</v>
      </c>
      <c r="O79" s="14">
        <v>42</v>
      </c>
      <c r="P79" s="14">
        <v>41</v>
      </c>
      <c r="Q79" s="14">
        <v>44</v>
      </c>
    </row>
    <row r="80" spans="1:17" ht="15" customHeight="1" x14ac:dyDescent="0.25">
      <c r="A80" s="26" t="s">
        <v>93</v>
      </c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6" t="s">
        <v>94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6" t="s">
        <v>95</v>
      </c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6" t="s">
        <v>96</v>
      </c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6" t="s">
        <v>97</v>
      </c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6" t="s">
        <v>98</v>
      </c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6" t="s">
        <v>99</v>
      </c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6" t="s">
        <v>100</v>
      </c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6" t="s">
        <v>101</v>
      </c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6" t="s">
        <v>102</v>
      </c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6" t="s">
        <v>103</v>
      </c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6" t="s">
        <v>104</v>
      </c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6" t="s">
        <v>105</v>
      </c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6" t="s">
        <v>106</v>
      </c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236:Q236"/>
    <mergeCell ref="A254:Q254"/>
    <mergeCell ref="A273:Q273"/>
    <mergeCell ref="A292:Q292"/>
    <mergeCell ref="A311:Q311"/>
    <mergeCell ref="A149:Q149"/>
    <mergeCell ref="A167:Q167"/>
    <mergeCell ref="A184:Q184"/>
    <mergeCell ref="A200:Q200"/>
    <mergeCell ref="A219:Q219"/>
    <mergeCell ref="A61:Q61"/>
    <mergeCell ref="A80:Q80"/>
    <mergeCell ref="A98:Q98"/>
    <mergeCell ref="A115:Q115"/>
    <mergeCell ref="A132:Q132"/>
    <mergeCell ref="A1:Q1"/>
    <mergeCell ref="A2:Q2"/>
    <mergeCell ref="A4:Q4"/>
    <mergeCell ref="A23:Q23"/>
    <mergeCell ref="A42:Q42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49" zoomScaleNormal="100" workbookViewId="0">
      <selection activeCell="E75" sqref="E75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5" t="s">
        <v>89</v>
      </c>
      <c r="E38" s="16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15" t="s">
        <v>89</v>
      </c>
      <c r="E57" s="16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E60">
        <v>24</v>
      </c>
      <c r="F60" t="s">
        <v>71</v>
      </c>
      <c r="G60">
        <v>27</v>
      </c>
      <c r="H60">
        <v>-2.5</v>
      </c>
      <c r="I60" t="str">
        <f t="shared" ref="I60:I75" si="6">IF(OR(E60="",G60=""),"",IF(E60&gt;G60,D60,IF(G60&gt;E60,F60,"TIE")))</f>
        <v>CLE</v>
      </c>
      <c r="J60" t="str">
        <f t="shared" ref="J60:J75" si="7">IF(OR(E60="",G60="",H60=""),"",IF(E60+H60&gt;G60,D60,IF(E60+H60&lt;G60,F60,"PUSH")))</f>
        <v>CLE</v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E61">
        <v>30</v>
      </c>
      <c r="F61" t="s">
        <v>83</v>
      </c>
      <c r="G61">
        <v>13</v>
      </c>
      <c r="H61">
        <v>-3.5</v>
      </c>
      <c r="I61" t="str">
        <f t="shared" si="6"/>
        <v>IND</v>
      </c>
      <c r="J61" t="str">
        <f t="shared" si="7"/>
        <v>IND</v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E62">
        <v>29</v>
      </c>
      <c r="F62" t="s">
        <v>67</v>
      </c>
      <c r="G62">
        <v>26</v>
      </c>
      <c r="H62">
        <v>6.5</v>
      </c>
      <c r="I62" t="str">
        <f t="shared" si="6"/>
        <v>NE</v>
      </c>
      <c r="J62" t="str">
        <f t="shared" si="7"/>
        <v>NE</v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E63">
        <v>12</v>
      </c>
      <c r="F63" t="s">
        <v>61</v>
      </c>
      <c r="G63">
        <v>23</v>
      </c>
      <c r="H63">
        <v>3.5</v>
      </c>
      <c r="I63" t="str">
        <f t="shared" si="6"/>
        <v>CHI</v>
      </c>
      <c r="J63" t="str">
        <f t="shared" si="7"/>
        <v>CHI</v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E64">
        <v>22</v>
      </c>
      <c r="F64" t="s">
        <v>64</v>
      </c>
      <c r="G64">
        <v>17</v>
      </c>
      <c r="H64">
        <v>2.5</v>
      </c>
      <c r="I64" t="str">
        <f t="shared" si="6"/>
        <v>JAX</v>
      </c>
      <c r="J64" t="str">
        <f t="shared" si="7"/>
        <v>JAX</v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E65">
        <v>24</v>
      </c>
      <c r="F65" t="s">
        <v>86</v>
      </c>
      <c r="G65">
        <v>36</v>
      </c>
      <c r="H65">
        <v>-0.5</v>
      </c>
      <c r="I65" t="str">
        <f t="shared" si="6"/>
        <v>NYG</v>
      </c>
      <c r="J65" t="str">
        <f t="shared" si="7"/>
        <v>NYG</v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E66">
        <v>24</v>
      </c>
      <c r="F66" t="s">
        <v>84</v>
      </c>
      <c r="G66">
        <v>20</v>
      </c>
      <c r="H66">
        <v>-2.5</v>
      </c>
      <c r="I66" t="str">
        <f t="shared" si="6"/>
        <v>LAR</v>
      </c>
      <c r="J66" t="str">
        <f t="shared" si="7"/>
        <v>LAR</v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E67">
        <v>17</v>
      </c>
      <c r="F67" t="s">
        <v>63</v>
      </c>
      <c r="G67">
        <v>14</v>
      </c>
      <c r="H67">
        <v>-3.5</v>
      </c>
      <c r="I67" t="str">
        <f t="shared" si="6"/>
        <v>GB</v>
      </c>
      <c r="J67" t="str">
        <f t="shared" si="7"/>
        <v>TB</v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E68">
        <v>18</v>
      </c>
      <c r="F68" t="s">
        <v>69</v>
      </c>
      <c r="G68">
        <v>24</v>
      </c>
      <c r="H68">
        <v>11.5</v>
      </c>
      <c r="I68" t="str">
        <f t="shared" si="6"/>
        <v>BAL</v>
      </c>
      <c r="J68" t="str">
        <f t="shared" si="7"/>
        <v>TEN</v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E69">
        <v>34</v>
      </c>
      <c r="F69" t="s">
        <v>68</v>
      </c>
      <c r="G69">
        <v>30</v>
      </c>
      <c r="H69">
        <v>-2.5</v>
      </c>
      <c r="I69" t="str">
        <f t="shared" si="6"/>
        <v>DAL</v>
      </c>
      <c r="J69" t="str">
        <f t="shared" si="7"/>
        <v>DAL</v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E70">
        <v>10</v>
      </c>
      <c r="F70" t="s">
        <v>82</v>
      </c>
      <c r="G70">
        <v>15</v>
      </c>
      <c r="H70">
        <v>11.5</v>
      </c>
      <c r="I70" t="str">
        <f t="shared" si="6"/>
        <v>MIN</v>
      </c>
      <c r="J70" t="str">
        <f t="shared" si="7"/>
        <v>MIA</v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E71">
        <v>30</v>
      </c>
      <c r="F71" t="s">
        <v>80</v>
      </c>
      <c r="G71">
        <v>27</v>
      </c>
      <c r="H71">
        <v>-4.5</v>
      </c>
      <c r="I71" t="str">
        <f t="shared" si="6"/>
        <v>KC</v>
      </c>
      <c r="J71" t="str">
        <f t="shared" si="7"/>
        <v>LV</v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E72">
        <v>14</v>
      </c>
      <c r="F72" t="s">
        <v>59</v>
      </c>
      <c r="G72">
        <v>24</v>
      </c>
      <c r="H72">
        <v>2.5</v>
      </c>
      <c r="I72" t="str">
        <f t="shared" si="6"/>
        <v>SF</v>
      </c>
      <c r="J72" t="str">
        <f t="shared" si="7"/>
        <v>SF</v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E73">
        <v>23</v>
      </c>
      <c r="F73" t="s">
        <v>58</v>
      </c>
      <c r="G73">
        <v>30</v>
      </c>
      <c r="H73">
        <v>7.5</v>
      </c>
      <c r="I73" t="str">
        <f t="shared" si="6"/>
        <v>SEA</v>
      </c>
      <c r="J73" t="str">
        <f t="shared" si="7"/>
        <v>LAC</v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E74">
        <v>26</v>
      </c>
      <c r="F74" t="s">
        <v>62</v>
      </c>
      <c r="G74">
        <v>32</v>
      </c>
      <c r="H74">
        <v>-3.5</v>
      </c>
      <c r="I74" t="str">
        <f t="shared" si="6"/>
        <v>CAR</v>
      </c>
      <c r="J74" t="str">
        <f t="shared" si="7"/>
        <v>CAR</v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39" zoomScaleNormal="100" workbookViewId="0">
      <selection activeCell="D55" sqref="D55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187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7</v>
      </c>
      <c r="D51">
        <v>8</v>
      </c>
      <c r="E51">
        <f>IFERROR(INDEX(C$51:C$62,MATCH(8,A$51:A$62,0)),0)</f>
        <v>7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T</v>
      </c>
      <c r="G51">
        <f t="shared" ref="G51:G62" si="9">IF(F51="W",6,IF(F51="T",3,0))</f>
        <v>3</v>
      </c>
      <c r="H51">
        <f t="shared" ref="H51:H62" si="10">IF(C51="",0,C51)</f>
        <v>7</v>
      </c>
      <c r="I51">
        <f t="shared" ref="I51:I62" si="11">G51+H51</f>
        <v>10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6</v>
      </c>
      <c r="D52">
        <v>7</v>
      </c>
      <c r="E52">
        <f>IFERROR(INDEX(C$51:C$62,MATCH(7,A$51:A$62,0)),0)</f>
        <v>6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T</v>
      </c>
      <c r="G52">
        <f t="shared" si="9"/>
        <v>3</v>
      </c>
      <c r="H52">
        <f t="shared" si="10"/>
        <v>6</v>
      </c>
      <c r="I52">
        <f t="shared" si="11"/>
        <v>9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8</v>
      </c>
      <c r="D53">
        <v>12</v>
      </c>
      <c r="E53">
        <f>IFERROR(INDEX(C$51:C$62,MATCH(12,A$51:A$62,0)),0)</f>
        <v>7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W</v>
      </c>
      <c r="G53">
        <f t="shared" si="9"/>
        <v>6</v>
      </c>
      <c r="H53">
        <f t="shared" si="10"/>
        <v>8</v>
      </c>
      <c r="I53">
        <f t="shared" si="11"/>
        <v>14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11</v>
      </c>
      <c r="D54">
        <v>11</v>
      </c>
      <c r="E54">
        <f>IFERROR(INDEX(C$51:C$62,MATCH(11,A$51:A$62,0)),0)</f>
        <v>7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W</v>
      </c>
      <c r="G54">
        <f t="shared" si="9"/>
        <v>6</v>
      </c>
      <c r="H54">
        <f t="shared" si="10"/>
        <v>11</v>
      </c>
      <c r="I54">
        <f t="shared" si="11"/>
        <v>17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5</v>
      </c>
      <c r="D55">
        <v>10</v>
      </c>
      <c r="E55">
        <f>IFERROR(INDEX(C$51:C$62,MATCH(10,A$51:A$62,0)),0)</f>
        <v>7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L</v>
      </c>
      <c r="G55">
        <f t="shared" si="9"/>
        <v>0</v>
      </c>
      <c r="H55">
        <f t="shared" si="10"/>
        <v>5</v>
      </c>
      <c r="I55">
        <f t="shared" si="11"/>
        <v>5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6</v>
      </c>
      <c r="D56">
        <v>9</v>
      </c>
      <c r="E56">
        <f>IFERROR(INDEX(C$51:C$62,MATCH(9,A$51:A$62,0)),0)</f>
        <v>7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L</v>
      </c>
      <c r="G56">
        <f t="shared" si="9"/>
        <v>0</v>
      </c>
      <c r="H56">
        <f t="shared" si="10"/>
        <v>6</v>
      </c>
      <c r="I56">
        <f t="shared" si="11"/>
        <v>6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6</v>
      </c>
      <c r="D57">
        <v>2</v>
      </c>
      <c r="E57">
        <f>IFERROR(INDEX(C$51:C$62,MATCH(2,A$51:A$62,0)),0)</f>
        <v>6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T</v>
      </c>
      <c r="G57">
        <f t="shared" si="9"/>
        <v>3</v>
      </c>
      <c r="H57">
        <f t="shared" si="10"/>
        <v>6</v>
      </c>
      <c r="I57">
        <f t="shared" si="11"/>
        <v>9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7</v>
      </c>
      <c r="D58">
        <v>1</v>
      </c>
      <c r="E58">
        <f>IFERROR(INDEX(C$51:C$62,MATCH(1,A$51:A$62,0)),0)</f>
        <v>7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T</v>
      </c>
      <c r="G58">
        <f t="shared" si="9"/>
        <v>3</v>
      </c>
      <c r="H58">
        <f t="shared" si="10"/>
        <v>7</v>
      </c>
      <c r="I58">
        <f t="shared" si="11"/>
        <v>10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7</v>
      </c>
      <c r="D59">
        <v>6</v>
      </c>
      <c r="E59">
        <f>IFERROR(INDEX(C$51:C$62,MATCH(6,A$51:A$62,0)),0)</f>
        <v>6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W</v>
      </c>
      <c r="G59">
        <f t="shared" si="9"/>
        <v>6</v>
      </c>
      <c r="H59">
        <f t="shared" si="10"/>
        <v>7</v>
      </c>
      <c r="I59">
        <f t="shared" si="11"/>
        <v>13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7</v>
      </c>
      <c r="D60">
        <v>5</v>
      </c>
      <c r="E60">
        <f>IFERROR(INDEX(C$51:C$62,MATCH(5,A$51:A$62,0)),0)</f>
        <v>5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W</v>
      </c>
      <c r="G60">
        <f t="shared" si="9"/>
        <v>6</v>
      </c>
      <c r="H60">
        <f t="shared" si="10"/>
        <v>7</v>
      </c>
      <c r="I60">
        <f t="shared" si="11"/>
        <v>13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7</v>
      </c>
      <c r="D61">
        <v>4</v>
      </c>
      <c r="E61">
        <f>IFERROR(INDEX(C$51:C$62,MATCH(4,A$51:A$62,0)),0)</f>
        <v>11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L</v>
      </c>
      <c r="G61">
        <f t="shared" si="9"/>
        <v>0</v>
      </c>
      <c r="H61">
        <f t="shared" si="10"/>
        <v>7</v>
      </c>
      <c r="I61">
        <f t="shared" si="11"/>
        <v>7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7</v>
      </c>
      <c r="D62">
        <v>3</v>
      </c>
      <c r="E62">
        <f>IFERROR(INDEX(C$51:C$62,MATCH(3,A$51:A$62,0)),0)</f>
        <v>8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L</v>
      </c>
      <c r="G62">
        <f t="shared" si="9"/>
        <v>0</v>
      </c>
      <c r="H62">
        <f t="shared" si="10"/>
        <v>7</v>
      </c>
      <c r="I62">
        <f t="shared" si="11"/>
        <v>7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-</v>
      </c>
      <c r="G66">
        <f t="shared" ref="G66:G77" si="12">IF(F66="W",6,IF(F66="T",3,0))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196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200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3" t="s">
        <v>205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18</v>
      </c>
      <c r="F3">
        <f>Helper!F2</f>
        <v>10</v>
      </c>
      <c r="G3">
        <f>Helper!G2</f>
        <v>0</v>
      </c>
      <c r="H3">
        <f>Helper!H2</f>
        <v>0</v>
      </c>
      <c r="I3">
        <f>Helper!I2</f>
        <v>47</v>
      </c>
      <c r="J3">
        <f>Helper!J2</f>
        <v>2</v>
      </c>
      <c r="K3">
        <f>MAX(Helper!C2:H2)</f>
        <v>18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14</v>
      </c>
      <c r="F4">
        <f>Helper!F3</f>
        <v>9</v>
      </c>
      <c r="G4">
        <f>Helper!G3</f>
        <v>0</v>
      </c>
      <c r="H4">
        <f>Helper!H3</f>
        <v>0</v>
      </c>
      <c r="I4">
        <f>Helper!I3</f>
        <v>44</v>
      </c>
      <c r="J4">
        <f>Helper!J3</f>
        <v>2</v>
      </c>
      <c r="K4">
        <f>MAX(Helper!C3:H3)</f>
        <v>14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14</v>
      </c>
      <c r="F5">
        <f>Helper!F4</f>
        <v>14</v>
      </c>
      <c r="G5">
        <f>Helper!G4</f>
        <v>0</v>
      </c>
      <c r="H5">
        <f>Helper!H4</f>
        <v>0</v>
      </c>
      <c r="I5">
        <f>Helper!I4</f>
        <v>48</v>
      </c>
      <c r="J5">
        <f>Helper!J4</f>
        <v>3</v>
      </c>
      <c r="K5">
        <f>MAX(Helper!C4:H4)</f>
        <v>14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17</v>
      </c>
      <c r="G6">
        <f>Helper!G5</f>
        <v>0</v>
      </c>
      <c r="H6">
        <f>Helper!H5</f>
        <v>0</v>
      </c>
      <c r="I6">
        <f>Helper!I5</f>
        <v>37</v>
      </c>
      <c r="J6">
        <f>Helper!J5</f>
        <v>2</v>
      </c>
      <c r="K6">
        <f>MAX(Helper!C5:H5)</f>
        <v>17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15</v>
      </c>
      <c r="F7">
        <f>Helper!F6</f>
        <v>5</v>
      </c>
      <c r="G7">
        <f>Helper!G6</f>
        <v>0</v>
      </c>
      <c r="H7">
        <f>Helper!H6</f>
        <v>0</v>
      </c>
      <c r="I7">
        <f>Helper!I6</f>
        <v>42</v>
      </c>
      <c r="J7">
        <f>Helper!J6</f>
        <v>2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13</v>
      </c>
      <c r="F8">
        <f>Helper!F7</f>
        <v>6</v>
      </c>
      <c r="G8">
        <f>Helper!G7</f>
        <v>0</v>
      </c>
      <c r="H8">
        <f>Helper!H7</f>
        <v>0</v>
      </c>
      <c r="I8">
        <f>Helper!I7</f>
        <v>39</v>
      </c>
      <c r="J8">
        <f>Helper!J7</f>
        <v>2</v>
      </c>
      <c r="K8">
        <f>MAX(Helper!C7:H7)</f>
        <v>13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9</v>
      </c>
      <c r="G9">
        <f>Helper!G8</f>
        <v>0</v>
      </c>
      <c r="H9">
        <f>Helper!H8</f>
        <v>0</v>
      </c>
      <c r="I9">
        <f>Helper!I8</f>
        <v>36</v>
      </c>
      <c r="J9">
        <f>Helper!J8</f>
        <v>1</v>
      </c>
      <c r="K9">
        <f>MAX(Helper!C8:H8)</f>
        <v>12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10</v>
      </c>
      <c r="G10">
        <f>Helper!G9</f>
        <v>0</v>
      </c>
      <c r="H10">
        <f>Helper!H9</f>
        <v>0</v>
      </c>
      <c r="I10">
        <f>Helper!I9</f>
        <v>29</v>
      </c>
      <c r="J10">
        <f>Helper!J9</f>
        <v>0</v>
      </c>
      <c r="K10">
        <f>MAX(Helper!C9:H9)</f>
        <v>10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13</v>
      </c>
      <c r="G11">
        <f>Helper!G10</f>
        <v>0</v>
      </c>
      <c r="H11">
        <f>Helper!H10</f>
        <v>0</v>
      </c>
      <c r="I11">
        <f>Helper!I10</f>
        <v>36</v>
      </c>
      <c r="J11">
        <f>Helper!J10</f>
        <v>1</v>
      </c>
      <c r="K11">
        <f>MAX(Helper!C10:H10)</f>
        <v>13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13</v>
      </c>
      <c r="G12">
        <f>Helper!G11</f>
        <v>0</v>
      </c>
      <c r="H12">
        <f>Helper!H11</f>
        <v>0</v>
      </c>
      <c r="I12">
        <f>Helper!I11</f>
        <v>49</v>
      </c>
      <c r="J12">
        <f>Helper!J11</f>
        <v>3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7</v>
      </c>
      <c r="G13">
        <f>Helper!G12</f>
        <v>0</v>
      </c>
      <c r="H13">
        <f>Helper!H12</f>
        <v>0</v>
      </c>
      <c r="I13">
        <f>Helper!I12</f>
        <v>43</v>
      </c>
      <c r="J13">
        <f>Helper!J12</f>
        <v>2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12</v>
      </c>
      <c r="F14">
        <f>Helper!F13</f>
        <v>7</v>
      </c>
      <c r="G14">
        <f>Helper!G13</f>
        <v>0</v>
      </c>
      <c r="H14">
        <f>Helper!H13</f>
        <v>0</v>
      </c>
      <c r="I14">
        <f>Helper!I13</f>
        <v>38</v>
      </c>
      <c r="J14">
        <f>Helper!J13</f>
        <v>2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47</v>
      </c>
      <c r="D57">
        <f>Helper!R2</f>
        <v>0</v>
      </c>
      <c r="E57">
        <f>Helper!AC2</f>
        <v>0</v>
      </c>
      <c r="F57">
        <f>Helper!AE2</f>
        <v>47</v>
      </c>
      <c r="G57">
        <f>Helper!K2</f>
        <v>47.000100000000003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44</v>
      </c>
      <c r="D58">
        <f>Helper!R3</f>
        <v>0</v>
      </c>
      <c r="E58">
        <f>Helper!AC3</f>
        <v>0</v>
      </c>
      <c r="F58">
        <f>Helper!AE3</f>
        <v>44</v>
      </c>
      <c r="G58">
        <f>Helper!K3</f>
        <v>44.0002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48</v>
      </c>
      <c r="D59">
        <f>Helper!R4</f>
        <v>0</v>
      </c>
      <c r="E59">
        <f>Helper!AC4</f>
        <v>0</v>
      </c>
      <c r="F59">
        <f>Helper!AE4</f>
        <v>48</v>
      </c>
      <c r="G59">
        <f>Helper!K4</f>
        <v>48.000300000000003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37</v>
      </c>
      <c r="D60">
        <f>Helper!R5</f>
        <v>0</v>
      </c>
      <c r="E60">
        <f>Helper!AC5</f>
        <v>0</v>
      </c>
      <c r="F60">
        <f>Helper!AE5</f>
        <v>37</v>
      </c>
      <c r="G60">
        <f>Helper!K5</f>
        <v>37.000399999999999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42</v>
      </c>
      <c r="D61">
        <f>Helper!R6</f>
        <v>0</v>
      </c>
      <c r="E61">
        <f>Helper!AC6</f>
        <v>0</v>
      </c>
      <c r="F61">
        <f>Helper!AE6</f>
        <v>42</v>
      </c>
      <c r="G61">
        <f>Helper!K6</f>
        <v>42.000500000000002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39</v>
      </c>
      <c r="D62">
        <f>Helper!R7</f>
        <v>0</v>
      </c>
      <c r="E62">
        <f>Helper!AC7</f>
        <v>0</v>
      </c>
      <c r="F62">
        <f>Helper!AE7</f>
        <v>39</v>
      </c>
      <c r="G62">
        <f>Helper!K7</f>
        <v>39.000599999999999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36</v>
      </c>
      <c r="D63">
        <f>Helper!R8</f>
        <v>0</v>
      </c>
      <c r="E63">
        <f>Helper!AC8</f>
        <v>0</v>
      </c>
      <c r="F63">
        <f>Helper!AE8</f>
        <v>36</v>
      </c>
      <c r="G63">
        <f>Helper!K8</f>
        <v>36.000700000000002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29</v>
      </c>
      <c r="D64">
        <f>Helper!R9</f>
        <v>0</v>
      </c>
      <c r="E64">
        <f>Helper!AC9</f>
        <v>0</v>
      </c>
      <c r="F64">
        <f>Helper!AE9</f>
        <v>29</v>
      </c>
      <c r="G64">
        <f>Helper!K9</f>
        <v>29.000800000000002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36</v>
      </c>
      <c r="D65">
        <f>Helper!R10</f>
        <v>0</v>
      </c>
      <c r="E65">
        <f>Helper!AC10</f>
        <v>0</v>
      </c>
      <c r="F65">
        <f>Helper!AE10</f>
        <v>36</v>
      </c>
      <c r="G65">
        <f>Helper!K10</f>
        <v>36.000900000000001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49</v>
      </c>
      <c r="D66">
        <f>Helper!R11</f>
        <v>0</v>
      </c>
      <c r="E66">
        <f>Helper!AC11</f>
        <v>0</v>
      </c>
      <c r="F66">
        <f>Helper!AE11</f>
        <v>49</v>
      </c>
      <c r="G66">
        <f>Helper!K11</f>
        <v>49.000999999999998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43</v>
      </c>
      <c r="D67">
        <f>Helper!R12</f>
        <v>0</v>
      </c>
      <c r="E67">
        <f>Helper!AC12</f>
        <v>0</v>
      </c>
      <c r="F67">
        <f>Helper!AE12</f>
        <v>43</v>
      </c>
      <c r="G67">
        <f>Helper!K12</f>
        <v>43.001100000000001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38</v>
      </c>
      <c r="D68">
        <f>Helper!R13</f>
        <v>0</v>
      </c>
      <c r="E68">
        <f>Helper!AC13</f>
        <v>0</v>
      </c>
      <c r="F68">
        <f>Helper!AE13</f>
        <v>38</v>
      </c>
      <c r="G68">
        <f>Helper!K13</f>
        <v>38.001199999999997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Jack Smith</v>
      </c>
      <c r="C13">
        <f>INDEX(I$40:I$51,MATCH(MAX(K$40:K$51),K$40:K$51,0))</f>
        <v>48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Jack Smith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47</v>
      </c>
      <c r="J40" t="b">
        <f t="shared" ref="J40:J51" si="1">OR(H40=$E$5,H40=$E$6,H40=$E$7,H40=$E$8,H40=$E$9)</f>
        <v>0</v>
      </c>
      <c r="K40">
        <f>IF(J40,-1,I40+0.00001)</f>
        <v>47.000010000000003</v>
      </c>
    </row>
    <row r="41" spans="1:11" ht="15" customHeight="1" x14ac:dyDescent="0.25">
      <c r="H41" t="str">
        <f>Roster!B4</f>
        <v>Chris Simmons</v>
      </c>
      <c r="I41">
        <f>Helper!AE3</f>
        <v>44</v>
      </c>
      <c r="J41" t="b">
        <f t="shared" si="1"/>
        <v>0</v>
      </c>
      <c r="K41">
        <f>IF(J41,-1,I41+0.00002)</f>
        <v>44.000019999999999</v>
      </c>
    </row>
    <row r="42" spans="1:11" ht="15" customHeight="1" x14ac:dyDescent="0.25">
      <c r="H42" t="str">
        <f>Roster!B5</f>
        <v>Jack Smith</v>
      </c>
      <c r="I42">
        <f>Helper!AE4</f>
        <v>48</v>
      </c>
      <c r="J42" t="b">
        <f t="shared" si="1"/>
        <v>0</v>
      </c>
      <c r="K42">
        <f>IF(J42,-1,I42+0.00003)</f>
        <v>48.000030000000002</v>
      </c>
    </row>
    <row r="43" spans="1:11" ht="15" customHeight="1" x14ac:dyDescent="0.25">
      <c r="H43" t="str">
        <f>Roster!B6</f>
        <v>Luke Ussery</v>
      </c>
      <c r="I43">
        <f>Helper!AE5</f>
        <v>37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42</v>
      </c>
      <c r="J44" t="b">
        <f t="shared" si="1"/>
        <v>0</v>
      </c>
      <c r="K44">
        <f>IF(J44,-1,I44+0.00005)</f>
        <v>42.000050000000002</v>
      </c>
    </row>
    <row r="45" spans="1:11" ht="15" customHeight="1" x14ac:dyDescent="0.25">
      <c r="H45" t="str">
        <f>Roster!B8</f>
        <v>Alan Loeser</v>
      </c>
      <c r="I45">
        <f>Helper!AE7</f>
        <v>39</v>
      </c>
      <c r="J45" t="b">
        <f t="shared" si="1"/>
        <v>0</v>
      </c>
      <c r="K45">
        <f>IF(J45,-1,I45+0.00006)</f>
        <v>39.000059999999998</v>
      </c>
    </row>
    <row r="46" spans="1:11" ht="15" customHeight="1" x14ac:dyDescent="0.25">
      <c r="H46" t="str">
        <f>Roster!B9</f>
        <v>Caleb Simmons</v>
      </c>
      <c r="I46">
        <f>Helper!AE8</f>
        <v>36</v>
      </c>
      <c r="J46" t="b">
        <f t="shared" si="1"/>
        <v>0</v>
      </c>
      <c r="K46">
        <f>IF(J46,-1,I46+0.00007)</f>
        <v>36.000070000000001</v>
      </c>
    </row>
    <row r="47" spans="1:11" ht="15" customHeight="1" x14ac:dyDescent="0.25">
      <c r="H47" t="str">
        <f>Roster!B10</f>
        <v>Larry Loeser</v>
      </c>
      <c r="I47">
        <f>Helper!AE9</f>
        <v>29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36</v>
      </c>
      <c r="J48" t="b">
        <f t="shared" si="1"/>
        <v>0</v>
      </c>
      <c r="K48">
        <f>IF(J48,-1,I48+0.00009)</f>
        <v>36.00009</v>
      </c>
    </row>
    <row r="49" spans="8:11" ht="15" customHeight="1" x14ac:dyDescent="0.25">
      <c r="H49" t="str">
        <f>Roster!B12</f>
        <v>Zach Zarra</v>
      </c>
      <c r="I49">
        <f>Helper!AE11</f>
        <v>49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43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38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Jack Smith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Jack Smith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Zach Zarra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tabSelected="1" zoomScaleNormal="100" workbookViewId="0">
      <selection activeCell="M8" sqref="M8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18</v>
      </c>
      <c r="F2">
        <f>IF(Roster!$B$16&gt;=4,'Wk 1-6 Input'!H51,0)+IF(Roster!$B$16&gt;4,'Wk 1-6 Input'!G51,0)</f>
        <v>10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47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2</v>
      </c>
      <c r="K2">
        <f>I2+0.0001</f>
        <v>47.000100000000003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47</v>
      </c>
      <c r="AF2">
        <f>AE2+0.0001</f>
        <v>47.000100000000003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14</v>
      </c>
      <c r="F3">
        <f>IF(Roster!$B$16&gt;=4,'Wk 1-6 Input'!H52,0)+IF(Roster!$B$16&gt;4,'Wk 1-6 Input'!G52,0)</f>
        <v>9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44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2</v>
      </c>
      <c r="K3">
        <f>I3+0.0002</f>
        <v>44.0002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44</v>
      </c>
      <c r="AF3">
        <f>AE3+0.0002</f>
        <v>44.0002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14</v>
      </c>
      <c r="F4">
        <f>IF(Roster!$B$16&gt;=4,'Wk 1-6 Input'!H53,0)+IF(Roster!$B$16&gt;4,'Wk 1-6 Input'!G53,0)</f>
        <v>14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48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3</v>
      </c>
      <c r="K4">
        <f>I4+0.0003</f>
        <v>48.000300000000003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48</v>
      </c>
      <c r="AF4">
        <f>AE4+0.0003</f>
        <v>48.000300000000003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17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37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2</v>
      </c>
      <c r="K5">
        <f>I5+0.0004</f>
        <v>37.000399999999999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37</v>
      </c>
      <c r="AF5">
        <f>AE5+0.0004</f>
        <v>37.000399999999999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15</v>
      </c>
      <c r="F6">
        <f>IF(Roster!$B$16&gt;=4,'Wk 1-6 Input'!H55,0)+IF(Roster!$B$16&gt;4,'Wk 1-6 Input'!G55,0)</f>
        <v>5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42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2</v>
      </c>
      <c r="K6">
        <f>I6+0.0005</f>
        <v>42.000500000000002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42</v>
      </c>
      <c r="AF6">
        <f>AE6+0.0005</f>
        <v>42.000500000000002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13</v>
      </c>
      <c r="F7">
        <f>IF(Roster!$B$16&gt;=4,'Wk 1-6 Input'!H56,0)+IF(Roster!$B$16&gt;4,'Wk 1-6 Input'!G56,0)</f>
        <v>6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39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2</v>
      </c>
      <c r="K7">
        <f>I7+0.0006</f>
        <v>39.000599999999999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39</v>
      </c>
      <c r="AF7">
        <f>AE7+0.0006</f>
        <v>39.000599999999999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9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36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1</v>
      </c>
      <c r="K8">
        <f>I8+0.0007</f>
        <v>36.000700000000002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36</v>
      </c>
      <c r="AF8">
        <f>AE8+0.0007</f>
        <v>36.000700000000002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10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29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29.000800000000002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29</v>
      </c>
      <c r="AF9">
        <f>AE9+0.0008</f>
        <v>29.000800000000002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13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36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1</v>
      </c>
      <c r="K10">
        <f>I10+0.0009</f>
        <v>36.000900000000001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36</v>
      </c>
      <c r="AF10">
        <f>AE10+0.0009</f>
        <v>36.000900000000001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13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49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3</v>
      </c>
      <c r="K11">
        <f>I11+0.001</f>
        <v>49.000999999999998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49</v>
      </c>
      <c r="AF11">
        <f>AE11+0.001</f>
        <v>49.000999999999998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7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43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2</v>
      </c>
      <c r="K12">
        <f>I12+0.0011</f>
        <v>43.001100000000001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43</v>
      </c>
      <c r="AF12">
        <f>AE12+0.0011</f>
        <v>43.001100000000001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12</v>
      </c>
      <c r="F13">
        <f>IF(Roster!$B$16&gt;=4,'Wk 1-6 Input'!H62,0)+IF(Roster!$B$16&gt;4,'Wk 1-6 Input'!G62,0)</f>
        <v>7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38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2</v>
      </c>
      <c r="K13">
        <f>I13+0.0012</f>
        <v>38.001199999999997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38</v>
      </c>
      <c r="AF13">
        <f>AE13+0.0012</f>
        <v>38.001199999999997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2026-10-06T13:38:42Z</dcterms:modified>
  <dc:language>en-US</dc:language>
</cp:coreProperties>
</file>