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550" documentId="11_C5FB6D5EBB7DB41C9C4944A345A03722CFCA9995" xr6:coauthVersionLast="47" xr6:coauthVersionMax="47" xr10:uidLastSave="{D2EF102E-CD51-419E-89CE-ADB3D724697C}"/>
  <bookViews>
    <workbookView xWindow="-120" yWindow="-120" windowWidth="29040" windowHeight="16440" tabRatio="857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H14" i="8" s="1"/>
  <c r="G13" i="13"/>
  <c r="G14" i="8" s="1"/>
  <c r="F13" i="13"/>
  <c r="F14" i="8" s="1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G12" i="13"/>
  <c r="G13" i="8" s="1"/>
  <c r="F12" i="13"/>
  <c r="B12" i="13"/>
  <c r="AC11" i="13"/>
  <c r="E66" i="8" s="1"/>
  <c r="AB11" i="13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P11" i="13"/>
  <c r="O11" i="13"/>
  <c r="F27" i="8" s="1"/>
  <c r="N11" i="13"/>
  <c r="E27" i="8" s="1"/>
  <c r="M11" i="13"/>
  <c r="D27" i="8" s="1"/>
  <c r="L11" i="13"/>
  <c r="C27" i="8" s="1"/>
  <c r="H11" i="13"/>
  <c r="H12" i="8" s="1"/>
  <c r="G11" i="13"/>
  <c r="G12" i="8" s="1"/>
  <c r="F11" i="13"/>
  <c r="F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L10" i="13"/>
  <c r="H10" i="13"/>
  <c r="G10" i="13"/>
  <c r="F10" i="13"/>
  <c r="F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G9" i="13"/>
  <c r="G10" i="8" s="1"/>
  <c r="F9" i="13"/>
  <c r="F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F24" i="8" s="1"/>
  <c r="N8" i="13"/>
  <c r="M8" i="13"/>
  <c r="D24" i="8" s="1"/>
  <c r="L8" i="13"/>
  <c r="C24" i="8" s="1"/>
  <c r="H8" i="13"/>
  <c r="H9" i="8" s="1"/>
  <c r="G8" i="13"/>
  <c r="G9" i="8" s="1"/>
  <c r="F8" i="13"/>
  <c r="F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M7" i="13"/>
  <c r="L7" i="13"/>
  <c r="H7" i="13"/>
  <c r="H8" i="8" s="1"/>
  <c r="G7" i="13"/>
  <c r="G8" i="8" s="1"/>
  <c r="F7" i="13"/>
  <c r="F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H6" i="13"/>
  <c r="G6" i="13"/>
  <c r="G7" i="8" s="1"/>
  <c r="F6" i="13"/>
  <c r="F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G5" i="13"/>
  <c r="G6" i="8" s="1"/>
  <c r="F5" i="13"/>
  <c r="F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F4" i="13"/>
  <c r="F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F3" i="13"/>
  <c r="F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F2" i="13"/>
  <c r="F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E41" i="8"/>
  <c r="J37" i="8"/>
  <c r="I37" i="8"/>
  <c r="B37" i="8"/>
  <c r="B36" i="8"/>
  <c r="I35" i="8"/>
  <c r="H35" i="8"/>
  <c r="B35" i="8"/>
  <c r="B34" i="8"/>
  <c r="E29" i="8"/>
  <c r="B28" i="8"/>
  <c r="H27" i="8"/>
  <c r="D26" i="8"/>
  <c r="B25" i="8"/>
  <c r="H24" i="8"/>
  <c r="E24" i="8"/>
  <c r="E23" i="8"/>
  <c r="D23" i="8"/>
  <c r="B23" i="8"/>
  <c r="F21" i="8"/>
  <c r="B21" i="8"/>
  <c r="F20" i="8"/>
  <c r="B20" i="8"/>
  <c r="B19" i="8"/>
  <c r="B18" i="8"/>
  <c r="F13" i="8"/>
  <c r="B13" i="8"/>
  <c r="H11" i="8"/>
  <c r="G11" i="8"/>
  <c r="H10" i="8"/>
  <c r="B10" i="8"/>
  <c r="B8" i="8"/>
  <c r="H7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I74" i="4"/>
  <c r="J73" i="4"/>
  <c r="E76" i="3" s="1"/>
  <c r="I73" i="4"/>
  <c r="J72" i="4"/>
  <c r="E75" i="3" s="1"/>
  <c r="I72" i="4"/>
  <c r="J71" i="4"/>
  <c r="E74" i="3" s="1"/>
  <c r="I71" i="4"/>
  <c r="J70" i="4"/>
  <c r="I70" i="4"/>
  <c r="J69" i="4"/>
  <c r="I69" i="4"/>
  <c r="J68" i="4"/>
  <c r="I68" i="4"/>
  <c r="J67" i="4"/>
  <c r="E70" i="3" s="1"/>
  <c r="I67" i="4"/>
  <c r="J66" i="4"/>
  <c r="E69" i="3" s="1"/>
  <c r="I66" i="4"/>
  <c r="J65" i="4"/>
  <c r="I65" i="4"/>
  <c r="J64" i="4"/>
  <c r="I64" i="4"/>
  <c r="J63" i="4"/>
  <c r="I63" i="4"/>
  <c r="J62" i="4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77" i="3"/>
  <c r="E73" i="3"/>
  <c r="E72" i="3"/>
  <c r="E71" i="3"/>
  <c r="E68" i="3"/>
  <c r="E67" i="3"/>
  <c r="E66" i="3"/>
  <c r="E65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I49" i="8" l="1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H6" i="9"/>
  <c r="R8" i="13"/>
  <c r="K24" i="8"/>
  <c r="R10" i="13"/>
  <c r="C26" i="8"/>
  <c r="AD6" i="13"/>
  <c r="K18" i="8"/>
  <c r="K29" i="8"/>
  <c r="B12" i="8"/>
  <c r="B27" i="8"/>
  <c r="H32" i="5" l="1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F58" i="5"/>
  <c r="G58" i="5" s="1"/>
  <c r="I58" i="5" s="1"/>
  <c r="E51" i="5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54" i="5"/>
  <c r="G54" i="5" s="1"/>
  <c r="I54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F60" i="5"/>
  <c r="G60" i="5" s="1"/>
  <c r="I60" i="5" s="1"/>
  <c r="E55" i="5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H55" i="5"/>
  <c r="F55" i="5"/>
  <c r="G55" i="5" s="1"/>
  <c r="I55" i="5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E53" i="5"/>
  <c r="F62" i="5"/>
  <c r="G62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F57" i="5"/>
  <c r="G57" i="5" s="1"/>
  <c r="I57" i="5" s="1"/>
  <c r="E52" i="5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F52" i="5"/>
  <c r="G52" i="5" s="1"/>
  <c r="I52" i="5" s="1"/>
  <c r="H52" i="5"/>
  <c r="E57" i="5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F53" i="5"/>
  <c r="G53" i="5" s="1"/>
  <c r="E62" i="5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F59" i="5"/>
  <c r="G59" i="5" s="1"/>
  <c r="I59" i="5" s="1"/>
  <c r="H59" i="5"/>
  <c r="E56" i="5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E54" i="5"/>
  <c r="F61" i="5"/>
  <c r="G61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F56" i="5"/>
  <c r="G56" i="5" s="1"/>
  <c r="I56" i="5" s="1"/>
  <c r="E59" i="5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E58" i="5"/>
  <c r="F51" i="5"/>
  <c r="G51" i="5" s="1"/>
  <c r="I51" i="5" s="1"/>
  <c r="I23" i="7"/>
  <c r="E21" i="7"/>
  <c r="F23" i="7"/>
  <c r="I46" i="5" l="1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<sst xmlns="http://schemas.openxmlformats.org/spreadsheetml/2006/main" count="3773" uniqueCount="346">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</sst>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zoomScaleNormal="100" workbookViewId="0">
      <selection activeCell="G20" sqref="G2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5" t="s">
        <v>0</v>
      </c>
      <c r="B1" s="25"/>
      <c r="C1" s="25"/>
      <c r="D1" s="25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4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6" t="s">
        <v>25</v>
      </c>
      <c r="B1" s="26"/>
      <c r="C1" s="26"/>
      <c r="D1" s="26"/>
      <c r="E1" s="26"/>
      <c r="F1" s="26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6" t="s">
        <v>36</v>
      </c>
      <c r="B56" s="26"/>
      <c r="C56" s="26"/>
      <c r="D56" s="26"/>
      <c r="E56" s="26"/>
      <c r="F56" s="26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6" t="s">
        <v>43</v>
      </c>
      <c r="B111" s="26"/>
      <c r="C111" s="26"/>
      <c r="D111" s="26"/>
      <c r="E111" s="26"/>
      <c r="F111" s="26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30" zoomScaleNormal="100" workbookViewId="0">
      <selection activeCell="U47" sqref="U47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3" t="s">
        <v>50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15" customHeight="1" x14ac:dyDescent="0.25">
      <c r="A2" s="24" t="s">
        <v>51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4" spans="1:17" ht="15" customHeight="1" x14ac:dyDescent="0.25">
      <c r="A4" s="22" t="s">
        <v>52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2" t="s">
        <v>90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2" t="s">
        <v>91</v>
      </c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2" t="s">
        <v>92</v>
      </c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2" t="s">
        <v>93</v>
      </c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2" t="s">
        <v>94</v>
      </c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2" t="s">
        <v>95</v>
      </c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2" t="s">
        <v>96</v>
      </c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2" t="s">
        <v>97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2" t="s">
        <v>98</v>
      </c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2" t="s">
        <v>99</v>
      </c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2" t="s">
        <v>100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2" t="s">
        <v>101</v>
      </c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2" t="s">
        <v>102</v>
      </c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2" t="s">
        <v>103</v>
      </c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2" t="s">
        <v>104</v>
      </c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2" t="s">
        <v>105</v>
      </c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2" t="s">
        <v>106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28" zoomScaleNormal="100" workbookViewId="0">
      <selection activeCell="I56" sqref="I56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24" zoomScaleNormal="100" workbookViewId="0">
      <selection activeCell="O22" sqref="O2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187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>
        <f t="shared" ref="G51:G62" si="9">IF(F51="W",6,IF(F51="T",3,0))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196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200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6" t="s">
        <v>205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0</v>
      </c>
      <c r="G3">
        <f>Helper!G2</f>
        <v>0</v>
      </c>
      <c r="H3">
        <f>Helper!H2</f>
        <v>0</v>
      </c>
      <c r="I3">
        <f>Helper!I2</f>
        <v>37</v>
      </c>
      <c r="J3">
        <f>Helper!J2</f>
        <v>2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0</v>
      </c>
      <c r="G4">
        <f>Helper!G3</f>
        <v>0</v>
      </c>
      <c r="H4">
        <f>Helper!H3</f>
        <v>0</v>
      </c>
      <c r="I4">
        <f>Helper!I3</f>
        <v>35</v>
      </c>
      <c r="J4">
        <f>Helper!J3</f>
        <v>2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0</v>
      </c>
      <c r="G5">
        <f>Helper!G4</f>
        <v>0</v>
      </c>
      <c r="H5">
        <f>Helper!H4</f>
        <v>0</v>
      </c>
      <c r="I5">
        <f>Helper!I4</f>
        <v>34</v>
      </c>
      <c r="J5">
        <f>Helper!J4</f>
        <v>2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20</v>
      </c>
      <c r="J6">
        <f>Helper!J5</f>
        <v>1</v>
      </c>
      <c r="K6">
        <f>MAX(Helper!C5:H5)</f>
        <v>14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0</v>
      </c>
      <c r="G7">
        <f>Helper!G6</f>
        <v>0</v>
      </c>
      <c r="H7">
        <f>Helper!H6</f>
        <v>0</v>
      </c>
      <c r="I7">
        <f>Helper!I6</f>
        <v>37</v>
      </c>
      <c r="J7">
        <f>Helper!J6</f>
        <v>2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0</v>
      </c>
      <c r="G8">
        <f>Helper!G7</f>
        <v>0</v>
      </c>
      <c r="H8">
        <f>Helper!H7</f>
        <v>0</v>
      </c>
      <c r="I8">
        <f>Helper!I7</f>
        <v>33</v>
      </c>
      <c r="J8">
        <f>Helper!J7</f>
        <v>2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0</v>
      </c>
      <c r="G9">
        <f>Helper!G8</f>
        <v>0</v>
      </c>
      <c r="H9">
        <f>Helper!H8</f>
        <v>0</v>
      </c>
      <c r="I9">
        <f>Helper!I8</f>
        <v>27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19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23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36</v>
      </c>
      <c r="J12">
        <f>Helper!J11</f>
        <v>2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36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31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37</v>
      </c>
      <c r="D57">
        <f>Helper!R2</f>
        <v>0</v>
      </c>
      <c r="E57">
        <f>Helper!AC2</f>
        <v>0</v>
      </c>
      <c r="F57">
        <f>Helper!AE2</f>
        <v>37</v>
      </c>
      <c r="G57">
        <f>Helper!K2</f>
        <v>37.000100000000003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35</v>
      </c>
      <c r="D58">
        <f>Helper!R3</f>
        <v>0</v>
      </c>
      <c r="E58">
        <f>Helper!AC3</f>
        <v>0</v>
      </c>
      <c r="F58">
        <f>Helper!AE3</f>
        <v>35</v>
      </c>
      <c r="G58">
        <f>Helper!K3</f>
        <v>35.0002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34</v>
      </c>
      <c r="D59">
        <f>Helper!R4</f>
        <v>0</v>
      </c>
      <c r="E59">
        <f>Helper!AC4</f>
        <v>0</v>
      </c>
      <c r="F59">
        <f>Helper!AE4</f>
        <v>34</v>
      </c>
      <c r="G59">
        <f>Helper!K4</f>
        <v>34.000300000000003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20</v>
      </c>
      <c r="D60">
        <f>Helper!R5</f>
        <v>0</v>
      </c>
      <c r="E60">
        <f>Helper!AC5</f>
        <v>0</v>
      </c>
      <c r="F60">
        <f>Helper!AE5</f>
        <v>20</v>
      </c>
      <c r="G60">
        <f>Helper!K5</f>
        <v>20.000399999999999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37</v>
      </c>
      <c r="D61">
        <f>Helper!R6</f>
        <v>0</v>
      </c>
      <c r="E61">
        <f>Helper!AC6</f>
        <v>0</v>
      </c>
      <c r="F61">
        <f>Helper!AE6</f>
        <v>37</v>
      </c>
      <c r="G61">
        <f>Helper!K6</f>
        <v>37.000500000000002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33</v>
      </c>
      <c r="D62">
        <f>Helper!R7</f>
        <v>0</v>
      </c>
      <c r="E62">
        <f>Helper!AC7</f>
        <v>0</v>
      </c>
      <c r="F62">
        <f>Helper!AE7</f>
        <v>33</v>
      </c>
      <c r="G62">
        <f>Helper!K7</f>
        <v>33.000599999999999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27</v>
      </c>
      <c r="D63">
        <f>Helper!R8</f>
        <v>0</v>
      </c>
      <c r="E63">
        <f>Helper!AC8</f>
        <v>0</v>
      </c>
      <c r="F63">
        <f>Helper!AE8</f>
        <v>27</v>
      </c>
      <c r="G63">
        <f>Helper!K8</f>
        <v>27.000699999999998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19</v>
      </c>
      <c r="D64">
        <f>Helper!R9</f>
        <v>0</v>
      </c>
      <c r="E64">
        <f>Helper!AC9</f>
        <v>0</v>
      </c>
      <c r="F64">
        <f>Helper!AE9</f>
        <v>19</v>
      </c>
      <c r="G64">
        <f>Helper!K9</f>
        <v>19.000800000000002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23</v>
      </c>
      <c r="D65">
        <f>Helper!R10</f>
        <v>0</v>
      </c>
      <c r="E65">
        <f>Helper!AC10</f>
        <v>0</v>
      </c>
      <c r="F65">
        <f>Helper!AE10</f>
        <v>23</v>
      </c>
      <c r="G65">
        <f>Helper!K10</f>
        <v>23.000900000000001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36</v>
      </c>
      <c r="D66">
        <f>Helper!R11</f>
        <v>0</v>
      </c>
      <c r="E66">
        <f>Helper!AC11</f>
        <v>0</v>
      </c>
      <c r="F66">
        <f>Helper!AE11</f>
        <v>36</v>
      </c>
      <c r="G66">
        <f>Helper!K11</f>
        <v>36.000999999999998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36</v>
      </c>
      <c r="D67">
        <f>Helper!R12</f>
        <v>0</v>
      </c>
      <c r="E67">
        <f>Helper!AC12</f>
        <v>0</v>
      </c>
      <c r="F67">
        <f>Helper!AE12</f>
        <v>36</v>
      </c>
      <c r="G67">
        <f>Helper!K12</f>
        <v>36.001100000000001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31</v>
      </c>
      <c r="D68">
        <f>Helper!R13</f>
        <v>0</v>
      </c>
      <c r="E68">
        <f>Helper!AC13</f>
        <v>0</v>
      </c>
      <c r="F68">
        <f>Helper!AE13</f>
        <v>31</v>
      </c>
      <c r="G68">
        <f>Helper!K13</f>
        <v>31.001200000000001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Mikayla Simmons</v>
      </c>
      <c r="C5" t="s">
        <v>252</v>
      </c>
      <c r="D5" t="s">
        <v>253</v>
      </c>
      <c r="E5" t="str">
        <f>B5</f>
        <v>Mikayla Simmons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Evan Loeser</v>
      </c>
      <c r="C13">
        <f>INDEX(I$40:I$51,MATCH(MAX(K$40:K$51),K$40:K$51,0))</f>
        <v>37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Mikayla Simmons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Evan Loeser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37</v>
      </c>
      <c r="J40" t="b">
        <f t="shared" ref="J40:J51" si="1">OR(H40=$E$5,H40=$E$6,H40=$E$7,H40=$E$8,H40=$E$9)</f>
        <v>0</v>
      </c>
      <c r="K40">
        <f>IF(J40,-1,I40+0.00001)</f>
        <v>37.000010000000003</v>
      </c>
    </row>
    <row r="41" spans="1:11" ht="15" customHeight="1" x14ac:dyDescent="0.25">
      <c r="H41" t="str">
        <f>Roster!B4</f>
        <v>Chris Simmons</v>
      </c>
      <c r="I41">
        <f>Helper!AE3</f>
        <v>35</v>
      </c>
      <c r="J41" t="b">
        <f t="shared" si="1"/>
        <v>0</v>
      </c>
      <c r="K41">
        <f>IF(J41,-1,I41+0.00002)</f>
        <v>35.000019999999999</v>
      </c>
    </row>
    <row r="42" spans="1:11" ht="15" customHeight="1" x14ac:dyDescent="0.25">
      <c r="H42" t="str">
        <f>Roster!B5</f>
        <v>Jack Smith</v>
      </c>
      <c r="I42">
        <f>Helper!AE4</f>
        <v>34</v>
      </c>
      <c r="J42" t="b">
        <f t="shared" si="1"/>
        <v>0</v>
      </c>
      <c r="K42">
        <f>IF(J42,-1,I42+0.00003)</f>
        <v>34.000030000000002</v>
      </c>
    </row>
    <row r="43" spans="1:11" ht="15" customHeight="1" x14ac:dyDescent="0.25">
      <c r="H43" t="str">
        <f>Roster!B6</f>
        <v>Luke Ussery</v>
      </c>
      <c r="I43">
        <f>Helper!AE5</f>
        <v>20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37</v>
      </c>
      <c r="J44" t="b">
        <f t="shared" si="1"/>
        <v>1</v>
      </c>
      <c r="K44">
        <f>IF(J44,-1,I44+0.00005)</f>
        <v>-1</v>
      </c>
    </row>
    <row r="45" spans="1:11" ht="15" customHeight="1" x14ac:dyDescent="0.25">
      <c r="H45" t="str">
        <f>Roster!B8</f>
        <v>Alan Loeser</v>
      </c>
      <c r="I45">
        <f>Helper!AE7</f>
        <v>33</v>
      </c>
      <c r="J45" t="b">
        <f t="shared" si="1"/>
        <v>0</v>
      </c>
      <c r="K45">
        <f>IF(J45,-1,I45+0.00006)</f>
        <v>33.000059999999998</v>
      </c>
    </row>
    <row r="46" spans="1:11" ht="15" customHeight="1" x14ac:dyDescent="0.25">
      <c r="H46" t="str">
        <f>Roster!B9</f>
        <v>Caleb Simmons</v>
      </c>
      <c r="I46">
        <f>Helper!AE8</f>
        <v>27</v>
      </c>
      <c r="J46" t="b">
        <f t="shared" si="1"/>
        <v>0</v>
      </c>
      <c r="K46">
        <f>IF(J46,-1,I46+0.00007)</f>
        <v>27.000070000000001</v>
      </c>
    </row>
    <row r="47" spans="1:11" ht="15" customHeight="1" x14ac:dyDescent="0.25">
      <c r="H47" t="str">
        <f>Roster!B10</f>
        <v>Larry Loeser</v>
      </c>
      <c r="I47">
        <f>Helper!AE9</f>
        <v>19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23</v>
      </c>
      <c r="J48" t="b">
        <f t="shared" si="1"/>
        <v>0</v>
      </c>
      <c r="K48">
        <f>IF(J48,-1,I48+0.00009)</f>
        <v>23.00009</v>
      </c>
    </row>
    <row r="49" spans="8:11" ht="15" customHeight="1" x14ac:dyDescent="0.25">
      <c r="H49" t="str">
        <f>Roster!B12</f>
        <v>Zach Zarra</v>
      </c>
      <c r="I49">
        <f>Helper!AE11</f>
        <v>36</v>
      </c>
      <c r="J49" t="b">
        <f t="shared" si="1"/>
        <v>0</v>
      </c>
      <c r="K49">
        <f>IF(J49,-1,I49+0.0001)</f>
        <v>36.000100000000003</v>
      </c>
    </row>
    <row r="50" spans="8:11" ht="15" customHeight="1" x14ac:dyDescent="0.25">
      <c r="H50" t="str">
        <f>Roster!B13</f>
        <v>Jeffrey Loeser</v>
      </c>
      <c r="I50">
        <f>Helper!AE12</f>
        <v>36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31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Mikayla Simmons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Evan Loeser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Mikayla Simmons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Evan Loeser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Mikayla Simmons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Mikayla Simmons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Mikayla Simmons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O21" sqref="O21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37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2</v>
      </c>
      <c r="K2">
        <f>I2+0.0001</f>
        <v>37.000100000000003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37</v>
      </c>
      <c r="AF2">
        <f>AE2+0.0001</f>
        <v>37.000100000000003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35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2</v>
      </c>
      <c r="K3">
        <f>I3+0.0002</f>
        <v>35.0002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35</v>
      </c>
      <c r="AF3">
        <f>AE3+0.0002</f>
        <v>35.0002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34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2</v>
      </c>
      <c r="K4">
        <f>I4+0.0003</f>
        <v>34.000300000000003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34</v>
      </c>
      <c r="AF4">
        <f>AE4+0.0003</f>
        <v>34.000300000000003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20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1</v>
      </c>
      <c r="K5">
        <f>I5+0.0004</f>
        <v>20.000399999999999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20</v>
      </c>
      <c r="AF5">
        <f>AE5+0.0004</f>
        <v>20.000399999999999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37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2</v>
      </c>
      <c r="K6">
        <f>I6+0.0005</f>
        <v>37.000500000000002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37</v>
      </c>
      <c r="AF6">
        <f>AE6+0.0005</f>
        <v>37.000500000000002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33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2</v>
      </c>
      <c r="K7">
        <f>I7+0.0006</f>
        <v>33.000599999999999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33</v>
      </c>
      <c r="AF7">
        <f>AE7+0.0006</f>
        <v>33.000599999999999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27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27.000699999999998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27</v>
      </c>
      <c r="AF8">
        <f>AE8+0.0007</f>
        <v>27.000699999999998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19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19.000800000000002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19</v>
      </c>
      <c r="AF9">
        <f>AE9+0.0008</f>
        <v>19.000800000000002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23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23.000900000000001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23</v>
      </c>
      <c r="AF10">
        <f>AE10+0.0009</f>
        <v>23.000900000000001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36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2</v>
      </c>
      <c r="K11">
        <f>I11+0.001</f>
        <v>36.000999999999998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36</v>
      </c>
      <c r="AF11">
        <f>AE11+0.001</f>
        <v>36.000999999999998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36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36.001100000000001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36</v>
      </c>
      <c r="AF12">
        <f>AE12+0.0011</f>
        <v>36.001100000000001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31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31.001200000000001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31</v>
      </c>
      <c r="AF13">
        <f>AE13+0.0012</f>
        <v>31.001200000000001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2026-09-29T18:03:01Z</dcterms:modified>
  <dc:language>en-US</dc:language>
</cp:coreProperties>
</file>