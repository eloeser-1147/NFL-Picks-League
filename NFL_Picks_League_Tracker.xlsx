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049" documentId="11_C5FB6D5EBB7DB41C9C4944A345A03722CFCA9995" xr6:coauthVersionLast="47" xr6:coauthVersionMax="47" xr10:uidLastSave="{645F2539-8A24-413C-9B72-3A9AB5D00601}"/>
  <bookViews>
    <workbookView xWindow="-120" yWindow="-120" windowWidth="29040" windowHeight="16440" tabRatio="857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B13" i="13"/>
  <c r="AC12" i="13"/>
  <c r="K50" i="8" s="1"/>
  <c r="AB12" i="13"/>
  <c r="J50" i="8" s="1"/>
  <c r="AA12" i="13"/>
  <c r="AD12" i="13" s="1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H11" i="13"/>
  <c r="H12" i="8" s="1"/>
  <c r="B11" i="13"/>
  <c r="B49" i="8" s="1"/>
  <c r="AC10" i="13"/>
  <c r="K48" i="8" s="1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H10" i="13"/>
  <c r="H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D23" i="8" s="1"/>
  <c r="L7" i="13"/>
  <c r="H7" i="13"/>
  <c r="H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H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F21" i="8" s="1"/>
  <c r="N5" i="13"/>
  <c r="E21" i="8" s="1"/>
  <c r="M5" i="13"/>
  <c r="L5" i="13"/>
  <c r="C21" i="8" s="1"/>
  <c r="H5" i="13"/>
  <c r="H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L4" i="13"/>
  <c r="H4" i="13"/>
  <c r="H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B50" i="8"/>
  <c r="J49" i="8"/>
  <c r="J48" i="8"/>
  <c r="I48" i="8"/>
  <c r="H48" i="8"/>
  <c r="G48" i="8"/>
  <c r="H44" i="8"/>
  <c r="G44" i="8"/>
  <c r="F44" i="8"/>
  <c r="E44" i="8"/>
  <c r="D44" i="8"/>
  <c r="B44" i="8"/>
  <c r="K42" i="8"/>
  <c r="I42" i="8"/>
  <c r="B42" i="8"/>
  <c r="F41" i="8"/>
  <c r="J37" i="8"/>
  <c r="I37" i="8"/>
  <c r="B37" i="8"/>
  <c r="B36" i="8"/>
  <c r="I35" i="8"/>
  <c r="H35" i="8"/>
  <c r="B35" i="8"/>
  <c r="B34" i="8"/>
  <c r="E29" i="8"/>
  <c r="B28" i="8"/>
  <c r="B25" i="8"/>
  <c r="H24" i="8"/>
  <c r="E24" i="8"/>
  <c r="B23" i="8"/>
  <c r="B21" i="8"/>
  <c r="B20" i="8"/>
  <c r="B19" i="8"/>
  <c r="B18" i="8"/>
  <c r="B13" i="8"/>
  <c r="H10" i="8"/>
  <c r="B10" i="8"/>
  <c r="B8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E96" i="3" s="1"/>
  <c r="I93" i="4"/>
  <c r="J92" i="4"/>
  <c r="E95" i="3" s="1"/>
  <c r="I92" i="4"/>
  <c r="J91" i="4"/>
  <c r="E94" i="3" s="1"/>
  <c r="I91" i="4"/>
  <c r="J90" i="4"/>
  <c r="E93" i="3" s="1"/>
  <c r="I90" i="4"/>
  <c r="J89" i="4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E87" i="3" s="1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E82" i="3" s="1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2" i="3"/>
  <c r="E88" i="3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K49" i="8" l="1"/>
  <c r="C75" i="5"/>
  <c r="H75" i="5" s="1"/>
  <c r="G11" i="13" s="1"/>
  <c r="G12" i="8" s="1"/>
  <c r="I49" i="8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R8" i="13"/>
  <c r="K24" i="8"/>
  <c r="R10" i="13"/>
  <c r="C26" i="8"/>
  <c r="AD6" i="13"/>
  <c r="K18" i="8"/>
  <c r="K29" i="8"/>
  <c r="B12" i="8"/>
  <c r="B27" i="8"/>
  <c r="E72" i="5" l="1"/>
  <c r="F72" i="5" s="1"/>
  <c r="G72" i="5" s="1"/>
  <c r="H6" i="9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G3" i="13" s="1"/>
  <c r="G4" i="8" s="1"/>
  <c r="E77" i="5"/>
  <c r="F77" i="5" s="1"/>
  <c r="G77" i="5" s="1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F70" i="5" s="1"/>
  <c r="G70" i="5" s="1"/>
  <c r="H68" i="5"/>
  <c r="G4" i="13" s="1"/>
  <c r="G5" i="8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71" i="5" s="1"/>
  <c r="G71" i="5" s="1"/>
  <c r="F69" i="5"/>
  <c r="G69" i="5" s="1"/>
  <c r="H69" i="5"/>
  <c r="G5" i="13" s="1"/>
  <c r="G6" i="8" s="1"/>
  <c r="I61" i="7"/>
  <c r="F61" i="7"/>
  <c r="E60" i="7"/>
  <c r="F17" i="7"/>
  <c r="I17" i="7"/>
  <c r="E14" i="7"/>
  <c r="I83" i="7"/>
  <c r="E84" i="7"/>
  <c r="F83" i="7"/>
  <c r="H77" i="5"/>
  <c r="G13" i="13" s="1"/>
  <c r="G14" i="8" s="1"/>
  <c r="E67" i="5"/>
  <c r="F67" i="5" s="1"/>
  <c r="G6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G8" i="13" s="1"/>
  <c r="G9" i="8" s="1"/>
  <c r="E75" i="5"/>
  <c r="F75" i="5" s="1"/>
  <c r="G75" i="5" s="1"/>
  <c r="I75" i="5" s="1"/>
  <c r="E66" i="5"/>
  <c r="F66" i="5" s="1"/>
  <c r="G66" i="5" s="1"/>
  <c r="H76" i="5"/>
  <c r="G12" i="13" s="1"/>
  <c r="G13" i="8" s="1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H71" i="5"/>
  <c r="G7" i="13" s="1"/>
  <c r="G8" i="8" s="1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G10" i="13" s="1"/>
  <c r="G11" i="8" s="1"/>
  <c r="E73" i="5"/>
  <c r="F73" i="5" s="1"/>
  <c r="G73" i="5" s="1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F76" i="5" s="1"/>
  <c r="G76" i="5" s="1"/>
  <c r="H66" i="5"/>
  <c r="G2" i="13" s="1"/>
  <c r="G3" i="8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E57" i="5"/>
  <c r="F57" i="5" s="1"/>
  <c r="G57" i="5" s="1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4" i="5" s="1"/>
  <c r="G74" i="5" s="1"/>
  <c r="H73" i="5"/>
  <c r="G9" i="13" s="1"/>
  <c r="G10" i="8" s="1"/>
  <c r="E62" i="5"/>
  <c r="F62" i="5" s="1"/>
  <c r="G62" i="5" s="1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54" i="5" s="1"/>
  <c r="G54" i="5" s="1"/>
  <c r="E27" i="7"/>
  <c r="F25" i="7"/>
  <c r="I25" i="7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G6" i="13" s="1"/>
  <c r="G7" i="8" s="1"/>
  <c r="E68" i="5"/>
  <c r="F68" i="5" s="1"/>
  <c r="G68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8" i="5" s="1"/>
  <c r="G58" i="5" s="1"/>
  <c r="I23" i="7"/>
  <c r="E21" i="7"/>
  <c r="F23" i="7"/>
  <c r="I70" i="5" l="1"/>
  <c r="I74" i="5"/>
  <c r="I77" i="5"/>
  <c r="F7" i="13"/>
  <c r="F8" i="8" s="1"/>
  <c r="F11" i="13"/>
  <c r="F12" i="8" s="1"/>
  <c r="F3" i="13"/>
  <c r="F4" i="8" s="1"/>
  <c r="F9" i="13"/>
  <c r="F10" i="8" s="1"/>
  <c r="F10" i="13"/>
  <c r="F11" i="8" s="1"/>
  <c r="F5" i="13"/>
  <c r="F6" i="8" s="1"/>
  <c r="F6" i="13"/>
  <c r="F7" i="8" s="1"/>
  <c r="F2" i="13"/>
  <c r="F3" i="8" s="1"/>
  <c r="F8" i="13"/>
  <c r="F9" i="8" s="1"/>
  <c r="F12" i="13"/>
  <c r="F13" i="8" s="1"/>
  <c r="F4" i="13"/>
  <c r="F5" i="8" s="1"/>
  <c r="F13" i="13"/>
  <c r="F14" i="8" s="1"/>
  <c r="I55" i="5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<sst xmlns="http://schemas.openxmlformats.org/spreadsheetml/2006/main" count="4126" uniqueCount="346">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</sst>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F26" sqref="F2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6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2" t="s">
        <v>25</v>
      </c>
      <c r="B1" s="22"/>
      <c r="C1" s="22"/>
      <c r="D1" s="22"/>
      <c r="E1" s="22"/>
      <c r="F1" s="2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2" t="s">
        <v>36</v>
      </c>
      <c r="B56" s="22"/>
      <c r="C56" s="22"/>
      <c r="D56" s="22"/>
      <c r="E56" s="22"/>
      <c r="F56" s="2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2" t="s">
        <v>43</v>
      </c>
      <c r="B111" s="22"/>
      <c r="C111" s="22"/>
      <c r="D111" s="22"/>
      <c r="E111" s="22"/>
      <c r="F111" s="2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60" zoomScaleNormal="100" workbookViewId="0">
      <selection activeCell="R97" sqref="R97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64" zoomScaleNormal="100" workbookViewId="0">
      <selection activeCell="I93" sqref="I93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5" t="s">
        <v>89</v>
      </c>
      <c r="E76" s="16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5" t="s">
        <v>89</v>
      </c>
      <c r="E94" s="16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54" zoomScaleNormal="100" workbookViewId="0">
      <selection activeCell="C77" sqref="C7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187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196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200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2" t="s">
        <v>205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0</v>
      </c>
      <c r="I3">
        <f>Helper!I2</f>
        <v>63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0</v>
      </c>
      <c r="I4">
        <f>Helper!I3</f>
        <v>63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0</v>
      </c>
      <c r="I5">
        <f>Helper!I4</f>
        <v>54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0</v>
      </c>
      <c r="I7">
        <f>Helper!I6</f>
        <v>58</v>
      </c>
      <c r="J7">
        <f>Helper!J6</f>
        <v>3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0</v>
      </c>
      <c r="I8">
        <f>Helper!I7</f>
        <v>56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0</v>
      </c>
      <c r="I9">
        <f>Helper!I8</f>
        <v>46</v>
      </c>
      <c r="J9">
        <f>Helper!J8</f>
        <v>2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0</v>
      </c>
      <c r="I10">
        <f>Helper!I9</f>
        <v>43</v>
      </c>
      <c r="J10">
        <f>Helper!J9</f>
        <v>1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0</v>
      </c>
      <c r="I11">
        <f>Helper!I10</f>
        <v>43</v>
      </c>
      <c r="J11">
        <f>Helper!J10</f>
        <v>1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0</v>
      </c>
      <c r="I12">
        <f>Helper!I11</f>
        <v>56</v>
      </c>
      <c r="J12">
        <f>Helper!J11</f>
        <v>3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0</v>
      </c>
      <c r="I13">
        <f>Helper!I12</f>
        <v>48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0</v>
      </c>
      <c r="I14">
        <f>Helper!I13</f>
        <v>42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63</v>
      </c>
      <c r="D57">
        <f>Helper!R2</f>
        <v>0</v>
      </c>
      <c r="E57">
        <f>Helper!AC2</f>
        <v>0</v>
      </c>
      <c r="F57">
        <f>Helper!AE2</f>
        <v>63</v>
      </c>
      <c r="G57">
        <f>Helper!K2</f>
        <v>63.000100000000003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63</v>
      </c>
      <c r="D58">
        <f>Helper!R3</f>
        <v>0</v>
      </c>
      <c r="E58">
        <f>Helper!AC3</f>
        <v>0</v>
      </c>
      <c r="F58">
        <f>Helper!AE3</f>
        <v>63</v>
      </c>
      <c r="G58">
        <f>Helper!K3</f>
        <v>63.0002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54</v>
      </c>
      <c r="D59">
        <f>Helper!R4</f>
        <v>0</v>
      </c>
      <c r="E59">
        <f>Helper!AC4</f>
        <v>0</v>
      </c>
      <c r="F59">
        <f>Helper!AE4</f>
        <v>54</v>
      </c>
      <c r="G59">
        <f>Helper!K4</f>
        <v>54.000300000000003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58</v>
      </c>
      <c r="D61">
        <f>Helper!R6</f>
        <v>0</v>
      </c>
      <c r="E61">
        <f>Helper!AC6</f>
        <v>0</v>
      </c>
      <c r="F61">
        <f>Helper!AE6</f>
        <v>58</v>
      </c>
      <c r="G61">
        <f>Helper!K6</f>
        <v>58.000500000000002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56</v>
      </c>
      <c r="D62">
        <f>Helper!R7</f>
        <v>0</v>
      </c>
      <c r="E62">
        <f>Helper!AC7</f>
        <v>0</v>
      </c>
      <c r="F62">
        <f>Helper!AE7</f>
        <v>56</v>
      </c>
      <c r="G62">
        <f>Helper!K7</f>
        <v>56.000599999999999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46</v>
      </c>
      <c r="D63">
        <f>Helper!R8</f>
        <v>0</v>
      </c>
      <c r="E63">
        <f>Helper!AC8</f>
        <v>0</v>
      </c>
      <c r="F63">
        <f>Helper!AE8</f>
        <v>46</v>
      </c>
      <c r="G63">
        <f>Helper!K8</f>
        <v>46.000700000000002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43</v>
      </c>
      <c r="D64">
        <f>Helper!R9</f>
        <v>0</v>
      </c>
      <c r="E64">
        <f>Helper!AC9</f>
        <v>0</v>
      </c>
      <c r="F64">
        <f>Helper!AE9</f>
        <v>43</v>
      </c>
      <c r="G64">
        <f>Helper!K9</f>
        <v>43.000799999999998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43</v>
      </c>
      <c r="D65">
        <f>Helper!R10</f>
        <v>0</v>
      </c>
      <c r="E65">
        <f>Helper!AC10</f>
        <v>0</v>
      </c>
      <c r="F65">
        <f>Helper!AE10</f>
        <v>43</v>
      </c>
      <c r="G65">
        <f>Helper!K10</f>
        <v>43.000900000000001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56</v>
      </c>
      <c r="D66">
        <f>Helper!R11</f>
        <v>0</v>
      </c>
      <c r="E66">
        <f>Helper!AC11</f>
        <v>0</v>
      </c>
      <c r="F66">
        <f>Helper!AE11</f>
        <v>56</v>
      </c>
      <c r="G66">
        <f>Helper!K11</f>
        <v>56.000999999999998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48</v>
      </c>
      <c r="D67">
        <f>Helper!R12</f>
        <v>0</v>
      </c>
      <c r="E67">
        <f>Helper!AC12</f>
        <v>0</v>
      </c>
      <c r="F67">
        <f>Helper!AE12</f>
        <v>48</v>
      </c>
      <c r="G67">
        <f>Helper!K12</f>
        <v>48.001100000000001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42</v>
      </c>
      <c r="D68">
        <f>Helper!R13</f>
        <v>0</v>
      </c>
      <c r="E68">
        <f>Helper!AC13</f>
        <v>0</v>
      </c>
      <c r="F68">
        <f>Helper!AE13</f>
        <v>42</v>
      </c>
      <c r="G68">
        <f>Helper!K13</f>
        <v>42.001199999999997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Chris Simmons</v>
      </c>
      <c r="C5" t="s">
        <v>252</v>
      </c>
      <c r="D5" t="s">
        <v>253</v>
      </c>
      <c r="E5" t="str">
        <f>B5</f>
        <v>Chris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Evan Loeser</v>
      </c>
      <c r="C13">
        <f>INDEX(I$40:I$51,MATCH(MAX(K$40:K$51),K$40:K$51,0))</f>
        <v>63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Chris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Evan Loeser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63</v>
      </c>
      <c r="J40" t="b">
        <f t="shared" ref="J40:J51" si="1">OR(H40=$E$5,H40=$E$6,H40=$E$7,H40=$E$8,H40=$E$9)</f>
        <v>0</v>
      </c>
      <c r="K40">
        <f>IF(J40,-1,I40+0.00001)</f>
        <v>63.000010000000003</v>
      </c>
    </row>
    <row r="41" spans="1:11" ht="15" customHeight="1" x14ac:dyDescent="0.25">
      <c r="H41" t="str">
        <f>Roster!B4</f>
        <v>Chris Simmons</v>
      </c>
      <c r="I41">
        <f>Helper!AE3</f>
        <v>63</v>
      </c>
      <c r="J41" t="b">
        <f t="shared" si="1"/>
        <v>1</v>
      </c>
      <c r="K41">
        <f>IF(J41,-1,I41+0.00002)</f>
        <v>-1</v>
      </c>
    </row>
    <row r="42" spans="1:11" ht="15" customHeight="1" x14ac:dyDescent="0.25">
      <c r="H42" t="str">
        <f>Roster!B5</f>
        <v>Jack Smith</v>
      </c>
      <c r="I42">
        <f>Helper!AE4</f>
        <v>54</v>
      </c>
      <c r="J42" t="b">
        <f t="shared" si="1"/>
        <v>0</v>
      </c>
      <c r="K42">
        <f>IF(J42,-1,I42+0.00003)</f>
        <v>54.000030000000002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58</v>
      </c>
      <c r="J44" t="b">
        <f t="shared" si="1"/>
        <v>0</v>
      </c>
      <c r="K44">
        <f>IF(J44,-1,I44+0.00005)</f>
        <v>58.000050000000002</v>
      </c>
    </row>
    <row r="45" spans="1:11" ht="15" customHeight="1" x14ac:dyDescent="0.25">
      <c r="H45" t="str">
        <f>Roster!B8</f>
        <v>Alan Loeser</v>
      </c>
      <c r="I45">
        <f>Helper!AE7</f>
        <v>56</v>
      </c>
      <c r="J45" t="b">
        <f t="shared" si="1"/>
        <v>0</v>
      </c>
      <c r="K45">
        <f>IF(J45,-1,I45+0.00006)</f>
        <v>56.000059999999998</v>
      </c>
    </row>
    <row r="46" spans="1:11" ht="15" customHeight="1" x14ac:dyDescent="0.25">
      <c r="H46" t="str">
        <f>Roster!B9</f>
        <v>Caleb Simmons</v>
      </c>
      <c r="I46">
        <f>Helper!AE8</f>
        <v>46</v>
      </c>
      <c r="J46" t="b">
        <f t="shared" si="1"/>
        <v>0</v>
      </c>
      <c r="K46">
        <f>IF(J46,-1,I46+0.00007)</f>
        <v>46.000070000000001</v>
      </c>
    </row>
    <row r="47" spans="1:11" ht="15" customHeight="1" x14ac:dyDescent="0.25">
      <c r="H47" t="str">
        <f>Roster!B10</f>
        <v>Larry Loeser</v>
      </c>
      <c r="I47">
        <f>Helper!AE9</f>
        <v>43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43</v>
      </c>
      <c r="J48" t="b">
        <f t="shared" si="1"/>
        <v>0</v>
      </c>
      <c r="K48">
        <f>IF(J48,-1,I48+0.00009)</f>
        <v>43.00009</v>
      </c>
    </row>
    <row r="49" spans="8:11" ht="15" customHeight="1" x14ac:dyDescent="0.25">
      <c r="H49" t="str">
        <f>Roster!B12</f>
        <v>Zach Zarra</v>
      </c>
      <c r="I49">
        <f>Helper!AE11</f>
        <v>56</v>
      </c>
      <c r="J49" t="b">
        <f t="shared" si="1"/>
        <v>0</v>
      </c>
      <c r="K49">
        <f>IF(J49,-1,I49+0.0001)</f>
        <v>56.000100000000003</v>
      </c>
    </row>
    <row r="50" spans="8:11" ht="15" customHeight="1" x14ac:dyDescent="0.25">
      <c r="H50" t="str">
        <f>Roster!B13</f>
        <v>Jeffrey Loeser</v>
      </c>
      <c r="I50">
        <f>Helper!AE12</f>
        <v>48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42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Chris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Evan Loeser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Chris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Evan Loeser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Chris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Chris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Chris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0</v>
      </c>
      <c r="I2">
        <f t="shared" ref="I2:I13" si="0">SUM(C2:H2)</f>
        <v>63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63.000100000000003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63</v>
      </c>
      <c r="AF2">
        <f>AE2+0.0001</f>
        <v>63.000100000000003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0</v>
      </c>
      <c r="I3">
        <f t="shared" si="0"/>
        <v>63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63.0002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63</v>
      </c>
      <c r="AF3">
        <f>AE3+0.0002</f>
        <v>63.0002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0</v>
      </c>
      <c r="I4">
        <f t="shared" si="0"/>
        <v>54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54.000300000000003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54</v>
      </c>
      <c r="AF4">
        <f>AE4+0.0003</f>
        <v>54.000300000000003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0</v>
      </c>
      <c r="I6">
        <f t="shared" si="0"/>
        <v>58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3</v>
      </c>
      <c r="K6">
        <f>I6+0.0005</f>
        <v>58.000500000000002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58</v>
      </c>
      <c r="AF6">
        <f>AE6+0.0005</f>
        <v>58.000500000000002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0</v>
      </c>
      <c r="I7">
        <f t="shared" si="0"/>
        <v>56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56.000599999999999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56</v>
      </c>
      <c r="AF7">
        <f>AE7+0.0006</f>
        <v>56.000599999999999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0</v>
      </c>
      <c r="I8">
        <f t="shared" si="0"/>
        <v>46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2</v>
      </c>
      <c r="K8">
        <f>I8+0.0007</f>
        <v>46.000700000000002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46</v>
      </c>
      <c r="AF8">
        <f>AE8+0.0007</f>
        <v>46.000700000000002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0</v>
      </c>
      <c r="I9">
        <f t="shared" si="0"/>
        <v>43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1</v>
      </c>
      <c r="K9">
        <f>I9+0.0008</f>
        <v>43.000799999999998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43</v>
      </c>
      <c r="AF9">
        <f>AE9+0.0008</f>
        <v>43.000799999999998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0</v>
      </c>
      <c r="I10">
        <f t="shared" si="0"/>
        <v>43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1</v>
      </c>
      <c r="K10">
        <f>I10+0.0009</f>
        <v>43.000900000000001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43</v>
      </c>
      <c r="AF10">
        <f>AE10+0.0009</f>
        <v>43.000900000000001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0</v>
      </c>
      <c r="I11">
        <f t="shared" si="0"/>
        <v>56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3</v>
      </c>
      <c r="K11">
        <f>I11+0.001</f>
        <v>56.000999999999998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56</v>
      </c>
      <c r="AF11">
        <f>AE11+0.001</f>
        <v>56.000999999999998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0</v>
      </c>
      <c r="I12">
        <f t="shared" si="0"/>
        <v>48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48.001100000000001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48</v>
      </c>
      <c r="AF12">
        <f>AE12+0.0011</f>
        <v>48.001100000000001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0</v>
      </c>
      <c r="I13">
        <f t="shared" si="0"/>
        <v>42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42.001199999999997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42</v>
      </c>
      <c r="AF13">
        <f>AE13+0.0012</f>
        <v>42.001199999999997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2026-10-13T13:44:22Z</dcterms:modified>
  <dc:language>en-US</dc:language>
</cp:coreProperties>
</file>