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048" documentId="11_C5FB6D5EBB7DB41C9C4944A345A03722CFCA9995" xr6:coauthVersionLast="47" xr6:coauthVersionMax="47" xr10:uidLastSave="{25747702-C5A7-483A-8745-289FE83B87E2}"/>
  <bookViews>
    <workbookView xWindow="-120" yWindow="-120" windowWidth="29040" windowHeight="16440" tabRatio="857" activeTab="4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H13" i="13"/>
  <c r="H14" i="8" s="1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H12" i="13"/>
  <c r="H13" i="8" s="1"/>
  <c r="B12" i="13"/>
  <c r="AC11" i="13"/>
  <c r="E66" i="8" s="1"/>
  <c r="AB11" i="13"/>
  <c r="AA11" i="13"/>
  <c r="AD11" i="13" s="1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H27" i="8" s="1"/>
  <c r="P11" i="13"/>
  <c r="O11" i="13"/>
  <c r="F27" i="8" s="1"/>
  <c r="N11" i="13"/>
  <c r="E27" i="8" s="1"/>
  <c r="M11" i="13"/>
  <c r="D27" i="8" s="1"/>
  <c r="L11" i="13"/>
  <c r="C27" i="8" s="1"/>
  <c r="H11" i="13"/>
  <c r="H12" i="8" s="1"/>
  <c r="B11" i="13"/>
  <c r="B49" i="8" s="1"/>
  <c r="AC10" i="13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D26" i="8" s="1"/>
  <c r="L10" i="13"/>
  <c r="H10" i="13"/>
  <c r="H11" i="8" s="1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H9" i="13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F24" i="8" s="1"/>
  <c r="N8" i="13"/>
  <c r="M8" i="13"/>
  <c r="D24" i="8" s="1"/>
  <c r="L8" i="13"/>
  <c r="C24" i="8" s="1"/>
  <c r="H8" i="13"/>
  <c r="H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F23" i="8" s="1"/>
  <c r="N7" i="13"/>
  <c r="E23" i="8" s="1"/>
  <c r="M7" i="13"/>
  <c r="L7" i="13"/>
  <c r="H7" i="13"/>
  <c r="H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L6" i="13"/>
  <c r="C22" i="8" s="1"/>
  <c r="H6" i="13"/>
  <c r="H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C21" i="8" s="1"/>
  <c r="H5" i="13"/>
  <c r="H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H3" i="13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G50" i="8"/>
  <c r="B50" i="8"/>
  <c r="K49" i="8"/>
  <c r="J49" i="8"/>
  <c r="K48" i="8"/>
  <c r="J48" i="8"/>
  <c r="I48" i="8"/>
  <c r="H48" i="8"/>
  <c r="G48" i="8"/>
  <c r="H44" i="8"/>
  <c r="G44" i="8"/>
  <c r="F44" i="8"/>
  <c r="E44" i="8"/>
  <c r="D44" i="8"/>
  <c r="B44" i="8"/>
  <c r="D43" i="8"/>
  <c r="C43" i="8"/>
  <c r="K42" i="8"/>
  <c r="I42" i="8"/>
  <c r="B42" i="8"/>
  <c r="F41" i="8"/>
  <c r="J37" i="8"/>
  <c r="I37" i="8"/>
  <c r="B37" i="8"/>
  <c r="B36" i="8"/>
  <c r="I35" i="8"/>
  <c r="H35" i="8"/>
  <c r="B35" i="8"/>
  <c r="B34" i="8"/>
  <c r="E29" i="8"/>
  <c r="B28" i="8"/>
  <c r="B25" i="8"/>
  <c r="H24" i="8"/>
  <c r="E24" i="8"/>
  <c r="D23" i="8"/>
  <c r="B23" i="8"/>
  <c r="F21" i="8"/>
  <c r="B21" i="8"/>
  <c r="F20" i="8"/>
  <c r="B20" i="8"/>
  <c r="B19" i="8"/>
  <c r="B18" i="8"/>
  <c r="B13" i="8"/>
  <c r="H10" i="8"/>
  <c r="B10" i="8"/>
  <c r="B8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E96" i="3" s="1"/>
  <c r="I93" i="4"/>
  <c r="J92" i="4"/>
  <c r="E95" i="3" s="1"/>
  <c r="I92" i="4"/>
  <c r="J91" i="4"/>
  <c r="E94" i="3" s="1"/>
  <c r="I91" i="4"/>
  <c r="J90" i="4"/>
  <c r="E93" i="3" s="1"/>
  <c r="I90" i="4"/>
  <c r="J89" i="4"/>
  <c r="I89" i="4"/>
  <c r="J88" i="4"/>
  <c r="E91" i="3" s="1"/>
  <c r="I88" i="4"/>
  <c r="J87" i="4"/>
  <c r="E90" i="3" s="1"/>
  <c r="I87" i="4"/>
  <c r="J86" i="4"/>
  <c r="E89" i="3" s="1"/>
  <c r="I86" i="4"/>
  <c r="J85" i="4"/>
  <c r="I85" i="4"/>
  <c r="J84" i="4"/>
  <c r="E87" i="3" s="1"/>
  <c r="I84" i="4"/>
  <c r="J83" i="4"/>
  <c r="E86" i="3" s="1"/>
  <c r="I83" i="4"/>
  <c r="J82" i="4"/>
  <c r="E85" i="3" s="1"/>
  <c r="I82" i="4"/>
  <c r="J81" i="4"/>
  <c r="E84" i="3" s="1"/>
  <c r="I81" i="4"/>
  <c r="J80" i="4"/>
  <c r="E83" i="3" s="1"/>
  <c r="I80" i="4"/>
  <c r="J79" i="4"/>
  <c r="E82" i="3" s="1"/>
  <c r="I79" i="4"/>
  <c r="E76" i="4"/>
  <c r="J75" i="4"/>
  <c r="I75" i="4"/>
  <c r="J74" i="4"/>
  <c r="E77" i="3" s="1"/>
  <c r="I74" i="4"/>
  <c r="J73" i="4"/>
  <c r="E76" i="3" s="1"/>
  <c r="I73" i="4"/>
  <c r="J72" i="4"/>
  <c r="E75" i="3" s="1"/>
  <c r="I72" i="4"/>
  <c r="J71" i="4"/>
  <c r="E74" i="3" s="1"/>
  <c r="I71" i="4"/>
  <c r="J70" i="4"/>
  <c r="E73" i="3" s="1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E68" i="3" s="1"/>
  <c r="I65" i="4"/>
  <c r="J64" i="4"/>
  <c r="E67" i="3" s="1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I60" i="4"/>
  <c r="E57" i="4"/>
  <c r="E60" i="3" s="1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2" i="3"/>
  <c r="E88" i="3"/>
  <c r="E79" i="3"/>
  <c r="E78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C75" i="5" l="1"/>
  <c r="H75" i="5" s="1"/>
  <c r="G11" i="13" s="1"/>
  <c r="G12" i="8" s="1"/>
  <c r="I49" i="8"/>
  <c r="C32" i="5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R8" i="13"/>
  <c r="K24" i="8"/>
  <c r="R10" i="13"/>
  <c r="C26" i="8"/>
  <c r="AD6" i="13"/>
  <c r="K18" i="8"/>
  <c r="K29" i="8"/>
  <c r="B12" i="8"/>
  <c r="B27" i="8"/>
  <c r="E72" i="5" l="1"/>
  <c r="F72" i="5" s="1"/>
  <c r="G72" i="5" s="1"/>
  <c r="H6" i="9"/>
  <c r="H32" i="5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G3" i="13" s="1"/>
  <c r="G4" i="8" s="1"/>
  <c r="E77" i="5"/>
  <c r="F77" i="5" s="1"/>
  <c r="G77" i="5" s="1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F70" i="5" s="1"/>
  <c r="G70" i="5" s="1"/>
  <c r="H68" i="5"/>
  <c r="G4" i="13" s="1"/>
  <c r="G5" i="8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E51" i="5"/>
  <c r="F51" i="5" s="1"/>
  <c r="G51" i="5" s="1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61" i="5" s="1"/>
  <c r="G61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E55" i="5"/>
  <c r="F55" i="5" s="1"/>
  <c r="G55" i="5" s="1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71" i="5" s="1"/>
  <c r="G71" i="5" s="1"/>
  <c r="F69" i="5"/>
  <c r="G69" i="5" s="1"/>
  <c r="H69" i="5"/>
  <c r="G5" i="13" s="1"/>
  <c r="G6" i="8" s="1"/>
  <c r="I61" i="7"/>
  <c r="F61" i="7"/>
  <c r="E60" i="7"/>
  <c r="F17" i="7"/>
  <c r="I17" i="7"/>
  <c r="E14" i="7"/>
  <c r="I83" i="7"/>
  <c r="E84" i="7"/>
  <c r="F83" i="7"/>
  <c r="H77" i="5"/>
  <c r="G13" i="13" s="1"/>
  <c r="G14" i="8" s="1"/>
  <c r="E67" i="5"/>
  <c r="F67" i="5" s="1"/>
  <c r="G6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F60" i="5" s="1"/>
  <c r="G60" i="5" s="1"/>
  <c r="H55" i="5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G8" i="13" s="1"/>
  <c r="G9" i="8" s="1"/>
  <c r="E75" i="5"/>
  <c r="F75" i="5" s="1"/>
  <c r="G75" i="5" s="1"/>
  <c r="I75" i="5" s="1"/>
  <c r="E66" i="5"/>
  <c r="F66" i="5" s="1"/>
  <c r="G66" i="5" s="1"/>
  <c r="H76" i="5"/>
  <c r="G12" i="13" s="1"/>
  <c r="G13" i="8" s="1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E53" i="5"/>
  <c r="F53" i="5" s="1"/>
  <c r="G53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H71" i="5"/>
  <c r="G7" i="13" s="1"/>
  <c r="G8" i="8" s="1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E52" i="5"/>
  <c r="F52" i="5" s="1"/>
  <c r="G52" i="5" s="1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G10" i="13" s="1"/>
  <c r="G11" i="8" s="1"/>
  <c r="E73" i="5"/>
  <c r="F73" i="5" s="1"/>
  <c r="G73" i="5" s="1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F76" i="5" s="1"/>
  <c r="G76" i="5" s="1"/>
  <c r="H66" i="5"/>
  <c r="G2" i="13" s="1"/>
  <c r="G3" i="8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H52" i="5"/>
  <c r="E57" i="5"/>
  <c r="F57" i="5" s="1"/>
  <c r="G57" i="5" s="1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4" i="5" s="1"/>
  <c r="G74" i="5" s="1"/>
  <c r="H73" i="5"/>
  <c r="G9" i="13" s="1"/>
  <c r="G10" i="8" s="1"/>
  <c r="E62" i="5"/>
  <c r="F62" i="5" s="1"/>
  <c r="G62" i="5" s="1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H59" i="5"/>
  <c r="E56" i="5"/>
  <c r="F56" i="5" s="1"/>
  <c r="G56" i="5" s="1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E54" i="5"/>
  <c r="F54" i="5" s="1"/>
  <c r="G54" i="5" s="1"/>
  <c r="E27" i="7"/>
  <c r="F25" i="7"/>
  <c r="I25" i="7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E59" i="5"/>
  <c r="F59" i="5" s="1"/>
  <c r="G59" i="5" s="1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G6" i="13" s="1"/>
  <c r="G7" i="8" s="1"/>
  <c r="E68" i="5"/>
  <c r="F68" i="5" s="1"/>
  <c r="G68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E58" i="5"/>
  <c r="F58" i="5" s="1"/>
  <c r="G58" i="5" s="1"/>
  <c r="I23" i="7"/>
  <c r="E21" i="7"/>
  <c r="F23" i="7"/>
  <c r="I70" i="5" l="1"/>
  <c r="I74" i="5"/>
  <c r="I77" i="5"/>
  <c r="F7" i="13"/>
  <c r="F8" i="8" s="1"/>
  <c r="F11" i="13"/>
  <c r="F12" i="8" s="1"/>
  <c r="F3" i="13"/>
  <c r="F4" i="8" s="1"/>
  <c r="F9" i="13"/>
  <c r="F10" i="8" s="1"/>
  <c r="F10" i="13"/>
  <c r="F11" i="8" s="1"/>
  <c r="F5" i="13"/>
  <c r="F6" i="8" s="1"/>
  <c r="F6" i="13"/>
  <c r="F7" i="8" s="1"/>
  <c r="F2" i="13"/>
  <c r="F3" i="8" s="1"/>
  <c r="F8" i="13"/>
  <c r="F9" i="8" s="1"/>
  <c r="F12" i="13"/>
  <c r="F13" i="8" s="1"/>
  <c r="F4" i="13"/>
  <c r="F5" i="8" s="1"/>
  <c r="F13" i="13"/>
  <c r="F14" i="8" s="1"/>
  <c r="I55" i="5"/>
  <c r="I54" i="5"/>
  <c r="I56" i="5"/>
  <c r="I52" i="5"/>
  <c r="I57" i="5"/>
  <c r="I58" i="5"/>
  <c r="I60" i="5"/>
  <c r="I59" i="5"/>
  <c r="I51" i="5"/>
  <c r="I46" i="5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<sst xmlns="http://schemas.openxmlformats.org/spreadsheetml/2006/main" count="4126" uniqueCount="346">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</sst>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B16" sqref="B1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3" t="s">
        <v>0</v>
      </c>
      <c r="B1" s="23"/>
      <c r="C1" s="23"/>
      <c r="D1" s="23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5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2" t="s">
        <v>25</v>
      </c>
      <c r="B1" s="22"/>
      <c r="C1" s="22"/>
      <c r="D1" s="22"/>
      <c r="E1" s="22"/>
      <c r="F1" s="22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2" t="s">
        <v>36</v>
      </c>
      <c r="B56" s="22"/>
      <c r="C56" s="22"/>
      <c r="D56" s="22"/>
      <c r="E56" s="22"/>
      <c r="F56" s="22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2" t="s">
        <v>43</v>
      </c>
      <c r="B111" s="22"/>
      <c r="C111" s="22"/>
      <c r="D111" s="22"/>
      <c r="E111" s="22"/>
      <c r="F111" s="22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60" zoomScaleNormal="100" workbookViewId="0">
      <selection activeCell="R97" sqref="R97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4" t="s">
        <v>50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15" customHeight="1" x14ac:dyDescent="0.25">
      <c r="A2" s="25" t="s">
        <v>51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</row>
    <row r="4" spans="1:17" ht="15" customHeight="1" x14ac:dyDescent="0.25">
      <c r="A4" s="26" t="s">
        <v>52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6" t="s">
        <v>90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6" t="s">
        <v>91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6" t="s">
        <v>92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>ATL</v>
      </c>
      <c r="F78" s="10" t="s">
        <v>73</v>
      </c>
      <c r="G78" s="10" t="s">
        <v>73</v>
      </c>
      <c r="H78" s="10" t="s">
        <v>73</v>
      </c>
      <c r="I78" s="10" t="s">
        <v>73</v>
      </c>
      <c r="J78" s="10" t="s">
        <v>73</v>
      </c>
      <c r="K78" s="10" t="s">
        <v>73</v>
      </c>
      <c r="L78" s="10" t="s">
        <v>65</v>
      </c>
      <c r="M78" s="10" t="s">
        <v>73</v>
      </c>
      <c r="N78" s="10" t="s">
        <v>73</v>
      </c>
      <c r="O78" s="10" t="s">
        <v>65</v>
      </c>
      <c r="P78" s="10" t="s">
        <v>65</v>
      </c>
      <c r="Q78" s="10" t="s">
        <v>65</v>
      </c>
    </row>
    <row r="79" spans="1:17" x14ac:dyDescent="0.25">
      <c r="A79" s="11" t="s">
        <v>63</v>
      </c>
      <c r="B79" s="12" t="s">
        <v>89</v>
      </c>
      <c r="E79" s="13">
        <f>'NFL Schedule'!E76</f>
        <v>69</v>
      </c>
      <c r="F79" s="14">
        <v>45</v>
      </c>
      <c r="G79" s="14">
        <v>45</v>
      </c>
      <c r="H79" s="14">
        <v>51</v>
      </c>
      <c r="I79" s="14">
        <v>40</v>
      </c>
      <c r="J79" s="14">
        <v>32</v>
      </c>
      <c r="K79" s="14">
        <v>42</v>
      </c>
      <c r="L79" s="14">
        <v>42</v>
      </c>
      <c r="M79" s="14">
        <v>45</v>
      </c>
      <c r="N79" s="14">
        <v>49</v>
      </c>
      <c r="O79" s="14">
        <v>42</v>
      </c>
      <c r="P79" s="14">
        <v>41</v>
      </c>
      <c r="Q79" s="14">
        <v>44</v>
      </c>
    </row>
    <row r="80" spans="1:17" ht="15" customHeight="1" x14ac:dyDescent="0.25">
      <c r="A80" s="26" t="s">
        <v>93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>TB</v>
      </c>
      <c r="F82" s="10" t="s">
        <v>63</v>
      </c>
      <c r="G82" s="10" t="s">
        <v>85</v>
      </c>
      <c r="H82" s="10" t="s">
        <v>85</v>
      </c>
      <c r="I82" s="10"/>
      <c r="J82" s="10"/>
      <c r="K82" s="10" t="s">
        <v>85</v>
      </c>
      <c r="L82" s="10" t="s">
        <v>85</v>
      </c>
      <c r="M82" s="10" t="s">
        <v>85</v>
      </c>
      <c r="N82" s="10" t="s">
        <v>63</v>
      </c>
      <c r="O82" s="10"/>
      <c r="P82" s="10"/>
      <c r="Q82" s="10" t="s">
        <v>85</v>
      </c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>PHI</v>
      </c>
      <c r="F83" s="10" t="s">
        <v>72</v>
      </c>
      <c r="G83" s="10" t="s">
        <v>84</v>
      </c>
      <c r="H83" s="10" t="s">
        <v>72</v>
      </c>
      <c r="I83" s="10"/>
      <c r="J83" s="10" t="s">
        <v>72</v>
      </c>
      <c r="K83" s="10" t="s">
        <v>84</v>
      </c>
      <c r="L83" s="10" t="s">
        <v>72</v>
      </c>
      <c r="M83" s="10" t="s">
        <v>72</v>
      </c>
      <c r="N83" s="10" t="s">
        <v>72</v>
      </c>
      <c r="O83" s="10" t="s">
        <v>72</v>
      </c>
      <c r="P83" s="10" t="s">
        <v>72</v>
      </c>
      <c r="Q83" s="10" t="s">
        <v>72</v>
      </c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>HOU</v>
      </c>
      <c r="F84" s="10" t="s">
        <v>68</v>
      </c>
      <c r="G84" s="10" t="s">
        <v>68</v>
      </c>
      <c r="H84" s="10" t="s">
        <v>76</v>
      </c>
      <c r="I84" s="10"/>
      <c r="J84" s="10" t="s">
        <v>68</v>
      </c>
      <c r="K84" s="10" t="s">
        <v>68</v>
      </c>
      <c r="L84" s="10" t="s">
        <v>76</v>
      </c>
      <c r="M84" s="10" t="s">
        <v>68</v>
      </c>
      <c r="N84" s="10" t="s">
        <v>76</v>
      </c>
      <c r="O84" s="10" t="s">
        <v>68</v>
      </c>
      <c r="P84" s="10" t="s">
        <v>68</v>
      </c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>MIA</v>
      </c>
      <c r="F85" s="10" t="s">
        <v>64</v>
      </c>
      <c r="G85" s="10" t="s">
        <v>64</v>
      </c>
      <c r="H85" s="10" t="s">
        <v>64</v>
      </c>
      <c r="I85" s="10"/>
      <c r="J85" s="10" t="s">
        <v>64</v>
      </c>
      <c r="K85" s="10" t="s">
        <v>64</v>
      </c>
      <c r="L85" s="10" t="s">
        <v>64</v>
      </c>
      <c r="M85" s="10" t="s">
        <v>64</v>
      </c>
      <c r="N85" s="10" t="s">
        <v>79</v>
      </c>
      <c r="O85" s="10" t="s">
        <v>64</v>
      </c>
      <c r="P85" s="10" t="s">
        <v>64</v>
      </c>
      <c r="Q85" s="10" t="s">
        <v>64</v>
      </c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>NE</v>
      </c>
      <c r="F86" s="10" t="s">
        <v>57</v>
      </c>
      <c r="G86" s="10" t="s">
        <v>80</v>
      </c>
      <c r="H86" s="10" t="s">
        <v>57</v>
      </c>
      <c r="I86" s="10"/>
      <c r="J86" s="10" t="s">
        <v>80</v>
      </c>
      <c r="K86" s="10" t="s">
        <v>80</v>
      </c>
      <c r="L86" s="10" t="s">
        <v>57</v>
      </c>
      <c r="M86" s="10" t="s">
        <v>57</v>
      </c>
      <c r="N86" s="10" t="s">
        <v>80</v>
      </c>
      <c r="O86" s="10" t="s">
        <v>57</v>
      </c>
      <c r="P86" s="10" t="s">
        <v>80</v>
      </c>
      <c r="Q86" s="10" t="s">
        <v>57</v>
      </c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>MIN</v>
      </c>
      <c r="F87" s="10" t="s">
        <v>82</v>
      </c>
      <c r="G87" s="10" t="s">
        <v>82</v>
      </c>
      <c r="H87" s="10" t="s">
        <v>65</v>
      </c>
      <c r="I87" s="10"/>
      <c r="J87" s="10" t="s">
        <v>82</v>
      </c>
      <c r="K87" s="10" t="s">
        <v>82</v>
      </c>
      <c r="L87" s="10" t="s">
        <v>82</v>
      </c>
      <c r="M87" s="10" t="s">
        <v>82</v>
      </c>
      <c r="N87" s="10" t="s">
        <v>65</v>
      </c>
      <c r="O87" s="10" t="s">
        <v>82</v>
      </c>
      <c r="P87" s="10" t="s">
        <v>65</v>
      </c>
      <c r="Q87" s="10" t="s">
        <v>65</v>
      </c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>NYJ</v>
      </c>
      <c r="F88" s="10" t="s">
        <v>71</v>
      </c>
      <c r="G88" s="10" t="s">
        <v>71</v>
      </c>
      <c r="H88" s="10" t="s">
        <v>71</v>
      </c>
      <c r="I88" s="10"/>
      <c r="J88" s="10" t="s">
        <v>71</v>
      </c>
      <c r="K88" s="10" t="s">
        <v>71</v>
      </c>
      <c r="L88" s="10" t="s">
        <v>71</v>
      </c>
      <c r="M88" s="10" t="s">
        <v>71</v>
      </c>
      <c r="N88" s="10" t="s">
        <v>71</v>
      </c>
      <c r="O88" s="10" t="s">
        <v>71</v>
      </c>
      <c r="P88" s="10" t="s">
        <v>71</v>
      </c>
      <c r="Q88" s="10" t="s">
        <v>71</v>
      </c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>PIT</v>
      </c>
      <c r="F89" s="10" t="s">
        <v>70</v>
      </c>
      <c r="G89" s="10" t="s">
        <v>70</v>
      </c>
      <c r="H89" s="10" t="s">
        <v>70</v>
      </c>
      <c r="I89" s="10"/>
      <c r="J89" s="10" t="s">
        <v>74</v>
      </c>
      <c r="K89" s="10" t="s">
        <v>74</v>
      </c>
      <c r="L89" s="10" t="s">
        <v>70</v>
      </c>
      <c r="M89" s="10" t="s">
        <v>70</v>
      </c>
      <c r="N89" s="10" t="s">
        <v>70</v>
      </c>
      <c r="O89" s="10" t="s">
        <v>70</v>
      </c>
      <c r="P89" s="10" t="s">
        <v>70</v>
      </c>
      <c r="Q89" s="10" t="s">
        <v>74</v>
      </c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>NYG</v>
      </c>
      <c r="F90" s="10" t="s">
        <v>86</v>
      </c>
      <c r="G90" s="10" t="s">
        <v>86</v>
      </c>
      <c r="H90" s="10" t="s">
        <v>86</v>
      </c>
      <c r="I90" s="10"/>
      <c r="J90" s="10" t="s">
        <v>86</v>
      </c>
      <c r="K90" s="10" t="s">
        <v>86</v>
      </c>
      <c r="L90" s="10" t="s">
        <v>86</v>
      </c>
      <c r="M90" s="10" t="s">
        <v>83</v>
      </c>
      <c r="N90" s="10" t="s">
        <v>86</v>
      </c>
      <c r="O90" s="10" t="s">
        <v>83</v>
      </c>
      <c r="P90" s="10" t="s">
        <v>86</v>
      </c>
      <c r="Q90" s="10" t="s">
        <v>83</v>
      </c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>DEN</v>
      </c>
      <c r="F91" s="10" t="s">
        <v>87</v>
      </c>
      <c r="G91" s="10" t="s">
        <v>87</v>
      </c>
      <c r="H91" s="10" t="s">
        <v>87</v>
      </c>
      <c r="I91" s="10"/>
      <c r="J91" s="10" t="s">
        <v>87</v>
      </c>
      <c r="K91" s="10" t="s">
        <v>87</v>
      </c>
      <c r="L91" s="10" t="s">
        <v>87</v>
      </c>
      <c r="M91" s="10" t="s">
        <v>87</v>
      </c>
      <c r="N91" s="10" t="s">
        <v>78</v>
      </c>
      <c r="O91" s="10" t="s">
        <v>87</v>
      </c>
      <c r="P91" s="10" t="s">
        <v>87</v>
      </c>
      <c r="Q91" s="10" t="s">
        <v>87</v>
      </c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>GB</v>
      </c>
      <c r="F92" s="10" t="s">
        <v>61</v>
      </c>
      <c r="G92" s="10" t="s">
        <v>61</v>
      </c>
      <c r="H92" s="10" t="s">
        <v>61</v>
      </c>
      <c r="I92" s="10"/>
      <c r="J92" s="10" t="s">
        <v>81</v>
      </c>
      <c r="K92" s="10" t="s">
        <v>61</v>
      </c>
      <c r="L92" s="10" t="s">
        <v>61</v>
      </c>
      <c r="M92" s="10" t="s">
        <v>61</v>
      </c>
      <c r="N92" s="10" t="s">
        <v>81</v>
      </c>
      <c r="O92" s="10" t="s">
        <v>61</v>
      </c>
      <c r="P92" s="10" t="s">
        <v>61</v>
      </c>
      <c r="Q92" s="10" t="s">
        <v>61</v>
      </c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>DET</v>
      </c>
      <c r="F93" s="10" t="s">
        <v>77</v>
      </c>
      <c r="G93" s="10" t="s">
        <v>66</v>
      </c>
      <c r="H93" s="10" t="s">
        <v>66</v>
      </c>
      <c r="I93" s="10"/>
      <c r="J93" s="10" t="s">
        <v>77</v>
      </c>
      <c r="K93" s="10" t="s">
        <v>66</v>
      </c>
      <c r="L93" s="10" t="s">
        <v>66</v>
      </c>
      <c r="M93" s="10" t="s">
        <v>66</v>
      </c>
      <c r="N93" s="10" t="s">
        <v>77</v>
      </c>
      <c r="O93" s="10" t="s">
        <v>66</v>
      </c>
      <c r="P93" s="10" t="s">
        <v>77</v>
      </c>
      <c r="Q93" s="10" t="s">
        <v>77</v>
      </c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>SF</v>
      </c>
      <c r="F94" s="10" t="s">
        <v>59</v>
      </c>
      <c r="G94" s="10" t="s">
        <v>59</v>
      </c>
      <c r="H94" s="10" t="s">
        <v>58</v>
      </c>
      <c r="I94" s="10"/>
      <c r="J94" s="10" t="s">
        <v>59</v>
      </c>
      <c r="K94" s="10" t="s">
        <v>59</v>
      </c>
      <c r="L94" s="10" t="s">
        <v>59</v>
      </c>
      <c r="M94" s="10" t="s">
        <v>59</v>
      </c>
      <c r="N94" s="10" t="s">
        <v>59</v>
      </c>
      <c r="O94" s="10" t="s">
        <v>59</v>
      </c>
      <c r="P94" s="10" t="s">
        <v>58</v>
      </c>
      <c r="Q94" s="10" t="s">
        <v>58</v>
      </c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>BAL</v>
      </c>
      <c r="F95" s="10" t="s">
        <v>69</v>
      </c>
      <c r="G95" s="10" t="s">
        <v>69</v>
      </c>
      <c r="H95" s="10" t="s">
        <v>73</v>
      </c>
      <c r="I95" s="10"/>
      <c r="J95" s="10" t="s">
        <v>69</v>
      </c>
      <c r="K95" s="10" t="s">
        <v>69</v>
      </c>
      <c r="L95" s="10" t="s">
        <v>73</v>
      </c>
      <c r="M95" s="10" t="s">
        <v>73</v>
      </c>
      <c r="N95" s="10" t="s">
        <v>73</v>
      </c>
      <c r="O95" s="10" t="s">
        <v>69</v>
      </c>
      <c r="P95" s="10" t="s">
        <v>69</v>
      </c>
      <c r="Q95" s="10" t="s">
        <v>73</v>
      </c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>BUF</v>
      </c>
      <c r="F96" s="10" t="s">
        <v>67</v>
      </c>
      <c r="G96" s="10" t="s">
        <v>67</v>
      </c>
      <c r="H96" s="10" t="s">
        <v>67</v>
      </c>
      <c r="I96" s="10"/>
      <c r="J96" s="10" t="s">
        <v>67</v>
      </c>
      <c r="K96" s="10" t="s">
        <v>67</v>
      </c>
      <c r="L96" s="10" t="s">
        <v>67</v>
      </c>
      <c r="M96" s="10" t="s">
        <v>67</v>
      </c>
      <c r="N96" s="10" t="s">
        <v>67</v>
      </c>
      <c r="O96" s="10" t="s">
        <v>60</v>
      </c>
      <c r="P96" s="10" t="s">
        <v>67</v>
      </c>
      <c r="Q96" s="10" t="s">
        <v>67</v>
      </c>
    </row>
    <row r="97" spans="1:17" x14ac:dyDescent="0.25">
      <c r="A97" s="11" t="s">
        <v>63</v>
      </c>
      <c r="B97" s="12" t="s">
        <v>89</v>
      </c>
      <c r="E97" s="13">
        <f>'NFL Schedule'!E94</f>
        <v>71</v>
      </c>
      <c r="F97" s="14">
        <v>51</v>
      </c>
      <c r="G97" s="14">
        <v>52</v>
      </c>
      <c r="H97" s="14">
        <v>43</v>
      </c>
      <c r="I97" s="14"/>
      <c r="J97" s="14">
        <v>45</v>
      </c>
      <c r="K97" s="14">
        <v>42</v>
      </c>
      <c r="L97" s="14">
        <v>52</v>
      </c>
      <c r="M97" s="14">
        <v>45</v>
      </c>
      <c r="N97" s="14">
        <v>55</v>
      </c>
      <c r="O97" s="14">
        <v>50</v>
      </c>
      <c r="P97" s="14">
        <v>52</v>
      </c>
      <c r="Q97" s="14">
        <v>51</v>
      </c>
    </row>
    <row r="98" spans="1:17" ht="15" customHeight="1" x14ac:dyDescent="0.25">
      <c r="A98" s="26" t="s">
        <v>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6" t="s">
        <v>95</v>
      </c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6" t="s">
        <v>96</v>
      </c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6" t="s">
        <v>97</v>
      </c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6" t="s">
        <v>98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6" t="s">
        <v>99</v>
      </c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6" t="s">
        <v>100</v>
      </c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6" t="s">
        <v>101</v>
      </c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6" t="s">
        <v>102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6" t="s">
        <v>103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6" t="s">
        <v>104</v>
      </c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6" t="s">
        <v>105</v>
      </c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6" t="s">
        <v>106</v>
      </c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64" zoomScaleNormal="100" workbookViewId="0">
      <selection activeCell="I93" sqref="I93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5" t="s">
        <v>89</v>
      </c>
      <c r="E57" s="16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E75">
        <v>45</v>
      </c>
      <c r="F75" t="s">
        <v>65</v>
      </c>
      <c r="G75">
        <v>24</v>
      </c>
      <c r="H75">
        <v>2.5</v>
      </c>
      <c r="I75" t="str">
        <f t="shared" si="6"/>
        <v>ATL</v>
      </c>
      <c r="J75" t="str">
        <f t="shared" si="7"/>
        <v>ATL</v>
      </c>
    </row>
    <row r="76" spans="1:10" x14ac:dyDescent="0.25">
      <c r="D76" s="15" t="s">
        <v>89</v>
      </c>
      <c r="E76" s="16">
        <f>IF(AND(E75&lt;&gt;"",G75&lt;&gt;""),E75+G75,"")</f>
        <v>69</v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E79">
        <v>24</v>
      </c>
      <c r="F79" t="s">
        <v>85</v>
      </c>
      <c r="G79">
        <v>16</v>
      </c>
      <c r="H79">
        <v>8.5</v>
      </c>
      <c r="I79" t="str">
        <f t="shared" ref="I79:I93" si="8">IF(OR(E79="",G79=""),"",IF(E79&gt;G79,D79,IF(G79&gt;E79,F79,"TIE")))</f>
        <v>TB</v>
      </c>
      <c r="J79" t="str">
        <f t="shared" ref="J79:J93" si="9">IF(OR(E79="",G79="",H79=""),"",IF(E79+H79&gt;G79,D79,IF(E79+H79&lt;G79,F79,"PUSH")))</f>
        <v>TB</v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E80">
        <v>17</v>
      </c>
      <c r="F80" t="s">
        <v>72</v>
      </c>
      <c r="G80">
        <v>19</v>
      </c>
      <c r="H80">
        <v>6.5</v>
      </c>
      <c r="I80" t="str">
        <f t="shared" si="8"/>
        <v>JAX</v>
      </c>
      <c r="J80" t="str">
        <f t="shared" si="9"/>
        <v>PHI</v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E81">
        <v>26</v>
      </c>
      <c r="F81" t="s">
        <v>76</v>
      </c>
      <c r="G81">
        <v>3</v>
      </c>
      <c r="H81">
        <v>-7.5</v>
      </c>
      <c r="I81" t="str">
        <f t="shared" si="8"/>
        <v>HOU</v>
      </c>
      <c r="J81" t="str">
        <f t="shared" si="9"/>
        <v>HOU</v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E82">
        <v>31</v>
      </c>
      <c r="F82" t="s">
        <v>79</v>
      </c>
      <c r="G82">
        <v>24</v>
      </c>
      <c r="H82">
        <v>-7.5</v>
      </c>
      <c r="I82" t="str">
        <f t="shared" si="8"/>
        <v>CIN</v>
      </c>
      <c r="J82" t="str">
        <f t="shared" si="9"/>
        <v>MIA</v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E83">
        <v>17</v>
      </c>
      <c r="F83" t="s">
        <v>57</v>
      </c>
      <c r="G83">
        <v>45</v>
      </c>
      <c r="H83">
        <v>3.5</v>
      </c>
      <c r="I83" t="str">
        <f t="shared" si="8"/>
        <v>NE</v>
      </c>
      <c r="J83" t="str">
        <f t="shared" si="9"/>
        <v>NE</v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E84">
        <v>23</v>
      </c>
      <c r="F84" t="s">
        <v>65</v>
      </c>
      <c r="G84">
        <v>13</v>
      </c>
      <c r="H84">
        <v>-1.5</v>
      </c>
      <c r="I84" t="str">
        <f t="shared" si="8"/>
        <v>MIN</v>
      </c>
      <c r="J84" t="str">
        <f t="shared" si="9"/>
        <v>MIN</v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E85">
        <v>12</v>
      </c>
      <c r="F85" t="s">
        <v>75</v>
      </c>
      <c r="G85">
        <v>17</v>
      </c>
      <c r="H85">
        <v>2.5</v>
      </c>
      <c r="I85" t="str">
        <f t="shared" si="8"/>
        <v>NYJ</v>
      </c>
      <c r="J85" t="str">
        <f t="shared" si="9"/>
        <v>NYJ</v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E86">
        <v>22</v>
      </c>
      <c r="F86" t="s">
        <v>74</v>
      </c>
      <c r="G86">
        <v>34</v>
      </c>
      <c r="H86">
        <v>2.5</v>
      </c>
      <c r="I86" t="str">
        <f t="shared" si="8"/>
        <v>PIT</v>
      </c>
      <c r="J86" t="str">
        <f t="shared" si="9"/>
        <v>PIT</v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E87">
        <v>27</v>
      </c>
      <c r="F87" t="s">
        <v>83</v>
      </c>
      <c r="G87">
        <v>27</v>
      </c>
      <c r="H87">
        <v>3.5</v>
      </c>
      <c r="I87" t="str">
        <f t="shared" si="8"/>
        <v>TIE</v>
      </c>
      <c r="J87" t="str">
        <f t="shared" si="9"/>
        <v>NYG</v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E88">
        <v>23</v>
      </c>
      <c r="F88" t="s">
        <v>78</v>
      </c>
      <c r="G88">
        <v>17</v>
      </c>
      <c r="H88">
        <v>-3.5</v>
      </c>
      <c r="I88" t="str">
        <f t="shared" si="8"/>
        <v>DEN</v>
      </c>
      <c r="J88" t="str">
        <f t="shared" si="9"/>
        <v>DEN</v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E89">
        <v>7</v>
      </c>
      <c r="F89" t="s">
        <v>81</v>
      </c>
      <c r="G89">
        <v>31</v>
      </c>
      <c r="H89">
        <v>-2.5</v>
      </c>
      <c r="I89" t="str">
        <f t="shared" si="8"/>
        <v>GB</v>
      </c>
      <c r="J89" t="str">
        <f t="shared" si="9"/>
        <v>GB</v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E90">
        <v>45</v>
      </c>
      <c r="F90" t="s">
        <v>77</v>
      </c>
      <c r="G90">
        <v>21</v>
      </c>
      <c r="H90">
        <v>-4.5</v>
      </c>
      <c r="I90" t="str">
        <f t="shared" si="8"/>
        <v>DET</v>
      </c>
      <c r="J90" t="str">
        <f t="shared" si="9"/>
        <v>DET</v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E91">
        <v>32</v>
      </c>
      <c r="F91" t="s">
        <v>58</v>
      </c>
      <c r="G91">
        <v>29</v>
      </c>
      <c r="H91">
        <v>2.5</v>
      </c>
      <c r="I91" t="str">
        <f t="shared" si="8"/>
        <v>SF</v>
      </c>
      <c r="J91" t="str">
        <f t="shared" si="9"/>
        <v>SF</v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E92">
        <v>30</v>
      </c>
      <c r="F92" t="s">
        <v>73</v>
      </c>
      <c r="G92">
        <v>23</v>
      </c>
      <c r="H92">
        <v>2.5</v>
      </c>
      <c r="I92" t="str">
        <f t="shared" si="8"/>
        <v>BAL</v>
      </c>
      <c r="J92" t="str">
        <f t="shared" si="9"/>
        <v>BAL</v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E93">
        <v>37</v>
      </c>
      <c r="F93" t="s">
        <v>60</v>
      </c>
      <c r="G93">
        <v>34</v>
      </c>
      <c r="H93">
        <v>2.5</v>
      </c>
      <c r="I93" t="str">
        <f t="shared" si="8"/>
        <v>BUF</v>
      </c>
      <c r="J93" t="str">
        <f t="shared" si="9"/>
        <v>BUF</v>
      </c>
    </row>
    <row r="94" spans="1:10" x14ac:dyDescent="0.25">
      <c r="D94" s="15" t="s">
        <v>89</v>
      </c>
      <c r="E94" s="16">
        <f>IF(AND(E93&lt;&gt;"",G93&lt;&gt;""),E93+G93,"")</f>
        <v>71</v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abSelected="1" topLeftCell="A54" zoomScaleNormal="100" workbookViewId="0">
      <selection activeCell="C77" sqref="C77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187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8</v>
      </c>
      <c r="D51">
        <v>8</v>
      </c>
      <c r="E51">
        <f>IFERROR(INDEX(C$51:C$62,MATCH(8,A$51:A$62,0)),0)</f>
        <v>8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8</v>
      </c>
      <c r="I51">
        <f t="shared" ref="I51:I62" si="11">G51+H51</f>
        <v>11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7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W</v>
      </c>
      <c r="G52">
        <f t="shared" si="9"/>
        <v>6</v>
      </c>
      <c r="H52">
        <f t="shared" si="10"/>
        <v>7</v>
      </c>
      <c r="I52">
        <f t="shared" si="11"/>
        <v>13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9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9</v>
      </c>
      <c r="I53">
        <f t="shared" si="11"/>
        <v>15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12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12</v>
      </c>
      <c r="I54">
        <f t="shared" si="11"/>
        <v>18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6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6</v>
      </c>
      <c r="I55">
        <f t="shared" si="11"/>
        <v>6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7</v>
      </c>
      <c r="D56">
        <v>9</v>
      </c>
      <c r="E56">
        <f>IFERROR(INDEX(C$51:C$62,MATCH(9,A$51:A$62,0)),0)</f>
        <v>8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7</v>
      </c>
      <c r="I56">
        <f t="shared" si="11"/>
        <v>7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7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L</v>
      </c>
      <c r="G57">
        <f t="shared" si="9"/>
        <v>0</v>
      </c>
      <c r="H57">
        <f t="shared" si="10"/>
        <v>6</v>
      </c>
      <c r="I57">
        <f t="shared" si="11"/>
        <v>6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8</v>
      </c>
      <c r="D58">
        <v>1</v>
      </c>
      <c r="E58">
        <f>IFERROR(INDEX(C$51:C$62,MATCH(1,A$51:A$62,0)),0)</f>
        <v>8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8</v>
      </c>
      <c r="I58">
        <f t="shared" si="11"/>
        <v>11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8</v>
      </c>
      <c r="D59">
        <v>6</v>
      </c>
      <c r="E59">
        <f>IFERROR(INDEX(C$51:C$62,MATCH(6,A$51:A$62,0)),0)</f>
        <v>7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8</v>
      </c>
      <c r="I59">
        <f t="shared" si="11"/>
        <v>14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6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12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9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9</v>
      </c>
      <c r="D66">
        <v>11</v>
      </c>
      <c r="E66">
        <f>IFERROR(INDEX(C$66:C$77,MATCH(11,A$66:A$77,0)),0)</f>
        <v>5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W</v>
      </c>
      <c r="G66">
        <f t="shared" ref="G66:G77" si="12">IF(F66="W",6,IF(F66="T",3,0))</f>
        <v>6</v>
      </c>
      <c r="H66">
        <f t="shared" ref="H66:H77" si="13">IF(C66="",0,C66)</f>
        <v>9</v>
      </c>
      <c r="I66">
        <f t="shared" ref="I66:I77" si="14">G66+H66</f>
        <v>15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9</v>
      </c>
      <c r="D67">
        <v>12</v>
      </c>
      <c r="E67">
        <f>IFERROR(INDEX(C$66:C$77,MATCH(12,A$66:A$77,0)),0)</f>
        <v>4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W</v>
      </c>
      <c r="G67">
        <f t="shared" si="12"/>
        <v>6</v>
      </c>
      <c r="H67">
        <f t="shared" si="13"/>
        <v>9</v>
      </c>
      <c r="I67">
        <f t="shared" si="14"/>
        <v>15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5</v>
      </c>
      <c r="D68">
        <v>5</v>
      </c>
      <c r="E68">
        <f>IFERROR(INDEX(C$66:C$77,MATCH(5,A$66:A$77,0)),0)</f>
        <v>9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L</v>
      </c>
      <c r="G68">
        <f t="shared" si="12"/>
        <v>0</v>
      </c>
      <c r="H68">
        <f t="shared" si="13"/>
        <v>5</v>
      </c>
      <c r="I68">
        <f t="shared" si="14"/>
        <v>5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10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9</v>
      </c>
      <c r="D70">
        <v>3</v>
      </c>
      <c r="E70">
        <f>IFERROR(INDEX(C$66:C$77,MATCH(3,A$66:A$77,0)),0)</f>
        <v>5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W</v>
      </c>
      <c r="G70">
        <f t="shared" si="12"/>
        <v>6</v>
      </c>
      <c r="H70">
        <f t="shared" si="13"/>
        <v>9</v>
      </c>
      <c r="I70">
        <f t="shared" si="14"/>
        <v>15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10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W</v>
      </c>
      <c r="G71">
        <f t="shared" si="12"/>
        <v>6</v>
      </c>
      <c r="H71">
        <f t="shared" si="13"/>
        <v>10</v>
      </c>
      <c r="I71">
        <f t="shared" si="14"/>
        <v>16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7</v>
      </c>
      <c r="D72">
        <v>10</v>
      </c>
      <c r="E72">
        <f>IFERROR(INDEX(C$66:C$77,MATCH(10,A$66:A$77,0)),0)</f>
        <v>7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W</v>
      </c>
      <c r="G72">
        <f t="shared" si="12"/>
        <v>6</v>
      </c>
      <c r="H72">
        <f t="shared" si="13"/>
        <v>7</v>
      </c>
      <c r="I72">
        <f t="shared" si="14"/>
        <v>13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7</v>
      </c>
      <c r="D73">
        <v>9</v>
      </c>
      <c r="E73">
        <f>IFERROR(INDEX(C$66:C$77,MATCH(9,A$66:A$77,0)),0)</f>
        <v>6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W</v>
      </c>
      <c r="G73">
        <f t="shared" si="12"/>
        <v>6</v>
      </c>
      <c r="H73">
        <f t="shared" si="13"/>
        <v>7</v>
      </c>
      <c r="I73">
        <f t="shared" si="14"/>
        <v>13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6</v>
      </c>
      <c r="D74">
        <v>8</v>
      </c>
      <c r="E74">
        <f>IFERROR(INDEX(C$66:C$77,MATCH(8,A$66:A$77,0)),0)</f>
        <v>7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L</v>
      </c>
      <c r="G74">
        <f t="shared" si="12"/>
        <v>0</v>
      </c>
      <c r="H74">
        <f t="shared" si="13"/>
        <v>6</v>
      </c>
      <c r="I74">
        <f t="shared" si="14"/>
        <v>6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7</v>
      </c>
      <c r="D75">
        <v>7</v>
      </c>
      <c r="E75">
        <f>IFERROR(INDEX(C$66:C$77,MATCH(7,A$66:A$77,0)),0)</f>
        <v>7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L</v>
      </c>
      <c r="G75">
        <f t="shared" si="12"/>
        <v>0</v>
      </c>
      <c r="H75">
        <f t="shared" si="13"/>
        <v>7</v>
      </c>
      <c r="I75">
        <f t="shared" si="14"/>
        <v>7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5</v>
      </c>
      <c r="D76">
        <v>1</v>
      </c>
      <c r="E76">
        <f>IFERROR(INDEX(C$66:C$77,MATCH(1,A$66:A$77,0)),0)</f>
        <v>9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L</v>
      </c>
      <c r="G76">
        <f t="shared" si="12"/>
        <v>0</v>
      </c>
      <c r="H76">
        <f t="shared" si="13"/>
        <v>5</v>
      </c>
      <c r="I76">
        <f t="shared" si="14"/>
        <v>5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4</v>
      </c>
      <c r="D77">
        <v>2</v>
      </c>
      <c r="E77">
        <f>IFERROR(INDEX(C$66:C$77,MATCH(2,A$66:A$77,0)),0)</f>
        <v>9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L</v>
      </c>
      <c r="G77">
        <f t="shared" si="12"/>
        <v>0</v>
      </c>
      <c r="H77">
        <f t="shared" si="13"/>
        <v>4</v>
      </c>
      <c r="I77">
        <f t="shared" si="14"/>
        <v>4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196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200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2" t="s">
        <v>205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11</v>
      </c>
      <c r="G3">
        <f>Helper!G2</f>
        <v>9</v>
      </c>
      <c r="H3">
        <f>Helper!H2</f>
        <v>0</v>
      </c>
      <c r="I3">
        <f>Helper!I2</f>
        <v>57</v>
      </c>
      <c r="J3">
        <f>Helper!J2</f>
        <v>2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13</v>
      </c>
      <c r="G4">
        <f>Helper!G3</f>
        <v>9</v>
      </c>
      <c r="H4">
        <f>Helper!H3</f>
        <v>0</v>
      </c>
      <c r="I4">
        <f>Helper!I3</f>
        <v>57</v>
      </c>
      <c r="J4">
        <f>Helper!J3</f>
        <v>3</v>
      </c>
      <c r="K4">
        <f>MAX(Helper!C3:H3)</f>
        <v>14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15</v>
      </c>
      <c r="G5">
        <f>Helper!G4</f>
        <v>5</v>
      </c>
      <c r="H5">
        <f>Helper!H4</f>
        <v>0</v>
      </c>
      <c r="I5">
        <f>Helper!I4</f>
        <v>54</v>
      </c>
      <c r="J5">
        <f>Helper!J4</f>
        <v>3</v>
      </c>
      <c r="K5">
        <f>MAX(Helper!C4:H4)</f>
        <v>15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18</v>
      </c>
      <c r="G6">
        <f>Helper!G5</f>
        <v>0</v>
      </c>
      <c r="H6">
        <f>Helper!H5</f>
        <v>0</v>
      </c>
      <c r="I6">
        <f>Helper!I5</f>
        <v>38</v>
      </c>
      <c r="J6">
        <f>Helper!J5</f>
        <v>2</v>
      </c>
      <c r="K6">
        <f>MAX(Helper!C5:H5)</f>
        <v>18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6</v>
      </c>
      <c r="G7">
        <f>Helper!G6</f>
        <v>9</v>
      </c>
      <c r="H7">
        <f>Helper!H6</f>
        <v>0</v>
      </c>
      <c r="I7">
        <f>Helper!I6</f>
        <v>52</v>
      </c>
      <c r="J7">
        <f>Helper!J6</f>
        <v>2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7</v>
      </c>
      <c r="G8">
        <f>Helper!G7</f>
        <v>10</v>
      </c>
      <c r="H8">
        <f>Helper!H7</f>
        <v>0</v>
      </c>
      <c r="I8">
        <f>Helper!I7</f>
        <v>50</v>
      </c>
      <c r="J8">
        <f>Helper!J7</f>
        <v>2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7</v>
      </c>
      <c r="H9">
        <f>Helper!H8</f>
        <v>0</v>
      </c>
      <c r="I9">
        <f>Helper!I8</f>
        <v>40</v>
      </c>
      <c r="J9">
        <f>Helper!J8</f>
        <v>1</v>
      </c>
      <c r="K9">
        <f>MAX(Helper!C8:H8)</f>
        <v>12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11</v>
      </c>
      <c r="G10">
        <f>Helper!G9</f>
        <v>7</v>
      </c>
      <c r="H10">
        <f>Helper!H9</f>
        <v>0</v>
      </c>
      <c r="I10">
        <f>Helper!I9</f>
        <v>37</v>
      </c>
      <c r="J10">
        <f>Helper!J9</f>
        <v>0</v>
      </c>
      <c r="K10">
        <f>MAX(Helper!C9:H9)</f>
        <v>11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14</v>
      </c>
      <c r="G11">
        <f>Helper!G10</f>
        <v>6</v>
      </c>
      <c r="H11">
        <f>Helper!H10</f>
        <v>0</v>
      </c>
      <c r="I11">
        <f>Helper!I10</f>
        <v>43</v>
      </c>
      <c r="J11">
        <f>Helper!J10</f>
        <v>1</v>
      </c>
      <c r="K11">
        <f>MAX(Helper!C10:H10)</f>
        <v>14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7</v>
      </c>
      <c r="H12">
        <f>Helper!H11</f>
        <v>0</v>
      </c>
      <c r="I12">
        <f>Helper!I11</f>
        <v>56</v>
      </c>
      <c r="J12">
        <f>Helper!J11</f>
        <v>3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5</v>
      </c>
      <c r="H13">
        <f>Helper!H12</f>
        <v>0</v>
      </c>
      <c r="I13">
        <f>Helper!I12</f>
        <v>48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4</v>
      </c>
      <c r="H14">
        <f>Helper!H13</f>
        <v>0</v>
      </c>
      <c r="I14">
        <f>Helper!I13</f>
        <v>42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57</v>
      </c>
      <c r="D57">
        <f>Helper!R2</f>
        <v>0</v>
      </c>
      <c r="E57">
        <f>Helper!AC2</f>
        <v>0</v>
      </c>
      <c r="F57">
        <f>Helper!AE2</f>
        <v>57</v>
      </c>
      <c r="G57">
        <f>Helper!K2</f>
        <v>57.000100000000003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57</v>
      </c>
      <c r="D58">
        <f>Helper!R3</f>
        <v>0</v>
      </c>
      <c r="E58">
        <f>Helper!AC3</f>
        <v>0</v>
      </c>
      <c r="F58">
        <f>Helper!AE3</f>
        <v>57</v>
      </c>
      <c r="G58">
        <f>Helper!K3</f>
        <v>57.0002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54</v>
      </c>
      <c r="D59">
        <f>Helper!R4</f>
        <v>0</v>
      </c>
      <c r="E59">
        <f>Helper!AC4</f>
        <v>0</v>
      </c>
      <c r="F59">
        <f>Helper!AE4</f>
        <v>54</v>
      </c>
      <c r="G59">
        <f>Helper!K4</f>
        <v>54.000300000000003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38</v>
      </c>
      <c r="D60">
        <f>Helper!R5</f>
        <v>0</v>
      </c>
      <c r="E60">
        <f>Helper!AC5</f>
        <v>0</v>
      </c>
      <c r="F60">
        <f>Helper!AE5</f>
        <v>38</v>
      </c>
      <c r="G60">
        <f>Helper!K5</f>
        <v>38.000399999999999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52</v>
      </c>
      <c r="D61">
        <f>Helper!R6</f>
        <v>0</v>
      </c>
      <c r="E61">
        <f>Helper!AC6</f>
        <v>0</v>
      </c>
      <c r="F61">
        <f>Helper!AE6</f>
        <v>52</v>
      </c>
      <c r="G61">
        <f>Helper!K6</f>
        <v>52.000500000000002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50</v>
      </c>
      <c r="D62">
        <f>Helper!R7</f>
        <v>0</v>
      </c>
      <c r="E62">
        <f>Helper!AC7</f>
        <v>0</v>
      </c>
      <c r="F62">
        <f>Helper!AE7</f>
        <v>50</v>
      </c>
      <c r="G62">
        <f>Helper!K7</f>
        <v>50.000599999999999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40</v>
      </c>
      <c r="D63">
        <f>Helper!R8</f>
        <v>0</v>
      </c>
      <c r="E63">
        <f>Helper!AC8</f>
        <v>0</v>
      </c>
      <c r="F63">
        <f>Helper!AE8</f>
        <v>40</v>
      </c>
      <c r="G63">
        <f>Helper!K8</f>
        <v>40.000700000000002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37</v>
      </c>
      <c r="D64">
        <f>Helper!R9</f>
        <v>0</v>
      </c>
      <c r="E64">
        <f>Helper!AC9</f>
        <v>0</v>
      </c>
      <c r="F64">
        <f>Helper!AE9</f>
        <v>37</v>
      </c>
      <c r="G64">
        <f>Helper!K9</f>
        <v>37.000799999999998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43</v>
      </c>
      <c r="D65">
        <f>Helper!R10</f>
        <v>0</v>
      </c>
      <c r="E65">
        <f>Helper!AC10</f>
        <v>0</v>
      </c>
      <c r="F65">
        <f>Helper!AE10</f>
        <v>43</v>
      </c>
      <c r="G65">
        <f>Helper!K10</f>
        <v>43.000900000000001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56</v>
      </c>
      <c r="D66">
        <f>Helper!R11</f>
        <v>0</v>
      </c>
      <c r="E66">
        <f>Helper!AC11</f>
        <v>0</v>
      </c>
      <c r="F66">
        <f>Helper!AE11</f>
        <v>56</v>
      </c>
      <c r="G66">
        <f>Helper!K11</f>
        <v>56.000999999999998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48</v>
      </c>
      <c r="D67">
        <f>Helper!R12</f>
        <v>0</v>
      </c>
      <c r="E67">
        <f>Helper!AC12</f>
        <v>0</v>
      </c>
      <c r="F67">
        <f>Helper!AE12</f>
        <v>48</v>
      </c>
      <c r="G67">
        <f>Helper!K12</f>
        <v>48.001100000000001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42</v>
      </c>
      <c r="D68">
        <f>Helper!R13</f>
        <v>0</v>
      </c>
      <c r="E68">
        <f>Helper!AC13</f>
        <v>0</v>
      </c>
      <c r="F68">
        <f>Helper!AE13</f>
        <v>42</v>
      </c>
      <c r="G68">
        <f>Helper!K13</f>
        <v>42.001199999999997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Chris Simmons</v>
      </c>
      <c r="C5" t="s">
        <v>252</v>
      </c>
      <c r="D5" t="s">
        <v>253</v>
      </c>
      <c r="E5" t="str">
        <f>B5</f>
        <v>Chris Simmons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Evan Loeser</v>
      </c>
      <c r="C13">
        <f>INDEX(I$40:I$51,MATCH(MAX(K$40:K$51),K$40:K$51,0))</f>
        <v>57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Chris Simmons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Evan Loeser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57</v>
      </c>
      <c r="J40" t="b">
        <f t="shared" ref="J40:J51" si="1">OR(H40=$E$5,H40=$E$6,H40=$E$7,H40=$E$8,H40=$E$9)</f>
        <v>0</v>
      </c>
      <c r="K40">
        <f>IF(J40,-1,I40+0.00001)</f>
        <v>57.000010000000003</v>
      </c>
    </row>
    <row r="41" spans="1:11" ht="15" customHeight="1" x14ac:dyDescent="0.25">
      <c r="H41" t="str">
        <f>Roster!B4</f>
        <v>Chris Simmons</v>
      </c>
      <c r="I41">
        <f>Helper!AE3</f>
        <v>57</v>
      </c>
      <c r="J41" t="b">
        <f t="shared" si="1"/>
        <v>1</v>
      </c>
      <c r="K41">
        <f>IF(J41,-1,I41+0.00002)</f>
        <v>-1</v>
      </c>
    </row>
    <row r="42" spans="1:11" ht="15" customHeight="1" x14ac:dyDescent="0.25">
      <c r="H42" t="str">
        <f>Roster!B5</f>
        <v>Jack Smith</v>
      </c>
      <c r="I42">
        <f>Helper!AE4</f>
        <v>54</v>
      </c>
      <c r="J42" t="b">
        <f t="shared" si="1"/>
        <v>0</v>
      </c>
      <c r="K42">
        <f>IF(J42,-1,I42+0.00003)</f>
        <v>54.000030000000002</v>
      </c>
    </row>
    <row r="43" spans="1:11" ht="15" customHeight="1" x14ac:dyDescent="0.25">
      <c r="H43" t="str">
        <f>Roster!B6</f>
        <v>Luke Ussery</v>
      </c>
      <c r="I43">
        <f>Helper!AE5</f>
        <v>38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52</v>
      </c>
      <c r="J44" t="b">
        <f t="shared" si="1"/>
        <v>0</v>
      </c>
      <c r="K44">
        <f>IF(J44,-1,I44+0.00005)</f>
        <v>52.000050000000002</v>
      </c>
    </row>
    <row r="45" spans="1:11" ht="15" customHeight="1" x14ac:dyDescent="0.25">
      <c r="H45" t="str">
        <f>Roster!B8</f>
        <v>Alan Loeser</v>
      </c>
      <c r="I45">
        <f>Helper!AE7</f>
        <v>50</v>
      </c>
      <c r="J45" t="b">
        <f t="shared" si="1"/>
        <v>0</v>
      </c>
      <c r="K45">
        <f>IF(J45,-1,I45+0.00006)</f>
        <v>50.000059999999998</v>
      </c>
    </row>
    <row r="46" spans="1:11" ht="15" customHeight="1" x14ac:dyDescent="0.25">
      <c r="H46" t="str">
        <f>Roster!B9</f>
        <v>Caleb Simmons</v>
      </c>
      <c r="I46">
        <f>Helper!AE8</f>
        <v>40</v>
      </c>
      <c r="J46" t="b">
        <f t="shared" si="1"/>
        <v>0</v>
      </c>
      <c r="K46">
        <f>IF(J46,-1,I46+0.00007)</f>
        <v>40.000070000000001</v>
      </c>
    </row>
    <row r="47" spans="1:11" ht="15" customHeight="1" x14ac:dyDescent="0.25">
      <c r="H47" t="str">
        <f>Roster!B10</f>
        <v>Larry Loeser</v>
      </c>
      <c r="I47">
        <f>Helper!AE9</f>
        <v>37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43</v>
      </c>
      <c r="J48" t="b">
        <f t="shared" si="1"/>
        <v>0</v>
      </c>
      <c r="K48">
        <f>IF(J48,-1,I48+0.00009)</f>
        <v>43.00009</v>
      </c>
    </row>
    <row r="49" spans="8:11" ht="15" customHeight="1" x14ac:dyDescent="0.25">
      <c r="H49" t="str">
        <f>Roster!B12</f>
        <v>Zach Zarra</v>
      </c>
      <c r="I49">
        <f>Helper!AE11</f>
        <v>56</v>
      </c>
      <c r="J49" t="b">
        <f t="shared" si="1"/>
        <v>0</v>
      </c>
      <c r="K49">
        <f>IF(J49,-1,I49+0.0001)</f>
        <v>56.000100000000003</v>
      </c>
    </row>
    <row r="50" spans="8:11" ht="15" customHeight="1" x14ac:dyDescent="0.25">
      <c r="H50" t="str">
        <f>Roster!B13</f>
        <v>Jeffrey Loeser</v>
      </c>
      <c r="I50">
        <f>Helper!AE12</f>
        <v>48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42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Chris Simmons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Evan Loeser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Chris Simmons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Evan Loeser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Chris Simmons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Chris Simmons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Chris Simmons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M8" sqref="M8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11</v>
      </c>
      <c r="G2">
        <f>IF(Roster!$B$16&gt;=5,'Wk 1-6 Input'!H66,0)+IF(Roster!$B$16&gt;5,'Wk 1-6 Input'!G66,0)</f>
        <v>9</v>
      </c>
      <c r="H2">
        <f>IF(Roster!$B$16&gt;=6,'Wk 1-6 Input'!H81,0)+IF(Roster!$B$16&gt;6,'Wk 1-6 Input'!G81,0)</f>
        <v>0</v>
      </c>
      <c r="I2">
        <f t="shared" ref="I2:I13" si="0">SUM(C2:H2)</f>
        <v>57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2</v>
      </c>
      <c r="K2">
        <f>I2+0.0001</f>
        <v>57.000100000000003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57</v>
      </c>
      <c r="AF2">
        <f>AE2+0.0001</f>
        <v>57.000100000000003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13</v>
      </c>
      <c r="G3">
        <f>IF(Roster!$B$16&gt;=5,'Wk 1-6 Input'!H67,0)+IF(Roster!$B$16&gt;5,'Wk 1-6 Input'!G67,0)</f>
        <v>9</v>
      </c>
      <c r="H3">
        <f>IF(Roster!$B$16&gt;=6,'Wk 1-6 Input'!H82,0)+IF(Roster!$B$16&gt;6,'Wk 1-6 Input'!G82,0)</f>
        <v>0</v>
      </c>
      <c r="I3">
        <f t="shared" si="0"/>
        <v>57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3</v>
      </c>
      <c r="K3">
        <f>I3+0.0002</f>
        <v>57.0002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57</v>
      </c>
      <c r="AF3">
        <f>AE3+0.0002</f>
        <v>57.0002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15</v>
      </c>
      <c r="G4">
        <f>IF(Roster!$B$16&gt;=5,'Wk 1-6 Input'!H68,0)+IF(Roster!$B$16&gt;5,'Wk 1-6 Input'!G68,0)</f>
        <v>5</v>
      </c>
      <c r="H4">
        <f>IF(Roster!$B$16&gt;=6,'Wk 1-6 Input'!H83,0)+IF(Roster!$B$16&gt;6,'Wk 1-6 Input'!G83,0)</f>
        <v>0</v>
      </c>
      <c r="I4">
        <f t="shared" si="0"/>
        <v>54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54.000300000000003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54</v>
      </c>
      <c r="AF4">
        <f>AE4+0.0003</f>
        <v>54.000300000000003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18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38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38.000399999999999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38</v>
      </c>
      <c r="AF5">
        <f>AE5+0.0004</f>
        <v>38.000399999999999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6</v>
      </c>
      <c r="G6">
        <f>IF(Roster!$B$16&gt;=5,'Wk 1-6 Input'!H70,0)+IF(Roster!$B$16&gt;5,'Wk 1-6 Input'!G70,0)</f>
        <v>9</v>
      </c>
      <c r="H6">
        <f>IF(Roster!$B$16&gt;=6,'Wk 1-6 Input'!H85,0)+IF(Roster!$B$16&gt;6,'Wk 1-6 Input'!G85,0)</f>
        <v>0</v>
      </c>
      <c r="I6">
        <f t="shared" si="0"/>
        <v>52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2</v>
      </c>
      <c r="K6">
        <f>I6+0.0005</f>
        <v>52.000500000000002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52</v>
      </c>
      <c r="AF6">
        <f>AE6+0.0005</f>
        <v>52.000500000000002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7</v>
      </c>
      <c r="G7">
        <f>IF(Roster!$B$16&gt;=5,'Wk 1-6 Input'!H71,0)+IF(Roster!$B$16&gt;5,'Wk 1-6 Input'!G71,0)</f>
        <v>10</v>
      </c>
      <c r="H7">
        <f>IF(Roster!$B$16&gt;=6,'Wk 1-6 Input'!H86,0)+IF(Roster!$B$16&gt;6,'Wk 1-6 Input'!G86,0)</f>
        <v>0</v>
      </c>
      <c r="I7">
        <f t="shared" si="0"/>
        <v>50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2</v>
      </c>
      <c r="K7">
        <f>I7+0.0006</f>
        <v>50.000599999999999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50</v>
      </c>
      <c r="AF7">
        <f>AE7+0.0006</f>
        <v>50.000599999999999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7</v>
      </c>
      <c r="H8">
        <f>IF(Roster!$B$16&gt;=6,'Wk 1-6 Input'!H87,0)+IF(Roster!$B$16&gt;6,'Wk 1-6 Input'!G87,0)</f>
        <v>0</v>
      </c>
      <c r="I8">
        <f t="shared" si="0"/>
        <v>40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1</v>
      </c>
      <c r="K8">
        <f>I8+0.0007</f>
        <v>40.000700000000002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40</v>
      </c>
      <c r="AF8">
        <f>AE8+0.0007</f>
        <v>40.000700000000002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11</v>
      </c>
      <c r="G9">
        <f>IF(Roster!$B$16&gt;=5,'Wk 1-6 Input'!H73,0)+IF(Roster!$B$16&gt;5,'Wk 1-6 Input'!G73,0)</f>
        <v>7</v>
      </c>
      <c r="H9">
        <f>IF(Roster!$B$16&gt;=6,'Wk 1-6 Input'!H88,0)+IF(Roster!$B$16&gt;6,'Wk 1-6 Input'!G88,0)</f>
        <v>0</v>
      </c>
      <c r="I9">
        <f t="shared" si="0"/>
        <v>37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37.000799999999998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37</v>
      </c>
      <c r="AF9">
        <f>AE9+0.0008</f>
        <v>37.000799999999998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14</v>
      </c>
      <c r="G10">
        <f>IF(Roster!$B$16&gt;=5,'Wk 1-6 Input'!H74,0)+IF(Roster!$B$16&gt;5,'Wk 1-6 Input'!G74,0)</f>
        <v>6</v>
      </c>
      <c r="H10">
        <f>IF(Roster!$B$16&gt;=6,'Wk 1-6 Input'!H89,0)+IF(Roster!$B$16&gt;6,'Wk 1-6 Input'!G89,0)</f>
        <v>0</v>
      </c>
      <c r="I10">
        <f t="shared" si="0"/>
        <v>43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1</v>
      </c>
      <c r="K10">
        <f>I10+0.0009</f>
        <v>43.000900000000001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43</v>
      </c>
      <c r="AF10">
        <f>AE10+0.0009</f>
        <v>43.000900000000001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7</v>
      </c>
      <c r="H11">
        <f>IF(Roster!$B$16&gt;=6,'Wk 1-6 Input'!H90,0)+IF(Roster!$B$16&gt;6,'Wk 1-6 Input'!G90,0)</f>
        <v>0</v>
      </c>
      <c r="I11">
        <f t="shared" si="0"/>
        <v>56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3</v>
      </c>
      <c r="K11">
        <f>I11+0.001</f>
        <v>56.000999999999998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56</v>
      </c>
      <c r="AF11">
        <f>AE11+0.001</f>
        <v>56.000999999999998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5</v>
      </c>
      <c r="H12">
        <f>IF(Roster!$B$16&gt;=6,'Wk 1-6 Input'!H91,0)+IF(Roster!$B$16&gt;6,'Wk 1-6 Input'!G91,0)</f>
        <v>0</v>
      </c>
      <c r="I12">
        <f t="shared" si="0"/>
        <v>48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48.001100000000001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48</v>
      </c>
      <c r="AF12">
        <f>AE12+0.0011</f>
        <v>48.001100000000001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4</v>
      </c>
      <c r="H13">
        <f>IF(Roster!$B$16&gt;=6,'Wk 1-6 Input'!H92,0)+IF(Roster!$B$16&gt;6,'Wk 1-6 Input'!G92,0)</f>
        <v>0</v>
      </c>
      <c r="I13">
        <f t="shared" si="0"/>
        <v>42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42.001199999999997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42</v>
      </c>
      <c r="AF13">
        <f>AE13+0.0012</f>
        <v>42.001199999999997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2026-10-13T13:41:24Z</dcterms:modified>
  <dc:language>en-US</dc:language>
</cp:coreProperties>
</file>