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235" documentId="11_C5FB6D5EBB7DB41C9C4944A345A03722CFCA9995" xr6:coauthVersionLast="47" xr6:coauthVersionMax="47" xr10:uidLastSave="{2C564DB2-2A58-4BAF-9FA9-2BD664CF96C2}"/>
  <bookViews>
    <workbookView xWindow="29400" yWindow="-120" windowWidth="28320" windowHeight="16440" tabRatio="911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B13" i="13"/>
  <c r="AC12" i="13"/>
  <c r="K50" i="8" s="1"/>
  <c r="AB12" i="13"/>
  <c r="J50" i="8" s="1"/>
  <c r="AA12" i="13"/>
  <c r="AD12" i="13" s="1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B11" i="13"/>
  <c r="B49" i="8" s="1"/>
  <c r="AC10" i="13"/>
  <c r="K48" i="8" s="1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G24" i="8" s="1"/>
  <c r="O8" i="13"/>
  <c r="F24" i="8" s="1"/>
  <c r="N8" i="13"/>
  <c r="M8" i="13"/>
  <c r="D24" i="8" s="1"/>
  <c r="L8" i="13"/>
  <c r="C24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D23" i="8" s="1"/>
  <c r="L7" i="13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F21" i="8" s="1"/>
  <c r="N5" i="13"/>
  <c r="E21" i="8" s="1"/>
  <c r="M5" i="13"/>
  <c r="L5" i="13"/>
  <c r="C21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L4" i="13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B50" i="8"/>
  <c r="J49" i="8"/>
  <c r="J48" i="8"/>
  <c r="I48" i="8"/>
  <c r="H48" i="8"/>
  <c r="G48" i="8"/>
  <c r="H44" i="8"/>
  <c r="G44" i="8"/>
  <c r="F44" i="8"/>
  <c r="E44" i="8"/>
  <c r="D44" i="8"/>
  <c r="B44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B23" i="8"/>
  <c r="B21" i="8"/>
  <c r="B20" i="8"/>
  <c r="B19" i="8"/>
  <c r="B18" i="8"/>
  <c r="B13" i="8"/>
  <c r="B10" i="8"/>
  <c r="B8" i="8"/>
  <c r="B6" i="8"/>
  <c r="B5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E109" i="3" s="1"/>
  <c r="I106" i="4"/>
  <c r="J105" i="4"/>
  <c r="E108" i="3" s="1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E102" i="3" s="1"/>
  <c r="I99" i="4"/>
  <c r="J98" i="4"/>
  <c r="E101" i="3" s="1"/>
  <c r="I98" i="4"/>
  <c r="J97" i="4"/>
  <c r="E100" i="3" s="1"/>
  <c r="I97" i="4"/>
  <c r="E94" i="4"/>
  <c r="E97" i="3" s="1"/>
  <c r="J93" i="4"/>
  <c r="E96" i="3" s="1"/>
  <c r="I93" i="4"/>
  <c r="J92" i="4"/>
  <c r="E95" i="3" s="1"/>
  <c r="I92" i="4"/>
  <c r="J91" i="4"/>
  <c r="E94" i="3" s="1"/>
  <c r="I91" i="4"/>
  <c r="J90" i="4"/>
  <c r="E93" i="3" s="1"/>
  <c r="I90" i="4"/>
  <c r="J89" i="4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E87" i="3" s="1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E82" i="3" s="1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92" i="3"/>
  <c r="E88" i="3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C90" i="5" l="1"/>
  <c r="H90" i="5" s="1"/>
  <c r="H11" i="13" s="1"/>
  <c r="H12" i="8" s="1"/>
  <c r="K49" i="8"/>
  <c r="C75" i="5"/>
  <c r="H75" i="5" s="1"/>
  <c r="G11" i="13" s="1"/>
  <c r="G12" i="8" s="1"/>
  <c r="I49" i="8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E82" i="5" l="1"/>
  <c r="F82" i="5" s="1"/>
  <c r="G82" i="5" s="1"/>
  <c r="E72" i="5"/>
  <c r="F72" i="5" s="1"/>
  <c r="G72" i="5" s="1"/>
  <c r="H6" i="9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G3" i="13" s="1"/>
  <c r="G4" i="8" s="1"/>
  <c r="E77" i="5"/>
  <c r="F77" i="5" s="1"/>
  <c r="G77" i="5" s="1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91" i="5" s="1"/>
  <c r="G91" i="5" s="1"/>
  <c r="H86" i="5"/>
  <c r="H7" i="13" s="1"/>
  <c r="H8" i="8" s="1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F70" i="5" s="1"/>
  <c r="G70" i="5" s="1"/>
  <c r="H68" i="5"/>
  <c r="G4" i="13" s="1"/>
  <c r="G5" i="8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H3" i="13" s="1"/>
  <c r="H4" i="8" s="1"/>
  <c r="E90" i="5"/>
  <c r="F90" i="5" s="1"/>
  <c r="G90" i="5" s="1"/>
  <c r="I90" i="5" s="1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H8" i="13" s="1"/>
  <c r="H9" i="8" s="1"/>
  <c r="E83" i="5"/>
  <c r="F83" i="5" s="1"/>
  <c r="G83" i="5" s="1"/>
  <c r="E71" i="5"/>
  <c r="F71" i="5" s="1"/>
  <c r="G71" i="5" s="1"/>
  <c r="F69" i="5"/>
  <c r="G69" i="5" s="1"/>
  <c r="H69" i="5"/>
  <c r="G5" i="13" s="1"/>
  <c r="G6" i="8" s="1"/>
  <c r="I61" i="7"/>
  <c r="F61" i="7"/>
  <c r="E60" i="7"/>
  <c r="F17" i="7"/>
  <c r="I17" i="7"/>
  <c r="E14" i="7"/>
  <c r="I83" i="7"/>
  <c r="E84" i="7"/>
  <c r="F83" i="7"/>
  <c r="H77" i="5"/>
  <c r="G13" i="13" s="1"/>
  <c r="G14" i="8" s="1"/>
  <c r="E67" i="5"/>
  <c r="F67" i="5" s="1"/>
  <c r="G6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G8" i="13" s="1"/>
  <c r="G9" i="8" s="1"/>
  <c r="E75" i="5"/>
  <c r="F75" i="5" s="1"/>
  <c r="G75" i="5" s="1"/>
  <c r="I75" i="5" s="1"/>
  <c r="E66" i="5"/>
  <c r="F66" i="5" s="1"/>
  <c r="G66" i="5" s="1"/>
  <c r="H76" i="5"/>
  <c r="G12" i="13" s="1"/>
  <c r="G13" i="8" s="1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H71" i="5"/>
  <c r="G7" i="13" s="1"/>
  <c r="G8" i="8" s="1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G10" i="13" s="1"/>
  <c r="G11" i="8" s="1"/>
  <c r="E73" i="5"/>
  <c r="F73" i="5" s="1"/>
  <c r="G73" i="5" s="1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F76" i="5" s="1"/>
  <c r="G76" i="5" s="1"/>
  <c r="H66" i="5"/>
  <c r="G2" i="13" s="1"/>
  <c r="G3" i="8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F89" i="5" s="1"/>
  <c r="G89" i="5" s="1"/>
  <c r="H81" i="5"/>
  <c r="H2" i="13" s="1"/>
  <c r="H3" i="8" s="1"/>
  <c r="H59" i="6"/>
  <c r="E56" i="6"/>
  <c r="F59" i="6"/>
  <c r="G59" i="6" s="1"/>
  <c r="E74" i="5"/>
  <c r="F74" i="5" s="1"/>
  <c r="G74" i="5" s="1"/>
  <c r="H73" i="5"/>
  <c r="G9" i="13" s="1"/>
  <c r="G10" i="8" s="1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H88" i="5"/>
  <c r="H9" i="13" s="1"/>
  <c r="H10" i="8" s="1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H10" i="13" s="1"/>
  <c r="H11" i="8" s="1"/>
  <c r="E81" i="5"/>
  <c r="F81" i="5" s="1"/>
  <c r="G81" i="5" s="1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H13" i="13" s="1"/>
  <c r="H14" i="8" s="1"/>
  <c r="E85" i="5"/>
  <c r="F85" i="5" s="1"/>
  <c r="G85" i="5" s="1"/>
  <c r="H85" i="5"/>
  <c r="H6" i="13" s="1"/>
  <c r="H7" i="8" s="1"/>
  <c r="E92" i="5"/>
  <c r="F92" i="5" s="1"/>
  <c r="G92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H5" i="13" s="1"/>
  <c r="H6" i="8" s="1"/>
  <c r="E88" i="5"/>
  <c r="F88" i="5" s="1"/>
  <c r="G88" i="5" s="1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G6" i="13" s="1"/>
  <c r="G7" i="8" s="1"/>
  <c r="E68" i="5"/>
  <c r="F68" i="5" s="1"/>
  <c r="G68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E86" i="5"/>
  <c r="F86" i="5" s="1"/>
  <c r="G86" i="5" s="1"/>
  <c r="H91" i="5"/>
  <c r="H12" i="13" s="1"/>
  <c r="H13" i="8" s="1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F87" i="5" s="1"/>
  <c r="G87" i="5" s="1"/>
  <c r="H83" i="5"/>
  <c r="H4" i="13" s="1"/>
  <c r="H5" i="8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I85" i="5" l="1"/>
  <c r="I87" i="5"/>
  <c r="I81" i="5"/>
  <c r="I70" i="5"/>
  <c r="I74" i="5"/>
  <c r="I77" i="5"/>
  <c r="F7" i="13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<sst xmlns="http://schemas.openxmlformats.org/spreadsheetml/2006/main" count="4266" uniqueCount="346">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</sst>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B16" sqref="B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6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82" zoomScaleNormal="100" workbookViewId="0">
      <selection activeCell="R112" sqref="R11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>DEN</v>
      </c>
      <c r="F100" s="10" t="s">
        <v>87</v>
      </c>
      <c r="G100" s="10" t="s">
        <v>58</v>
      </c>
      <c r="H100" s="10" t="s">
        <v>58</v>
      </c>
      <c r="I100" s="10"/>
      <c r="J100" s="10"/>
      <c r="K100" s="10" t="s">
        <v>58</v>
      </c>
      <c r="L100" s="10" t="s">
        <v>58</v>
      </c>
      <c r="M100" s="10" t="s">
        <v>87</v>
      </c>
      <c r="N100" s="10" t="s">
        <v>58</v>
      </c>
      <c r="O100" s="10" t="s">
        <v>58</v>
      </c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>HOU</v>
      </c>
      <c r="F101" s="10" t="s">
        <v>68</v>
      </c>
      <c r="G101" s="10" t="s">
        <v>72</v>
      </c>
      <c r="H101" s="10" t="s">
        <v>72</v>
      </c>
      <c r="I101" s="10"/>
      <c r="J101" s="10" t="s">
        <v>72</v>
      </c>
      <c r="K101" s="10" t="s">
        <v>72</v>
      </c>
      <c r="L101" s="10" t="s">
        <v>72</v>
      </c>
      <c r="M101" s="10" t="s">
        <v>72</v>
      </c>
      <c r="N101" s="10" t="s">
        <v>68</v>
      </c>
      <c r="O101" s="10" t="s">
        <v>72</v>
      </c>
      <c r="P101" s="10" t="s">
        <v>68</v>
      </c>
      <c r="Q101" s="10" t="s">
        <v>72</v>
      </c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>CHI</v>
      </c>
      <c r="F102" s="10" t="s">
        <v>73</v>
      </c>
      <c r="G102" s="10" t="s">
        <v>61</v>
      </c>
      <c r="H102" s="10" t="s">
        <v>61</v>
      </c>
      <c r="I102" s="10"/>
      <c r="J102" s="10" t="s">
        <v>61</v>
      </c>
      <c r="K102" s="10" t="s">
        <v>61</v>
      </c>
      <c r="L102" s="10" t="s">
        <v>61</v>
      </c>
      <c r="M102" s="10" t="s">
        <v>61</v>
      </c>
      <c r="N102" s="10" t="s">
        <v>73</v>
      </c>
      <c r="O102" s="10" t="s">
        <v>73</v>
      </c>
      <c r="P102" s="10" t="s">
        <v>61</v>
      </c>
      <c r="Q102" s="10" t="s">
        <v>61</v>
      </c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>CLE</v>
      </c>
      <c r="F103" s="10" t="s">
        <v>69</v>
      </c>
      <c r="G103" s="10" t="s">
        <v>69</v>
      </c>
      <c r="H103" s="10" t="s">
        <v>71</v>
      </c>
      <c r="I103" s="10"/>
      <c r="J103" s="10" t="s">
        <v>71</v>
      </c>
      <c r="K103" s="10" t="s">
        <v>71</v>
      </c>
      <c r="L103" s="10" t="s">
        <v>69</v>
      </c>
      <c r="M103" s="10" t="s">
        <v>69</v>
      </c>
      <c r="N103" s="10" t="s">
        <v>69</v>
      </c>
      <c r="O103" s="10" t="s">
        <v>71</v>
      </c>
      <c r="P103" s="10" t="s">
        <v>71</v>
      </c>
      <c r="Q103" s="10" t="s">
        <v>69</v>
      </c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>TEN</v>
      </c>
      <c r="F104" s="10" t="s">
        <v>76</v>
      </c>
      <c r="G104" s="10" t="s">
        <v>70</v>
      </c>
      <c r="H104" s="10" t="s">
        <v>76</v>
      </c>
      <c r="I104" s="10"/>
      <c r="J104" s="10" t="s">
        <v>70</v>
      </c>
      <c r="K104" s="10" t="s">
        <v>70</v>
      </c>
      <c r="L104" s="10" t="s">
        <v>70</v>
      </c>
      <c r="M104" s="10" t="s">
        <v>70</v>
      </c>
      <c r="N104" s="10" t="s">
        <v>70</v>
      </c>
      <c r="O104" s="10" t="s">
        <v>70</v>
      </c>
      <c r="P104" s="10" t="s">
        <v>70</v>
      </c>
      <c r="Q104" s="10" t="s">
        <v>70</v>
      </c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>NYJ</v>
      </c>
      <c r="F105" s="10" t="s">
        <v>57</v>
      </c>
      <c r="G105" s="10" t="s">
        <v>57</v>
      </c>
      <c r="H105" s="10" t="s">
        <v>57</v>
      </c>
      <c r="I105" s="10"/>
      <c r="J105" s="10" t="s">
        <v>75</v>
      </c>
      <c r="K105" s="10" t="s">
        <v>57</v>
      </c>
      <c r="L105" s="10" t="s">
        <v>75</v>
      </c>
      <c r="M105" s="10" t="s">
        <v>57</v>
      </c>
      <c r="N105" s="10" t="s">
        <v>75</v>
      </c>
      <c r="O105" s="10" t="s">
        <v>57</v>
      </c>
      <c r="P105" s="10" t="s">
        <v>57</v>
      </c>
      <c r="Q105" s="10" t="s">
        <v>57</v>
      </c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>NO</v>
      </c>
      <c r="F106" s="10" t="s">
        <v>86</v>
      </c>
      <c r="G106" s="10" t="s">
        <v>86</v>
      </c>
      <c r="H106" s="10" t="s">
        <v>86</v>
      </c>
      <c r="I106" s="10"/>
      <c r="J106" s="10" t="s">
        <v>86</v>
      </c>
      <c r="K106" s="10" t="s">
        <v>86</v>
      </c>
      <c r="L106" s="10" t="s">
        <v>86</v>
      </c>
      <c r="M106" s="10" t="s">
        <v>86</v>
      </c>
      <c r="N106" s="10" t="s">
        <v>65</v>
      </c>
      <c r="O106" s="10" t="s">
        <v>86</v>
      </c>
      <c r="P106" s="10" t="s">
        <v>86</v>
      </c>
      <c r="Q106" s="10" t="s">
        <v>65</v>
      </c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>CAR</v>
      </c>
      <c r="F107" s="10" t="s">
        <v>62</v>
      </c>
      <c r="G107" s="10" t="s">
        <v>62</v>
      </c>
      <c r="H107" s="10" t="s">
        <v>62</v>
      </c>
      <c r="I107" s="10"/>
      <c r="J107" s="10" t="s">
        <v>84</v>
      </c>
      <c r="K107" s="10" t="s">
        <v>84</v>
      </c>
      <c r="L107" s="10" t="s">
        <v>62</v>
      </c>
      <c r="M107" s="10" t="s">
        <v>62</v>
      </c>
      <c r="N107" s="10" t="s">
        <v>62</v>
      </c>
      <c r="O107" s="10" t="s">
        <v>62</v>
      </c>
      <c r="P107" s="10" t="s">
        <v>62</v>
      </c>
      <c r="Q107" s="10" t="s">
        <v>62</v>
      </c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>PIT</v>
      </c>
      <c r="F108" s="10" t="s">
        <v>74</v>
      </c>
      <c r="G108" s="10" t="s">
        <v>74</v>
      </c>
      <c r="H108" s="10" t="s">
        <v>74</v>
      </c>
      <c r="I108" s="10"/>
      <c r="J108" s="10" t="s">
        <v>74</v>
      </c>
      <c r="K108" s="10" t="s">
        <v>63</v>
      </c>
      <c r="L108" s="10" t="s">
        <v>74</v>
      </c>
      <c r="M108" s="10" t="s">
        <v>74</v>
      </c>
      <c r="N108" s="10" t="s">
        <v>63</v>
      </c>
      <c r="O108" s="10" t="s">
        <v>74</v>
      </c>
      <c r="P108" s="10" t="s">
        <v>74</v>
      </c>
      <c r="Q108" s="10" t="s">
        <v>74</v>
      </c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60</v>
      </c>
      <c r="E109" s="9" t="str">
        <f>'NFL Schedule'!J106</f>
        <v>ARI</v>
      </c>
      <c r="F109" s="10" t="s">
        <v>78</v>
      </c>
      <c r="G109" s="10" t="s">
        <v>78</v>
      </c>
      <c r="H109" s="10" t="s">
        <v>77</v>
      </c>
      <c r="I109" s="10"/>
      <c r="J109" s="10" t="s">
        <v>77</v>
      </c>
      <c r="K109" s="10" t="s">
        <v>78</v>
      </c>
      <c r="L109" s="10" t="s">
        <v>77</v>
      </c>
      <c r="M109" s="10" t="s">
        <v>78</v>
      </c>
      <c r="N109" s="10" t="s">
        <v>77</v>
      </c>
      <c r="O109" s="10" t="s">
        <v>77</v>
      </c>
      <c r="P109" s="10" t="s">
        <v>78</v>
      </c>
      <c r="Q109" s="10" t="s">
        <v>78</v>
      </c>
    </row>
    <row r="110" spans="1:17" ht="15" customHeight="1" x14ac:dyDescent="0.25">
      <c r="A110" s="7">
        <v>11</v>
      </c>
      <c r="B110" s="7" t="s">
        <v>78</v>
      </c>
      <c r="C110" s="8" t="s">
        <v>54</v>
      </c>
      <c r="D110" s="7" t="s">
        <v>88</v>
      </c>
      <c r="E110" s="9" t="str">
        <f>'NFL Schedule'!J107</f>
        <v>KC</v>
      </c>
      <c r="F110" s="10" t="s">
        <v>60</v>
      </c>
      <c r="G110" s="10" t="s">
        <v>88</v>
      </c>
      <c r="H110" s="10" t="s">
        <v>60</v>
      </c>
      <c r="I110" s="10"/>
      <c r="J110" s="10" t="s">
        <v>88</v>
      </c>
      <c r="K110" s="10" t="s">
        <v>88</v>
      </c>
      <c r="L110" s="10" t="s">
        <v>88</v>
      </c>
      <c r="M110" s="10" t="s">
        <v>88</v>
      </c>
      <c r="N110" s="10" t="s">
        <v>60</v>
      </c>
      <c r="O110" s="10" t="s">
        <v>88</v>
      </c>
      <c r="P110" s="10" t="s">
        <v>88</v>
      </c>
      <c r="Q110" s="10" t="s">
        <v>88</v>
      </c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>LV</v>
      </c>
      <c r="F111" s="10" t="s">
        <v>67</v>
      </c>
      <c r="G111" s="10" t="s">
        <v>67</v>
      </c>
      <c r="H111" s="10" t="s">
        <v>67</v>
      </c>
      <c r="I111" s="10"/>
      <c r="J111" s="10" t="s">
        <v>67</v>
      </c>
      <c r="K111" s="10" t="s">
        <v>67</v>
      </c>
      <c r="L111" s="10" t="s">
        <v>67</v>
      </c>
      <c r="M111" s="10" t="s">
        <v>80</v>
      </c>
      <c r="N111" s="10" t="s">
        <v>80</v>
      </c>
      <c r="O111" s="10" t="s">
        <v>67</v>
      </c>
      <c r="P111" s="10" t="s">
        <v>67</v>
      </c>
      <c r="Q111" s="10" t="s">
        <v>67</v>
      </c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>GB</v>
      </c>
      <c r="F112" s="10" t="s">
        <v>85</v>
      </c>
      <c r="G112" s="10" t="s">
        <v>81</v>
      </c>
      <c r="H112" s="10" t="s">
        <v>81</v>
      </c>
      <c r="I112" s="10"/>
      <c r="J112" s="10" t="s">
        <v>81</v>
      </c>
      <c r="K112" s="10" t="s">
        <v>81</v>
      </c>
      <c r="L112" s="10" t="s">
        <v>81</v>
      </c>
      <c r="M112" s="10" t="s">
        <v>81</v>
      </c>
      <c r="N112" s="10" t="s">
        <v>85</v>
      </c>
      <c r="O112" s="10" t="s">
        <v>81</v>
      </c>
      <c r="P112" s="10" t="s">
        <v>85</v>
      </c>
      <c r="Q112" s="10" t="s">
        <v>81</v>
      </c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79" zoomScaleNormal="100" workbookViewId="0">
      <selection activeCell="I109" sqref="I109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5" t="s">
        <v>89</v>
      </c>
      <c r="E94" s="16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63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5</v>
      </c>
      <c r="D81">
        <v>9</v>
      </c>
      <c r="E81">
        <f>IFERROR(INDEX(C$81:C$92,MATCH(9,A$81:A$92,0)),0)</f>
        <v>6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T</v>
      </c>
      <c r="G83">
        <f t="shared" si="15"/>
        <v>3</v>
      </c>
      <c r="H83">
        <f t="shared" si="16"/>
        <v>7</v>
      </c>
      <c r="I83">
        <f t="shared" si="17"/>
        <v>10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T</v>
      </c>
      <c r="G87">
        <f t="shared" si="15"/>
        <v>3</v>
      </c>
      <c r="H87">
        <f t="shared" si="16"/>
        <v>7</v>
      </c>
      <c r="I87">
        <f t="shared" si="17"/>
        <v>10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6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6</v>
      </c>
      <c r="I89">
        <f t="shared" si="17"/>
        <v>12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7</v>
      </c>
      <c r="I7">
        <f>Helper!I6</f>
        <v>65</v>
      </c>
      <c r="J7">
        <f>Helper!J6</f>
        <v>3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7</v>
      </c>
      <c r="I9">
        <f>Helper!I8</f>
        <v>53</v>
      </c>
      <c r="J9">
        <f>Helper!J8</f>
        <v>2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7</v>
      </c>
      <c r="I10">
        <f>Helper!I9</f>
        <v>50</v>
      </c>
      <c r="J10">
        <f>Helper!J9</f>
        <v>1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6</v>
      </c>
      <c r="I11">
        <f>Helper!I10</f>
        <v>49</v>
      </c>
      <c r="J11">
        <f>Helper!J10</f>
        <v>1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6</v>
      </c>
      <c r="I12">
        <f>Helper!I11</f>
        <v>62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6</v>
      </c>
      <c r="I13">
        <f>Helper!I12</f>
        <v>54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0</v>
      </c>
      <c r="E57">
        <f>Helper!AC2</f>
        <v>0</v>
      </c>
      <c r="F57">
        <f>Helper!AE2</f>
        <v>68</v>
      </c>
      <c r="G57">
        <f>Helper!K2</f>
        <v>68.000100000000003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0</v>
      </c>
      <c r="E58">
        <f>Helper!AC3</f>
        <v>0</v>
      </c>
      <c r="F58">
        <f>Helper!AE3</f>
        <v>68</v>
      </c>
      <c r="G58">
        <f>Helper!K3</f>
        <v>68.000200000000007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65</v>
      </c>
      <c r="D61">
        <f>Helper!R6</f>
        <v>0</v>
      </c>
      <c r="E61">
        <f>Helper!AC6</f>
        <v>0</v>
      </c>
      <c r="F61">
        <f>Helper!AE6</f>
        <v>65</v>
      </c>
      <c r="G61">
        <f>Helper!K6</f>
        <v>65.000500000000002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0</v>
      </c>
      <c r="E62">
        <f>Helper!AC7</f>
        <v>0</v>
      </c>
      <c r="F62">
        <f>Helper!AE7</f>
        <v>60</v>
      </c>
      <c r="G62">
        <f>Helper!K7</f>
        <v>60.000599999999999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53</v>
      </c>
      <c r="D63">
        <f>Helper!R8</f>
        <v>0</v>
      </c>
      <c r="E63">
        <f>Helper!AC8</f>
        <v>0</v>
      </c>
      <c r="F63">
        <f>Helper!AE8</f>
        <v>53</v>
      </c>
      <c r="G63">
        <f>Helper!K8</f>
        <v>53.000700000000002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50</v>
      </c>
      <c r="D64">
        <f>Helper!R9</f>
        <v>0</v>
      </c>
      <c r="E64">
        <f>Helper!AC9</f>
        <v>0</v>
      </c>
      <c r="F64">
        <f>Helper!AE9</f>
        <v>50</v>
      </c>
      <c r="G64">
        <f>Helper!K9</f>
        <v>50.000799999999998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49</v>
      </c>
      <c r="D65">
        <f>Helper!R10</f>
        <v>0</v>
      </c>
      <c r="E65">
        <f>Helper!AC10</f>
        <v>0</v>
      </c>
      <c r="F65">
        <f>Helper!AE10</f>
        <v>49</v>
      </c>
      <c r="G65">
        <f>Helper!K10</f>
        <v>49.000900000000001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62</v>
      </c>
      <c r="D66">
        <f>Helper!R11</f>
        <v>0</v>
      </c>
      <c r="E66">
        <f>Helper!AC11</f>
        <v>0</v>
      </c>
      <c r="F66">
        <f>Helper!AE11</f>
        <v>62</v>
      </c>
      <c r="G66">
        <f>Helper!K11</f>
        <v>62.000999999999998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54</v>
      </c>
      <c r="D67">
        <f>Helper!R12</f>
        <v>0</v>
      </c>
      <c r="E67">
        <f>Helper!AC12</f>
        <v>0</v>
      </c>
      <c r="F67">
        <f>Helper!AE12</f>
        <v>54</v>
      </c>
      <c r="G67">
        <f>Helper!K12</f>
        <v>54.001100000000001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0</v>
      </c>
      <c r="E68">
        <f>Helper!AC13</f>
        <v>0</v>
      </c>
      <c r="F68">
        <f>Helper!AE13</f>
        <v>48</v>
      </c>
      <c r="G68">
        <f>Helper!K13</f>
        <v>48.001199999999997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Chris Simmons</v>
      </c>
      <c r="C5" t="s">
        <v>252</v>
      </c>
      <c r="D5" t="s">
        <v>253</v>
      </c>
      <c r="E5" t="str">
        <f>B5</f>
        <v>Chris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Evan Loeser</v>
      </c>
      <c r="C13">
        <f>INDEX(I$40:I$51,MATCH(MAX(K$40:K$51),K$40:K$51,0))</f>
        <v>68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Chris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Evan Loeser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68</v>
      </c>
      <c r="J40" t="b">
        <f t="shared" ref="J40:J51" si="1">OR(H40=$E$5,H40=$E$6,H40=$E$7,H40=$E$8,H40=$E$9)</f>
        <v>0</v>
      </c>
      <c r="K40">
        <f>IF(J40,-1,I40+0.00001)</f>
        <v>68.000010000000003</v>
      </c>
    </row>
    <row r="41" spans="1:11" ht="15" customHeight="1" x14ac:dyDescent="0.25">
      <c r="H41" t="str">
        <f>Roster!B4</f>
        <v>Chris Simmons</v>
      </c>
      <c r="I41">
        <f>Helper!AE3</f>
        <v>68</v>
      </c>
      <c r="J41" t="b">
        <f t="shared" si="1"/>
        <v>1</v>
      </c>
      <c r="K41">
        <f>IF(J41,-1,I41+0.00002)</f>
        <v>-1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65</v>
      </c>
      <c r="J44" t="b">
        <f t="shared" si="1"/>
        <v>0</v>
      </c>
      <c r="K44">
        <f>IF(J44,-1,I44+0.00005)</f>
        <v>65.000050000000002</v>
      </c>
    </row>
    <row r="45" spans="1:11" ht="15" customHeight="1" x14ac:dyDescent="0.25">
      <c r="H45" t="str">
        <f>Roster!B8</f>
        <v>Alan Loeser</v>
      </c>
      <c r="I45">
        <f>Helper!AE7</f>
        <v>60</v>
      </c>
      <c r="J45" t="b">
        <f t="shared" si="1"/>
        <v>0</v>
      </c>
      <c r="K45">
        <f>IF(J45,-1,I45+0.00006)</f>
        <v>60.000059999999998</v>
      </c>
    </row>
    <row r="46" spans="1:11" ht="15" customHeight="1" x14ac:dyDescent="0.25">
      <c r="H46" t="str">
        <f>Roster!B9</f>
        <v>Caleb Simmons</v>
      </c>
      <c r="I46">
        <f>Helper!AE8</f>
        <v>53</v>
      </c>
      <c r="J46" t="b">
        <f t="shared" si="1"/>
        <v>0</v>
      </c>
      <c r="K46">
        <f>IF(J46,-1,I46+0.00007)</f>
        <v>53.000070000000001</v>
      </c>
    </row>
    <row r="47" spans="1:11" ht="15" customHeight="1" x14ac:dyDescent="0.25">
      <c r="H47" t="str">
        <f>Roster!B10</f>
        <v>Larry Loeser</v>
      </c>
      <c r="I47">
        <f>Helper!AE9</f>
        <v>50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49</v>
      </c>
      <c r="J48" t="b">
        <f t="shared" si="1"/>
        <v>0</v>
      </c>
      <c r="K48">
        <f>IF(J48,-1,I48+0.00009)</f>
        <v>49.00009</v>
      </c>
    </row>
    <row r="49" spans="8:11" ht="15" customHeight="1" x14ac:dyDescent="0.25">
      <c r="H49" t="str">
        <f>Roster!B12</f>
        <v>Zach Zarra</v>
      </c>
      <c r="I49">
        <f>Helper!AE11</f>
        <v>62</v>
      </c>
      <c r="J49" t="b">
        <f t="shared" si="1"/>
        <v>0</v>
      </c>
      <c r="K49">
        <f>IF(J49,-1,I49+0.0001)</f>
        <v>62.000100000000003</v>
      </c>
    </row>
    <row r="50" spans="8:11" ht="15" customHeight="1" x14ac:dyDescent="0.25">
      <c r="H50" t="str">
        <f>Roster!B13</f>
        <v>Jeffrey Loeser</v>
      </c>
      <c r="I50">
        <f>Helper!AE12</f>
        <v>54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Chris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Evan Loeser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Chris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Evan Loeser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Chris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Chris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Chris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68</v>
      </c>
      <c r="AF2">
        <f>AE2+0.0001</f>
        <v>68.000100000000003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68</v>
      </c>
      <c r="AF3">
        <f>AE3+0.0002</f>
        <v>68.000200000000007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7</v>
      </c>
      <c r="I6">
        <f t="shared" si="0"/>
        <v>65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3</v>
      </c>
      <c r="K6">
        <f>I6+0.0005</f>
        <v>65.000500000000002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65</v>
      </c>
      <c r="AF6">
        <f>AE6+0.0005</f>
        <v>65.000500000000002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60</v>
      </c>
      <c r="AF7">
        <f>AE7+0.0006</f>
        <v>60.000599999999999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7</v>
      </c>
      <c r="I8">
        <f t="shared" si="0"/>
        <v>53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2</v>
      </c>
      <c r="K8">
        <f>I8+0.0007</f>
        <v>53.000700000000002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53</v>
      </c>
      <c r="AF8">
        <f>AE8+0.0007</f>
        <v>53.000700000000002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7</v>
      </c>
      <c r="I9">
        <f t="shared" si="0"/>
        <v>50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1</v>
      </c>
      <c r="K9">
        <f>I9+0.0008</f>
        <v>50.000799999999998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50</v>
      </c>
      <c r="AF9">
        <f>AE9+0.0008</f>
        <v>50.000799999999998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6</v>
      </c>
      <c r="I10">
        <f t="shared" si="0"/>
        <v>49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49.000900000000001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49</v>
      </c>
      <c r="AF10">
        <f>AE10+0.0009</f>
        <v>49.000900000000001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6</v>
      </c>
      <c r="I11">
        <f t="shared" si="0"/>
        <v>62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62.000999999999998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62</v>
      </c>
      <c r="AF11">
        <f>AE11+0.001</f>
        <v>62.000999999999998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6</v>
      </c>
      <c r="I12">
        <f t="shared" si="0"/>
        <v>54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54.001100000000001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54</v>
      </c>
      <c r="AF12">
        <f>AE12+0.0011</f>
        <v>54.001100000000001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48</v>
      </c>
      <c r="AF13">
        <f>AE13+0.0012</f>
        <v>48.001199999999997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2026-10-19T13:43:25Z</dcterms:modified>
  <dc:language>en-US</dc:language>
</cp:coreProperties>
</file>