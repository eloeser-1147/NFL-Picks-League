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3" documentId="11_A98005C6E9195966979F624F4D766EEF87D9B954" xr6:coauthVersionLast="47" xr6:coauthVersionMax="47" xr10:uidLastSave="{B3AE45DA-17E4-4881-940A-2C26D78B0977}"/>
  <bookViews>
    <workbookView xWindow="-120" yWindow="-120" windowWidth="29040" windowHeight="16440" tabRatio="500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3" i="13" l="1"/>
  <c r="AB13" i="13"/>
  <c r="AA13" i="13"/>
  <c r="AD13" i="13" s="1"/>
  <c r="Z13" i="13"/>
  <c r="H51" i="8" s="1"/>
  <c r="Y13" i="13"/>
  <c r="X13" i="13"/>
  <c r="W13" i="13"/>
  <c r="V13" i="13"/>
  <c r="U13" i="13"/>
  <c r="C51" i="8" s="1"/>
  <c r="Q13" i="13"/>
  <c r="P13" i="13"/>
  <c r="G29" i="8" s="1"/>
  <c r="O13" i="13"/>
  <c r="F29" i="8" s="1"/>
  <c r="N13" i="13"/>
  <c r="M13" i="13"/>
  <c r="L13" i="13"/>
  <c r="H13" i="13"/>
  <c r="G13" i="13"/>
  <c r="F13" i="13"/>
  <c r="E13" i="13"/>
  <c r="D13" i="13"/>
  <c r="B13" i="13"/>
  <c r="B68" i="8" s="1"/>
  <c r="AD12" i="13"/>
  <c r="AC12" i="13"/>
  <c r="E67" i="8" s="1"/>
  <c r="AB12" i="13"/>
  <c r="J50" i="8" s="1"/>
  <c r="AA12" i="13"/>
  <c r="Z12" i="13"/>
  <c r="Y12" i="13"/>
  <c r="X12" i="13"/>
  <c r="W12" i="13"/>
  <c r="V12" i="13"/>
  <c r="U12" i="13"/>
  <c r="C50" i="8" s="1"/>
  <c r="Q12" i="13"/>
  <c r="P12" i="13"/>
  <c r="G28" i="8" s="1"/>
  <c r="O12" i="13"/>
  <c r="F28" i="8" s="1"/>
  <c r="N12" i="13"/>
  <c r="E28" i="8" s="1"/>
  <c r="M12" i="13"/>
  <c r="D28" i="8" s="1"/>
  <c r="L12" i="13"/>
  <c r="H12" i="13"/>
  <c r="G12" i="13"/>
  <c r="F12" i="13"/>
  <c r="E12" i="13"/>
  <c r="E13" i="8" s="1"/>
  <c r="D12" i="13"/>
  <c r="B12" i="13"/>
  <c r="AC11" i="13"/>
  <c r="AB11" i="13"/>
  <c r="AA11" i="13"/>
  <c r="AD11" i="13" s="1"/>
  <c r="Z11" i="13"/>
  <c r="H49" i="8" s="1"/>
  <c r="Y11" i="13"/>
  <c r="G49" i="8" s="1"/>
  <c r="X11" i="13"/>
  <c r="W11" i="13"/>
  <c r="V11" i="13"/>
  <c r="U11" i="13"/>
  <c r="Q11" i="13"/>
  <c r="P11" i="13"/>
  <c r="G27" i="8" s="1"/>
  <c r="O11" i="13"/>
  <c r="F27" i="8" s="1"/>
  <c r="N11" i="13"/>
  <c r="M11" i="13"/>
  <c r="D27" i="8" s="1"/>
  <c r="L11" i="13"/>
  <c r="H11" i="13"/>
  <c r="H12" i="8" s="1"/>
  <c r="G11" i="13"/>
  <c r="G12" i="8" s="1"/>
  <c r="F11" i="13"/>
  <c r="E11" i="13"/>
  <c r="D11" i="13"/>
  <c r="D12" i="8" s="1"/>
  <c r="B11" i="13"/>
  <c r="AC10" i="13"/>
  <c r="AB10" i="13"/>
  <c r="J48" i="8" s="1"/>
  <c r="AA10" i="13"/>
  <c r="AD10" i="13" s="1"/>
  <c r="Z10" i="13"/>
  <c r="Y10" i="13"/>
  <c r="X10" i="13"/>
  <c r="F48" i="8" s="1"/>
  <c r="W10" i="13"/>
  <c r="E48" i="8" s="1"/>
  <c r="V10" i="13"/>
  <c r="U10" i="13"/>
  <c r="Q10" i="13"/>
  <c r="P10" i="13"/>
  <c r="O10" i="13"/>
  <c r="N10" i="13"/>
  <c r="M10" i="13"/>
  <c r="D26" i="8" s="1"/>
  <c r="L10" i="13"/>
  <c r="H10" i="13"/>
  <c r="G10" i="13"/>
  <c r="F10" i="13"/>
  <c r="E10" i="13"/>
  <c r="D10" i="13"/>
  <c r="B10" i="13"/>
  <c r="AD9" i="13"/>
  <c r="AC9" i="13"/>
  <c r="E64" i="8" s="1"/>
  <c r="AB9" i="13"/>
  <c r="AA9" i="13"/>
  <c r="Z9" i="13"/>
  <c r="H44" i="8" s="1"/>
  <c r="Y9" i="13"/>
  <c r="G44" i="8" s="1"/>
  <c r="X9" i="13"/>
  <c r="F44" i="8" s="1"/>
  <c r="W9" i="13"/>
  <c r="V9" i="13"/>
  <c r="D44" i="8" s="1"/>
  <c r="U9" i="13"/>
  <c r="C44" i="8" s="1"/>
  <c r="Q9" i="13"/>
  <c r="P9" i="13"/>
  <c r="O9" i="13"/>
  <c r="F25" i="8" s="1"/>
  <c r="N9" i="13"/>
  <c r="M9" i="13"/>
  <c r="L9" i="13"/>
  <c r="H9" i="13"/>
  <c r="H10" i="8" s="1"/>
  <c r="G9" i="13"/>
  <c r="G10" i="8" s="1"/>
  <c r="F9" i="13"/>
  <c r="F10" i="8" s="1"/>
  <c r="E9" i="13"/>
  <c r="E10" i="8" s="1"/>
  <c r="D9" i="13"/>
  <c r="D10" i="8" s="1"/>
  <c r="B9" i="13"/>
  <c r="AD8" i="13"/>
  <c r="AC8" i="13"/>
  <c r="AB8" i="13"/>
  <c r="J43" i="8" s="1"/>
  <c r="AA8" i="13"/>
  <c r="Z8" i="13"/>
  <c r="Y8" i="13"/>
  <c r="G43" i="8" s="1"/>
  <c r="X8" i="13"/>
  <c r="F43" i="8" s="1"/>
  <c r="W8" i="13"/>
  <c r="E43" i="8" s="1"/>
  <c r="V8" i="13"/>
  <c r="D43" i="8" s="1"/>
  <c r="U8" i="13"/>
  <c r="C43" i="8" s="1"/>
  <c r="Q8" i="13"/>
  <c r="R8" i="13" s="1"/>
  <c r="P8" i="13"/>
  <c r="O8" i="13"/>
  <c r="N8" i="13"/>
  <c r="E24" i="8" s="1"/>
  <c r="M8" i="13"/>
  <c r="L8" i="13"/>
  <c r="H8" i="13"/>
  <c r="G8" i="13"/>
  <c r="F8" i="13"/>
  <c r="F9" i="8" s="1"/>
  <c r="E8" i="13"/>
  <c r="D8" i="13"/>
  <c r="B8" i="13"/>
  <c r="AC7" i="13"/>
  <c r="K42" i="8" s="1"/>
  <c r="AB7" i="13"/>
  <c r="AA7" i="13"/>
  <c r="AD7" i="13" s="1"/>
  <c r="Z7" i="13"/>
  <c r="Y7" i="13"/>
  <c r="X7" i="13"/>
  <c r="F42" i="8" s="1"/>
  <c r="W7" i="13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L7" i="13"/>
  <c r="H7" i="13"/>
  <c r="H8" i="8" s="1"/>
  <c r="G7" i="13"/>
  <c r="F7" i="13"/>
  <c r="F8" i="8" s="1"/>
  <c r="E7" i="13"/>
  <c r="D7" i="13"/>
  <c r="D8" i="8" s="1"/>
  <c r="B7" i="13"/>
  <c r="AC6" i="13"/>
  <c r="K41" i="8" s="1"/>
  <c r="AB6" i="13"/>
  <c r="AA6" i="13"/>
  <c r="Z6" i="13"/>
  <c r="H41" i="8" s="1"/>
  <c r="Y6" i="13"/>
  <c r="X6" i="13"/>
  <c r="W6" i="13"/>
  <c r="E41" i="8" s="1"/>
  <c r="V6" i="13"/>
  <c r="D41" i="8" s="1"/>
  <c r="U6" i="13"/>
  <c r="Q6" i="13"/>
  <c r="P6" i="13"/>
  <c r="G22" i="8" s="1"/>
  <c r="O6" i="13"/>
  <c r="F22" i="8" s="1"/>
  <c r="N6" i="13"/>
  <c r="E22" i="8" s="1"/>
  <c r="M6" i="13"/>
  <c r="D22" i="8" s="1"/>
  <c r="L6" i="13"/>
  <c r="R6" i="13" s="1"/>
  <c r="T6" i="13" s="1"/>
  <c r="H61" i="8" s="1"/>
  <c r="H6" i="13"/>
  <c r="G6" i="13"/>
  <c r="F6" i="13"/>
  <c r="F7" i="8" s="1"/>
  <c r="E6" i="13"/>
  <c r="D6" i="13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V5" i="13"/>
  <c r="D37" i="8" s="1"/>
  <c r="U5" i="13"/>
  <c r="C37" i="8" s="1"/>
  <c r="Q5" i="13"/>
  <c r="H21" i="8" s="1"/>
  <c r="P5" i="13"/>
  <c r="O5" i="13"/>
  <c r="F21" i="8" s="1"/>
  <c r="N5" i="13"/>
  <c r="M5" i="13"/>
  <c r="D21" i="8" s="1"/>
  <c r="L5" i="13"/>
  <c r="R5" i="13" s="1"/>
  <c r="I21" i="8" s="1"/>
  <c r="H5" i="13"/>
  <c r="H6" i="8" s="1"/>
  <c r="G5" i="13"/>
  <c r="G6" i="8" s="1"/>
  <c r="F5" i="13"/>
  <c r="E5" i="13"/>
  <c r="D5" i="13"/>
  <c r="D6" i="8" s="1"/>
  <c r="B5" i="13"/>
  <c r="AC4" i="13"/>
  <c r="AB4" i="13"/>
  <c r="J36" i="8" s="1"/>
  <c r="AA4" i="13"/>
  <c r="AD4" i="13" s="1"/>
  <c r="Z4" i="13"/>
  <c r="Y4" i="13"/>
  <c r="G36" i="8" s="1"/>
  <c r="X4" i="13"/>
  <c r="W4" i="13"/>
  <c r="E36" i="8" s="1"/>
  <c r="V4" i="13"/>
  <c r="D36" i="8" s="1"/>
  <c r="U4" i="13"/>
  <c r="Q4" i="13"/>
  <c r="P4" i="13"/>
  <c r="G20" i="8" s="1"/>
  <c r="O4" i="13"/>
  <c r="N4" i="13"/>
  <c r="E20" i="8" s="1"/>
  <c r="M4" i="13"/>
  <c r="L4" i="13"/>
  <c r="K20" i="8" s="1"/>
  <c r="H4" i="13"/>
  <c r="H5" i="8" s="1"/>
  <c r="G4" i="13"/>
  <c r="G5" i="8" s="1"/>
  <c r="F4" i="13"/>
  <c r="E4" i="13"/>
  <c r="E5" i="8" s="1"/>
  <c r="D4" i="13"/>
  <c r="D5" i="8" s="1"/>
  <c r="B4" i="13"/>
  <c r="AC3" i="13"/>
  <c r="E58" i="8" s="1"/>
  <c r="AB3" i="13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O3" i="13"/>
  <c r="N3" i="13"/>
  <c r="K19" i="8" s="1"/>
  <c r="M3" i="13"/>
  <c r="L3" i="13"/>
  <c r="H3" i="13"/>
  <c r="H4" i="8" s="1"/>
  <c r="G3" i="13"/>
  <c r="G4" i="8" s="1"/>
  <c r="F3" i="13"/>
  <c r="E3" i="13"/>
  <c r="D3" i="13"/>
  <c r="B3" i="13"/>
  <c r="AD2" i="13"/>
  <c r="AC2" i="13"/>
  <c r="E57" i="8" s="1"/>
  <c r="AB2" i="13"/>
  <c r="AA2" i="13"/>
  <c r="Z2" i="13"/>
  <c r="H34" i="8" s="1"/>
  <c r="Y2" i="13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F18" i="8" s="1"/>
  <c r="N2" i="13"/>
  <c r="E18" i="8" s="1"/>
  <c r="M2" i="13"/>
  <c r="L2" i="13"/>
  <c r="H2" i="13"/>
  <c r="G2" i="13"/>
  <c r="G3" i="8" s="1"/>
  <c r="F2" i="13"/>
  <c r="F3" i="8" s="1"/>
  <c r="E2" i="13"/>
  <c r="E3" i="8" s="1"/>
  <c r="D2" i="13"/>
  <c r="D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C15" i="10" s="1"/>
  <c r="B7" i="11" s="1"/>
  <c r="I7" i="11" s="1"/>
  <c r="J7" i="11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E66" i="8"/>
  <c r="B66" i="8"/>
  <c r="E65" i="8"/>
  <c r="B65" i="8"/>
  <c r="B64" i="8"/>
  <c r="E63" i="8"/>
  <c r="B63" i="8"/>
  <c r="B62" i="8"/>
  <c r="E61" i="8"/>
  <c r="B60" i="8"/>
  <c r="B59" i="8"/>
  <c r="B58" i="8"/>
  <c r="B57" i="8"/>
  <c r="K51" i="8"/>
  <c r="J51" i="8"/>
  <c r="I51" i="8"/>
  <c r="G51" i="8"/>
  <c r="F51" i="8"/>
  <c r="E51" i="8"/>
  <c r="D51" i="8"/>
  <c r="B51" i="8"/>
  <c r="I50" i="8"/>
  <c r="H50" i="8"/>
  <c r="G50" i="8"/>
  <c r="F50" i="8"/>
  <c r="E50" i="8"/>
  <c r="D50" i="8"/>
  <c r="K49" i="8"/>
  <c r="J49" i="8"/>
  <c r="F49" i="8"/>
  <c r="E49" i="8"/>
  <c r="D49" i="8"/>
  <c r="C49" i="8"/>
  <c r="B49" i="8"/>
  <c r="K48" i="8"/>
  <c r="I48" i="8"/>
  <c r="H48" i="8"/>
  <c r="G48" i="8"/>
  <c r="D48" i="8"/>
  <c r="C48" i="8"/>
  <c r="B48" i="8"/>
  <c r="K44" i="8"/>
  <c r="J44" i="8"/>
  <c r="I44" i="8"/>
  <c r="E44" i="8"/>
  <c r="K43" i="8"/>
  <c r="I43" i="8"/>
  <c r="H43" i="8"/>
  <c r="B43" i="8"/>
  <c r="J42" i="8"/>
  <c r="I42" i="8"/>
  <c r="H42" i="8"/>
  <c r="G42" i="8"/>
  <c r="E42" i="8"/>
  <c r="B42" i="8"/>
  <c r="J41" i="8"/>
  <c r="G41" i="8"/>
  <c r="F41" i="8"/>
  <c r="C41" i="8"/>
  <c r="J37" i="8"/>
  <c r="E37" i="8"/>
  <c r="B37" i="8"/>
  <c r="I36" i="8"/>
  <c r="H36" i="8"/>
  <c r="F36" i="8"/>
  <c r="C36" i="8"/>
  <c r="B36" i="8"/>
  <c r="J35" i="8"/>
  <c r="H35" i="8"/>
  <c r="B35" i="8"/>
  <c r="K34" i="8"/>
  <c r="J34" i="8"/>
  <c r="I34" i="8"/>
  <c r="G34" i="8"/>
  <c r="B34" i="8"/>
  <c r="H29" i="8"/>
  <c r="D29" i="8"/>
  <c r="C29" i="8"/>
  <c r="B29" i="8"/>
  <c r="H28" i="8"/>
  <c r="C28" i="8"/>
  <c r="H27" i="8"/>
  <c r="E27" i="8"/>
  <c r="C27" i="8"/>
  <c r="B27" i="8"/>
  <c r="H26" i="8"/>
  <c r="F26" i="8"/>
  <c r="E26" i="8"/>
  <c r="C26" i="8"/>
  <c r="B26" i="8"/>
  <c r="G25" i="8"/>
  <c r="E25" i="8"/>
  <c r="D25" i="8"/>
  <c r="C25" i="8"/>
  <c r="G24" i="8"/>
  <c r="F24" i="8"/>
  <c r="D24" i="8"/>
  <c r="C24" i="8"/>
  <c r="B24" i="8"/>
  <c r="C23" i="8"/>
  <c r="B23" i="8"/>
  <c r="H22" i="8"/>
  <c r="G21" i="8"/>
  <c r="E21" i="8"/>
  <c r="C21" i="8"/>
  <c r="B21" i="8"/>
  <c r="H20" i="8"/>
  <c r="F20" i="8"/>
  <c r="D20" i="8"/>
  <c r="B20" i="8"/>
  <c r="G19" i="8"/>
  <c r="F19" i="8"/>
  <c r="E19" i="8"/>
  <c r="D19" i="8"/>
  <c r="B19" i="8"/>
  <c r="D18" i="8"/>
  <c r="B18" i="8"/>
  <c r="H14" i="8"/>
  <c r="G14" i="8"/>
  <c r="F14" i="8"/>
  <c r="E14" i="8"/>
  <c r="D14" i="8"/>
  <c r="B14" i="8"/>
  <c r="H13" i="8"/>
  <c r="G13" i="8"/>
  <c r="F13" i="8"/>
  <c r="D13" i="8"/>
  <c r="F12" i="8"/>
  <c r="E12" i="8"/>
  <c r="B12" i="8"/>
  <c r="H11" i="8"/>
  <c r="G11" i="8"/>
  <c r="F11" i="8"/>
  <c r="E11" i="8"/>
  <c r="D11" i="8"/>
  <c r="B11" i="8"/>
  <c r="H9" i="8"/>
  <c r="G9" i="8"/>
  <c r="E9" i="8"/>
  <c r="D9" i="8"/>
  <c r="B9" i="8"/>
  <c r="G8" i="8"/>
  <c r="E8" i="8"/>
  <c r="B8" i="8"/>
  <c r="H7" i="8"/>
  <c r="G7" i="8"/>
  <c r="E7" i="8"/>
  <c r="D7" i="8"/>
  <c r="F6" i="8"/>
  <c r="E6" i="8"/>
  <c r="B6" i="8"/>
  <c r="F5" i="8"/>
  <c r="B5" i="8"/>
  <c r="F4" i="8"/>
  <c r="E4" i="8"/>
  <c r="D4" i="8"/>
  <c r="B4" i="8"/>
  <c r="H3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E329" i="3"/>
  <c r="E324" i="3"/>
  <c r="E318" i="3"/>
  <c r="E310" i="3"/>
  <c r="E309" i="3"/>
  <c r="E304" i="3"/>
  <c r="E303" i="3"/>
  <c r="E298" i="3"/>
  <c r="E297" i="3"/>
  <c r="E290" i="3"/>
  <c r="E289" i="3"/>
  <c r="E284" i="3"/>
  <c r="E283" i="3"/>
  <c r="E278" i="3"/>
  <c r="E277" i="3"/>
  <c r="E269" i="3"/>
  <c r="E264" i="3"/>
  <c r="E263" i="3"/>
  <c r="E262" i="3"/>
  <c r="E258" i="3"/>
  <c r="E257" i="3"/>
  <c r="E249" i="3"/>
  <c r="E248" i="3"/>
  <c r="E243" i="3"/>
  <c r="E235" i="3"/>
  <c r="E230" i="3"/>
  <c r="E224" i="3"/>
  <c r="E223" i="3"/>
  <c r="E216" i="3"/>
  <c r="E210" i="3"/>
  <c r="E208" i="3"/>
  <c r="E204" i="3"/>
  <c r="E196" i="3"/>
  <c r="E195" i="3"/>
  <c r="E190" i="3"/>
  <c r="E189" i="3"/>
  <c r="E182" i="3"/>
  <c r="E181" i="3"/>
  <c r="E176" i="3"/>
  <c r="E175" i="3"/>
  <c r="E169" i="3"/>
  <c r="E161" i="3"/>
  <c r="E155" i="3"/>
  <c r="E147" i="3"/>
  <c r="E141" i="3"/>
  <c r="E135" i="3"/>
  <c r="E128" i="3"/>
  <c r="E122" i="3"/>
  <c r="E114" i="3"/>
  <c r="E108" i="3"/>
  <c r="E102" i="3"/>
  <c r="E94" i="3"/>
  <c r="E93" i="3"/>
  <c r="E88" i="3"/>
  <c r="E87" i="3"/>
  <c r="E82" i="3"/>
  <c r="C71" i="5" s="1"/>
  <c r="E79" i="3"/>
  <c r="E74" i="3"/>
  <c r="E73" i="3"/>
  <c r="E68" i="3"/>
  <c r="E67" i="3"/>
  <c r="E60" i="3"/>
  <c r="E59" i="3"/>
  <c r="E53" i="3"/>
  <c r="E47" i="3"/>
  <c r="E39" i="3"/>
  <c r="E33" i="3"/>
  <c r="E27" i="3"/>
  <c r="E20" i="3"/>
  <c r="E19" i="3"/>
  <c r="E14" i="3"/>
  <c r="E8" i="3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E328" i="3" s="1"/>
  <c r="I325" i="4"/>
  <c r="J324" i="4"/>
  <c r="E327" i="3" s="1"/>
  <c r="I324" i="4"/>
  <c r="J323" i="4"/>
  <c r="E326" i="3" s="1"/>
  <c r="I323" i="4"/>
  <c r="J322" i="4"/>
  <c r="E325" i="3" s="1"/>
  <c r="I322" i="4"/>
  <c r="J321" i="4"/>
  <c r="I321" i="4"/>
  <c r="J320" i="4"/>
  <c r="E323" i="3" s="1"/>
  <c r="I320" i="4"/>
  <c r="J319" i="4"/>
  <c r="E322" i="3" s="1"/>
  <c r="I319" i="4"/>
  <c r="J318" i="4"/>
  <c r="E321" i="3" s="1"/>
  <c r="I318" i="4"/>
  <c r="J317" i="4"/>
  <c r="E320" i="3" s="1"/>
  <c r="I317" i="4"/>
  <c r="J316" i="4"/>
  <c r="E319" i="3" s="1"/>
  <c r="I316" i="4"/>
  <c r="J315" i="4"/>
  <c r="I315" i="4"/>
  <c r="J314" i="4"/>
  <c r="E317" i="3" s="1"/>
  <c r="I314" i="4"/>
  <c r="J313" i="4"/>
  <c r="E316" i="3" s="1"/>
  <c r="I313" i="4"/>
  <c r="J312" i="4"/>
  <c r="E315" i="3" s="1"/>
  <c r="I312" i="4"/>
  <c r="J311" i="4"/>
  <c r="E314" i="3" s="1"/>
  <c r="I311" i="4"/>
  <c r="J310" i="4"/>
  <c r="E313" i="3" s="1"/>
  <c r="I310" i="4"/>
  <c r="E307" i="4"/>
  <c r="J306" i="4"/>
  <c r="I306" i="4"/>
  <c r="J305" i="4"/>
  <c r="E308" i="3" s="1"/>
  <c r="I305" i="4"/>
  <c r="J304" i="4"/>
  <c r="E307" i="3" s="1"/>
  <c r="I304" i="4"/>
  <c r="J303" i="4"/>
  <c r="E306" i="3" s="1"/>
  <c r="I303" i="4"/>
  <c r="J302" i="4"/>
  <c r="E305" i="3" s="1"/>
  <c r="I302" i="4"/>
  <c r="J301" i="4"/>
  <c r="I301" i="4"/>
  <c r="J300" i="4"/>
  <c r="I300" i="4"/>
  <c r="J299" i="4"/>
  <c r="E302" i="3" s="1"/>
  <c r="I299" i="4"/>
  <c r="J298" i="4"/>
  <c r="E301" i="3" s="1"/>
  <c r="I298" i="4"/>
  <c r="J297" i="4"/>
  <c r="E300" i="3" s="1"/>
  <c r="I297" i="4"/>
  <c r="J296" i="4"/>
  <c r="E299" i="3" s="1"/>
  <c r="I296" i="4"/>
  <c r="J295" i="4"/>
  <c r="I295" i="4"/>
  <c r="J294" i="4"/>
  <c r="I294" i="4"/>
  <c r="J293" i="4"/>
  <c r="E296" i="3" s="1"/>
  <c r="I293" i="4"/>
  <c r="J292" i="4"/>
  <c r="E295" i="3" s="1"/>
  <c r="I292" i="4"/>
  <c r="J291" i="4"/>
  <c r="E294" i="3" s="1"/>
  <c r="I291" i="4"/>
  <c r="E288" i="4"/>
  <c r="E291" i="3" s="1"/>
  <c r="J287" i="4"/>
  <c r="I287" i="4"/>
  <c r="J286" i="4"/>
  <c r="I286" i="4"/>
  <c r="J285" i="4"/>
  <c r="E288" i="3" s="1"/>
  <c r="I285" i="4"/>
  <c r="J284" i="4"/>
  <c r="E287" i="3" s="1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E282" i="3" s="1"/>
  <c r="I279" i="4"/>
  <c r="J278" i="4"/>
  <c r="E281" i="3" s="1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E276" i="3" s="1"/>
  <c r="I273" i="4"/>
  <c r="J272" i="4"/>
  <c r="E275" i="3" s="1"/>
  <c r="I272" i="4"/>
  <c r="E269" i="4"/>
  <c r="E272" i="3" s="1"/>
  <c r="J268" i="4"/>
  <c r="E271" i="3" s="1"/>
  <c r="I268" i="4"/>
  <c r="J267" i="4"/>
  <c r="E270" i="3" s="1"/>
  <c r="I267" i="4"/>
  <c r="J266" i="4"/>
  <c r="I266" i="4"/>
  <c r="J265" i="4"/>
  <c r="E268" i="3" s="1"/>
  <c r="I265" i="4"/>
  <c r="J264" i="4"/>
  <c r="E267" i="3" s="1"/>
  <c r="I264" i="4"/>
  <c r="J263" i="4"/>
  <c r="E266" i="3" s="1"/>
  <c r="I263" i="4"/>
  <c r="J262" i="4"/>
  <c r="E265" i="3" s="1"/>
  <c r="I262" i="4"/>
  <c r="J261" i="4"/>
  <c r="I261" i="4"/>
  <c r="J260" i="4"/>
  <c r="I260" i="4"/>
  <c r="J259" i="4"/>
  <c r="I259" i="4"/>
  <c r="J258" i="4"/>
  <c r="E261" i="3" s="1"/>
  <c r="I258" i="4"/>
  <c r="J257" i="4"/>
  <c r="E260" i="3" s="1"/>
  <c r="I257" i="4"/>
  <c r="J256" i="4"/>
  <c r="E259" i="3" s="1"/>
  <c r="I256" i="4"/>
  <c r="J255" i="4"/>
  <c r="I255" i="4"/>
  <c r="J254" i="4"/>
  <c r="I254" i="4"/>
  <c r="J253" i="4"/>
  <c r="E256" i="3" s="1"/>
  <c r="I253" i="4"/>
  <c r="E250" i="4"/>
  <c r="E253" i="3" s="1"/>
  <c r="J249" i="4"/>
  <c r="E252" i="3" s="1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E247" i="3" s="1"/>
  <c r="I244" i="4"/>
  <c r="J243" i="4"/>
  <c r="E246" i="3" s="1"/>
  <c r="I243" i="4"/>
  <c r="J242" i="4"/>
  <c r="E245" i="3" s="1"/>
  <c r="I242" i="4"/>
  <c r="J241" i="4"/>
  <c r="E244" i="3" s="1"/>
  <c r="I241" i="4"/>
  <c r="J240" i="4"/>
  <c r="I240" i="4"/>
  <c r="J239" i="4"/>
  <c r="E242" i="3" s="1"/>
  <c r="I239" i="4"/>
  <c r="J238" i="4"/>
  <c r="E241" i="3" s="1"/>
  <c r="I238" i="4"/>
  <c r="J237" i="4"/>
  <c r="E240" i="3" s="1"/>
  <c r="I237" i="4"/>
  <c r="J236" i="4"/>
  <c r="E239" i="3" s="1"/>
  <c r="I236" i="4"/>
  <c r="J235" i="4"/>
  <c r="E238" i="3" s="1"/>
  <c r="I235" i="4"/>
  <c r="E232" i="4"/>
  <c r="J231" i="4"/>
  <c r="E234" i="3" s="1"/>
  <c r="I231" i="4"/>
  <c r="J230" i="4"/>
  <c r="E233" i="3" s="1"/>
  <c r="I230" i="4"/>
  <c r="J229" i="4"/>
  <c r="E232" i="3" s="1"/>
  <c r="I229" i="4"/>
  <c r="J228" i="4"/>
  <c r="E231" i="3" s="1"/>
  <c r="I228" i="4"/>
  <c r="J227" i="4"/>
  <c r="I227" i="4"/>
  <c r="J226" i="4"/>
  <c r="E229" i="3" s="1"/>
  <c r="I226" i="4"/>
  <c r="J225" i="4"/>
  <c r="E228" i="3" s="1"/>
  <c r="I225" i="4"/>
  <c r="J224" i="4"/>
  <c r="E227" i="3" s="1"/>
  <c r="I224" i="4"/>
  <c r="J223" i="4"/>
  <c r="E226" i="3" s="1"/>
  <c r="I223" i="4"/>
  <c r="J222" i="4"/>
  <c r="E225" i="3" s="1"/>
  <c r="I222" i="4"/>
  <c r="J221" i="4"/>
  <c r="I221" i="4"/>
  <c r="J220" i="4"/>
  <c r="I220" i="4"/>
  <c r="J219" i="4"/>
  <c r="E222" i="3" s="1"/>
  <c r="I219" i="4"/>
  <c r="J218" i="4"/>
  <c r="E221" i="3" s="1"/>
  <c r="I218" i="4"/>
  <c r="E215" i="4"/>
  <c r="E218" i="3" s="1"/>
  <c r="J214" i="4"/>
  <c r="E217" i="3" s="1"/>
  <c r="I214" i="4"/>
  <c r="J213" i="4"/>
  <c r="I213" i="4"/>
  <c r="J212" i="4"/>
  <c r="E215" i="3" s="1"/>
  <c r="I212" i="4"/>
  <c r="J211" i="4"/>
  <c r="E214" i="3" s="1"/>
  <c r="I211" i="4"/>
  <c r="J210" i="4"/>
  <c r="E213" i="3" s="1"/>
  <c r="I210" i="4"/>
  <c r="J209" i="4"/>
  <c r="E212" i="3" s="1"/>
  <c r="I209" i="4"/>
  <c r="J208" i="4"/>
  <c r="E211" i="3" s="1"/>
  <c r="I208" i="4"/>
  <c r="J207" i="4"/>
  <c r="I207" i="4"/>
  <c r="J206" i="4"/>
  <c r="E209" i="3" s="1"/>
  <c r="I206" i="4"/>
  <c r="J205" i="4"/>
  <c r="I205" i="4"/>
  <c r="J204" i="4"/>
  <c r="E207" i="3" s="1"/>
  <c r="I204" i="4"/>
  <c r="J203" i="4"/>
  <c r="E206" i="3" s="1"/>
  <c r="I203" i="4"/>
  <c r="J202" i="4"/>
  <c r="E205" i="3" s="1"/>
  <c r="I202" i="4"/>
  <c r="J201" i="4"/>
  <c r="I201" i="4"/>
  <c r="J200" i="4"/>
  <c r="E203" i="3" s="1"/>
  <c r="I200" i="4"/>
  <c r="J199" i="4"/>
  <c r="E202" i="3" s="1"/>
  <c r="I199" i="4"/>
  <c r="E196" i="4"/>
  <c r="E199" i="3" s="1"/>
  <c r="J195" i="4"/>
  <c r="E198" i="3" s="1"/>
  <c r="I195" i="4"/>
  <c r="J194" i="4"/>
  <c r="E197" i="3" s="1"/>
  <c r="I194" i="4"/>
  <c r="J193" i="4"/>
  <c r="I193" i="4"/>
  <c r="J192" i="4"/>
  <c r="I192" i="4"/>
  <c r="J191" i="4"/>
  <c r="E194" i="3" s="1"/>
  <c r="I191" i="4"/>
  <c r="J190" i="4"/>
  <c r="E193" i="3" s="1"/>
  <c r="I190" i="4"/>
  <c r="J189" i="4"/>
  <c r="E192" i="3" s="1"/>
  <c r="I189" i="4"/>
  <c r="J188" i="4"/>
  <c r="E191" i="3" s="1"/>
  <c r="I188" i="4"/>
  <c r="J187" i="4"/>
  <c r="I187" i="4"/>
  <c r="J186" i="4"/>
  <c r="I186" i="4"/>
  <c r="J185" i="4"/>
  <c r="E188" i="3" s="1"/>
  <c r="I185" i="4"/>
  <c r="J184" i="4"/>
  <c r="E187" i="3" s="1"/>
  <c r="I184" i="4"/>
  <c r="J183" i="4"/>
  <c r="E186" i="3" s="1"/>
  <c r="I183" i="4"/>
  <c r="E180" i="4"/>
  <c r="E183" i="3" s="1"/>
  <c r="J179" i="4"/>
  <c r="I179" i="4"/>
  <c r="J178" i="4"/>
  <c r="I178" i="4"/>
  <c r="J177" i="4"/>
  <c r="E180" i="3" s="1"/>
  <c r="I177" i="4"/>
  <c r="J176" i="4"/>
  <c r="E179" i="3" s="1"/>
  <c r="I176" i="4"/>
  <c r="J175" i="4"/>
  <c r="E178" i="3" s="1"/>
  <c r="I175" i="4"/>
  <c r="J174" i="4"/>
  <c r="E177" i="3" s="1"/>
  <c r="I174" i="4"/>
  <c r="J173" i="4"/>
  <c r="I173" i="4"/>
  <c r="J172" i="4"/>
  <c r="I172" i="4"/>
  <c r="J171" i="4"/>
  <c r="E174" i="3" s="1"/>
  <c r="I171" i="4"/>
  <c r="J170" i="4"/>
  <c r="E173" i="3" s="1"/>
  <c r="I170" i="4"/>
  <c r="J169" i="4"/>
  <c r="E172" i="3" s="1"/>
  <c r="I169" i="4"/>
  <c r="J168" i="4"/>
  <c r="E171" i="3" s="1"/>
  <c r="I168" i="4"/>
  <c r="J167" i="4"/>
  <c r="E170" i="3" s="1"/>
  <c r="I167" i="4"/>
  <c r="J166" i="4"/>
  <c r="I166" i="4"/>
  <c r="E163" i="4"/>
  <c r="E166" i="3" s="1"/>
  <c r="J162" i="4"/>
  <c r="E165" i="3" s="1"/>
  <c r="I162" i="4"/>
  <c r="J161" i="4"/>
  <c r="E164" i="3" s="1"/>
  <c r="I161" i="4"/>
  <c r="J160" i="4"/>
  <c r="E163" i="3" s="1"/>
  <c r="I160" i="4"/>
  <c r="J159" i="4"/>
  <c r="E162" i="3" s="1"/>
  <c r="I159" i="4"/>
  <c r="J158" i="4"/>
  <c r="I158" i="4"/>
  <c r="J157" i="4"/>
  <c r="E160" i="3" s="1"/>
  <c r="I157" i="4"/>
  <c r="J156" i="4"/>
  <c r="E159" i="3" s="1"/>
  <c r="I156" i="4"/>
  <c r="J155" i="4"/>
  <c r="E158" i="3" s="1"/>
  <c r="I155" i="4"/>
  <c r="J154" i="4"/>
  <c r="E157" i="3" s="1"/>
  <c r="I154" i="4"/>
  <c r="J153" i="4"/>
  <c r="E156" i="3" s="1"/>
  <c r="I153" i="4"/>
  <c r="J152" i="4"/>
  <c r="I152" i="4"/>
  <c r="J151" i="4"/>
  <c r="E154" i="3" s="1"/>
  <c r="I151" i="4"/>
  <c r="J150" i="4"/>
  <c r="E153" i="3" s="1"/>
  <c r="I150" i="4"/>
  <c r="J149" i="4"/>
  <c r="E152" i="3" s="1"/>
  <c r="I149" i="4"/>
  <c r="J148" i="4"/>
  <c r="E151" i="3" s="1"/>
  <c r="I148" i="4"/>
  <c r="E145" i="4"/>
  <c r="E148" i="3" s="1"/>
  <c r="J144" i="4"/>
  <c r="I144" i="4"/>
  <c r="J143" i="4"/>
  <c r="E146" i="3" s="1"/>
  <c r="I143" i="4"/>
  <c r="J142" i="4"/>
  <c r="E145" i="3" s="1"/>
  <c r="I142" i="4"/>
  <c r="J141" i="4"/>
  <c r="E144" i="3" s="1"/>
  <c r="I141" i="4"/>
  <c r="J140" i="4"/>
  <c r="E143" i="3" s="1"/>
  <c r="I140" i="4"/>
  <c r="J139" i="4"/>
  <c r="E142" i="3" s="1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E137" i="3" s="1"/>
  <c r="I134" i="4"/>
  <c r="J133" i="4"/>
  <c r="E136" i="3" s="1"/>
  <c r="I133" i="4"/>
  <c r="J132" i="4"/>
  <c r="I132" i="4"/>
  <c r="J131" i="4"/>
  <c r="E134" i="3" s="1"/>
  <c r="C32" i="6" s="1"/>
  <c r="I131" i="4"/>
  <c r="E128" i="4"/>
  <c r="E131" i="3" s="1"/>
  <c r="J127" i="4"/>
  <c r="E130" i="3" s="1"/>
  <c r="I127" i="4"/>
  <c r="J126" i="4"/>
  <c r="E129" i="3" s="1"/>
  <c r="I126" i="4"/>
  <c r="J125" i="4"/>
  <c r="I125" i="4"/>
  <c r="J124" i="4"/>
  <c r="E127" i="3" s="1"/>
  <c r="I124" i="4"/>
  <c r="J123" i="4"/>
  <c r="E126" i="3" s="1"/>
  <c r="I123" i="4"/>
  <c r="J122" i="4"/>
  <c r="E125" i="3" s="1"/>
  <c r="I122" i="4"/>
  <c r="J121" i="4"/>
  <c r="E124" i="3" s="1"/>
  <c r="I121" i="4"/>
  <c r="J120" i="4"/>
  <c r="E123" i="3" s="1"/>
  <c r="I120" i="4"/>
  <c r="J119" i="4"/>
  <c r="I119" i="4"/>
  <c r="J118" i="4"/>
  <c r="E121" i="3" s="1"/>
  <c r="I118" i="4"/>
  <c r="J117" i="4"/>
  <c r="E120" i="3" s="1"/>
  <c r="I117" i="4"/>
  <c r="J116" i="4"/>
  <c r="E119" i="3" s="1"/>
  <c r="I116" i="4"/>
  <c r="J115" i="4"/>
  <c r="E118" i="3" s="1"/>
  <c r="I115" i="4"/>
  <c r="J114" i="4"/>
  <c r="E117" i="3" s="1"/>
  <c r="I114" i="4"/>
  <c r="E111" i="4"/>
  <c r="J110" i="4"/>
  <c r="E113" i="3" s="1"/>
  <c r="I110" i="4"/>
  <c r="J109" i="4"/>
  <c r="E112" i="3" s="1"/>
  <c r="I109" i="4"/>
  <c r="J108" i="4"/>
  <c r="E111" i="3" s="1"/>
  <c r="I108" i="4"/>
  <c r="J107" i="4"/>
  <c r="E110" i="3" s="1"/>
  <c r="I107" i="4"/>
  <c r="J106" i="4"/>
  <c r="E109" i="3" s="1"/>
  <c r="I106" i="4"/>
  <c r="J105" i="4"/>
  <c r="I105" i="4"/>
  <c r="J104" i="4"/>
  <c r="E107" i="3" s="1"/>
  <c r="I104" i="4"/>
  <c r="J103" i="4"/>
  <c r="E106" i="3" s="1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E101" i="3" s="1"/>
  <c r="I98" i="4"/>
  <c r="J97" i="4"/>
  <c r="E100" i="3" s="1"/>
  <c r="C91" i="5" s="1"/>
  <c r="I97" i="4"/>
  <c r="E94" i="4"/>
  <c r="E97" i="3" s="1"/>
  <c r="J93" i="4"/>
  <c r="E96" i="3" s="1"/>
  <c r="I93" i="4"/>
  <c r="J92" i="4"/>
  <c r="E95" i="3" s="1"/>
  <c r="I92" i="4"/>
  <c r="J91" i="4"/>
  <c r="I91" i="4"/>
  <c r="J90" i="4"/>
  <c r="I90" i="4"/>
  <c r="J89" i="4"/>
  <c r="E92" i="3" s="1"/>
  <c r="I89" i="4"/>
  <c r="J88" i="4"/>
  <c r="E91" i="3" s="1"/>
  <c r="I88" i="4"/>
  <c r="J87" i="4"/>
  <c r="E90" i="3" s="1"/>
  <c r="I87" i="4"/>
  <c r="J86" i="4"/>
  <c r="E89" i="3" s="1"/>
  <c r="I86" i="4"/>
  <c r="J85" i="4"/>
  <c r="I85" i="4"/>
  <c r="J84" i="4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I79" i="4"/>
  <c r="E76" i="4"/>
  <c r="J75" i="4"/>
  <c r="E78" i="3" s="1"/>
  <c r="I75" i="4"/>
  <c r="J74" i="4"/>
  <c r="E77" i="3" s="1"/>
  <c r="I74" i="4"/>
  <c r="J73" i="4"/>
  <c r="E76" i="3" s="1"/>
  <c r="I73" i="4"/>
  <c r="J72" i="4"/>
  <c r="E75" i="3" s="1"/>
  <c r="I72" i="4"/>
  <c r="J71" i="4"/>
  <c r="I71" i="4"/>
  <c r="J70" i="4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I65" i="4"/>
  <c r="J64" i="4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C61" i="5" s="1"/>
  <c r="I60" i="4"/>
  <c r="E57" i="4"/>
  <c r="J56" i="4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I50" i="4"/>
  <c r="J49" i="4"/>
  <c r="E52" i="3" s="1"/>
  <c r="I49" i="4"/>
  <c r="J48" i="4"/>
  <c r="E51" i="3" s="1"/>
  <c r="I48" i="4"/>
  <c r="J47" i="4"/>
  <c r="E50" i="3" s="1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I24" i="4"/>
  <c r="J23" i="4"/>
  <c r="E26" i="3" s="1"/>
  <c r="I23" i="4"/>
  <c r="J22" i="4"/>
  <c r="E25" i="3" s="1"/>
  <c r="I22" i="4"/>
  <c r="E19" i="4"/>
  <c r="E22" i="3" s="1"/>
  <c r="J18" i="4"/>
  <c r="E21" i="3" s="1"/>
  <c r="I18" i="4"/>
  <c r="J17" i="4"/>
  <c r="I17" i="4"/>
  <c r="J16" i="4"/>
  <c r="I16" i="4"/>
  <c r="J15" i="4"/>
  <c r="E18" i="3" s="1"/>
  <c r="I15" i="4"/>
  <c r="J14" i="4"/>
  <c r="E17" i="3" s="1"/>
  <c r="I14" i="4"/>
  <c r="J13" i="4"/>
  <c r="E16" i="3" s="1"/>
  <c r="I13" i="4"/>
  <c r="J12" i="4"/>
  <c r="E15" i="3" s="1"/>
  <c r="I12" i="4"/>
  <c r="J11" i="4"/>
  <c r="I11" i="4"/>
  <c r="J10" i="4"/>
  <c r="E13" i="3" s="1"/>
  <c r="I10" i="4"/>
  <c r="J9" i="4"/>
  <c r="E12" i="3" s="1"/>
  <c r="I9" i="4"/>
  <c r="J8" i="4"/>
  <c r="E11" i="3" s="1"/>
  <c r="I8" i="4"/>
  <c r="J7" i="4"/>
  <c r="E10" i="3" s="1"/>
  <c r="I7" i="4"/>
  <c r="J6" i="4"/>
  <c r="E9" i="3" s="1"/>
  <c r="I6" i="4"/>
  <c r="J5" i="4"/>
  <c r="I5" i="4"/>
  <c r="J4" i="4"/>
  <c r="E7" i="3" s="1"/>
  <c r="I4" i="4"/>
  <c r="J3" i="4"/>
  <c r="E6" i="3" s="1"/>
  <c r="I3" i="4"/>
  <c r="H16" i="9" l="1"/>
  <c r="H13" i="9"/>
  <c r="B9" i="9" s="1"/>
  <c r="K22" i="8"/>
  <c r="H24" i="8"/>
  <c r="E62" i="8"/>
  <c r="K28" i="8"/>
  <c r="K21" i="8"/>
  <c r="C20" i="8"/>
  <c r="K24" i="8"/>
  <c r="C22" i="8"/>
  <c r="I35" i="8"/>
  <c r="K50" i="8"/>
  <c r="R13" i="13"/>
  <c r="D68" i="8" s="1"/>
  <c r="K35" i="8"/>
  <c r="I37" i="8"/>
  <c r="I49" i="8"/>
  <c r="E60" i="8"/>
  <c r="F30" i="9"/>
  <c r="F28" i="9"/>
  <c r="C10" i="5"/>
  <c r="E6" i="5" s="1"/>
  <c r="F31" i="9"/>
  <c r="F34" i="9"/>
  <c r="F37" i="9"/>
  <c r="E38" i="9"/>
  <c r="F35" i="9"/>
  <c r="F27" i="9"/>
  <c r="H71" i="5"/>
  <c r="F71" i="5"/>
  <c r="G71" i="5" s="1"/>
  <c r="I71" i="5" s="1"/>
  <c r="E69" i="5"/>
  <c r="E21" i="6"/>
  <c r="H32" i="6"/>
  <c r="F32" i="6"/>
  <c r="G32" i="6" s="1"/>
  <c r="I32" i="6" s="1"/>
  <c r="C22" i="7"/>
  <c r="C32" i="7"/>
  <c r="C25" i="7"/>
  <c r="C30" i="7"/>
  <c r="C23" i="7"/>
  <c r="C31" i="7"/>
  <c r="C29" i="7"/>
  <c r="C27" i="7"/>
  <c r="C24" i="7"/>
  <c r="C26" i="7"/>
  <c r="C21" i="7"/>
  <c r="C28" i="7"/>
  <c r="C47" i="5"/>
  <c r="H91" i="5"/>
  <c r="E86" i="5"/>
  <c r="F91" i="5"/>
  <c r="G91" i="5" s="1"/>
  <c r="C46" i="5"/>
  <c r="C26" i="5"/>
  <c r="H61" i="5"/>
  <c r="F61" i="5"/>
  <c r="G61" i="5" s="1"/>
  <c r="E54" i="5"/>
  <c r="C90" i="6"/>
  <c r="C83" i="6"/>
  <c r="C88" i="6"/>
  <c r="C81" i="6"/>
  <c r="C86" i="6"/>
  <c r="C91" i="6"/>
  <c r="C84" i="6"/>
  <c r="C85" i="6"/>
  <c r="C82" i="6"/>
  <c r="C89" i="6"/>
  <c r="C92" i="6"/>
  <c r="C87" i="6"/>
  <c r="C82" i="7"/>
  <c r="C92" i="7"/>
  <c r="C85" i="7"/>
  <c r="C90" i="7"/>
  <c r="C83" i="7"/>
  <c r="C86" i="7"/>
  <c r="C91" i="7"/>
  <c r="C89" i="7"/>
  <c r="C81" i="7"/>
  <c r="C84" i="7"/>
  <c r="C87" i="7"/>
  <c r="C88" i="7"/>
  <c r="C25" i="5"/>
  <c r="C22" i="6"/>
  <c r="C15" i="5"/>
  <c r="C8" i="5"/>
  <c r="C13" i="5"/>
  <c r="C6" i="5"/>
  <c r="C9" i="5"/>
  <c r="C14" i="5"/>
  <c r="C7" i="5"/>
  <c r="C12" i="5"/>
  <c r="C15" i="6"/>
  <c r="C8" i="6"/>
  <c r="C13" i="6"/>
  <c r="C11" i="6"/>
  <c r="C9" i="6"/>
  <c r="C10" i="6"/>
  <c r="C17" i="6"/>
  <c r="C14" i="6"/>
  <c r="C6" i="6"/>
  <c r="C12" i="6"/>
  <c r="C67" i="7"/>
  <c r="C77" i="7"/>
  <c r="C70" i="7"/>
  <c r="C75" i="7"/>
  <c r="C68" i="7"/>
  <c r="C71" i="7"/>
  <c r="C76" i="7"/>
  <c r="C74" i="7"/>
  <c r="C66" i="7"/>
  <c r="C69" i="7"/>
  <c r="C72" i="7"/>
  <c r="C73" i="7"/>
  <c r="C30" i="5"/>
  <c r="C23" i="5"/>
  <c r="C28" i="5"/>
  <c r="C21" i="5"/>
  <c r="C24" i="5"/>
  <c r="C29" i="5"/>
  <c r="C22" i="5"/>
  <c r="C27" i="5"/>
  <c r="C41" i="5"/>
  <c r="C62" i="5"/>
  <c r="C55" i="5"/>
  <c r="C60" i="5"/>
  <c r="C53" i="5"/>
  <c r="C58" i="5"/>
  <c r="C51" i="5"/>
  <c r="C54" i="5"/>
  <c r="C59" i="5"/>
  <c r="C52" i="5"/>
  <c r="C57" i="5"/>
  <c r="C11" i="5"/>
  <c r="C30" i="6"/>
  <c r="C23" i="6"/>
  <c r="C28" i="6"/>
  <c r="C26" i="6"/>
  <c r="C31" i="6"/>
  <c r="C24" i="6"/>
  <c r="C25" i="6"/>
  <c r="C29" i="6"/>
  <c r="C21" i="6"/>
  <c r="C27" i="6"/>
  <c r="C56" i="5"/>
  <c r="C40" i="5"/>
  <c r="C45" i="5"/>
  <c r="C38" i="5"/>
  <c r="C43" i="5"/>
  <c r="C36" i="5"/>
  <c r="C39" i="5"/>
  <c r="C44" i="5"/>
  <c r="C37" i="5"/>
  <c r="C42" i="5"/>
  <c r="C77" i="5"/>
  <c r="C70" i="5"/>
  <c r="C75" i="5"/>
  <c r="C68" i="5"/>
  <c r="C73" i="5"/>
  <c r="C66" i="5"/>
  <c r="C76" i="5"/>
  <c r="C69" i="5"/>
  <c r="C74" i="5"/>
  <c r="C67" i="5"/>
  <c r="C72" i="5"/>
  <c r="C16" i="5"/>
  <c r="C31" i="5"/>
  <c r="C90" i="5"/>
  <c r="C83" i="5"/>
  <c r="C88" i="5"/>
  <c r="C84" i="5"/>
  <c r="C87" i="5"/>
  <c r="C82" i="5"/>
  <c r="C92" i="5"/>
  <c r="C89" i="5"/>
  <c r="C86" i="5"/>
  <c r="C81" i="5"/>
  <c r="C85" i="5"/>
  <c r="C52" i="7"/>
  <c r="C62" i="7"/>
  <c r="C55" i="7"/>
  <c r="C60" i="7"/>
  <c r="C53" i="7"/>
  <c r="C56" i="7"/>
  <c r="C61" i="7"/>
  <c r="C59" i="7"/>
  <c r="C51" i="7"/>
  <c r="C54" i="7"/>
  <c r="C57" i="7"/>
  <c r="C58" i="7"/>
  <c r="C60" i="6"/>
  <c r="C53" i="6"/>
  <c r="C58" i="6"/>
  <c r="C56" i="6"/>
  <c r="C61" i="6"/>
  <c r="C54" i="6"/>
  <c r="C55" i="6"/>
  <c r="C59" i="6"/>
  <c r="C52" i="6"/>
  <c r="C51" i="6"/>
  <c r="C62" i="6"/>
  <c r="C57" i="6"/>
  <c r="C17" i="5"/>
  <c r="C32" i="5"/>
  <c r="C45" i="6"/>
  <c r="C38" i="6"/>
  <c r="C43" i="6"/>
  <c r="C41" i="6"/>
  <c r="C46" i="6"/>
  <c r="C39" i="6"/>
  <c r="C40" i="6"/>
  <c r="C47" i="6"/>
  <c r="C36" i="6"/>
  <c r="C42" i="6"/>
  <c r="C44" i="6"/>
  <c r="C37" i="6"/>
  <c r="C75" i="6"/>
  <c r="C68" i="6"/>
  <c r="C73" i="6"/>
  <c r="C66" i="6"/>
  <c r="C71" i="6"/>
  <c r="C76" i="6"/>
  <c r="C69" i="6"/>
  <c r="C70" i="6"/>
  <c r="C67" i="6"/>
  <c r="C74" i="6"/>
  <c r="C77" i="6"/>
  <c r="C72" i="6"/>
  <c r="C16" i="7"/>
  <c r="C14" i="7"/>
  <c r="C15" i="7"/>
  <c r="C8" i="7"/>
  <c r="C13" i="7"/>
  <c r="C17" i="7"/>
  <c r="C6" i="7"/>
  <c r="C11" i="7"/>
  <c r="C9" i="7"/>
  <c r="C10" i="7"/>
  <c r="C7" i="7"/>
  <c r="C12" i="7"/>
  <c r="C37" i="7"/>
  <c r="C47" i="7"/>
  <c r="C40" i="7"/>
  <c r="C45" i="7"/>
  <c r="C38" i="7"/>
  <c r="C41" i="7"/>
  <c r="C46" i="7"/>
  <c r="C44" i="7"/>
  <c r="C36" i="7"/>
  <c r="C42" i="7"/>
  <c r="C39" i="7"/>
  <c r="C43" i="7"/>
  <c r="C7" i="6"/>
  <c r="C16" i="6"/>
  <c r="D38" i="9"/>
  <c r="F26" i="9"/>
  <c r="K18" i="8"/>
  <c r="C18" i="8"/>
  <c r="R2" i="13"/>
  <c r="K26" i="8"/>
  <c r="R10" i="13"/>
  <c r="G26" i="8"/>
  <c r="H25" i="8"/>
  <c r="K25" i="8"/>
  <c r="R9" i="13"/>
  <c r="B25" i="8"/>
  <c r="B44" i="8"/>
  <c r="B10" i="8"/>
  <c r="C38" i="9"/>
  <c r="C19" i="10"/>
  <c r="T5" i="13"/>
  <c r="H60" i="8" s="1"/>
  <c r="D60" i="8"/>
  <c r="D63" i="8"/>
  <c r="T8" i="13"/>
  <c r="H63" i="8" s="1"/>
  <c r="B50" i="8"/>
  <c r="B28" i="8"/>
  <c r="B13" i="8"/>
  <c r="H14" i="9"/>
  <c r="F29" i="9"/>
  <c r="R3" i="13"/>
  <c r="C19" i="8"/>
  <c r="F32" i="9"/>
  <c r="C18" i="10"/>
  <c r="C14" i="10"/>
  <c r="B6" i="11" s="1"/>
  <c r="I6" i="11" s="1"/>
  <c r="J6" i="11" s="1"/>
  <c r="C16" i="10"/>
  <c r="B8" i="11" s="1"/>
  <c r="I8" i="11" s="1"/>
  <c r="J8" i="11" s="1"/>
  <c r="D61" i="8"/>
  <c r="I22" i="8"/>
  <c r="D23" i="8"/>
  <c r="R7" i="13"/>
  <c r="K23" i="8"/>
  <c r="H8" i="9"/>
  <c r="H5" i="9"/>
  <c r="H7" i="9"/>
  <c r="E59" i="8"/>
  <c r="K36" i="8"/>
  <c r="AD6" i="13"/>
  <c r="I41" i="8"/>
  <c r="C17" i="10"/>
  <c r="B9" i="11" s="1"/>
  <c r="I9" i="11" s="1"/>
  <c r="J9" i="11" s="1"/>
  <c r="I24" i="8"/>
  <c r="H6" i="9"/>
  <c r="E29" i="8"/>
  <c r="K29" i="8"/>
  <c r="F33" i="9"/>
  <c r="F36" i="9"/>
  <c r="B61" i="8"/>
  <c r="B41" i="8"/>
  <c r="B22" i="8"/>
  <c r="B7" i="8"/>
  <c r="R11" i="13"/>
  <c r="K27" i="8"/>
  <c r="R12" i="13"/>
  <c r="H15" i="9"/>
  <c r="R4" i="13"/>
  <c r="T13" i="13" l="1"/>
  <c r="H68" i="8" s="1"/>
  <c r="I29" i="8"/>
  <c r="H10" i="5"/>
  <c r="C6" i="13" s="1"/>
  <c r="F38" i="9"/>
  <c r="D67" i="8"/>
  <c r="I28" i="8"/>
  <c r="T12" i="13"/>
  <c r="H67" i="8" s="1"/>
  <c r="F45" i="7"/>
  <c r="I45" i="7"/>
  <c r="E44" i="7"/>
  <c r="F8" i="7"/>
  <c r="E7" i="7"/>
  <c r="I8" i="7"/>
  <c r="F66" i="6"/>
  <c r="G66" i="6" s="1"/>
  <c r="I66" i="6" s="1"/>
  <c r="E75" i="6"/>
  <c r="H66" i="6"/>
  <c r="H41" i="6"/>
  <c r="F41" i="6"/>
  <c r="G41" i="6" s="1"/>
  <c r="I41" i="6" s="1"/>
  <c r="E37" i="6"/>
  <c r="H54" i="6"/>
  <c r="E61" i="6"/>
  <c r="F54" i="6"/>
  <c r="G54" i="6" s="1"/>
  <c r="I54" i="6" s="1"/>
  <c r="E57" i="7"/>
  <c r="I56" i="7"/>
  <c r="F56" i="7"/>
  <c r="E83" i="5"/>
  <c r="H87" i="5"/>
  <c r="F87" i="5"/>
  <c r="G87" i="5" s="1"/>
  <c r="H66" i="5"/>
  <c r="F66" i="5"/>
  <c r="G66" i="5" s="1"/>
  <c r="I66" i="5" s="1"/>
  <c r="E76" i="5"/>
  <c r="F38" i="5"/>
  <c r="G38" i="5" s="1"/>
  <c r="H38" i="5"/>
  <c r="E46" i="5"/>
  <c r="F23" i="6"/>
  <c r="G23" i="6" s="1"/>
  <c r="I23" i="6" s="1"/>
  <c r="H23" i="6"/>
  <c r="E26" i="6"/>
  <c r="E53" i="5"/>
  <c r="H62" i="5"/>
  <c r="F62" i="5"/>
  <c r="G62" i="5" s="1"/>
  <c r="I69" i="7"/>
  <c r="F69" i="7"/>
  <c r="E67" i="7"/>
  <c r="H14" i="6"/>
  <c r="F14" i="6"/>
  <c r="E7" i="6"/>
  <c r="F6" i="5"/>
  <c r="H6" i="5"/>
  <c r="C2" i="13" s="1"/>
  <c r="E10" i="5"/>
  <c r="F10" i="5" s="1"/>
  <c r="E85" i="7"/>
  <c r="I86" i="7"/>
  <c r="F86" i="7"/>
  <c r="E83" i="6"/>
  <c r="H91" i="6"/>
  <c r="F91" i="6"/>
  <c r="G91" i="6" s="1"/>
  <c r="E27" i="7"/>
  <c r="I25" i="7"/>
  <c r="F25" i="7"/>
  <c r="F13" i="7"/>
  <c r="E10" i="7"/>
  <c r="I13" i="7"/>
  <c r="I53" i="7"/>
  <c r="F53" i="7"/>
  <c r="E52" i="7"/>
  <c r="F32" i="7"/>
  <c r="E30" i="7"/>
  <c r="I32" i="7"/>
  <c r="F88" i="5"/>
  <c r="G88" i="5" s="1"/>
  <c r="E84" i="5"/>
  <c r="H88" i="5"/>
  <c r="E14" i="5"/>
  <c r="F14" i="5" s="1"/>
  <c r="H8" i="5"/>
  <c r="C4" i="13" s="1"/>
  <c r="H47" i="5"/>
  <c r="F47" i="5"/>
  <c r="G47" i="5" s="1"/>
  <c r="I47" i="5" s="1"/>
  <c r="E39" i="5"/>
  <c r="I26" i="8"/>
  <c r="T10" i="13"/>
  <c r="H65" i="8" s="1"/>
  <c r="D65" i="8"/>
  <c r="H7" i="6"/>
  <c r="E14" i="6"/>
  <c r="F7" i="6"/>
  <c r="I37" i="7"/>
  <c r="F37" i="7"/>
  <c r="E36" i="7"/>
  <c r="I16" i="7"/>
  <c r="E15" i="7"/>
  <c r="F16" i="7"/>
  <c r="E66" i="6"/>
  <c r="H75" i="6"/>
  <c r="F75" i="6"/>
  <c r="G75" i="6" s="1"/>
  <c r="I75" i="6" s="1"/>
  <c r="E38" i="6"/>
  <c r="H45" i="6"/>
  <c r="F45" i="6"/>
  <c r="G45" i="6" s="1"/>
  <c r="I45" i="6" s="1"/>
  <c r="F58" i="6"/>
  <c r="G58" i="6" s="1"/>
  <c r="E52" i="6"/>
  <c r="H58" i="6"/>
  <c r="E58" i="7"/>
  <c r="I55" i="7"/>
  <c r="F55" i="7"/>
  <c r="H83" i="5"/>
  <c r="F83" i="5"/>
  <c r="G83" i="5" s="1"/>
  <c r="I83" i="5" s="1"/>
  <c r="E87" i="5"/>
  <c r="F75" i="5"/>
  <c r="G75" i="5" s="1"/>
  <c r="H75" i="5"/>
  <c r="E72" i="5"/>
  <c r="H56" i="5"/>
  <c r="F56" i="5"/>
  <c r="G56" i="5" s="1"/>
  <c r="E59" i="5"/>
  <c r="F57" i="5"/>
  <c r="G57" i="5" s="1"/>
  <c r="I57" i="5" s="1"/>
  <c r="E52" i="5"/>
  <c r="H57" i="5"/>
  <c r="F22" i="5"/>
  <c r="G22" i="5" s="1"/>
  <c r="H22" i="5"/>
  <c r="E25" i="5"/>
  <c r="I76" i="7"/>
  <c r="E74" i="7"/>
  <c r="F76" i="7"/>
  <c r="H9" i="6"/>
  <c r="F9" i="6"/>
  <c r="E12" i="6"/>
  <c r="H15" i="5"/>
  <c r="C11" i="13" s="1"/>
  <c r="E9" i="5"/>
  <c r="F9" i="5" s="1"/>
  <c r="E86" i="7"/>
  <c r="I85" i="7"/>
  <c r="F85" i="7"/>
  <c r="F88" i="6"/>
  <c r="G88" i="6" s="1"/>
  <c r="E90" i="6"/>
  <c r="H88" i="6"/>
  <c r="F28" i="7"/>
  <c r="E26" i="7"/>
  <c r="I28" i="7"/>
  <c r="I25" i="8"/>
  <c r="T9" i="13"/>
  <c r="H64" i="8" s="1"/>
  <c r="D64" i="8"/>
  <c r="E41" i="7"/>
  <c r="I40" i="7"/>
  <c r="F40" i="7"/>
  <c r="E41" i="5"/>
  <c r="H45" i="5"/>
  <c r="F45" i="5"/>
  <c r="G45" i="5" s="1"/>
  <c r="I45" i="5" s="1"/>
  <c r="H17" i="6"/>
  <c r="F17" i="6"/>
  <c r="E11" i="6"/>
  <c r="E17" i="7"/>
  <c r="I14" i="7"/>
  <c r="F14" i="7"/>
  <c r="F27" i="5"/>
  <c r="G27" i="5" s="1"/>
  <c r="E32" i="5"/>
  <c r="H27" i="5"/>
  <c r="E24" i="7"/>
  <c r="I22" i="7"/>
  <c r="F22" i="7"/>
  <c r="E42" i="7"/>
  <c r="F43" i="7"/>
  <c r="I43" i="7"/>
  <c r="E11" i="7"/>
  <c r="I12" i="7"/>
  <c r="F12" i="7"/>
  <c r="E76" i="6"/>
  <c r="H72" i="6"/>
  <c r="F72" i="6"/>
  <c r="G72" i="6" s="1"/>
  <c r="I72" i="6" s="1"/>
  <c r="H37" i="6"/>
  <c r="F37" i="6"/>
  <c r="G37" i="6" s="1"/>
  <c r="I37" i="6" s="1"/>
  <c r="E41" i="6"/>
  <c r="H32" i="5"/>
  <c r="F32" i="5"/>
  <c r="G32" i="5" s="1"/>
  <c r="E27" i="5"/>
  <c r="F53" i="6"/>
  <c r="G53" i="6" s="1"/>
  <c r="I53" i="6" s="1"/>
  <c r="E62" i="6"/>
  <c r="H53" i="6"/>
  <c r="F62" i="7"/>
  <c r="I62" i="7"/>
  <c r="E59" i="7"/>
  <c r="E82" i="5"/>
  <c r="H90" i="5"/>
  <c r="F90" i="5"/>
  <c r="G90" i="5" s="1"/>
  <c r="I90" i="5" s="1"/>
  <c r="E68" i="5"/>
  <c r="H70" i="5"/>
  <c r="F70" i="5"/>
  <c r="G70" i="5" s="1"/>
  <c r="I70" i="5" s="1"/>
  <c r="H27" i="6"/>
  <c r="E30" i="6"/>
  <c r="F27" i="6"/>
  <c r="G27" i="6" s="1"/>
  <c r="F52" i="5"/>
  <c r="G52" i="5" s="1"/>
  <c r="E57" i="5"/>
  <c r="H52" i="5"/>
  <c r="H29" i="5"/>
  <c r="E24" i="5"/>
  <c r="F29" i="5"/>
  <c r="G29" i="5" s="1"/>
  <c r="I29" i="5" s="1"/>
  <c r="I71" i="7"/>
  <c r="E73" i="7"/>
  <c r="F71" i="7"/>
  <c r="H11" i="6"/>
  <c r="F11" i="6"/>
  <c r="E17" i="6"/>
  <c r="E31" i="6"/>
  <c r="H22" i="6"/>
  <c r="F22" i="6"/>
  <c r="G22" i="6" s="1"/>
  <c r="F92" i="7"/>
  <c r="E91" i="7"/>
  <c r="I92" i="7"/>
  <c r="E91" i="6"/>
  <c r="F83" i="6"/>
  <c r="G83" i="6" s="1"/>
  <c r="I83" i="6" s="1"/>
  <c r="H83" i="6"/>
  <c r="I21" i="7"/>
  <c r="E23" i="7"/>
  <c r="F21" i="7"/>
  <c r="I23" i="8"/>
  <c r="D62" i="8"/>
  <c r="T7" i="13"/>
  <c r="H62" i="8" s="1"/>
  <c r="E88" i="5"/>
  <c r="H84" i="5"/>
  <c r="F84" i="5"/>
  <c r="G84" i="5" s="1"/>
  <c r="I84" i="5" s="1"/>
  <c r="E17" i="5"/>
  <c r="F17" i="5" s="1"/>
  <c r="H13" i="5"/>
  <c r="C9" i="13" s="1"/>
  <c r="E45" i="6"/>
  <c r="F38" i="6"/>
  <c r="G38" i="6" s="1"/>
  <c r="I38" i="6" s="1"/>
  <c r="H38" i="6"/>
  <c r="H11" i="5"/>
  <c r="C7" i="13" s="1"/>
  <c r="E7" i="5"/>
  <c r="F81" i="6"/>
  <c r="G81" i="6" s="1"/>
  <c r="E86" i="6"/>
  <c r="H81" i="6"/>
  <c r="E38" i="7"/>
  <c r="I39" i="7"/>
  <c r="F39" i="7"/>
  <c r="E8" i="7"/>
  <c r="I7" i="7"/>
  <c r="F7" i="7"/>
  <c r="E73" i="6"/>
  <c r="H77" i="6"/>
  <c r="F77" i="6"/>
  <c r="G77" i="6" s="1"/>
  <c r="I77" i="6" s="1"/>
  <c r="F44" i="6"/>
  <c r="G44" i="6" s="1"/>
  <c r="E39" i="6"/>
  <c r="H44" i="6"/>
  <c r="E13" i="5"/>
  <c r="F13" i="5" s="1"/>
  <c r="H17" i="5"/>
  <c r="C13" i="13" s="1"/>
  <c r="H60" i="6"/>
  <c r="F60" i="6"/>
  <c r="G60" i="6" s="1"/>
  <c r="I60" i="6" s="1"/>
  <c r="E55" i="6"/>
  <c r="E53" i="7"/>
  <c r="I52" i="7"/>
  <c r="F52" i="7"/>
  <c r="H31" i="5"/>
  <c r="E28" i="5"/>
  <c r="F31" i="5"/>
  <c r="G31" i="5" s="1"/>
  <c r="I31" i="5" s="1"/>
  <c r="H77" i="5"/>
  <c r="E67" i="5"/>
  <c r="F77" i="5"/>
  <c r="G77" i="5" s="1"/>
  <c r="F21" i="6"/>
  <c r="G21" i="6" s="1"/>
  <c r="H21" i="6"/>
  <c r="E32" i="6"/>
  <c r="H59" i="5"/>
  <c r="E56" i="5"/>
  <c r="F59" i="5"/>
  <c r="G59" i="5" s="1"/>
  <c r="I59" i="5" s="1"/>
  <c r="H24" i="5"/>
  <c r="E29" i="5"/>
  <c r="F24" i="5"/>
  <c r="G24" i="5" s="1"/>
  <c r="I24" i="5" s="1"/>
  <c r="I68" i="7"/>
  <c r="F68" i="7"/>
  <c r="E66" i="7"/>
  <c r="F13" i="6"/>
  <c r="E8" i="6"/>
  <c r="H13" i="6"/>
  <c r="H25" i="5"/>
  <c r="E22" i="5"/>
  <c r="F25" i="5"/>
  <c r="G25" i="5" s="1"/>
  <c r="I25" i="5" s="1"/>
  <c r="I82" i="7"/>
  <c r="F82" i="7"/>
  <c r="E81" i="7"/>
  <c r="E88" i="6"/>
  <c r="H90" i="6"/>
  <c r="F90" i="6"/>
  <c r="G90" i="6" s="1"/>
  <c r="I26" i="7"/>
  <c r="E28" i="7"/>
  <c r="F26" i="7"/>
  <c r="I66" i="7"/>
  <c r="E68" i="7"/>
  <c r="F66" i="7"/>
  <c r="F47" i="7"/>
  <c r="E46" i="7"/>
  <c r="I47" i="7"/>
  <c r="E44" i="5"/>
  <c r="H40" i="5"/>
  <c r="F40" i="5"/>
  <c r="G40" i="5" s="1"/>
  <c r="T2" i="13"/>
  <c r="D57" i="8"/>
  <c r="I18" i="8"/>
  <c r="H74" i="6"/>
  <c r="F74" i="6"/>
  <c r="G74" i="6" s="1"/>
  <c r="I74" i="6" s="1"/>
  <c r="E67" i="6"/>
  <c r="E51" i="6"/>
  <c r="H57" i="6"/>
  <c r="F57" i="6"/>
  <c r="G57" i="6" s="1"/>
  <c r="I57" i="6" s="1"/>
  <c r="E92" i="5"/>
  <c r="F85" i="5"/>
  <c r="G85" i="5" s="1"/>
  <c r="I85" i="5" s="1"/>
  <c r="H85" i="5"/>
  <c r="H16" i="5"/>
  <c r="C12" i="13" s="1"/>
  <c r="E12" i="5"/>
  <c r="F12" i="5" s="1"/>
  <c r="E36" i="5"/>
  <c r="F42" i="5"/>
  <c r="G42" i="5" s="1"/>
  <c r="I42" i="5" s="1"/>
  <c r="H42" i="5"/>
  <c r="E28" i="6"/>
  <c r="F29" i="6"/>
  <c r="G29" i="6" s="1"/>
  <c r="H29" i="6"/>
  <c r="H54" i="5"/>
  <c r="E61" i="5"/>
  <c r="F54" i="5"/>
  <c r="G54" i="5" s="1"/>
  <c r="F21" i="5"/>
  <c r="G21" i="5" s="1"/>
  <c r="I21" i="5" s="1"/>
  <c r="E26" i="5"/>
  <c r="H21" i="5"/>
  <c r="F75" i="7"/>
  <c r="I75" i="7"/>
  <c r="E77" i="7"/>
  <c r="E13" i="6"/>
  <c r="F8" i="6"/>
  <c r="H8" i="6"/>
  <c r="E87" i="7"/>
  <c r="F88" i="7"/>
  <c r="I88" i="7"/>
  <c r="H87" i="6"/>
  <c r="E89" i="6"/>
  <c r="F87" i="6"/>
  <c r="G87" i="6" s="1"/>
  <c r="I24" i="7"/>
  <c r="E22" i="7"/>
  <c r="F24" i="7"/>
  <c r="E60" i="6"/>
  <c r="H55" i="6"/>
  <c r="F55" i="6"/>
  <c r="G55" i="6" s="1"/>
  <c r="I55" i="6" s="1"/>
  <c r="T11" i="13"/>
  <c r="H66" i="8" s="1"/>
  <c r="D66" i="8"/>
  <c r="I27" i="8"/>
  <c r="F43" i="6"/>
  <c r="G43" i="6" s="1"/>
  <c r="I43" i="6" s="1"/>
  <c r="E46" i="6"/>
  <c r="H43" i="6"/>
  <c r="F30" i="6"/>
  <c r="G30" i="6" s="1"/>
  <c r="E27" i="6"/>
  <c r="H30" i="6"/>
  <c r="H16" i="6"/>
  <c r="F16" i="6"/>
  <c r="E10" i="6"/>
  <c r="E70" i="5"/>
  <c r="F68" i="5"/>
  <c r="G68" i="5" s="1"/>
  <c r="I68" i="5" s="1"/>
  <c r="H68" i="5"/>
  <c r="F90" i="7"/>
  <c r="I90" i="7"/>
  <c r="E89" i="7"/>
  <c r="H10" i="9"/>
  <c r="H11" i="9"/>
  <c r="H9" i="9"/>
  <c r="H12" i="9"/>
  <c r="I19" i="8"/>
  <c r="D58" i="8"/>
  <c r="T3" i="13"/>
  <c r="H58" i="8" s="1"/>
  <c r="H42" i="6"/>
  <c r="F42" i="6"/>
  <c r="G42" i="6" s="1"/>
  <c r="E47" i="6"/>
  <c r="E55" i="7"/>
  <c r="F58" i="7"/>
  <c r="I58" i="7"/>
  <c r="I36" i="7"/>
  <c r="F36" i="7"/>
  <c r="E37" i="7"/>
  <c r="I9" i="7"/>
  <c r="E6" i="7"/>
  <c r="F9" i="7"/>
  <c r="H67" i="6"/>
  <c r="E74" i="6"/>
  <c r="F67" i="6"/>
  <c r="G67" i="6" s="1"/>
  <c r="I67" i="6" s="1"/>
  <c r="F36" i="6"/>
  <c r="G36" i="6" s="1"/>
  <c r="I36" i="6" s="1"/>
  <c r="H36" i="6"/>
  <c r="E40" i="6"/>
  <c r="E53" i="6"/>
  <c r="H62" i="6"/>
  <c r="F62" i="6"/>
  <c r="G62" i="6" s="1"/>
  <c r="I57" i="7"/>
  <c r="F57" i="7"/>
  <c r="E56" i="7"/>
  <c r="F81" i="5"/>
  <c r="G81" i="5" s="1"/>
  <c r="E89" i="5"/>
  <c r="H81" i="5"/>
  <c r="E75" i="5"/>
  <c r="H72" i="5"/>
  <c r="F72" i="5"/>
  <c r="G72" i="5" s="1"/>
  <c r="I72" i="5" s="1"/>
  <c r="E43" i="5"/>
  <c r="F37" i="5"/>
  <c r="G37" i="5" s="1"/>
  <c r="I37" i="5" s="1"/>
  <c r="H37" i="5"/>
  <c r="H25" i="6"/>
  <c r="F25" i="6"/>
  <c r="G25" i="6" s="1"/>
  <c r="I25" i="6" s="1"/>
  <c r="E24" i="6"/>
  <c r="H51" i="5"/>
  <c r="E58" i="5"/>
  <c r="F51" i="5"/>
  <c r="G51" i="5" s="1"/>
  <c r="I51" i="5" s="1"/>
  <c r="F28" i="5"/>
  <c r="G28" i="5" s="1"/>
  <c r="I28" i="5" s="1"/>
  <c r="H28" i="5"/>
  <c r="E31" i="5"/>
  <c r="E72" i="7"/>
  <c r="I70" i="7"/>
  <c r="F70" i="7"/>
  <c r="E6" i="6"/>
  <c r="H15" i="6"/>
  <c r="F15" i="6"/>
  <c r="E88" i="7"/>
  <c r="I87" i="7"/>
  <c r="F87" i="7"/>
  <c r="E84" i="6"/>
  <c r="H92" i="6"/>
  <c r="F92" i="6"/>
  <c r="G92" i="6" s="1"/>
  <c r="I92" i="6" s="1"/>
  <c r="I61" i="5"/>
  <c r="E25" i="7"/>
  <c r="F27" i="7"/>
  <c r="I27" i="7"/>
  <c r="I6" i="13"/>
  <c r="C7" i="8"/>
  <c r="K7" i="8"/>
  <c r="I38" i="7"/>
  <c r="F38" i="7"/>
  <c r="E39" i="7"/>
  <c r="I15" i="7"/>
  <c r="F15" i="7"/>
  <c r="E16" i="7"/>
  <c r="H73" i="5"/>
  <c r="F73" i="5"/>
  <c r="G73" i="5" s="1"/>
  <c r="E74" i="5"/>
  <c r="E45" i="5"/>
  <c r="H41" i="5"/>
  <c r="F41" i="5"/>
  <c r="G41" i="5" s="1"/>
  <c r="I41" i="5" s="1"/>
  <c r="F60" i="7"/>
  <c r="E61" i="7"/>
  <c r="I60" i="7"/>
  <c r="E16" i="6"/>
  <c r="H10" i="6"/>
  <c r="F10" i="6"/>
  <c r="E13" i="7"/>
  <c r="I10" i="7"/>
  <c r="F10" i="7"/>
  <c r="E45" i="7"/>
  <c r="F44" i="7"/>
  <c r="I44" i="7"/>
  <c r="F11" i="7"/>
  <c r="I11" i="7"/>
  <c r="E12" i="7"/>
  <c r="E68" i="6"/>
  <c r="H70" i="6"/>
  <c r="F70" i="6"/>
  <c r="G70" i="6" s="1"/>
  <c r="I70" i="6" s="1"/>
  <c r="H47" i="6"/>
  <c r="E42" i="6"/>
  <c r="F47" i="6"/>
  <c r="G47" i="6" s="1"/>
  <c r="F51" i="6"/>
  <c r="G51" i="6" s="1"/>
  <c r="H51" i="6"/>
  <c r="E57" i="6"/>
  <c r="I54" i="7"/>
  <c r="F54" i="7"/>
  <c r="E51" i="7"/>
  <c r="H86" i="5"/>
  <c r="F86" i="5"/>
  <c r="G86" i="5" s="1"/>
  <c r="I86" i="5" s="1"/>
  <c r="E91" i="5"/>
  <c r="E77" i="5"/>
  <c r="F67" i="5"/>
  <c r="G67" i="5" s="1"/>
  <c r="I67" i="5" s="1"/>
  <c r="H67" i="5"/>
  <c r="H44" i="5"/>
  <c r="E40" i="5"/>
  <c r="F44" i="5"/>
  <c r="G44" i="5" s="1"/>
  <c r="I44" i="5" s="1"/>
  <c r="H24" i="6"/>
  <c r="F24" i="6"/>
  <c r="G24" i="6" s="1"/>
  <c r="I24" i="6" s="1"/>
  <c r="E25" i="6"/>
  <c r="F58" i="5"/>
  <c r="G58" i="5" s="1"/>
  <c r="E51" i="5"/>
  <c r="H58" i="5"/>
  <c r="H23" i="5"/>
  <c r="F23" i="5"/>
  <c r="G23" i="5" s="1"/>
  <c r="E30" i="5"/>
  <c r="F77" i="7"/>
  <c r="E75" i="7"/>
  <c r="I77" i="7"/>
  <c r="E16" i="5"/>
  <c r="F16" i="5" s="1"/>
  <c r="H12" i="5"/>
  <c r="C8" i="13" s="1"/>
  <c r="E83" i="7"/>
  <c r="I84" i="7"/>
  <c r="F84" i="7"/>
  <c r="H89" i="6"/>
  <c r="F89" i="6"/>
  <c r="G89" i="6" s="1"/>
  <c r="E87" i="6"/>
  <c r="E31" i="7"/>
  <c r="F29" i="7"/>
  <c r="I29" i="7"/>
  <c r="H71" i="6"/>
  <c r="F71" i="6"/>
  <c r="G71" i="6" s="1"/>
  <c r="I71" i="6" s="1"/>
  <c r="E69" i="6"/>
  <c r="F73" i="6"/>
  <c r="G73" i="6" s="1"/>
  <c r="E77" i="6"/>
  <c r="H73" i="6"/>
  <c r="H86" i="6"/>
  <c r="F86" i="6"/>
  <c r="G86" i="6" s="1"/>
  <c r="E81" i="6"/>
  <c r="H56" i="6"/>
  <c r="F56" i="6"/>
  <c r="G56" i="6" s="1"/>
  <c r="I56" i="6" s="1"/>
  <c r="E59" i="6"/>
  <c r="E76" i="7"/>
  <c r="F74" i="7"/>
  <c r="I74" i="7"/>
  <c r="E43" i="7"/>
  <c r="I42" i="7"/>
  <c r="F42" i="7"/>
  <c r="T4" i="13"/>
  <c r="H59" i="8" s="1"/>
  <c r="D59" i="8"/>
  <c r="I20" i="8"/>
  <c r="I46" i="7"/>
  <c r="F46" i="7"/>
  <c r="E47" i="7"/>
  <c r="F6" i="7"/>
  <c r="E9" i="7"/>
  <c r="I6" i="7"/>
  <c r="H69" i="6"/>
  <c r="E71" i="6"/>
  <c r="F69" i="6"/>
  <c r="G69" i="6" s="1"/>
  <c r="I69" i="6" s="1"/>
  <c r="E36" i="6"/>
  <c r="H40" i="6"/>
  <c r="F40" i="6"/>
  <c r="G40" i="6" s="1"/>
  <c r="E58" i="6"/>
  <c r="H52" i="6"/>
  <c r="F52" i="6"/>
  <c r="G52" i="6" s="1"/>
  <c r="I52" i="6" s="1"/>
  <c r="I51" i="7"/>
  <c r="F51" i="7"/>
  <c r="E54" i="7"/>
  <c r="H89" i="5"/>
  <c r="F89" i="5"/>
  <c r="G89" i="5" s="1"/>
  <c r="I89" i="5" s="1"/>
  <c r="E81" i="5"/>
  <c r="E73" i="5"/>
  <c r="H74" i="5"/>
  <c r="F74" i="5"/>
  <c r="G74" i="5" s="1"/>
  <c r="H39" i="5"/>
  <c r="E47" i="5"/>
  <c r="F39" i="5"/>
  <c r="G39" i="5" s="1"/>
  <c r="I39" i="5" s="1"/>
  <c r="H31" i="6"/>
  <c r="E22" i="6"/>
  <c r="F31" i="6"/>
  <c r="G31" i="6" s="1"/>
  <c r="I31" i="6" s="1"/>
  <c r="F53" i="5"/>
  <c r="G53" i="5" s="1"/>
  <c r="E62" i="5"/>
  <c r="H53" i="5"/>
  <c r="E23" i="5"/>
  <c r="H30" i="5"/>
  <c r="F30" i="5"/>
  <c r="G30" i="5" s="1"/>
  <c r="E69" i="7"/>
  <c r="I67" i="7"/>
  <c r="F67" i="7"/>
  <c r="E11" i="5"/>
  <c r="F11" i="5" s="1"/>
  <c r="F7" i="5"/>
  <c r="H7" i="5"/>
  <c r="C3" i="13" s="1"/>
  <c r="I81" i="7"/>
  <c r="F81" i="7"/>
  <c r="E82" i="7"/>
  <c r="H82" i="6"/>
  <c r="F82" i="6"/>
  <c r="G82" i="6" s="1"/>
  <c r="E85" i="6"/>
  <c r="H26" i="5"/>
  <c r="F26" i="5"/>
  <c r="G26" i="5" s="1"/>
  <c r="I26" i="5" s="1"/>
  <c r="E21" i="5"/>
  <c r="I31" i="7"/>
  <c r="E29" i="7"/>
  <c r="F31" i="7"/>
  <c r="H46" i="6"/>
  <c r="E43" i="6"/>
  <c r="F46" i="6"/>
  <c r="G46" i="6" s="1"/>
  <c r="I46" i="6" s="1"/>
  <c r="H61" i="6"/>
  <c r="F61" i="6"/>
  <c r="G61" i="6" s="1"/>
  <c r="E54" i="6"/>
  <c r="I83" i="7"/>
  <c r="F83" i="7"/>
  <c r="E84" i="7"/>
  <c r="F68" i="6"/>
  <c r="G68" i="6" s="1"/>
  <c r="E70" i="6"/>
  <c r="H68" i="6"/>
  <c r="B7" i="9"/>
  <c r="C16" i="11"/>
  <c r="C14" i="11"/>
  <c r="G15" i="11"/>
  <c r="G13" i="11"/>
  <c r="F15" i="11"/>
  <c r="F13" i="11"/>
  <c r="E15" i="11"/>
  <c r="E13" i="11"/>
  <c r="D15" i="11"/>
  <c r="D13" i="11"/>
  <c r="G16" i="11"/>
  <c r="G14" i="11"/>
  <c r="F16" i="11"/>
  <c r="F14" i="11"/>
  <c r="D16" i="11"/>
  <c r="D14" i="11"/>
  <c r="C15" i="11"/>
  <c r="E14" i="11"/>
  <c r="C13" i="11"/>
  <c r="E16" i="11"/>
  <c r="E40" i="7"/>
  <c r="I41" i="7"/>
  <c r="F41" i="7"/>
  <c r="I17" i="7"/>
  <c r="F17" i="7"/>
  <c r="E14" i="7"/>
  <c r="H76" i="6"/>
  <c r="F76" i="6"/>
  <c r="G76" i="6" s="1"/>
  <c r="I76" i="6" s="1"/>
  <c r="E72" i="6"/>
  <c r="H39" i="6"/>
  <c r="F39" i="6"/>
  <c r="G39" i="6" s="1"/>
  <c r="E44" i="6"/>
  <c r="H59" i="6"/>
  <c r="F59" i="6"/>
  <c r="G59" i="6" s="1"/>
  <c r="E56" i="6"/>
  <c r="F59" i="7"/>
  <c r="I59" i="7"/>
  <c r="E62" i="7"/>
  <c r="H92" i="5"/>
  <c r="F92" i="5"/>
  <c r="G92" i="5" s="1"/>
  <c r="I92" i="5" s="1"/>
  <c r="E85" i="5"/>
  <c r="H69" i="5"/>
  <c r="E71" i="5"/>
  <c r="F69" i="5"/>
  <c r="G69" i="5" s="1"/>
  <c r="H36" i="5"/>
  <c r="F36" i="5"/>
  <c r="G36" i="5" s="1"/>
  <c r="I36" i="5" s="1"/>
  <c r="E42" i="5"/>
  <c r="H26" i="6"/>
  <c r="E23" i="6"/>
  <c r="F26" i="6"/>
  <c r="G26" i="6" s="1"/>
  <c r="I26" i="6" s="1"/>
  <c r="F60" i="5"/>
  <c r="G60" i="5" s="1"/>
  <c r="E55" i="5"/>
  <c r="H60" i="5"/>
  <c r="F73" i="7"/>
  <c r="E71" i="7"/>
  <c r="I73" i="7"/>
  <c r="H12" i="6"/>
  <c r="F12" i="6"/>
  <c r="E9" i="6"/>
  <c r="E8" i="5"/>
  <c r="F8" i="5" s="1"/>
  <c r="H14" i="5"/>
  <c r="C10" i="13" s="1"/>
  <c r="E90" i="7"/>
  <c r="F89" i="7"/>
  <c r="I89" i="7"/>
  <c r="E82" i="6"/>
  <c r="H85" i="6"/>
  <c r="F85" i="6"/>
  <c r="G85" i="6" s="1"/>
  <c r="I85" i="6" s="1"/>
  <c r="E38" i="5"/>
  <c r="H46" i="5"/>
  <c r="F46" i="5"/>
  <c r="G46" i="5" s="1"/>
  <c r="I23" i="7"/>
  <c r="F23" i="7"/>
  <c r="E21" i="7"/>
  <c r="E60" i="7"/>
  <c r="I61" i="7"/>
  <c r="F61" i="7"/>
  <c r="F82" i="5"/>
  <c r="G82" i="5" s="1"/>
  <c r="I82" i="5" s="1"/>
  <c r="E90" i="5"/>
  <c r="H82" i="5"/>
  <c r="H76" i="5"/>
  <c r="E66" i="5"/>
  <c r="F76" i="5"/>
  <c r="G76" i="5" s="1"/>
  <c r="F43" i="5"/>
  <c r="G43" i="5" s="1"/>
  <c r="E37" i="5"/>
  <c r="H43" i="5"/>
  <c r="F28" i="6"/>
  <c r="G28" i="6" s="1"/>
  <c r="E29" i="6"/>
  <c r="H28" i="6"/>
  <c r="E60" i="5"/>
  <c r="H55" i="5"/>
  <c r="F55" i="5"/>
  <c r="G55" i="5" s="1"/>
  <c r="I55" i="5" s="1"/>
  <c r="E70" i="7"/>
  <c r="I72" i="7"/>
  <c r="F72" i="7"/>
  <c r="F6" i="6"/>
  <c r="E15" i="6"/>
  <c r="H6" i="6"/>
  <c r="H9" i="5"/>
  <c r="C5" i="13" s="1"/>
  <c r="E15" i="5"/>
  <c r="F15" i="5" s="1"/>
  <c r="I91" i="7"/>
  <c r="F91" i="7"/>
  <c r="E92" i="7"/>
  <c r="H84" i="6"/>
  <c r="F84" i="6"/>
  <c r="G84" i="6" s="1"/>
  <c r="I84" i="6" s="1"/>
  <c r="E92" i="6"/>
  <c r="I91" i="5"/>
  <c r="F30" i="7"/>
  <c r="I30" i="7"/>
  <c r="E32" i="7"/>
  <c r="J4" i="13" l="1"/>
  <c r="J5" i="8" s="1"/>
  <c r="G8" i="5"/>
  <c r="I8" i="5" s="1"/>
  <c r="J13" i="13"/>
  <c r="J14" i="8" s="1"/>
  <c r="G17" i="5"/>
  <c r="I17" i="5" s="1"/>
  <c r="J7" i="13"/>
  <c r="J8" i="8" s="1"/>
  <c r="G11" i="5"/>
  <c r="I11" i="5" s="1"/>
  <c r="J11" i="13"/>
  <c r="J12" i="8" s="1"/>
  <c r="G15" i="5"/>
  <c r="I15" i="5" s="1"/>
  <c r="J5" i="13"/>
  <c r="J6" i="8" s="1"/>
  <c r="G9" i="5"/>
  <c r="I9" i="5" s="1"/>
  <c r="J9" i="13"/>
  <c r="J10" i="8" s="1"/>
  <c r="G13" i="5"/>
  <c r="I13" i="5" s="1"/>
  <c r="K9" i="8"/>
  <c r="I8" i="13"/>
  <c r="C9" i="8"/>
  <c r="H61" i="7"/>
  <c r="G61" i="7"/>
  <c r="J3" i="13"/>
  <c r="J4" i="8" s="1"/>
  <c r="G7" i="5"/>
  <c r="I7" i="5" s="1"/>
  <c r="H54" i="7"/>
  <c r="G54" i="7"/>
  <c r="K6" i="8"/>
  <c r="C6" i="8"/>
  <c r="I5" i="13"/>
  <c r="C14" i="8"/>
  <c r="K14" i="8"/>
  <c r="I13" i="13"/>
  <c r="J10" i="13"/>
  <c r="J11" i="8" s="1"/>
  <c r="G14" i="5"/>
  <c r="I14" i="5" s="1"/>
  <c r="H46" i="7"/>
  <c r="G46" i="7"/>
  <c r="S8" i="13"/>
  <c r="J24" i="8" s="1"/>
  <c r="G12" i="6"/>
  <c r="I12" i="6" s="1"/>
  <c r="H84" i="7"/>
  <c r="G84" i="7"/>
  <c r="H91" i="7"/>
  <c r="G91" i="7"/>
  <c r="I39" i="6"/>
  <c r="I53" i="5"/>
  <c r="I73" i="6"/>
  <c r="I58" i="5"/>
  <c r="H58" i="7"/>
  <c r="G58" i="7"/>
  <c r="I87" i="6"/>
  <c r="H26" i="7"/>
  <c r="G26" i="7"/>
  <c r="H7" i="7"/>
  <c r="G7" i="7"/>
  <c r="G21" i="7"/>
  <c r="H21" i="7"/>
  <c r="I27" i="6"/>
  <c r="H12" i="7"/>
  <c r="G12" i="7"/>
  <c r="H14" i="7"/>
  <c r="G14" i="7"/>
  <c r="G55" i="7"/>
  <c r="H55" i="7"/>
  <c r="H16" i="7"/>
  <c r="G16" i="7"/>
  <c r="H86" i="7"/>
  <c r="G86" i="7"/>
  <c r="I62" i="5"/>
  <c r="I87" i="5"/>
  <c r="J8" i="13"/>
  <c r="J9" i="8" s="1"/>
  <c r="G12" i="5"/>
  <c r="I12" i="5" s="1"/>
  <c r="H11" i="7"/>
  <c r="G11" i="7"/>
  <c r="H60" i="7"/>
  <c r="G60" i="7"/>
  <c r="I42" i="6"/>
  <c r="I54" i="5"/>
  <c r="I40" i="5"/>
  <c r="I90" i="6"/>
  <c r="I77" i="5"/>
  <c r="H39" i="7"/>
  <c r="G39" i="7"/>
  <c r="I9" i="13"/>
  <c r="C10" i="8"/>
  <c r="K10" i="8"/>
  <c r="H71" i="7"/>
  <c r="G71" i="7"/>
  <c r="J6" i="13"/>
  <c r="J7" i="8" s="1"/>
  <c r="G10" i="5"/>
  <c r="I10" i="5" s="1"/>
  <c r="H56" i="7"/>
  <c r="G56" i="7"/>
  <c r="I32" i="5"/>
  <c r="H43" i="7"/>
  <c r="G43" i="7"/>
  <c r="S13" i="13"/>
  <c r="J29" i="8" s="1"/>
  <c r="G17" i="6"/>
  <c r="I17" i="6" s="1"/>
  <c r="S5" i="13"/>
  <c r="J21" i="8" s="1"/>
  <c r="G9" i="6"/>
  <c r="I9" i="6" s="1"/>
  <c r="I56" i="5"/>
  <c r="H37" i="7"/>
  <c r="G37" i="7"/>
  <c r="I4" i="13"/>
  <c r="K5" i="8"/>
  <c r="C5" i="8"/>
  <c r="I2" i="13"/>
  <c r="K3" i="8"/>
  <c r="C3" i="8"/>
  <c r="H28" i="7"/>
  <c r="G28" i="7"/>
  <c r="I58" i="6"/>
  <c r="G13" i="7"/>
  <c r="H13" i="7"/>
  <c r="J2" i="13"/>
  <c r="J3" i="8" s="1"/>
  <c r="G6" i="5"/>
  <c r="I6" i="5" s="1"/>
  <c r="H8" i="7"/>
  <c r="G8" i="7"/>
  <c r="H87" i="7"/>
  <c r="G87" i="7"/>
  <c r="H90" i="7"/>
  <c r="G90" i="7"/>
  <c r="I60" i="5"/>
  <c r="I81" i="5"/>
  <c r="G23" i="7"/>
  <c r="H23" i="7"/>
  <c r="K11" i="8"/>
  <c r="I10" i="13"/>
  <c r="C11" i="8"/>
  <c r="G17" i="7"/>
  <c r="H17" i="7"/>
  <c r="G77" i="7"/>
  <c r="H77" i="7"/>
  <c r="I51" i="6"/>
  <c r="AE6" i="13"/>
  <c r="C61" i="8"/>
  <c r="I7" i="8"/>
  <c r="K6" i="13"/>
  <c r="G61" i="8" s="1"/>
  <c r="H57" i="7"/>
  <c r="G57" i="7"/>
  <c r="G22" i="7"/>
  <c r="H22" i="7"/>
  <c r="H76" i="7"/>
  <c r="G76" i="7"/>
  <c r="S3" i="13"/>
  <c r="J19" i="8" s="1"/>
  <c r="G7" i="6"/>
  <c r="I7" i="6" s="1"/>
  <c r="G25" i="7"/>
  <c r="H25" i="7"/>
  <c r="G53" i="7"/>
  <c r="H53" i="7"/>
  <c r="H57" i="8"/>
  <c r="B6" i="9"/>
  <c r="G89" i="7"/>
  <c r="H89" i="7"/>
  <c r="H67" i="7"/>
  <c r="G67" i="7"/>
  <c r="G68" i="7"/>
  <c r="H68" i="7"/>
  <c r="H30" i="7"/>
  <c r="G30" i="7"/>
  <c r="G6" i="6"/>
  <c r="I6" i="6" s="1"/>
  <c r="S2" i="13"/>
  <c r="J18" i="8" s="1"/>
  <c r="I43" i="5"/>
  <c r="G59" i="7"/>
  <c r="H59" i="7"/>
  <c r="I30" i="5"/>
  <c r="I74" i="5"/>
  <c r="I40" i="6"/>
  <c r="I47" i="6"/>
  <c r="H10" i="7"/>
  <c r="G10" i="7"/>
  <c r="S12" i="13"/>
  <c r="J28" i="8" s="1"/>
  <c r="G16" i="6"/>
  <c r="I16" i="6" s="1"/>
  <c r="S4" i="13"/>
  <c r="J20" i="8" s="1"/>
  <c r="G8" i="6"/>
  <c r="I8" i="6" s="1"/>
  <c r="I29" i="6"/>
  <c r="H82" i="7"/>
  <c r="G82" i="7"/>
  <c r="G14" i="6"/>
  <c r="I14" i="6" s="1"/>
  <c r="S10" i="13"/>
  <c r="J26" i="8" s="1"/>
  <c r="I3" i="13"/>
  <c r="C4" i="8"/>
  <c r="K4" i="8"/>
  <c r="G11" i="6"/>
  <c r="I11" i="6" s="1"/>
  <c r="S7" i="13"/>
  <c r="J23" i="8" s="1"/>
  <c r="C13" i="8"/>
  <c r="I12" i="13"/>
  <c r="K13" i="8"/>
  <c r="G44" i="7"/>
  <c r="H44" i="7"/>
  <c r="S11" i="13"/>
  <c r="J27" i="8" s="1"/>
  <c r="G15" i="6"/>
  <c r="I15" i="6" s="1"/>
  <c r="H9" i="7"/>
  <c r="G9" i="7"/>
  <c r="H72" i="7"/>
  <c r="G72" i="7"/>
  <c r="I76" i="5"/>
  <c r="I46" i="5"/>
  <c r="H41" i="7"/>
  <c r="G41" i="7"/>
  <c r="I61" i="6"/>
  <c r="I82" i="6"/>
  <c r="I86" i="6"/>
  <c r="I89" i="6"/>
  <c r="I23" i="5"/>
  <c r="I73" i="5"/>
  <c r="H27" i="7"/>
  <c r="G27" i="7"/>
  <c r="G70" i="7"/>
  <c r="H70" i="7"/>
  <c r="I62" i="6"/>
  <c r="G47" i="7"/>
  <c r="H47" i="7"/>
  <c r="I44" i="6"/>
  <c r="I81" i="6"/>
  <c r="G92" i="7"/>
  <c r="H92" i="7"/>
  <c r="I88" i="6"/>
  <c r="I75" i="5"/>
  <c r="I88" i="5"/>
  <c r="I38" i="5"/>
  <c r="H45" i="7"/>
  <c r="G45" i="7"/>
  <c r="H31" i="7"/>
  <c r="G31" i="7"/>
  <c r="K12" i="8"/>
  <c r="I11" i="13"/>
  <c r="C12" i="8"/>
  <c r="G6" i="7"/>
  <c r="H6" i="7"/>
  <c r="H88" i="7"/>
  <c r="G88" i="7"/>
  <c r="I59" i="6"/>
  <c r="H36" i="7"/>
  <c r="G36" i="7"/>
  <c r="B8" i="9"/>
  <c r="H24" i="7"/>
  <c r="G24" i="7"/>
  <c r="H66" i="7"/>
  <c r="G66" i="7"/>
  <c r="H52" i="7"/>
  <c r="G52" i="7"/>
  <c r="I22" i="6"/>
  <c r="G40" i="7"/>
  <c r="H40" i="7"/>
  <c r="G85" i="7"/>
  <c r="H85" i="7"/>
  <c r="I91" i="6"/>
  <c r="H73" i="7"/>
  <c r="G73" i="7"/>
  <c r="J12" i="13"/>
  <c r="J13" i="8" s="1"/>
  <c r="G16" i="5"/>
  <c r="I16" i="5" s="1"/>
  <c r="H51" i="7"/>
  <c r="G51" i="7"/>
  <c r="G38" i="7"/>
  <c r="H38" i="7"/>
  <c r="S9" i="13"/>
  <c r="J25" i="8" s="1"/>
  <c r="G13" i="6"/>
  <c r="I13" i="6" s="1"/>
  <c r="I68" i="6"/>
  <c r="I28" i="6"/>
  <c r="G29" i="7"/>
  <c r="H29" i="7"/>
  <c r="S6" i="13"/>
  <c r="J22" i="8" s="1"/>
  <c r="G10" i="6"/>
  <c r="I10" i="6" s="1"/>
  <c r="G69" i="7"/>
  <c r="H69" i="7"/>
  <c r="G74" i="7"/>
  <c r="H74" i="7"/>
  <c r="I21" i="6"/>
  <c r="G83" i="7"/>
  <c r="H83" i="7"/>
  <c r="H42" i="7"/>
  <c r="G42" i="7"/>
  <c r="I69" i="5"/>
  <c r="H81" i="7"/>
  <c r="G81" i="7"/>
  <c r="H15" i="7"/>
  <c r="G15" i="7"/>
  <c r="I30" i="6"/>
  <c r="H75" i="7"/>
  <c r="G75" i="7"/>
  <c r="I7" i="13"/>
  <c r="C8" i="8"/>
  <c r="K8" i="8"/>
  <c r="I52" i="5"/>
  <c r="G62" i="7"/>
  <c r="H62" i="7"/>
  <c r="I27" i="5"/>
  <c r="I22" i="5"/>
  <c r="G32" i="7"/>
  <c r="H32" i="7"/>
  <c r="I11" i="8" l="1"/>
  <c r="C65" i="8"/>
  <c r="K10" i="13"/>
  <c r="G65" i="8" s="1"/>
  <c r="AE10" i="13"/>
  <c r="K4" i="13"/>
  <c r="G59" i="8" s="1"/>
  <c r="AE4" i="13"/>
  <c r="C59" i="8"/>
  <c r="I5" i="8"/>
  <c r="K7" i="13"/>
  <c r="G62" i="8" s="1"/>
  <c r="C62" i="8"/>
  <c r="I8" i="8"/>
  <c r="AE7" i="13"/>
  <c r="K12" i="13"/>
  <c r="G67" i="8" s="1"/>
  <c r="AE12" i="13"/>
  <c r="C67" i="8"/>
  <c r="I13" i="8"/>
  <c r="K5" i="13"/>
  <c r="G60" i="8" s="1"/>
  <c r="AE5" i="13"/>
  <c r="C60" i="8"/>
  <c r="I6" i="8"/>
  <c r="I10" i="8"/>
  <c r="AE9" i="13"/>
  <c r="K9" i="13"/>
  <c r="G64" i="8" s="1"/>
  <c r="C64" i="8"/>
  <c r="C58" i="8"/>
  <c r="I4" i="8"/>
  <c r="AE3" i="13"/>
  <c r="K3" i="13"/>
  <c r="G58" i="8" s="1"/>
  <c r="AE13" i="13"/>
  <c r="C68" i="8"/>
  <c r="K13" i="13"/>
  <c r="G68" i="8" s="1"/>
  <c r="I14" i="8"/>
  <c r="F61" i="8"/>
  <c r="AF6" i="13"/>
  <c r="I44" i="9"/>
  <c r="K2" i="13"/>
  <c r="I3" i="8"/>
  <c r="AE2" i="13"/>
  <c r="C57" i="8"/>
  <c r="AE8" i="13"/>
  <c r="K8" i="13"/>
  <c r="G63" i="8" s="1"/>
  <c r="I9" i="8"/>
  <c r="C63" i="8"/>
  <c r="AE11" i="13"/>
  <c r="C66" i="8"/>
  <c r="K11" i="13"/>
  <c r="G66" i="8" s="1"/>
  <c r="I12" i="8"/>
  <c r="F64" i="8" l="1"/>
  <c r="AF9" i="13"/>
  <c r="I47" i="9"/>
  <c r="AF11" i="13"/>
  <c r="I49" i="9"/>
  <c r="F66" i="8"/>
  <c r="G57" i="8"/>
  <c r="B5" i="9"/>
  <c r="I45" i="9"/>
  <c r="F62" i="8"/>
  <c r="AF7" i="13"/>
  <c r="AF13" i="13"/>
  <c r="I51" i="9"/>
  <c r="F68" i="8"/>
  <c r="AF5" i="13"/>
  <c r="I43" i="9"/>
  <c r="F60" i="8"/>
  <c r="I42" i="9"/>
  <c r="F59" i="8"/>
  <c r="AF4" i="13"/>
  <c r="AF8" i="13"/>
  <c r="I46" i="9"/>
  <c r="F63" i="8"/>
  <c r="F58" i="8"/>
  <c r="AF3" i="13"/>
  <c r="I41" i="9"/>
  <c r="I48" i="9"/>
  <c r="F65" i="8"/>
  <c r="AF10" i="13"/>
  <c r="F57" i="8"/>
  <c r="AF2" i="13"/>
  <c r="I40" i="9"/>
  <c r="AF12" i="13"/>
  <c r="F67" i="8"/>
  <c r="I50" i="9"/>
  <c r="F5" i="9" l="1"/>
  <c r="E5" i="9"/>
  <c r="B17" i="9" l="1"/>
  <c r="B5" i="10" s="1"/>
  <c r="B14" i="10" s="1"/>
  <c r="A6" i="11" s="1"/>
  <c r="E6" i="9"/>
  <c r="F6" i="9" l="1"/>
  <c r="B18" i="9"/>
  <c r="B6" i="10" s="1"/>
  <c r="B15" i="10" s="1"/>
  <c r="A7" i="11" s="1"/>
  <c r="E7" i="9"/>
  <c r="A22" i="11"/>
  <c r="B13" i="11"/>
  <c r="B19" i="9" l="1"/>
  <c r="B7" i="10" s="1"/>
  <c r="B16" i="10" s="1"/>
  <c r="A8" i="11" s="1"/>
  <c r="F7" i="9"/>
  <c r="E8" i="9"/>
  <c r="A23" i="11"/>
  <c r="B14" i="11"/>
  <c r="B20" i="9" l="1"/>
  <c r="B8" i="10" s="1"/>
  <c r="B17" i="10" s="1"/>
  <c r="A9" i="11" s="1"/>
  <c r="F8" i="9"/>
  <c r="E9" i="9"/>
  <c r="J40" i="9" s="1"/>
  <c r="K40" i="9" s="1"/>
  <c r="A24" i="11"/>
  <c r="B15" i="11"/>
  <c r="J51" i="9" l="1"/>
  <c r="K51" i="9" s="1"/>
  <c r="J47" i="9"/>
  <c r="K47" i="9" s="1"/>
  <c r="J44" i="9"/>
  <c r="K44" i="9" s="1"/>
  <c r="J46" i="9"/>
  <c r="K46" i="9" s="1"/>
  <c r="J43" i="9"/>
  <c r="K43" i="9" s="1"/>
  <c r="J45" i="9"/>
  <c r="K45" i="9" s="1"/>
  <c r="J41" i="9"/>
  <c r="K41" i="9" s="1"/>
  <c r="J48" i="9"/>
  <c r="K48" i="9" s="1"/>
  <c r="J42" i="9"/>
  <c r="K42" i="9" s="1"/>
  <c r="J49" i="9"/>
  <c r="K49" i="9" s="1"/>
  <c r="A25" i="11"/>
  <c r="B16" i="11"/>
  <c r="F9" i="9"/>
  <c r="B21" i="9"/>
  <c r="B9" i="10" s="1"/>
  <c r="B18" i="10" s="1"/>
  <c r="J50" i="9"/>
  <c r="K50" i="9" s="1"/>
  <c r="C13" i="9" l="1"/>
  <c r="B13" i="9"/>
  <c r="B22" i="9" s="1"/>
  <c r="B10" i="10" s="1"/>
  <c r="B19" i="10" s="1"/>
</calcChain>
</file>

<file path=xl/sharedStrings.xml><?xml version="1.0" encoding="utf-8"?>
<sst xmlns="http://schemas.openxmlformats.org/spreadsheetml/2006/main" count="3399" uniqueCount="346">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</sst>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zoomScaleNormal="100" workbookViewId="0">
      <selection activeCell="J26" sqref="J2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5" t="s">
        <v>0</v>
      </c>
      <c r="B1" s="25"/>
      <c r="C1" s="25"/>
      <c r="D1" s="25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2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6" t="s">
        <v>25</v>
      </c>
      <c r="B1" s="26"/>
      <c r="C1" s="26"/>
      <c r="D1" s="26"/>
      <c r="E1" s="26"/>
      <c r="F1" s="26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6" t="s">
        <v>36</v>
      </c>
      <c r="B56" s="26"/>
      <c r="C56" s="26"/>
      <c r="D56" s="26"/>
      <c r="E56" s="26"/>
      <c r="F56" s="26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6" t="s">
        <v>43</v>
      </c>
      <c r="B111" s="26"/>
      <c r="C111" s="26"/>
      <c r="D111" s="26"/>
      <c r="E111" s="26"/>
      <c r="F111" s="26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zoomScaleNormal="100" workbookViewId="0">
      <selection activeCell="T22" sqref="T22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2" t="s">
        <v>50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 spans="1:17" ht="15" customHeight="1" x14ac:dyDescent="0.25">
      <c r="A2" s="23" t="s">
        <v>51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</row>
    <row r="4" spans="1:17" ht="15" customHeight="1" x14ac:dyDescent="0.25">
      <c r="A4" s="24" t="s">
        <v>52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/>
      <c r="H21" s="10"/>
      <c r="I21" s="10"/>
      <c r="J21" s="10" t="s">
        <v>87</v>
      </c>
      <c r="K21" s="10"/>
      <c r="L21" s="10"/>
      <c r="M21" s="10" t="s">
        <v>88</v>
      </c>
      <c r="N21" s="10"/>
      <c r="O21" s="10"/>
      <c r="P21" s="10"/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51</v>
      </c>
      <c r="F22" s="14">
        <v>48</v>
      </c>
      <c r="G22" s="14"/>
      <c r="H22" s="14"/>
      <c r="I22" s="14"/>
      <c r="J22" s="14">
        <v>47</v>
      </c>
      <c r="K22" s="14"/>
      <c r="L22" s="14"/>
      <c r="M22" s="14">
        <v>50</v>
      </c>
      <c r="N22" s="14"/>
      <c r="O22" s="14"/>
      <c r="P22" s="14"/>
      <c r="Q22" s="14">
        <v>52</v>
      </c>
    </row>
    <row r="23" spans="1:17" ht="15" customHeight="1" x14ac:dyDescent="0.25">
      <c r="A23" s="24" t="s">
        <v>90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/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/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/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/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/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/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/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/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/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/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/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/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/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/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/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/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spans="1:17" x14ac:dyDescent="0.25">
      <c r="A41" s="11" t="s">
        <v>63</v>
      </c>
      <c r="B41" s="12" t="s">
        <v>89</v>
      </c>
      <c r="E41" s="13" t="str">
        <f>'NFL Schedule'!E38</f>
        <v/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" customHeight="1" x14ac:dyDescent="0.25">
      <c r="A42" s="24" t="s">
        <v>91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/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/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/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/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/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/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/>
      </c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/>
      </c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/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/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/>
      </c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/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/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/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/>
      </c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4" t="s">
        <v>92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4" t="s">
        <v>93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4" t="s">
        <v>94</v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4" t="s">
        <v>95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4" t="s">
        <v>96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4" t="s">
        <v>97</v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4" t="s">
        <v>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4" t="s">
        <v>99</v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4" t="s">
        <v>100</v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4" t="s">
        <v>101</v>
      </c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4" t="s">
        <v>102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4" t="s">
        <v>103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4" t="s">
        <v>104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4" t="s">
        <v>105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4" t="s">
        <v>106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25</v>
      </c>
      <c r="F18" t="s">
        <v>88</v>
      </c>
      <c r="G18">
        <v>26</v>
      </c>
      <c r="H18">
        <v>-2.5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51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F22" t="s">
        <v>67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F23" t="s">
        <v>73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F24" t="s">
        <v>69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F25" t="s">
        <v>61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F26" t="s">
        <v>68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F27" t="s">
        <v>57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F28" t="s">
        <v>75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F29" t="s">
        <v>63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F30" t="s">
        <v>76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F31" t="s">
        <v>87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F32" t="s">
        <v>78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F33" t="s">
        <v>77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F34" t="s">
        <v>85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F35" t="s">
        <v>59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F36" t="s">
        <v>88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F37" t="s">
        <v>60</v>
      </c>
      <c r="I37" t="str">
        <f t="shared" si="2"/>
        <v/>
      </c>
      <c r="J37" t="str">
        <f t="shared" si="3"/>
        <v/>
      </c>
    </row>
    <row r="38" spans="1:10" x14ac:dyDescent="0.25">
      <c r="D38" s="15" t="s">
        <v>89</v>
      </c>
      <c r="E38" s="16" t="str">
        <f>IF(AND(E37&lt;&gt;"",G37&lt;&gt;""),E37+G37,"")</f>
        <v/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zoomScaleNormal="100" workbookViewId="0">
      <selection activeCell="C10" sqref="C10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187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 t="shared" ref="F6:F17" si="0">IF(C6=0,"-",IF(C6&gt;E6,"W",IF(C6&lt;E6,"L","T")))</f>
        <v>L</v>
      </c>
      <c r="G6">
        <f t="shared" ref="G6:G17" si="1">IF(F6="W",6,IF(F6="T",3,0))</f>
        <v>0</v>
      </c>
      <c r="H6">
        <f t="shared" ref="H6:H17" si="2">IF(C6="",0,C6)</f>
        <v>5</v>
      </c>
      <c r="I6">
        <f t="shared" ref="I6:I17" si="3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6</v>
      </c>
      <c r="D7">
        <v>6</v>
      </c>
      <c r="E7">
        <f>IFERROR(INDEX(C$6:C$17,MATCH(6,A$6:A$17,0)),0)</f>
        <v>6</v>
      </c>
      <c r="F7" t="str">
        <f t="shared" si="0"/>
        <v>T</v>
      </c>
      <c r="G7">
        <f t="shared" si="1"/>
        <v>3</v>
      </c>
      <c r="H7">
        <f t="shared" si="2"/>
        <v>6</v>
      </c>
      <c r="I7">
        <f t="shared" si="3"/>
        <v>9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 t="shared" si="0"/>
        <v>T</v>
      </c>
      <c r="G8">
        <f t="shared" si="1"/>
        <v>3</v>
      </c>
      <c r="H8">
        <f t="shared" si="2"/>
        <v>8</v>
      </c>
      <c r="I8">
        <f t="shared" si="3"/>
        <v>11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5</v>
      </c>
      <c r="D9">
        <v>10</v>
      </c>
      <c r="E9">
        <f>IFERROR(INDEX(C$6:C$17,MATCH(10,A$6:A$17,0)),0)</f>
        <v>11</v>
      </c>
      <c r="F9" t="str">
        <f t="shared" si="0"/>
        <v>L</v>
      </c>
      <c r="G9">
        <f t="shared" si="1"/>
        <v>0</v>
      </c>
      <c r="H9">
        <f t="shared" si="2"/>
        <v>5</v>
      </c>
      <c r="I9">
        <f t="shared" si="3"/>
        <v>5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 t="shared" si="0"/>
        <v>W</v>
      </c>
      <c r="G10">
        <f t="shared" si="1"/>
        <v>6</v>
      </c>
      <c r="H10">
        <f t="shared" si="2"/>
        <v>10</v>
      </c>
      <c r="I10">
        <f t="shared" si="3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6</v>
      </c>
      <c r="D11">
        <v>2</v>
      </c>
      <c r="E11">
        <f>IFERROR(INDEX(C$6:C$17,MATCH(2,A$6:A$17,0)),0)</f>
        <v>6</v>
      </c>
      <c r="F11" t="str">
        <f t="shared" si="0"/>
        <v>T</v>
      </c>
      <c r="G11">
        <f t="shared" si="1"/>
        <v>3</v>
      </c>
      <c r="H11">
        <f t="shared" si="2"/>
        <v>6</v>
      </c>
      <c r="I11">
        <f t="shared" si="3"/>
        <v>9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 t="shared" si="0"/>
        <v>L</v>
      </c>
      <c r="G12">
        <f t="shared" si="1"/>
        <v>0</v>
      </c>
      <c r="H12">
        <f t="shared" si="2"/>
        <v>7</v>
      </c>
      <c r="I12">
        <f t="shared" si="3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9</v>
      </c>
      <c r="D13">
        <v>12</v>
      </c>
      <c r="E13">
        <f>IFERROR(INDEX(C$6:C$17,MATCH(12,A$6:A$17,0)),0)</f>
        <v>9</v>
      </c>
      <c r="F13" t="str">
        <f t="shared" si="0"/>
        <v>T</v>
      </c>
      <c r="G13">
        <f t="shared" si="1"/>
        <v>3</v>
      </c>
      <c r="H13">
        <f t="shared" si="2"/>
        <v>9</v>
      </c>
      <c r="I13">
        <f t="shared" si="3"/>
        <v>12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 t="shared" si="0"/>
        <v>T</v>
      </c>
      <c r="G14">
        <f t="shared" si="1"/>
        <v>3</v>
      </c>
      <c r="H14">
        <f t="shared" si="2"/>
        <v>8</v>
      </c>
      <c r="I14">
        <f t="shared" si="3"/>
        <v>11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5</v>
      </c>
      <c r="F15" t="str">
        <f t="shared" si="0"/>
        <v>W</v>
      </c>
      <c r="G15">
        <f t="shared" si="1"/>
        <v>6</v>
      </c>
      <c r="H15">
        <f t="shared" si="2"/>
        <v>11</v>
      </c>
      <c r="I15">
        <f t="shared" si="3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 t="shared" si="0"/>
        <v>W</v>
      </c>
      <c r="G16">
        <f t="shared" si="1"/>
        <v>6</v>
      </c>
      <c r="H16">
        <f t="shared" si="2"/>
        <v>10</v>
      </c>
      <c r="I16">
        <f t="shared" si="3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9</v>
      </c>
      <c r="F17" t="str">
        <f t="shared" si="0"/>
        <v>T</v>
      </c>
      <c r="G17">
        <f t="shared" si="1"/>
        <v>3</v>
      </c>
      <c r="H17">
        <f t="shared" si="2"/>
        <v>9</v>
      </c>
      <c r="I17">
        <f t="shared" si="3"/>
        <v>12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0</v>
      </c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0</v>
      </c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0</v>
      </c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0</v>
      </c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0</v>
      </c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0</v>
      </c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0</v>
      </c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0</v>
      </c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0</v>
      </c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0</v>
      </c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0</v>
      </c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0</v>
      </c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196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200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12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6" t="s">
        <v>205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5</v>
      </c>
      <c r="J3">
        <f>Helper!J2</f>
        <v>0</v>
      </c>
      <c r="K3">
        <f>MAX(Helper!C2:H2)</f>
        <v>5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9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9</v>
      </c>
      <c r="J4">
        <f>Helper!J3</f>
        <v>0</v>
      </c>
      <c r="K4">
        <f>MAX(Helper!C3:H3)</f>
        <v>9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11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11</v>
      </c>
      <c r="J5">
        <f>Helper!J4</f>
        <v>0</v>
      </c>
      <c r="K5">
        <f>MAX(Helper!C4:H4)</f>
        <v>11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5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5</v>
      </c>
      <c r="J6">
        <f>Helper!J5</f>
        <v>0</v>
      </c>
      <c r="K6">
        <f>MAX(Helper!C5:H5)</f>
        <v>5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16</v>
      </c>
      <c r="J7">
        <f>Helper!J6</f>
        <v>1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9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9</v>
      </c>
      <c r="J8">
        <f>Helper!J7</f>
        <v>0</v>
      </c>
      <c r="K8">
        <f>MAX(Helper!C7:H7)</f>
        <v>9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7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12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12</v>
      </c>
      <c r="J10">
        <f>Helper!J9</f>
        <v>0</v>
      </c>
      <c r="K10">
        <f>MAX(Helper!C9:H9)</f>
        <v>12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11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11</v>
      </c>
      <c r="J11">
        <f>Helper!J10</f>
        <v>0</v>
      </c>
      <c r="K11">
        <f>MAX(Helper!C10:H10)</f>
        <v>11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17</v>
      </c>
      <c r="J12">
        <f>Helper!J11</f>
        <v>1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16</v>
      </c>
      <c r="J13">
        <f>Helper!J12</f>
        <v>1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12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12</v>
      </c>
      <c r="J14">
        <f>Helper!J13</f>
        <v>0</v>
      </c>
      <c r="K14">
        <f>MAX(Helper!C13:H13)</f>
        <v>12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</v>
      </c>
      <c r="D57">
        <f>Helper!R2</f>
        <v>0</v>
      </c>
      <c r="E57">
        <f>Helper!AC2</f>
        <v>0</v>
      </c>
      <c r="F57">
        <f>Helper!AE2</f>
        <v>5</v>
      </c>
      <c r="G57">
        <f>Helper!K2</f>
        <v>5.0000999999999998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9</v>
      </c>
      <c r="D58">
        <f>Helper!R3</f>
        <v>0</v>
      </c>
      <c r="E58">
        <f>Helper!AC3</f>
        <v>0</v>
      </c>
      <c r="F58">
        <f>Helper!AE3</f>
        <v>9</v>
      </c>
      <c r="G58">
        <f>Helper!K3</f>
        <v>9.0001999999999995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11</v>
      </c>
      <c r="D59">
        <f>Helper!R4</f>
        <v>0</v>
      </c>
      <c r="E59">
        <f>Helper!AC4</f>
        <v>0</v>
      </c>
      <c r="F59">
        <f>Helper!AE4</f>
        <v>11</v>
      </c>
      <c r="G59">
        <f>Helper!K4</f>
        <v>11.000299999999999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5</v>
      </c>
      <c r="D60">
        <f>Helper!R5</f>
        <v>0</v>
      </c>
      <c r="E60">
        <f>Helper!AC5</f>
        <v>0</v>
      </c>
      <c r="F60">
        <f>Helper!AE5</f>
        <v>5</v>
      </c>
      <c r="G60">
        <f>Helper!K5</f>
        <v>5.0004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16</v>
      </c>
      <c r="D61">
        <f>Helper!R6</f>
        <v>0</v>
      </c>
      <c r="E61">
        <f>Helper!AC6</f>
        <v>0</v>
      </c>
      <c r="F61">
        <f>Helper!AE6</f>
        <v>16</v>
      </c>
      <c r="G61">
        <f>Helper!K6</f>
        <v>16.000499999999999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9</v>
      </c>
      <c r="D62">
        <f>Helper!R7</f>
        <v>0</v>
      </c>
      <c r="E62">
        <f>Helper!AC7</f>
        <v>0</v>
      </c>
      <c r="F62">
        <f>Helper!AE7</f>
        <v>9</v>
      </c>
      <c r="G62">
        <f>Helper!K7</f>
        <v>9.0006000000000004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7</v>
      </c>
      <c r="D63">
        <f>Helper!R8</f>
        <v>0</v>
      </c>
      <c r="E63">
        <f>Helper!AC8</f>
        <v>0</v>
      </c>
      <c r="F63">
        <f>Helper!AE8</f>
        <v>7</v>
      </c>
      <c r="G63">
        <f>Helper!K8</f>
        <v>7.0007000000000001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12</v>
      </c>
      <c r="D64">
        <f>Helper!R9</f>
        <v>0</v>
      </c>
      <c r="E64">
        <f>Helper!AC9</f>
        <v>0</v>
      </c>
      <c r="F64">
        <f>Helper!AE9</f>
        <v>12</v>
      </c>
      <c r="G64">
        <f>Helper!K9</f>
        <v>12.0008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11</v>
      </c>
      <c r="D65">
        <f>Helper!R10</f>
        <v>0</v>
      </c>
      <c r="E65">
        <f>Helper!AC10</f>
        <v>0</v>
      </c>
      <c r="F65">
        <f>Helper!AE10</f>
        <v>11</v>
      </c>
      <c r="G65">
        <f>Helper!K10</f>
        <v>11.0009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17</v>
      </c>
      <c r="D66">
        <f>Helper!R11</f>
        <v>0</v>
      </c>
      <c r="E66">
        <f>Helper!AC11</f>
        <v>0</v>
      </c>
      <c r="F66">
        <f>Helper!AE11</f>
        <v>17</v>
      </c>
      <c r="G66">
        <f>Helper!K11</f>
        <v>17.001000000000001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16</v>
      </c>
      <c r="D67">
        <f>Helper!R12</f>
        <v>0</v>
      </c>
      <c r="E67">
        <f>Helper!AC12</f>
        <v>0</v>
      </c>
      <c r="F67">
        <f>Helper!AE12</f>
        <v>16</v>
      </c>
      <c r="G67">
        <f>Helper!K12</f>
        <v>16.001100000000001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12</v>
      </c>
      <c r="D68">
        <f>Helper!R13</f>
        <v>0</v>
      </c>
      <c r="E68">
        <f>Helper!AC13</f>
        <v>0</v>
      </c>
      <c r="F68">
        <f>Helper!AE13</f>
        <v>12</v>
      </c>
      <c r="G68">
        <f>Helper!K13</f>
        <v>12.001200000000001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16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5</v>
      </c>
      <c r="J40" t="b">
        <f t="shared" ref="J40:J51" si="1">OR(H40=$E$5,H40=$E$6,H40=$E$7,H40=$E$8,H40=$E$9)</f>
        <v>0</v>
      </c>
      <c r="K40">
        <f>IF(J40,-1,I40+0.00001)</f>
        <v>5.0000099999999996</v>
      </c>
    </row>
    <row r="41" spans="1:11" ht="15" customHeight="1" x14ac:dyDescent="0.25">
      <c r="H41" t="str">
        <f>Roster!B4</f>
        <v>Chris Simmons</v>
      </c>
      <c r="I41">
        <f>Helper!AE3</f>
        <v>9</v>
      </c>
      <c r="J41" t="b">
        <f t="shared" si="1"/>
        <v>0</v>
      </c>
      <c r="K41">
        <f>IF(J41,-1,I41+0.00002)</f>
        <v>9.0000199999999992</v>
      </c>
    </row>
    <row r="42" spans="1:11" ht="15" customHeight="1" x14ac:dyDescent="0.25">
      <c r="H42" t="str">
        <f>Roster!B5</f>
        <v>Jack Smith</v>
      </c>
      <c r="I42">
        <f>Helper!AE4</f>
        <v>11</v>
      </c>
      <c r="J42" t="b">
        <f t="shared" si="1"/>
        <v>0</v>
      </c>
      <c r="K42">
        <f>IF(J42,-1,I42+0.00003)</f>
        <v>11.000030000000001</v>
      </c>
    </row>
    <row r="43" spans="1:11" ht="15" customHeight="1" x14ac:dyDescent="0.25">
      <c r="H43" t="str">
        <f>Roster!B6</f>
        <v>Luke Ussery</v>
      </c>
      <c r="I43">
        <f>Helper!AE5</f>
        <v>5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16</v>
      </c>
      <c r="J44" t="b">
        <f t="shared" si="1"/>
        <v>0</v>
      </c>
      <c r="K44">
        <f>IF(J44,-1,I44+0.00005)</f>
        <v>16.000050000000002</v>
      </c>
    </row>
    <row r="45" spans="1:11" ht="15" customHeight="1" x14ac:dyDescent="0.25">
      <c r="H45" t="str">
        <f>Roster!B8</f>
        <v>Alan Loeser</v>
      </c>
      <c r="I45">
        <f>Helper!AE7</f>
        <v>9</v>
      </c>
      <c r="J45" t="b">
        <f t="shared" si="1"/>
        <v>0</v>
      </c>
      <c r="K45">
        <f>IF(J45,-1,I45+0.00006)</f>
        <v>9.0000599999999995</v>
      </c>
    </row>
    <row r="46" spans="1:11" ht="15" customHeight="1" x14ac:dyDescent="0.25">
      <c r="H46" t="str">
        <f>Roster!B9</f>
        <v>Caleb Simmons</v>
      </c>
      <c r="I46">
        <f>Helper!AE8</f>
        <v>7</v>
      </c>
      <c r="J46" t="b">
        <f t="shared" si="1"/>
        <v>0</v>
      </c>
      <c r="K46">
        <f>IF(J46,-1,I46+0.00007)</f>
        <v>7.00007</v>
      </c>
    </row>
    <row r="47" spans="1:11" ht="15" customHeight="1" x14ac:dyDescent="0.25">
      <c r="H47" t="str">
        <f>Roster!B10</f>
        <v>Larry Loeser</v>
      </c>
      <c r="I47">
        <f>Helper!AE9</f>
        <v>12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11</v>
      </c>
      <c r="J48" t="b">
        <f t="shared" si="1"/>
        <v>0</v>
      </c>
      <c r="K48">
        <f>IF(J48,-1,I48+0.00009)</f>
        <v>11.00009</v>
      </c>
    </row>
    <row r="49" spans="8:11" ht="15" customHeight="1" x14ac:dyDescent="0.25">
      <c r="H49" t="str">
        <f>Roster!B12</f>
        <v>Zach Zarra</v>
      </c>
      <c r="I49">
        <f>Helper!AE11</f>
        <v>17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16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12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B24" sqref="B24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5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5.0000999999999998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</v>
      </c>
      <c r="AF2">
        <f>AE2+0.0001</f>
        <v>5.0000999999999998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9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9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9.0001999999999995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9</v>
      </c>
      <c r="AF3">
        <f>AE3+0.0002</f>
        <v>9.0001999999999995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11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11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11.000299999999999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11</v>
      </c>
      <c r="AF4">
        <f>AE4+0.0003</f>
        <v>11.000299999999999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5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5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5.0004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5</v>
      </c>
      <c r="AF5">
        <f>AE5+0.0004</f>
        <v>5.0004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16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1</v>
      </c>
      <c r="K6">
        <f>I6+0.0005</f>
        <v>16.000499999999999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16</v>
      </c>
      <c r="AF6">
        <f>AE6+0.0005</f>
        <v>16.000499999999999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9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9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9.0006000000000004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9</v>
      </c>
      <c r="AF7">
        <f>AE7+0.0006</f>
        <v>9.0006000000000004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7.0007000000000001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7</v>
      </c>
      <c r="AF8">
        <f>AE8+0.0007</f>
        <v>7.0007000000000001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12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12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12.0008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12</v>
      </c>
      <c r="AF9">
        <f>AE9+0.0008</f>
        <v>12.0008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11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11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11.0009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11</v>
      </c>
      <c r="AF10">
        <f>AE10+0.0009</f>
        <v>11.0009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17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1</v>
      </c>
      <c r="K11">
        <f>I11+0.001</f>
        <v>17.001000000000001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17</v>
      </c>
      <c r="AF11">
        <f>AE11+0.001</f>
        <v>17.001000000000001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16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1</v>
      </c>
      <c r="K12">
        <f>I12+0.0011</f>
        <v>16.001100000000001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16</v>
      </c>
      <c r="AF12">
        <f>AE12+0.0011</f>
        <v>16.001100000000001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12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12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12.001200000000001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12</v>
      </c>
      <c r="AF13">
        <f>AE13+0.0012</f>
        <v>12.001200000000001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2026-09-14T15:05:25Z</dcterms:modified>
  <dc:language>en-US</dc:language>
</cp:coreProperties>
</file>