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784" documentId="11_C5FB6D5EBB7DB41C9C4944A345A03722CFCA9995" xr6:coauthVersionLast="47" xr6:coauthVersionMax="47" xr10:uidLastSave="{67597EDC-2273-443C-8CFC-60F9110D7C63}"/>
  <bookViews>
    <workbookView xWindow="28680" yWindow="-120" windowWidth="29040" windowHeight="16440" tabRatio="857" activeTab="11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G13" i="13"/>
  <c r="G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F27" i="8" s="1"/>
  <c r="N11" i="13"/>
  <c r="E27" i="8" s="1"/>
  <c r="M11" i="13"/>
  <c r="D27" i="8" s="1"/>
  <c r="L11" i="13"/>
  <c r="C27" i="8" s="1"/>
  <c r="H11" i="13"/>
  <c r="H12" i="8" s="1"/>
  <c r="G11" i="13"/>
  <c r="G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G8" i="13"/>
  <c r="G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M7" i="13"/>
  <c r="L7" i="13"/>
  <c r="H7" i="13"/>
  <c r="H8" i="8" s="1"/>
  <c r="G7" i="13"/>
  <c r="G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6" i="8"/>
  <c r="B25" i="8"/>
  <c r="H24" i="8"/>
  <c r="E24" i="8"/>
  <c r="E23" i="8"/>
  <c r="D23" i="8"/>
  <c r="B23" i="8"/>
  <c r="F21" i="8"/>
  <c r="B21" i="8"/>
  <c r="F20" i="8"/>
  <c r="B20" i="8"/>
  <c r="B19" i="8"/>
  <c r="B18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49" i="8" l="1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F9" i="13" s="1"/>
  <c r="F10" i="8" s="1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F5" i="13" s="1"/>
  <c r="F6" i="8" s="1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11" i="13" s="1"/>
  <c r="F12" i="8" s="1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F6" i="13" s="1"/>
  <c r="F7" i="8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F13" i="13" s="1"/>
  <c r="F14" i="8" s="1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F8" i="13" s="1"/>
  <c r="F9" i="8" s="1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F3" i="13" s="1"/>
  <c r="F4" i="8" s="1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E62" i="5"/>
  <c r="F62" i="5" s="1"/>
  <c r="G62" i="5" s="1"/>
  <c r="H53" i="5"/>
  <c r="F4" i="13" s="1"/>
  <c r="F5" i="8" s="1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F10" i="13" s="1"/>
  <c r="F11" i="8" s="1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F12" i="13" s="1"/>
  <c r="F13" i="8" s="1"/>
  <c r="E54" i="5"/>
  <c r="F54" i="5" s="1"/>
  <c r="G54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F7" i="13" s="1"/>
  <c r="F8" i="8" s="1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F2" i="13" s="1"/>
  <c r="F3" i="8" s="1"/>
  <c r="E58" i="5"/>
  <c r="F58" i="5" s="1"/>
  <c r="G58" i="5" s="1"/>
  <c r="I23" i="7"/>
  <c r="E21" i="7"/>
  <c r="F23" i="7"/>
  <c r="I55" i="5" l="1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<sst xmlns="http://schemas.openxmlformats.org/spreadsheetml/2006/main" count="3954" uniqueCount="347">
  <si>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</si>
  <si>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</si>
  <si>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</si>
  <si>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</si>
  <si>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</si>
  <si>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</si>
  <si>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</si>
  <si>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</si>
  <si>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</si>
  <si>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</si>
  <si>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</si>
  <si>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</si>
  <si>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</si>
  <si>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</si>
  <si>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</si>
  <si>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</si>
  <si>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</si>
  <si>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</si>
  <si>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</si>
  <si>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</si>
  <si>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</si>
  <si>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</si>
  <si>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</si>
  <si>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</si>
  <si>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</si>
  <si>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</si>
  <si>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</si>
  <si>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</si>
  <si>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</si>
  <si>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</si>
  <si>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</si>
  <si>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</si>
  <si>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</si>
  <si>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</si>
  <si>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</si>
  <si>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</si>
  <si>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</si>
  <si>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</si>
  <si>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</si>
  <si>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</si>
  <si>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</si>
  <si>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</si>
  <si>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</si>
  <si>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</si>
  <si>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</si>
  <si>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</si>
  <si>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</si>
  <si>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</si>
  <si>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</si>
  <si>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</si>
  <si>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</si>
  <si>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</si>
  <si>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</si>
  <si>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</si>
  <si>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</si>
  <si>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</si>
  <si>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</si>
  <si>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</si>
  <si>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</si>
  <si>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</si>
  <si>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</si>
  <si>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</si>
  <si>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</si>
  <si>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</si>
  <si>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</si>
  <si>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</si>
  <si>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</si>
  <si>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</si>
  <si>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</si>
  <si>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</si>
  <si>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</si>
  <si>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</si>
  <si>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</si>
  <si>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</si>
  <si>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</si>
  <si>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</si>
  <si>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</si>
  <si>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</si>
  <si>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</si>
  <si>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</si>
  <si>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</si>
  <si>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</si>
  <si>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</si>
  <si>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</si>
  <si>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</si>
  <si>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</si>
  <si>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</si>
  <si>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</si>
  <si>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</si>
  <si>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</si>
  <si>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</si>
  <si>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</si>
  <si>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</si>
  <si>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</si>
  <si>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</si>
  <si>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</si>
  <si>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</si>
  <si>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</si>
  <si>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</si>
  <si>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</si>
  <si>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</si>
  <si>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</si>
  <si>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</si>
  <si>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</si>
  <si>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</si>
  <si>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</si>
  <si>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</si>
  <si>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</si>
  <si>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</si>
  <si>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</si>
  <si>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</si>
  <si>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</si>
  <si>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</si>
  <si>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</si>
  <si>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</si>
  <si>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</si>
  <si>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</si>
  <si>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</si>
  <si>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</si>
  <si>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</si>
  <si>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</si>
  <si>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</si>
  <si>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</si>
  <si>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</si>
  <si>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</si>
  <si>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</si>
  <si>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</si>
  <si>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</si>
  <si>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</si>
  <si>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</si>
  <si>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</si>
  <si>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</si>
  <si>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</si>
  <si>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</si>
  <si>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</si>
  <si>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</si>
  <si>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</si>
  <si>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</si>
  <si>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</si>
  <si>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</si>
  <si>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</si>
  <si>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</si>
  <si>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</si>
  <si>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</si>
  <si>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</si>
  <si>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</si>
  <si>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</si>
  <si>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</si>
  <si>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</si>
  <si>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</si>
  <si>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</si>
  <si>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</si>
  <si>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</si>
  <si>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</si>
  <si>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</si>
  <si>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</si>
  <si>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</si>
  <si>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</si>
  <si>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</si>
  <si>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</si>
  <si>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</si>
  <si>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</si>
  <si>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</si>
  <si>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</si>
  <si>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</si>
  <si>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</si>
  <si>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</si>
  <si>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</si>
  <si>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</si>
  <si>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</si>
  <si>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</si>
  <si>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</si>
  <si>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</si>
  <si>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</si>
  <si>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</si>
  <si>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</si>
  <si>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</si>
  <si>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</si>
  <si>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</si>
  <si>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</si>
  <si>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</si>
  <si>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</si>
  <si>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</si>
  <si>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</si>
  <si>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</si>
  <si>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</si>
  <si>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</si>
  <si>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</si>
  <si>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</si>
  <si>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</si>
  <si>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</si>
  <si>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</si>
  <si>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</si>
  <si>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</si>
  <si>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</si>
  <si>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</si>
  <si>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</si>
  <si>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</si>
  <si>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</si>
  <si>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</si>
  <si>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</si>
  <si>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</si>
  <si>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</si>
  <si>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</si>
  <si>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</si>
  <si>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</si>
  <si>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</si>
  <si>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</si>
  <si>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</si>
  <si>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</si>
  <si>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</si>
  <si>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</si>
  <si>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</si>
  <si>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</si>
  <si>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</si>
  <si>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</si>
  <si>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</si>
  <si>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</si>
  <si>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</si>
  <si>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</si>
  <si>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</si>
  <si>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</si>
  <si>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</si>
  <si>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</si>
  <si>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</si>
  <si>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</si>
  <si>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</si>
  <si>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</si>
  <si>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</si>
  <si>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</si>
  <si>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</si>
  <si>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</si>
  <si>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</si>
  <si>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</si>
  <si>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</si>
  <si>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</si>
  <si>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</si>
  <si>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</si>
  <si>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</si>
  <si>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</si>
  <si>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</si>
  <si>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</si>
  <si>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</si>
  <si>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</si>
  <si>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</si>
  <si>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</si>
  <si>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</si>
  <si>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</si>
  <si>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</si>
  <si>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</si>
  <si>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</si>
  <si>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</si>
  <si>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</si>
  <si>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</si>
  <si>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</si>
  <si>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</si>
  <si>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</si>
  <si>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</si>
  <si>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</si>
  <si>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</si>
  <si>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</si>
  <si>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</si>
  <si>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</si>
  <si>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</si>
  <si>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</si>
  <si>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</si>
  <si>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</si>
  <si>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</si>
  <si>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</si>
  <si>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</si>
  <si>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</si>
  <si>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</si>
  <si>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</si>
  <si>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</si>
  <si>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</si>
  <si>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</si>
  <si>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</si>
  <si>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</si>
  <si>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</si>
  <si>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</si>
  <si>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</si>
  <si>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</si>
  <si>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</si>
  <si>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</si>
  <si>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</si>
  <si>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</si>
  <si>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</si>
  <si>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</si>
  <si>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</si>
  <si>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</si>
  <si>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</si>
  <si>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</si>
  <si>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</si>
  <si>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</si>
  <si>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</si>
  <si>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</si>
  <si>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</si>
  <si>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</si>
  <si>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</si>
  <si>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</si>
  <si>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</si>
  <si>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</si>
  <si>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</si>
  <si>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</si>
  <si>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</si>
  <si>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</si>
  <si>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</si>
  <si>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</si>
  <si>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</si>
  <si>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</si>
  <si>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</si>
  <si>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</si>
  <si>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</si>
  <si>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</si>
  <si>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</si>
  <si>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</si>
  <si>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</si>
  <si>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</si>
  <si>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</si>
  <si>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</si>
  <si>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</si>
  <si>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</si>
  <si>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</si>
  <si>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</si>
  <si>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</si>
  <si>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</si>
  <si>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</si>
  <si>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</si>
  <si>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</si>
  <si>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</si>
  <si>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</si>
  <si>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</si>
  <si>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</si>
  <si>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</si>
  <si>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</si>
  <si>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</si>
  <si>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</si>
  <si>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</si>
  <si>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</si>
  <si>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</si>
  <si>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</si>
  <si>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</si>
  <si>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</si>
  <si>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</si>
  <si>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</si>
  <si>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</si>
  <si>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One game away from completing the first month of the season. A 2 week push remains to complete segment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</si>
</sst>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20" sqref="G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4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45" zoomScaleNormal="100" workbookViewId="0">
      <selection activeCell="J76" sqref="J76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49" zoomScaleNormal="100" workbookViewId="0">
      <selection activeCell="E75" sqref="E75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39" zoomScaleNormal="100" workbookViewId="0">
      <selection activeCell="D55" sqref="D55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7</v>
      </c>
      <c r="D51">
        <v>8</v>
      </c>
      <c r="E51">
        <f>IFERROR(INDEX(C$51:C$62,MATCH(8,A$51:A$62,0)),0)</f>
        <v>7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7</v>
      </c>
      <c r="I51">
        <f t="shared" ref="I51:I62" si="11">G51+H51</f>
        <v>10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6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T</v>
      </c>
      <c r="G52">
        <f t="shared" si="9"/>
        <v>3</v>
      </c>
      <c r="H52">
        <f t="shared" si="10"/>
        <v>6</v>
      </c>
      <c r="I52">
        <f t="shared" si="11"/>
        <v>9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8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8</v>
      </c>
      <c r="I53">
        <f t="shared" si="11"/>
        <v>14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11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11</v>
      </c>
      <c r="I54">
        <f t="shared" si="11"/>
        <v>17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5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5</v>
      </c>
      <c r="I55">
        <f t="shared" si="11"/>
        <v>5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6</v>
      </c>
      <c r="D56">
        <v>9</v>
      </c>
      <c r="E56">
        <f>IFERROR(INDEX(C$51:C$62,MATCH(9,A$51:A$62,0)),0)</f>
        <v>7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6</v>
      </c>
      <c r="I56">
        <f t="shared" si="11"/>
        <v>6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6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T</v>
      </c>
      <c r="G57">
        <f t="shared" si="9"/>
        <v>3</v>
      </c>
      <c r="H57">
        <f t="shared" si="10"/>
        <v>6</v>
      </c>
      <c r="I57">
        <f t="shared" si="11"/>
        <v>9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7</v>
      </c>
      <c r="D58">
        <v>1</v>
      </c>
      <c r="E58">
        <f>IFERROR(INDEX(C$51:C$62,MATCH(1,A$51:A$62,0)),0)</f>
        <v>7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7</v>
      </c>
      <c r="I58">
        <f t="shared" si="11"/>
        <v>10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7</v>
      </c>
      <c r="D59">
        <v>6</v>
      </c>
      <c r="E59">
        <f>IFERROR(INDEX(C$51:C$62,MATCH(6,A$51:A$62,0)),0)</f>
        <v>6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7</v>
      </c>
      <c r="I59">
        <f t="shared" si="11"/>
        <v>13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5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11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8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7</v>
      </c>
      <c r="G3">
        <f>Helper!G2</f>
        <v>0</v>
      </c>
      <c r="H3">
        <f>Helper!H2</f>
        <v>0</v>
      </c>
      <c r="I3">
        <f>Helper!I2</f>
        <v>44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6</v>
      </c>
      <c r="G4">
        <f>Helper!G3</f>
        <v>0</v>
      </c>
      <c r="H4">
        <f>Helper!H3</f>
        <v>0</v>
      </c>
      <c r="I4">
        <f>Helper!I3</f>
        <v>41</v>
      </c>
      <c r="J4">
        <f>Helper!J3</f>
        <v>2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8</v>
      </c>
      <c r="G5">
        <f>Helper!G4</f>
        <v>0</v>
      </c>
      <c r="H5">
        <f>Helper!H4</f>
        <v>0</v>
      </c>
      <c r="I5">
        <f>Helper!I4</f>
        <v>42</v>
      </c>
      <c r="J5">
        <f>Helper!J4</f>
        <v>2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11</v>
      </c>
      <c r="G6">
        <f>Helper!G5</f>
        <v>0</v>
      </c>
      <c r="H6">
        <f>Helper!H5</f>
        <v>0</v>
      </c>
      <c r="I6">
        <f>Helper!I5</f>
        <v>31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5</v>
      </c>
      <c r="G7">
        <f>Helper!G6</f>
        <v>0</v>
      </c>
      <c r="H7">
        <f>Helper!H6</f>
        <v>0</v>
      </c>
      <c r="I7">
        <f>Helper!I6</f>
        <v>42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6</v>
      </c>
      <c r="G8">
        <f>Helper!G7</f>
        <v>0</v>
      </c>
      <c r="H8">
        <f>Helper!H7</f>
        <v>0</v>
      </c>
      <c r="I8">
        <f>Helper!I7</f>
        <v>39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0</v>
      </c>
      <c r="H9">
        <f>Helper!H8</f>
        <v>0</v>
      </c>
      <c r="I9">
        <f>Helper!I8</f>
        <v>33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7</v>
      </c>
      <c r="G10">
        <f>Helper!G9</f>
        <v>0</v>
      </c>
      <c r="H10">
        <f>Helper!H9</f>
        <v>0</v>
      </c>
      <c r="I10">
        <f>Helper!I9</f>
        <v>26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7</v>
      </c>
      <c r="G11">
        <f>Helper!G10</f>
        <v>0</v>
      </c>
      <c r="H11">
        <f>Helper!H10</f>
        <v>0</v>
      </c>
      <c r="I11">
        <f>Helper!I10</f>
        <v>30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7</v>
      </c>
      <c r="G12">
        <f>Helper!G11</f>
        <v>0</v>
      </c>
      <c r="H12">
        <f>Helper!H11</f>
        <v>0</v>
      </c>
      <c r="I12">
        <f>Helper!I11</f>
        <v>43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0</v>
      </c>
      <c r="H13">
        <f>Helper!H12</f>
        <v>0</v>
      </c>
      <c r="I13">
        <f>Helper!I12</f>
        <v>43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0</v>
      </c>
      <c r="H14">
        <f>Helper!H13</f>
        <v>0</v>
      </c>
      <c r="I14">
        <f>Helper!I13</f>
        <v>38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44</v>
      </c>
      <c r="D57">
        <f>Helper!R2</f>
        <v>0</v>
      </c>
      <c r="E57">
        <f>Helper!AC2</f>
        <v>0</v>
      </c>
      <c r="F57">
        <f>Helper!AE2</f>
        <v>44</v>
      </c>
      <c r="G57">
        <f>Helper!K2</f>
        <v>44.000100000000003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41</v>
      </c>
      <c r="D58">
        <f>Helper!R3</f>
        <v>0</v>
      </c>
      <c r="E58">
        <f>Helper!AC3</f>
        <v>0</v>
      </c>
      <c r="F58">
        <f>Helper!AE3</f>
        <v>41</v>
      </c>
      <c r="G58">
        <f>Helper!K3</f>
        <v>41.0002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42</v>
      </c>
      <c r="D59">
        <f>Helper!R4</f>
        <v>0</v>
      </c>
      <c r="E59">
        <f>Helper!AC4</f>
        <v>0</v>
      </c>
      <c r="F59">
        <f>Helper!AE4</f>
        <v>42</v>
      </c>
      <c r="G59">
        <f>Helper!K4</f>
        <v>42.000300000000003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31</v>
      </c>
      <c r="D60">
        <f>Helper!R5</f>
        <v>0</v>
      </c>
      <c r="E60">
        <f>Helper!AC5</f>
        <v>0</v>
      </c>
      <c r="F60">
        <f>Helper!AE5</f>
        <v>31</v>
      </c>
      <c r="G60">
        <f>Helper!K5</f>
        <v>31.000399999999999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42</v>
      </c>
      <c r="D61">
        <f>Helper!R6</f>
        <v>0</v>
      </c>
      <c r="E61">
        <f>Helper!AC6</f>
        <v>0</v>
      </c>
      <c r="F61">
        <f>Helper!AE6</f>
        <v>42</v>
      </c>
      <c r="G61">
        <f>Helper!K6</f>
        <v>42.000500000000002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39</v>
      </c>
      <c r="D62">
        <f>Helper!R7</f>
        <v>0</v>
      </c>
      <c r="E62">
        <f>Helper!AC7</f>
        <v>0</v>
      </c>
      <c r="F62">
        <f>Helper!AE7</f>
        <v>39</v>
      </c>
      <c r="G62">
        <f>Helper!K7</f>
        <v>39.000599999999999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33</v>
      </c>
      <c r="D63">
        <f>Helper!R8</f>
        <v>0</v>
      </c>
      <c r="E63">
        <f>Helper!AC8</f>
        <v>0</v>
      </c>
      <c r="F63">
        <f>Helper!AE8</f>
        <v>33</v>
      </c>
      <c r="G63">
        <f>Helper!K8</f>
        <v>33.000700000000002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26</v>
      </c>
      <c r="D64">
        <f>Helper!R9</f>
        <v>0</v>
      </c>
      <c r="E64">
        <f>Helper!AC9</f>
        <v>0</v>
      </c>
      <c r="F64">
        <f>Helper!AE9</f>
        <v>26</v>
      </c>
      <c r="G64">
        <f>Helper!K9</f>
        <v>26.000800000000002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30</v>
      </c>
      <c r="D65">
        <f>Helper!R10</f>
        <v>0</v>
      </c>
      <c r="E65">
        <f>Helper!AC10</f>
        <v>0</v>
      </c>
      <c r="F65">
        <f>Helper!AE10</f>
        <v>30</v>
      </c>
      <c r="G65">
        <f>Helper!K10</f>
        <v>30.000900000000001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43</v>
      </c>
      <c r="D66">
        <f>Helper!R11</f>
        <v>0</v>
      </c>
      <c r="E66">
        <f>Helper!AC11</f>
        <v>0</v>
      </c>
      <c r="F66">
        <f>Helper!AE11</f>
        <v>43</v>
      </c>
      <c r="G66">
        <f>Helper!K11</f>
        <v>43.000999999999998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43</v>
      </c>
      <c r="D67">
        <f>Helper!R12</f>
        <v>0</v>
      </c>
      <c r="E67">
        <f>Helper!AC12</f>
        <v>0</v>
      </c>
      <c r="F67">
        <f>Helper!AE12</f>
        <v>43</v>
      </c>
      <c r="G67">
        <f>Helper!K12</f>
        <v>43.001100000000001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38</v>
      </c>
      <c r="D68">
        <f>Helper!R13</f>
        <v>0</v>
      </c>
      <c r="E68">
        <f>Helper!AC13</f>
        <v>0</v>
      </c>
      <c r="F68">
        <f>Helper!AE13</f>
        <v>38</v>
      </c>
      <c r="G68">
        <f>Helper!K13</f>
        <v>38.001199999999997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Evan Loeser</v>
      </c>
      <c r="C5" t="s">
        <v>252</v>
      </c>
      <c r="D5" t="s">
        <v>253</v>
      </c>
      <c r="E5" t="str">
        <f>B5</f>
        <v>Evan Loeser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Zach Zarra</v>
      </c>
      <c r="C13">
        <f>INDEX(I$40:I$51,MATCH(MAX(K$40:K$51),K$40:K$51,0))</f>
        <v>43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Evan Loeser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44</v>
      </c>
      <c r="J40" t="b">
        <f t="shared" ref="J40:J51" si="1">OR(H40=$E$5,H40=$E$6,H40=$E$7,H40=$E$8,H40=$E$9)</f>
        <v>1</v>
      </c>
      <c r="K40">
        <f>IF(J40,-1,I40+0.00001)</f>
        <v>-1</v>
      </c>
    </row>
    <row r="41" spans="1:11" ht="15" customHeight="1" x14ac:dyDescent="0.25">
      <c r="H41" t="str">
        <f>Roster!B4</f>
        <v>Chris Simmons</v>
      </c>
      <c r="I41">
        <f>Helper!AE3</f>
        <v>41</v>
      </c>
      <c r="J41" t="b">
        <f t="shared" si="1"/>
        <v>0</v>
      </c>
      <c r="K41">
        <f>IF(J41,-1,I41+0.00002)</f>
        <v>41.000019999999999</v>
      </c>
    </row>
    <row r="42" spans="1:11" ht="15" customHeight="1" x14ac:dyDescent="0.25">
      <c r="H42" t="str">
        <f>Roster!B5</f>
        <v>Jack Smith</v>
      </c>
      <c r="I42">
        <f>Helper!AE4</f>
        <v>42</v>
      </c>
      <c r="J42" t="b">
        <f t="shared" si="1"/>
        <v>0</v>
      </c>
      <c r="K42">
        <f>IF(J42,-1,I42+0.00003)</f>
        <v>42.000030000000002</v>
      </c>
    </row>
    <row r="43" spans="1:11" ht="15" customHeight="1" x14ac:dyDescent="0.25">
      <c r="H43" t="str">
        <f>Roster!B6</f>
        <v>Luke Ussery</v>
      </c>
      <c r="I43">
        <f>Helper!AE5</f>
        <v>31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42</v>
      </c>
      <c r="J44" t="b">
        <f t="shared" si="1"/>
        <v>0</v>
      </c>
      <c r="K44">
        <f>IF(J44,-1,I44+0.00005)</f>
        <v>42.000050000000002</v>
      </c>
    </row>
    <row r="45" spans="1:11" ht="15" customHeight="1" x14ac:dyDescent="0.25">
      <c r="H45" t="str">
        <f>Roster!B8</f>
        <v>Alan Loeser</v>
      </c>
      <c r="I45">
        <f>Helper!AE7</f>
        <v>39</v>
      </c>
      <c r="J45" t="b">
        <f t="shared" si="1"/>
        <v>0</v>
      </c>
      <c r="K45">
        <f>IF(J45,-1,I45+0.00006)</f>
        <v>39.000059999999998</v>
      </c>
    </row>
    <row r="46" spans="1:11" ht="15" customHeight="1" x14ac:dyDescent="0.25">
      <c r="H46" t="str">
        <f>Roster!B9</f>
        <v>Caleb Simmons</v>
      </c>
      <c r="I46">
        <f>Helper!AE8</f>
        <v>33</v>
      </c>
      <c r="J46" t="b">
        <f t="shared" si="1"/>
        <v>0</v>
      </c>
      <c r="K46">
        <f>IF(J46,-1,I46+0.00007)</f>
        <v>33.000070000000001</v>
      </c>
    </row>
    <row r="47" spans="1:11" ht="15" customHeight="1" x14ac:dyDescent="0.25">
      <c r="H47" t="str">
        <f>Roster!B10</f>
        <v>Larry Loeser</v>
      </c>
      <c r="I47">
        <f>Helper!AE9</f>
        <v>26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30</v>
      </c>
      <c r="J48" t="b">
        <f t="shared" si="1"/>
        <v>0</v>
      </c>
      <c r="K48">
        <f>IF(J48,-1,I48+0.00009)</f>
        <v>30.00009</v>
      </c>
    </row>
    <row r="49" spans="8:11" ht="15" customHeight="1" x14ac:dyDescent="0.25">
      <c r="H49" t="str">
        <f>Roster!B12</f>
        <v>Zach Zarra</v>
      </c>
      <c r="I49">
        <f>Helper!AE11</f>
        <v>43</v>
      </c>
      <c r="J49" t="b">
        <f t="shared" si="1"/>
        <v>0</v>
      </c>
      <c r="K49">
        <f>IF(J49,-1,I49+0.0001)</f>
        <v>43.000100000000003</v>
      </c>
    </row>
    <row r="50" spans="8:11" ht="15" customHeight="1" x14ac:dyDescent="0.25">
      <c r="H50" t="str">
        <f>Roster!B13</f>
        <v>Jeffrey Loeser</v>
      </c>
      <c r="I50">
        <f>Helper!AE12</f>
        <v>43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38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Evan Loeser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Evan Loeser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Evan Loeser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Evan Loeser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Evan Loeser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tabSelected="1" zoomScaleNormal="100" workbookViewId="0">
      <selection activeCell="G21" sqref="G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>
      <c r="C7" t="s">
        <v>346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7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44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44.000100000000003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44</v>
      </c>
      <c r="AF2">
        <f>AE2+0.0001</f>
        <v>44.000100000000003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6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41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2</v>
      </c>
      <c r="K3">
        <f>I3+0.0002</f>
        <v>41.0002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41</v>
      </c>
      <c r="AF3">
        <f>AE3+0.0002</f>
        <v>41.0002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8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42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2</v>
      </c>
      <c r="K4">
        <f>I4+0.0003</f>
        <v>42.000300000000003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42</v>
      </c>
      <c r="AF4">
        <f>AE4+0.0003</f>
        <v>42.000300000000003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11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31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31.000399999999999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31</v>
      </c>
      <c r="AF5">
        <f>AE5+0.0004</f>
        <v>31.000399999999999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5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42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42.000500000000002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42</v>
      </c>
      <c r="AF6">
        <f>AE6+0.0005</f>
        <v>42.000500000000002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6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39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39.000599999999999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39</v>
      </c>
      <c r="AF7">
        <f>AE7+0.0006</f>
        <v>39.000599999999999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33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33.000700000000002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33</v>
      </c>
      <c r="AF8">
        <f>AE8+0.0007</f>
        <v>33.000700000000002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7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26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26.000800000000002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26</v>
      </c>
      <c r="AF9">
        <f>AE9+0.0008</f>
        <v>26.000800000000002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7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30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30.000900000000001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30</v>
      </c>
      <c r="AF10">
        <f>AE10+0.0009</f>
        <v>30.000900000000001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7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43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43.000999999999998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43</v>
      </c>
      <c r="AF11">
        <f>AE11+0.001</f>
        <v>43.000999999999998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43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43.001100000000001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43</v>
      </c>
      <c r="AF12">
        <f>AE12+0.0011</f>
        <v>43.001100000000001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38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38.001199999999997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38</v>
      </c>
      <c r="AF13">
        <f>AE13+0.0012</f>
        <v>38.001199999999997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2026-10-05T14:20:48Z</dcterms:modified>
  <dc:language>en-US</dc:language>
</cp:coreProperties>
</file>