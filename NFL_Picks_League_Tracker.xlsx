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1" documentId="13_ncr:1_{9DE1E4DF-9D2F-41C3-82DE-6EA75B0925C9}" xr6:coauthVersionLast="47" xr6:coauthVersionMax="47" xr10:uidLastSave="{569BC34D-A021-4EC5-A238-8CFB9833C48B}"/>
  <bookViews>
    <workbookView xWindow="29400" yWindow="-120" windowWidth="28320" windowHeight="16440" tabRatio="500" activeTab="5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4" i="4" l="1"/>
  <c r="AC13" i="13"/>
  <c r="AB13" i="13"/>
  <c r="J51" i="8" s="1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P13" i="13"/>
  <c r="O13" i="13"/>
  <c r="N13" i="13"/>
  <c r="M13" i="13"/>
  <c r="B13" i="13"/>
  <c r="AC12" i="13"/>
  <c r="AB12" i="13"/>
  <c r="J50" i="8" s="1"/>
  <c r="AA12" i="13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M12" i="13"/>
  <c r="B12" i="13"/>
  <c r="AC11" i="13"/>
  <c r="AB11" i="13"/>
  <c r="J49" i="8" s="1"/>
  <c r="AA11" i="13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N11" i="13"/>
  <c r="M11" i="13"/>
  <c r="B11" i="13"/>
  <c r="AC10" i="13"/>
  <c r="AB10" i="13"/>
  <c r="J48" i="8" s="1"/>
  <c r="AA10" i="13"/>
  <c r="Z10" i="13"/>
  <c r="H48" i="8" s="1"/>
  <c r="Y10" i="13"/>
  <c r="G48" i="8" s="1"/>
  <c r="X10" i="13"/>
  <c r="F48" i="8" s="1"/>
  <c r="W10" i="13"/>
  <c r="E48" i="8" s="1"/>
  <c r="V10" i="13"/>
  <c r="D48" i="8" s="1"/>
  <c r="U10" i="13"/>
  <c r="C48" i="8" s="1"/>
  <c r="Q10" i="13"/>
  <c r="P10" i="13"/>
  <c r="O10" i="13"/>
  <c r="N10" i="13"/>
  <c r="M10" i="13"/>
  <c r="B10" i="13"/>
  <c r="AC9" i="13"/>
  <c r="AB9" i="13"/>
  <c r="J44" i="8" s="1"/>
  <c r="AA9" i="13"/>
  <c r="Z9" i="13"/>
  <c r="H44" i="8" s="1"/>
  <c r="Y9" i="13"/>
  <c r="G44" i="8" s="1"/>
  <c r="X9" i="13"/>
  <c r="F44" i="8" s="1"/>
  <c r="W9" i="13"/>
  <c r="E44" i="8" s="1"/>
  <c r="V9" i="13"/>
  <c r="D44" i="8" s="1"/>
  <c r="U9" i="13"/>
  <c r="C44" i="8" s="1"/>
  <c r="Q9" i="13"/>
  <c r="P9" i="13"/>
  <c r="O9" i="13"/>
  <c r="N9" i="13"/>
  <c r="M9" i="13"/>
  <c r="B9" i="13"/>
  <c r="AC8" i="13"/>
  <c r="AB8" i="13"/>
  <c r="J43" i="8" s="1"/>
  <c r="AA8" i="13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M8" i="13"/>
  <c r="B8" i="13"/>
  <c r="AC7" i="13"/>
  <c r="AB7" i="13"/>
  <c r="J42" i="8" s="1"/>
  <c r="AA7" i="13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P7" i="13"/>
  <c r="O7" i="13"/>
  <c r="N7" i="13"/>
  <c r="M7" i="13"/>
  <c r="B7" i="13"/>
  <c r="AC6" i="13"/>
  <c r="AB6" i="13"/>
  <c r="J41" i="8" s="1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B6" i="13"/>
  <c r="AC5" i="13"/>
  <c r="AB5" i="13"/>
  <c r="J37" i="8" s="1"/>
  <c r="AA5" i="13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H21" i="8" s="1"/>
  <c r="P5" i="13"/>
  <c r="G21" i="8" s="1"/>
  <c r="O5" i="13"/>
  <c r="F21" i="8" s="1"/>
  <c r="N5" i="13"/>
  <c r="E21" i="8" s="1"/>
  <c r="M5" i="13"/>
  <c r="D21" i="8" s="1"/>
  <c r="B5" i="13"/>
  <c r="AC4" i="13"/>
  <c r="AB4" i="13"/>
  <c r="J36" i="8" s="1"/>
  <c r="AA4" i="13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B4" i="13"/>
  <c r="AC3" i="13"/>
  <c r="E58" i="8" s="1"/>
  <c r="AB3" i="13"/>
  <c r="AA3" i="13"/>
  <c r="AD3" i="13" s="1"/>
  <c r="Z3" i="13"/>
  <c r="Y3" i="13"/>
  <c r="X3" i="13"/>
  <c r="W3" i="13"/>
  <c r="V3" i="13"/>
  <c r="U3" i="13"/>
  <c r="Q3" i="13"/>
  <c r="P3" i="13"/>
  <c r="O3" i="13"/>
  <c r="N3" i="13"/>
  <c r="M3" i="13"/>
  <c r="B3" i="13"/>
  <c r="AC2" i="13"/>
  <c r="AB2" i="13"/>
  <c r="J34" i="8" s="1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D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D38" i="9" s="1"/>
  <c r="B26" i="9"/>
  <c r="C22" i="9"/>
  <c r="C21" i="9"/>
  <c r="C20" i="9"/>
  <c r="C19" i="9"/>
  <c r="C18" i="9"/>
  <c r="C17" i="9"/>
  <c r="K35" i="8"/>
  <c r="J35" i="8"/>
  <c r="I35" i="8"/>
  <c r="H35" i="8"/>
  <c r="G35" i="8"/>
  <c r="F35" i="8"/>
  <c r="E35" i="8"/>
  <c r="D35" i="8"/>
  <c r="C35" i="8"/>
  <c r="H29" i="8"/>
  <c r="G29" i="8"/>
  <c r="F29" i="8"/>
  <c r="E29" i="8"/>
  <c r="D29" i="8"/>
  <c r="B29" i="8"/>
  <c r="H28" i="8"/>
  <c r="G28" i="8"/>
  <c r="F28" i="8"/>
  <c r="E28" i="8"/>
  <c r="D28" i="8"/>
  <c r="B28" i="8"/>
  <c r="H27" i="8"/>
  <c r="G27" i="8"/>
  <c r="F27" i="8"/>
  <c r="E27" i="8"/>
  <c r="D27" i="8"/>
  <c r="B27" i="8"/>
  <c r="H26" i="8"/>
  <c r="G26" i="8"/>
  <c r="F26" i="8"/>
  <c r="E26" i="8"/>
  <c r="D26" i="8"/>
  <c r="B26" i="8"/>
  <c r="H25" i="8"/>
  <c r="G25" i="8"/>
  <c r="F25" i="8"/>
  <c r="E25" i="8"/>
  <c r="D25" i="8"/>
  <c r="B25" i="8"/>
  <c r="H24" i="8"/>
  <c r="G24" i="8"/>
  <c r="F24" i="8"/>
  <c r="E24" i="8"/>
  <c r="D24" i="8"/>
  <c r="B24" i="8"/>
  <c r="H23" i="8"/>
  <c r="G23" i="8"/>
  <c r="F23" i="8"/>
  <c r="E23" i="8"/>
  <c r="D23" i="8"/>
  <c r="B23" i="8"/>
  <c r="H19" i="8"/>
  <c r="G19" i="8"/>
  <c r="F19" i="8"/>
  <c r="E19" i="8"/>
  <c r="D19" i="8"/>
  <c r="B14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C52" i="6"/>
  <c r="B52" i="6"/>
  <c r="C51" i="6"/>
  <c r="B51" i="6"/>
  <c r="C47" i="6"/>
  <c r="B47" i="6"/>
  <c r="C46" i="6"/>
  <c r="B46" i="6"/>
  <c r="C45" i="6"/>
  <c r="B45" i="6"/>
  <c r="C44" i="6"/>
  <c r="B44" i="6"/>
  <c r="E43" i="6"/>
  <c r="C43" i="6"/>
  <c r="B43" i="6"/>
  <c r="C42" i="6"/>
  <c r="B42" i="6"/>
  <c r="C41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E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E235" i="3" s="1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E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E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E128" i="4"/>
  <c r="J127" i="4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I118" i="4"/>
  <c r="J117" i="4"/>
  <c r="I117" i="4"/>
  <c r="J116" i="4"/>
  <c r="E119" i="3" s="1"/>
  <c r="I116" i="4"/>
  <c r="J115" i="4"/>
  <c r="I115" i="4"/>
  <c r="J114" i="4"/>
  <c r="E117" i="3" s="1"/>
  <c r="E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E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E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E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E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E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E211" i="3"/>
  <c r="E210" i="3"/>
  <c r="E209" i="3"/>
  <c r="E208" i="3"/>
  <c r="E207" i="3"/>
  <c r="E206" i="3"/>
  <c r="E205" i="3"/>
  <c r="E204" i="3"/>
  <c r="E203" i="3"/>
  <c r="E202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E131" i="3"/>
  <c r="E130" i="3"/>
  <c r="E128" i="3"/>
  <c r="E121" i="3"/>
  <c r="E120" i="3"/>
  <c r="E118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8" i="9" l="1"/>
  <c r="K51" i="8"/>
  <c r="E68" i="8"/>
  <c r="AD13" i="13"/>
  <c r="I51" i="8"/>
  <c r="B68" i="8"/>
  <c r="B51" i="8"/>
  <c r="K50" i="8"/>
  <c r="E67" i="8"/>
  <c r="AD12" i="13"/>
  <c r="I50" i="8"/>
  <c r="B67" i="8"/>
  <c r="B50" i="8"/>
  <c r="B13" i="8"/>
  <c r="K49" i="8"/>
  <c r="E66" i="8"/>
  <c r="AD11" i="13"/>
  <c r="I49" i="8"/>
  <c r="B12" i="8"/>
  <c r="B66" i="8"/>
  <c r="B49" i="8"/>
  <c r="K48" i="8"/>
  <c r="E65" i="8"/>
  <c r="I48" i="8"/>
  <c r="AD10" i="13"/>
  <c r="B11" i="8"/>
  <c r="B48" i="8"/>
  <c r="B65" i="8"/>
  <c r="K44" i="8"/>
  <c r="E64" i="8"/>
  <c r="I44" i="8"/>
  <c r="AD9" i="13"/>
  <c r="B10" i="8"/>
  <c r="B44" i="8"/>
  <c r="B64" i="8"/>
  <c r="K43" i="8"/>
  <c r="E63" i="8"/>
  <c r="AD8" i="13"/>
  <c r="I43" i="8"/>
  <c r="B63" i="8"/>
  <c r="B9" i="8"/>
  <c r="B43" i="8"/>
  <c r="E62" i="8"/>
  <c r="K42" i="8"/>
  <c r="I42" i="8"/>
  <c r="AD7" i="13"/>
  <c r="B42" i="8"/>
  <c r="B62" i="8"/>
  <c r="B8" i="8"/>
  <c r="K41" i="8"/>
  <c r="E61" i="8"/>
  <c r="AD6" i="13"/>
  <c r="I41" i="8"/>
  <c r="B7" i="8"/>
  <c r="B41" i="8"/>
  <c r="B61" i="8"/>
  <c r="B22" i="8"/>
  <c r="K37" i="8"/>
  <c r="E60" i="8"/>
  <c r="AD5" i="13"/>
  <c r="I37" i="8"/>
  <c r="B21" i="8"/>
  <c r="B6" i="8"/>
  <c r="B37" i="8"/>
  <c r="B60" i="8"/>
  <c r="K36" i="8"/>
  <c r="E59" i="8"/>
  <c r="I36" i="8"/>
  <c r="AD4" i="13"/>
  <c r="B36" i="8"/>
  <c r="B20" i="8"/>
  <c r="B59" i="8"/>
  <c r="B5" i="8"/>
  <c r="B58" i="8"/>
  <c r="B35" i="8"/>
  <c r="B19" i="8"/>
  <c r="B4" i="8"/>
  <c r="E57" i="8"/>
  <c r="K34" i="8"/>
  <c r="AD2" i="13"/>
  <c r="I34" i="8"/>
  <c r="B34" i="8"/>
  <c r="B18" i="8"/>
  <c r="B57" i="8"/>
  <c r="B3" i="8"/>
  <c r="C14" i="10"/>
  <c r="B6" i="11" s="1"/>
  <c r="I6" i="11" s="1"/>
  <c r="J6" i="11" s="1"/>
  <c r="C15" i="10"/>
  <c r="B7" i="11" s="1"/>
  <c r="I7" i="11" s="1"/>
  <c r="J7" i="11" s="1"/>
  <c r="C16" i="10"/>
  <c r="B8" i="11" s="1"/>
  <c r="I8" i="11" s="1"/>
  <c r="J8" i="11" s="1"/>
  <c r="C17" i="10"/>
  <c r="B9" i="11" s="1"/>
  <c r="I9" i="11" s="1"/>
  <c r="J9" i="11" s="1"/>
  <c r="C18" i="10"/>
  <c r="C19" i="10"/>
  <c r="F52" i="6"/>
  <c r="G52" i="6" s="1"/>
  <c r="I52" i="6" s="1"/>
  <c r="H52" i="6"/>
  <c r="E58" i="6"/>
  <c r="E57" i="6"/>
  <c r="F51" i="6"/>
  <c r="G51" i="6" s="1"/>
  <c r="H51" i="6"/>
  <c r="E42" i="6"/>
  <c r="H47" i="6"/>
  <c r="F47" i="6"/>
  <c r="G47" i="6" s="1"/>
  <c r="I47" i="6" s="1"/>
  <c r="H46" i="6"/>
  <c r="F46" i="6"/>
  <c r="G46" i="6" s="1"/>
  <c r="I46" i="6" s="1"/>
  <c r="H45" i="6"/>
  <c r="F45" i="6"/>
  <c r="G45" i="6" s="1"/>
  <c r="I45" i="6" s="1"/>
  <c r="E38" i="6"/>
  <c r="E39" i="6"/>
  <c r="H44" i="6"/>
  <c r="F44" i="6"/>
  <c r="G44" i="6" s="1"/>
  <c r="I44" i="6" s="1"/>
  <c r="F43" i="6"/>
  <c r="G43" i="6" s="1"/>
  <c r="H43" i="6"/>
  <c r="E46" i="6"/>
  <c r="H42" i="6"/>
  <c r="F42" i="6"/>
  <c r="G42" i="6" s="1"/>
  <c r="I42" i="6" s="1"/>
  <c r="E47" i="6"/>
  <c r="H41" i="6"/>
  <c r="E37" i="6"/>
  <c r="F41" i="6"/>
  <c r="G41" i="6" s="1"/>
  <c r="I41" i="6" s="1"/>
  <c r="C51" i="7"/>
  <c r="C52" i="7"/>
  <c r="C53" i="7"/>
  <c r="C54" i="7"/>
  <c r="C55" i="7"/>
  <c r="C56" i="7"/>
  <c r="C57" i="7"/>
  <c r="C58" i="7"/>
  <c r="C59" i="7"/>
  <c r="C60" i="7"/>
  <c r="C61" i="7"/>
  <c r="C62" i="7"/>
  <c r="C36" i="7"/>
  <c r="C37" i="7"/>
  <c r="C38" i="7"/>
  <c r="C39" i="7"/>
  <c r="C40" i="7"/>
  <c r="C41" i="7"/>
  <c r="C42" i="7"/>
  <c r="C43" i="7"/>
  <c r="C44" i="7"/>
  <c r="C45" i="7"/>
  <c r="C46" i="7"/>
  <c r="C47" i="7"/>
  <c r="C21" i="7"/>
  <c r="C22" i="7"/>
  <c r="C23" i="7"/>
  <c r="C24" i="7"/>
  <c r="C25" i="7"/>
  <c r="C26" i="7"/>
  <c r="C27" i="7"/>
  <c r="C28" i="7"/>
  <c r="C29" i="7"/>
  <c r="C30" i="7"/>
  <c r="C31" i="7"/>
  <c r="C32" i="7"/>
  <c r="C6" i="7"/>
  <c r="C7" i="7"/>
  <c r="C9" i="7"/>
  <c r="C12" i="7"/>
  <c r="C13" i="7"/>
  <c r="C14" i="7"/>
  <c r="C15" i="7"/>
  <c r="C16" i="7"/>
  <c r="C17" i="7"/>
  <c r="C8" i="7"/>
  <c r="C11" i="7"/>
  <c r="C10" i="7"/>
  <c r="C89" i="7"/>
  <c r="C81" i="7"/>
  <c r="C82" i="7"/>
  <c r="C83" i="7"/>
  <c r="C84" i="7"/>
  <c r="C88" i="7"/>
  <c r="C87" i="7"/>
  <c r="C86" i="7"/>
  <c r="C85" i="7"/>
  <c r="C90" i="7"/>
  <c r="C92" i="7"/>
  <c r="C91" i="7"/>
  <c r="C66" i="7"/>
  <c r="C74" i="7"/>
  <c r="C75" i="7"/>
  <c r="C76" i="7"/>
  <c r="C77" i="7"/>
  <c r="C67" i="7"/>
  <c r="C68" i="7"/>
  <c r="C69" i="7"/>
  <c r="C70" i="7"/>
  <c r="C71" i="7"/>
  <c r="C72" i="7"/>
  <c r="C73" i="7"/>
  <c r="C92" i="6"/>
  <c r="C91" i="6"/>
  <c r="C90" i="6"/>
  <c r="C89" i="6"/>
  <c r="C88" i="6"/>
  <c r="C87" i="6"/>
  <c r="C86" i="6"/>
  <c r="C85" i="6"/>
  <c r="C83" i="6"/>
  <c r="C82" i="6"/>
  <c r="C81" i="6"/>
  <c r="C84" i="6"/>
  <c r="C76" i="6"/>
  <c r="C75" i="6"/>
  <c r="C74" i="6"/>
  <c r="C73" i="6"/>
  <c r="C72" i="6"/>
  <c r="C71" i="6"/>
  <c r="C70" i="6"/>
  <c r="C69" i="6"/>
  <c r="C68" i="6"/>
  <c r="C67" i="6"/>
  <c r="C66" i="6"/>
  <c r="C77" i="6"/>
  <c r="C61" i="6"/>
  <c r="C60" i="6"/>
  <c r="C62" i="6"/>
  <c r="C59" i="6"/>
  <c r="C58" i="6"/>
  <c r="C57" i="6"/>
  <c r="C56" i="6"/>
  <c r="C55" i="6"/>
  <c r="C54" i="6"/>
  <c r="C53" i="6"/>
  <c r="C36" i="6"/>
  <c r="C40" i="6"/>
  <c r="C39" i="6"/>
  <c r="C38" i="6"/>
  <c r="C37" i="6"/>
  <c r="C29" i="6"/>
  <c r="C30" i="6"/>
  <c r="C31" i="6"/>
  <c r="C32" i="6"/>
  <c r="C23" i="6"/>
  <c r="C21" i="6"/>
  <c r="C22" i="6"/>
  <c r="C24" i="6"/>
  <c r="C25" i="6"/>
  <c r="C26" i="6"/>
  <c r="C27" i="6"/>
  <c r="C28" i="6"/>
  <c r="C17" i="6"/>
  <c r="C6" i="6"/>
  <c r="C7" i="6"/>
  <c r="C8" i="6"/>
  <c r="C9" i="6"/>
  <c r="C10" i="6"/>
  <c r="C13" i="6"/>
  <c r="C14" i="6"/>
  <c r="C11" i="6"/>
  <c r="C15" i="6"/>
  <c r="C12" i="6"/>
  <c r="C16" i="6"/>
  <c r="C92" i="5"/>
  <c r="C89" i="5"/>
  <c r="C90" i="5"/>
  <c r="C83" i="5"/>
  <c r="C82" i="5"/>
  <c r="C81" i="5"/>
  <c r="C91" i="5"/>
  <c r="C88" i="5"/>
  <c r="C84" i="5"/>
  <c r="C85" i="5"/>
  <c r="C86" i="5"/>
  <c r="C87" i="5"/>
  <c r="C69" i="5"/>
  <c r="C66" i="5"/>
  <c r="C77" i="5"/>
  <c r="C72" i="5"/>
  <c r="C70" i="5"/>
  <c r="C73" i="5"/>
  <c r="C74" i="5"/>
  <c r="C75" i="5"/>
  <c r="C67" i="5"/>
  <c r="C76" i="5"/>
  <c r="C71" i="5"/>
  <c r="C68" i="5"/>
  <c r="C51" i="5"/>
  <c r="C56" i="5"/>
  <c r="C54" i="5"/>
  <c r="C61" i="5"/>
  <c r="C52" i="5"/>
  <c r="C53" i="5"/>
  <c r="C55" i="5"/>
  <c r="C62" i="5"/>
  <c r="C60" i="5"/>
  <c r="C59" i="5"/>
  <c r="C58" i="5"/>
  <c r="C57" i="5"/>
  <c r="C47" i="5"/>
  <c r="C46" i="5"/>
  <c r="C45" i="5"/>
  <c r="C44" i="5"/>
  <c r="C43" i="5"/>
  <c r="C41" i="5"/>
  <c r="C36" i="5"/>
  <c r="C37" i="5"/>
  <c r="C39" i="5"/>
  <c r="C40" i="5"/>
  <c r="C42" i="5"/>
  <c r="C38" i="5"/>
  <c r="C28" i="5"/>
  <c r="C29" i="5"/>
  <c r="C30" i="5"/>
  <c r="C31" i="5"/>
  <c r="C32" i="5"/>
  <c r="C21" i="5"/>
  <c r="C22" i="5"/>
  <c r="C23" i="5"/>
  <c r="C24" i="5"/>
  <c r="C25" i="5"/>
  <c r="C26" i="5"/>
  <c r="C27" i="5"/>
  <c r="C17" i="5"/>
  <c r="C9" i="5"/>
  <c r="C6" i="5"/>
  <c r="C7" i="5"/>
  <c r="C8" i="5"/>
  <c r="C10" i="5"/>
  <c r="C11" i="5"/>
  <c r="C12" i="5"/>
  <c r="C13" i="5"/>
  <c r="C14" i="5"/>
  <c r="C15" i="5"/>
  <c r="C16" i="5"/>
  <c r="H14" i="9" l="1"/>
  <c r="H15" i="9"/>
  <c r="H16" i="9"/>
  <c r="H13" i="9"/>
  <c r="H12" i="9"/>
  <c r="H10" i="9"/>
  <c r="H9" i="9"/>
  <c r="H11" i="9"/>
  <c r="H7" i="9"/>
  <c r="H6" i="9"/>
  <c r="H5" i="9"/>
  <c r="H8" i="9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G16" i="11"/>
  <c r="F16" i="11"/>
  <c r="F51" i="7"/>
  <c r="I51" i="7"/>
  <c r="E54" i="7"/>
  <c r="F52" i="7"/>
  <c r="I52" i="7"/>
  <c r="E53" i="7"/>
  <c r="F53" i="7"/>
  <c r="I53" i="7"/>
  <c r="E52" i="7"/>
  <c r="F54" i="7"/>
  <c r="I54" i="7"/>
  <c r="E51" i="7"/>
  <c r="F55" i="7"/>
  <c r="I55" i="7"/>
  <c r="E58" i="7"/>
  <c r="F56" i="7"/>
  <c r="I56" i="7"/>
  <c r="E57" i="7"/>
  <c r="F57" i="7"/>
  <c r="I57" i="7"/>
  <c r="E56" i="7"/>
  <c r="F58" i="7"/>
  <c r="I58" i="7"/>
  <c r="E55" i="7"/>
  <c r="F59" i="7"/>
  <c r="I59" i="7"/>
  <c r="E62" i="7"/>
  <c r="F60" i="7"/>
  <c r="I60" i="7"/>
  <c r="E61" i="7"/>
  <c r="F61" i="7"/>
  <c r="I61" i="7"/>
  <c r="E60" i="7"/>
  <c r="F62" i="7"/>
  <c r="I62" i="7"/>
  <c r="E59" i="7"/>
  <c r="F36" i="7"/>
  <c r="I36" i="7"/>
  <c r="E37" i="7"/>
  <c r="F37" i="7"/>
  <c r="I37" i="7"/>
  <c r="E36" i="7"/>
  <c r="F38" i="7"/>
  <c r="I38" i="7"/>
  <c r="E39" i="7"/>
  <c r="F39" i="7"/>
  <c r="I39" i="7"/>
  <c r="E38" i="7"/>
  <c r="F40" i="7"/>
  <c r="I40" i="7"/>
  <c r="E41" i="7"/>
  <c r="F41" i="7"/>
  <c r="I41" i="7"/>
  <c r="E40" i="7"/>
  <c r="F42" i="7"/>
  <c r="I42" i="7"/>
  <c r="E43" i="7"/>
  <c r="F43" i="7"/>
  <c r="I43" i="7"/>
  <c r="E42" i="7"/>
  <c r="F44" i="7"/>
  <c r="I44" i="7"/>
  <c r="E45" i="7"/>
  <c r="F45" i="7"/>
  <c r="I45" i="7"/>
  <c r="E44" i="7"/>
  <c r="F46" i="7"/>
  <c r="I46" i="7"/>
  <c r="E47" i="7"/>
  <c r="F47" i="7"/>
  <c r="I47" i="7"/>
  <c r="E46" i="7"/>
  <c r="F21" i="7"/>
  <c r="I21" i="7"/>
  <c r="E23" i="7"/>
  <c r="F22" i="7"/>
  <c r="I22" i="7"/>
  <c r="E24" i="7"/>
  <c r="F23" i="7"/>
  <c r="I23" i="7"/>
  <c r="E21" i="7"/>
  <c r="F24" i="7"/>
  <c r="I24" i="7"/>
  <c r="E22" i="7"/>
  <c r="F25" i="7"/>
  <c r="I25" i="7"/>
  <c r="E27" i="7"/>
  <c r="F26" i="7"/>
  <c r="I26" i="7"/>
  <c r="E28" i="7"/>
  <c r="F27" i="7"/>
  <c r="I27" i="7"/>
  <c r="E25" i="7"/>
  <c r="F28" i="7"/>
  <c r="I28" i="7"/>
  <c r="E26" i="7"/>
  <c r="F29" i="7"/>
  <c r="I29" i="7"/>
  <c r="E31" i="7"/>
  <c r="F30" i="7"/>
  <c r="I30" i="7"/>
  <c r="E32" i="7"/>
  <c r="F31" i="7"/>
  <c r="I31" i="7"/>
  <c r="E29" i="7"/>
  <c r="F32" i="7"/>
  <c r="I32" i="7"/>
  <c r="E30" i="7"/>
  <c r="F6" i="7"/>
  <c r="I6" i="7"/>
  <c r="E9" i="7"/>
  <c r="F7" i="7"/>
  <c r="I7" i="7"/>
  <c r="E8" i="7"/>
  <c r="F9" i="7"/>
  <c r="I9" i="7"/>
  <c r="E6" i="7"/>
  <c r="E11" i="7"/>
  <c r="F12" i="7"/>
  <c r="I12" i="7"/>
  <c r="F13" i="7"/>
  <c r="I13" i="7"/>
  <c r="E10" i="7"/>
  <c r="F14" i="7"/>
  <c r="I14" i="7"/>
  <c r="E17" i="7"/>
  <c r="F15" i="7"/>
  <c r="I15" i="7"/>
  <c r="E16" i="7"/>
  <c r="F16" i="7"/>
  <c r="I16" i="7"/>
  <c r="E15" i="7"/>
  <c r="F17" i="7"/>
  <c r="I17" i="7"/>
  <c r="E14" i="7"/>
  <c r="F8" i="7"/>
  <c r="I8" i="7"/>
  <c r="E7" i="7"/>
  <c r="F11" i="7"/>
  <c r="E12" i="7"/>
  <c r="I11" i="7"/>
  <c r="F10" i="7"/>
  <c r="I10" i="7"/>
  <c r="E13" i="7"/>
  <c r="F89" i="7"/>
  <c r="I89" i="7"/>
  <c r="E90" i="7"/>
  <c r="F81" i="7"/>
  <c r="I81" i="7"/>
  <c r="E82" i="7"/>
  <c r="F82" i="7"/>
  <c r="I82" i="7"/>
  <c r="E81" i="7"/>
  <c r="F83" i="7"/>
  <c r="I83" i="7"/>
  <c r="E84" i="7"/>
  <c r="F84" i="7"/>
  <c r="I84" i="7"/>
  <c r="E83" i="7"/>
  <c r="F88" i="7"/>
  <c r="I88" i="7"/>
  <c r="E87" i="7"/>
  <c r="F87" i="7"/>
  <c r="I87" i="7"/>
  <c r="E88" i="7"/>
  <c r="F86" i="7"/>
  <c r="I86" i="7"/>
  <c r="E85" i="7"/>
  <c r="F85" i="7"/>
  <c r="I85" i="7"/>
  <c r="E86" i="7"/>
  <c r="F90" i="7"/>
  <c r="I90" i="7"/>
  <c r="E89" i="7"/>
  <c r="F92" i="7"/>
  <c r="I92" i="7"/>
  <c r="E91" i="7"/>
  <c r="F91" i="7"/>
  <c r="I91" i="7"/>
  <c r="E92" i="7"/>
  <c r="F66" i="7"/>
  <c r="I66" i="7"/>
  <c r="E68" i="7"/>
  <c r="F74" i="7"/>
  <c r="I74" i="7"/>
  <c r="E76" i="7"/>
  <c r="F75" i="7"/>
  <c r="I75" i="7"/>
  <c r="E77" i="7"/>
  <c r="F76" i="7"/>
  <c r="I76" i="7"/>
  <c r="E74" i="7"/>
  <c r="F77" i="7"/>
  <c r="I77" i="7"/>
  <c r="E75" i="7"/>
  <c r="F67" i="7"/>
  <c r="I67" i="7"/>
  <c r="E69" i="7"/>
  <c r="F68" i="7"/>
  <c r="I68" i="7"/>
  <c r="E66" i="7"/>
  <c r="F69" i="7"/>
  <c r="I69" i="7"/>
  <c r="E67" i="7"/>
  <c r="F70" i="7"/>
  <c r="I70" i="7"/>
  <c r="E72" i="7"/>
  <c r="F71" i="7"/>
  <c r="I71" i="7"/>
  <c r="E73" i="7"/>
  <c r="F72" i="7"/>
  <c r="I72" i="7"/>
  <c r="E70" i="7"/>
  <c r="F73" i="7"/>
  <c r="I73" i="7"/>
  <c r="E71" i="7"/>
  <c r="F92" i="6"/>
  <c r="G92" i="6" s="1"/>
  <c r="I92" i="6" s="1"/>
  <c r="H92" i="6"/>
  <c r="E84" i="6"/>
  <c r="F91" i="6"/>
  <c r="G91" i="6" s="1"/>
  <c r="H91" i="6"/>
  <c r="E83" i="6"/>
  <c r="F90" i="6"/>
  <c r="G90" i="6" s="1"/>
  <c r="H90" i="6"/>
  <c r="E88" i="6"/>
  <c r="F89" i="6"/>
  <c r="G89" i="6" s="1"/>
  <c r="H89" i="6"/>
  <c r="E87" i="6"/>
  <c r="F88" i="6"/>
  <c r="G88" i="6" s="1"/>
  <c r="H88" i="6"/>
  <c r="E90" i="6"/>
  <c r="F87" i="6"/>
  <c r="G87" i="6" s="1"/>
  <c r="H87" i="6"/>
  <c r="E89" i="6"/>
  <c r="F86" i="6"/>
  <c r="G86" i="6" s="1"/>
  <c r="H86" i="6"/>
  <c r="E81" i="6"/>
  <c r="F85" i="6"/>
  <c r="G85" i="6" s="1"/>
  <c r="H85" i="6"/>
  <c r="E82" i="6"/>
  <c r="F83" i="6"/>
  <c r="G83" i="6" s="1"/>
  <c r="H83" i="6"/>
  <c r="E91" i="6"/>
  <c r="F82" i="6"/>
  <c r="G82" i="6" s="1"/>
  <c r="H82" i="6"/>
  <c r="E85" i="6"/>
  <c r="F81" i="6"/>
  <c r="G81" i="6" s="1"/>
  <c r="H81" i="6"/>
  <c r="E86" i="6"/>
  <c r="F84" i="6"/>
  <c r="G84" i="6" s="1"/>
  <c r="H84" i="6"/>
  <c r="E92" i="6"/>
  <c r="F76" i="6"/>
  <c r="G76" i="6" s="1"/>
  <c r="H76" i="6"/>
  <c r="E72" i="6"/>
  <c r="F75" i="6"/>
  <c r="G75" i="6" s="1"/>
  <c r="H75" i="6"/>
  <c r="E66" i="6"/>
  <c r="F74" i="6"/>
  <c r="G74" i="6" s="1"/>
  <c r="H74" i="6"/>
  <c r="E67" i="6"/>
  <c r="F73" i="6"/>
  <c r="G73" i="6" s="1"/>
  <c r="H73" i="6"/>
  <c r="E77" i="6"/>
  <c r="F72" i="6"/>
  <c r="G72" i="6" s="1"/>
  <c r="H72" i="6"/>
  <c r="E76" i="6"/>
  <c r="F71" i="6"/>
  <c r="G71" i="6" s="1"/>
  <c r="H71" i="6"/>
  <c r="E69" i="6"/>
  <c r="F70" i="6"/>
  <c r="G70" i="6" s="1"/>
  <c r="H70" i="6"/>
  <c r="E68" i="6"/>
  <c r="F69" i="6"/>
  <c r="G69" i="6" s="1"/>
  <c r="H69" i="6"/>
  <c r="E71" i="6"/>
  <c r="F68" i="6"/>
  <c r="G68" i="6" s="1"/>
  <c r="H68" i="6"/>
  <c r="E70" i="6"/>
  <c r="F67" i="6"/>
  <c r="G67" i="6" s="1"/>
  <c r="H67" i="6"/>
  <c r="E74" i="6"/>
  <c r="F66" i="6"/>
  <c r="G66" i="6" s="1"/>
  <c r="H66" i="6"/>
  <c r="E75" i="6"/>
  <c r="F77" i="6"/>
  <c r="G77" i="6" s="1"/>
  <c r="H77" i="6"/>
  <c r="E73" i="6"/>
  <c r="F61" i="6"/>
  <c r="G61" i="6" s="1"/>
  <c r="H61" i="6"/>
  <c r="E54" i="6"/>
  <c r="F60" i="6"/>
  <c r="G60" i="6" s="1"/>
  <c r="H60" i="6"/>
  <c r="E55" i="6"/>
  <c r="F62" i="6"/>
  <c r="G62" i="6" s="1"/>
  <c r="H62" i="6"/>
  <c r="E53" i="6"/>
  <c r="F59" i="6"/>
  <c r="G59" i="6" s="1"/>
  <c r="H59" i="6"/>
  <c r="E56" i="6"/>
  <c r="F58" i="6"/>
  <c r="G58" i="6" s="1"/>
  <c r="H58" i="6"/>
  <c r="E52" i="6"/>
  <c r="F57" i="6"/>
  <c r="G57" i="6" s="1"/>
  <c r="H57" i="6"/>
  <c r="E51" i="6"/>
  <c r="F56" i="6"/>
  <c r="G56" i="6" s="1"/>
  <c r="H56" i="6"/>
  <c r="E59" i="6"/>
  <c r="F55" i="6"/>
  <c r="G55" i="6" s="1"/>
  <c r="I55" i="6" s="1"/>
  <c r="H55" i="6"/>
  <c r="E60" i="6"/>
  <c r="F54" i="6"/>
  <c r="G54" i="6" s="1"/>
  <c r="I54" i="6" s="1"/>
  <c r="H54" i="6"/>
  <c r="E61" i="6"/>
  <c r="F53" i="6"/>
  <c r="G53" i="6" s="1"/>
  <c r="I53" i="6" s="1"/>
  <c r="H53" i="6"/>
  <c r="E62" i="6"/>
  <c r="F36" i="6"/>
  <c r="G36" i="6" s="1"/>
  <c r="I36" i="6" s="1"/>
  <c r="H36" i="6"/>
  <c r="E40" i="6"/>
  <c r="F40" i="6"/>
  <c r="G40" i="6" s="1"/>
  <c r="H40" i="6"/>
  <c r="E36" i="6"/>
  <c r="F39" i="6"/>
  <c r="G39" i="6" s="1"/>
  <c r="H39" i="6"/>
  <c r="E44" i="6"/>
  <c r="F38" i="6"/>
  <c r="G38" i="6" s="1"/>
  <c r="H38" i="6"/>
  <c r="E45" i="6"/>
  <c r="F37" i="6"/>
  <c r="G37" i="6" s="1"/>
  <c r="H37" i="6"/>
  <c r="E41" i="6"/>
  <c r="F29" i="6"/>
  <c r="G29" i="6" s="1"/>
  <c r="H29" i="6"/>
  <c r="E28" i="6"/>
  <c r="F30" i="6"/>
  <c r="G30" i="6" s="1"/>
  <c r="H30" i="6"/>
  <c r="E27" i="6"/>
  <c r="F31" i="6"/>
  <c r="G31" i="6" s="1"/>
  <c r="H31" i="6"/>
  <c r="E22" i="6"/>
  <c r="F32" i="6"/>
  <c r="G32" i="6" s="1"/>
  <c r="H32" i="6"/>
  <c r="E21" i="6"/>
  <c r="F23" i="6"/>
  <c r="G23" i="6" s="1"/>
  <c r="H23" i="6"/>
  <c r="E26" i="6"/>
  <c r="F21" i="6"/>
  <c r="G21" i="6" s="1"/>
  <c r="H21" i="6"/>
  <c r="E32" i="6"/>
  <c r="F22" i="6"/>
  <c r="G22" i="6" s="1"/>
  <c r="H22" i="6"/>
  <c r="E31" i="6"/>
  <c r="F24" i="6"/>
  <c r="G24" i="6" s="1"/>
  <c r="H24" i="6"/>
  <c r="E25" i="6"/>
  <c r="F25" i="6"/>
  <c r="G25" i="6" s="1"/>
  <c r="H25" i="6"/>
  <c r="E24" i="6"/>
  <c r="F26" i="6"/>
  <c r="G26" i="6" s="1"/>
  <c r="H26" i="6"/>
  <c r="E23" i="6"/>
  <c r="F27" i="6"/>
  <c r="G27" i="6" s="1"/>
  <c r="H27" i="6"/>
  <c r="E30" i="6"/>
  <c r="F28" i="6"/>
  <c r="G28" i="6" s="1"/>
  <c r="H28" i="6"/>
  <c r="E29" i="6"/>
  <c r="H17" i="6"/>
  <c r="L13" i="13" s="1"/>
  <c r="E11" i="6"/>
  <c r="H6" i="6"/>
  <c r="L2" i="13" s="1"/>
  <c r="E15" i="6"/>
  <c r="H7" i="6"/>
  <c r="L3" i="13" s="1"/>
  <c r="E14" i="6"/>
  <c r="F8" i="6"/>
  <c r="H8" i="6"/>
  <c r="L4" i="13" s="1"/>
  <c r="E13" i="6"/>
  <c r="F9" i="6"/>
  <c r="H9" i="6"/>
  <c r="L5" i="13" s="1"/>
  <c r="E12" i="6"/>
  <c r="F10" i="6"/>
  <c r="H10" i="6"/>
  <c r="L6" i="13" s="1"/>
  <c r="E16" i="6"/>
  <c r="F13" i="6"/>
  <c r="H13" i="6"/>
  <c r="L9" i="13" s="1"/>
  <c r="E8" i="6"/>
  <c r="F14" i="6"/>
  <c r="H14" i="6"/>
  <c r="L10" i="13" s="1"/>
  <c r="E7" i="6"/>
  <c r="F7" i="6" s="1"/>
  <c r="F11" i="6"/>
  <c r="H11" i="6"/>
  <c r="L7" i="13" s="1"/>
  <c r="E17" i="6"/>
  <c r="F17" i="6" s="1"/>
  <c r="F15" i="6"/>
  <c r="H15" i="6"/>
  <c r="L11" i="13" s="1"/>
  <c r="E6" i="6"/>
  <c r="F6" i="6" s="1"/>
  <c r="F12" i="6"/>
  <c r="H12" i="6"/>
  <c r="L8" i="13" s="1"/>
  <c r="E9" i="6"/>
  <c r="F16" i="6"/>
  <c r="H16" i="6"/>
  <c r="L12" i="13" s="1"/>
  <c r="E10" i="6"/>
  <c r="F92" i="5"/>
  <c r="G92" i="5" s="1"/>
  <c r="I92" i="5" s="1"/>
  <c r="H92" i="5"/>
  <c r="H13" i="13" s="1"/>
  <c r="H14" i="8" s="1"/>
  <c r="E85" i="5"/>
  <c r="F85" i="5" s="1"/>
  <c r="G85" i="5" s="1"/>
  <c r="H89" i="5"/>
  <c r="E81" i="5"/>
  <c r="H90" i="5"/>
  <c r="E82" i="5"/>
  <c r="F83" i="5"/>
  <c r="G83" i="5" s="1"/>
  <c r="I83" i="5" s="1"/>
  <c r="H83" i="5"/>
  <c r="E87" i="5"/>
  <c r="F87" i="5" s="1"/>
  <c r="G87" i="5" s="1"/>
  <c r="F82" i="5"/>
  <c r="G82" i="5" s="1"/>
  <c r="I82" i="5" s="1"/>
  <c r="H82" i="5"/>
  <c r="E90" i="5"/>
  <c r="F90" i="5" s="1"/>
  <c r="G90" i="5" s="1"/>
  <c r="I90" i="5" s="1"/>
  <c r="F81" i="5"/>
  <c r="G81" i="5" s="1"/>
  <c r="I81" i="5" s="1"/>
  <c r="H81" i="5"/>
  <c r="H2" i="13" s="1"/>
  <c r="H3" i="8" s="1"/>
  <c r="E89" i="5"/>
  <c r="F89" i="5" s="1"/>
  <c r="G89" i="5" s="1"/>
  <c r="H91" i="5"/>
  <c r="E86" i="5"/>
  <c r="H88" i="5"/>
  <c r="E84" i="5"/>
  <c r="F84" i="5"/>
  <c r="G84" i="5" s="1"/>
  <c r="H84" i="5"/>
  <c r="H5" i="13" s="1"/>
  <c r="H6" i="8" s="1"/>
  <c r="E88" i="5"/>
  <c r="F88" i="5" s="1"/>
  <c r="G88" i="5" s="1"/>
  <c r="H85" i="5"/>
  <c r="E92" i="5"/>
  <c r="F86" i="5"/>
  <c r="G86" i="5" s="1"/>
  <c r="H86" i="5"/>
  <c r="H7" i="13" s="1"/>
  <c r="H8" i="8" s="1"/>
  <c r="E91" i="5"/>
  <c r="F91" i="5" s="1"/>
  <c r="G91" i="5" s="1"/>
  <c r="H87" i="5"/>
  <c r="E83" i="5"/>
  <c r="F69" i="5"/>
  <c r="G69" i="5" s="1"/>
  <c r="H69" i="5"/>
  <c r="G5" i="13" s="1"/>
  <c r="G6" i="8" s="1"/>
  <c r="E71" i="5"/>
  <c r="F71" i="5" s="1"/>
  <c r="G71" i="5" s="1"/>
  <c r="F66" i="5"/>
  <c r="G66" i="5" s="1"/>
  <c r="H66" i="5"/>
  <c r="G2" i="13" s="1"/>
  <c r="G3" i="8" s="1"/>
  <c r="E76" i="5"/>
  <c r="F76" i="5" s="1"/>
  <c r="G76" i="5" s="1"/>
  <c r="F77" i="5"/>
  <c r="G77" i="5" s="1"/>
  <c r="H77" i="5"/>
  <c r="G13" i="13" s="1"/>
  <c r="G14" i="8" s="1"/>
  <c r="E67" i="5"/>
  <c r="F67" i="5" s="1"/>
  <c r="G67" i="5" s="1"/>
  <c r="F72" i="5"/>
  <c r="G72" i="5" s="1"/>
  <c r="I72" i="5" s="1"/>
  <c r="H72" i="5"/>
  <c r="E75" i="5"/>
  <c r="F75" i="5" s="1"/>
  <c r="G75" i="5" s="1"/>
  <c r="F70" i="5"/>
  <c r="G70" i="5" s="1"/>
  <c r="I70" i="5" s="1"/>
  <c r="H70" i="5"/>
  <c r="G6" i="13" s="1"/>
  <c r="G7" i="8" s="1"/>
  <c r="E68" i="5"/>
  <c r="F68" i="5" s="1"/>
  <c r="G68" i="5" s="1"/>
  <c r="F73" i="5"/>
  <c r="G73" i="5" s="1"/>
  <c r="I73" i="5" s="1"/>
  <c r="H73" i="5"/>
  <c r="E74" i="5"/>
  <c r="F74" i="5" s="1"/>
  <c r="G74" i="5" s="1"/>
  <c r="H74" i="5"/>
  <c r="E73" i="5"/>
  <c r="H75" i="5"/>
  <c r="E72" i="5"/>
  <c r="H67" i="5"/>
  <c r="E77" i="5"/>
  <c r="H76" i="5"/>
  <c r="E66" i="5"/>
  <c r="H71" i="5"/>
  <c r="E69" i="5"/>
  <c r="H68" i="5"/>
  <c r="E70" i="5"/>
  <c r="H51" i="5"/>
  <c r="E58" i="5"/>
  <c r="H56" i="5"/>
  <c r="E59" i="5"/>
  <c r="F59" i="5" s="1"/>
  <c r="G59" i="5" s="1"/>
  <c r="H54" i="5"/>
  <c r="E61" i="5"/>
  <c r="F61" i="5"/>
  <c r="G61" i="5" s="1"/>
  <c r="H61" i="5"/>
  <c r="F12" i="13" s="1"/>
  <c r="F13" i="8" s="1"/>
  <c r="E54" i="5"/>
  <c r="F54" i="5" s="1"/>
  <c r="G54" i="5" s="1"/>
  <c r="H52" i="5"/>
  <c r="E57" i="5"/>
  <c r="F53" i="5"/>
  <c r="G53" i="5" s="1"/>
  <c r="H53" i="5"/>
  <c r="F4" i="13" s="1"/>
  <c r="F5" i="8" s="1"/>
  <c r="E62" i="5"/>
  <c r="F62" i="5" s="1"/>
  <c r="G62" i="5" s="1"/>
  <c r="F55" i="5"/>
  <c r="G55" i="5" s="1"/>
  <c r="I55" i="5" s="1"/>
  <c r="H55" i="5"/>
  <c r="E60" i="5"/>
  <c r="H62" i="5"/>
  <c r="E53" i="5"/>
  <c r="F60" i="5"/>
  <c r="G60" i="5" s="1"/>
  <c r="H60" i="5"/>
  <c r="F11" i="13" s="1"/>
  <c r="F12" i="8" s="1"/>
  <c r="E55" i="5"/>
  <c r="H59" i="5"/>
  <c r="E56" i="5"/>
  <c r="F56" i="5" s="1"/>
  <c r="G56" i="5" s="1"/>
  <c r="F58" i="5"/>
  <c r="G58" i="5" s="1"/>
  <c r="I58" i="5" s="1"/>
  <c r="H58" i="5"/>
  <c r="E51" i="5"/>
  <c r="F51" i="5" s="1"/>
  <c r="G51" i="5" s="1"/>
  <c r="F57" i="5"/>
  <c r="G57" i="5" s="1"/>
  <c r="H57" i="5"/>
  <c r="F8" i="13" s="1"/>
  <c r="F9" i="8" s="1"/>
  <c r="E52" i="5"/>
  <c r="F52" i="5" s="1"/>
  <c r="G52" i="5" s="1"/>
  <c r="F47" i="5"/>
  <c r="G47" i="5" s="1"/>
  <c r="H47" i="5"/>
  <c r="E13" i="13" s="1"/>
  <c r="E14" i="8" s="1"/>
  <c r="E39" i="5"/>
  <c r="H46" i="5"/>
  <c r="E38" i="5"/>
  <c r="F38" i="5" s="1"/>
  <c r="G38" i="5" s="1"/>
  <c r="H45" i="5"/>
  <c r="E41" i="5"/>
  <c r="F44" i="5"/>
  <c r="G44" i="5" s="1"/>
  <c r="H44" i="5"/>
  <c r="E10" i="13" s="1"/>
  <c r="E11" i="8" s="1"/>
  <c r="E40" i="5"/>
  <c r="F40" i="5" s="1"/>
  <c r="G40" i="5" s="1"/>
  <c r="F43" i="5"/>
  <c r="G43" i="5" s="1"/>
  <c r="H43" i="5"/>
  <c r="E9" i="13" s="1"/>
  <c r="E10" i="8" s="1"/>
  <c r="E37" i="5"/>
  <c r="F37" i="5" s="1"/>
  <c r="G37" i="5" s="1"/>
  <c r="F41" i="5"/>
  <c r="G41" i="5" s="1"/>
  <c r="H41" i="5"/>
  <c r="E7" i="13" s="1"/>
  <c r="E8" i="8" s="1"/>
  <c r="E45" i="5"/>
  <c r="F45" i="5" s="1"/>
  <c r="G45" i="5" s="1"/>
  <c r="F36" i="5"/>
  <c r="G36" i="5" s="1"/>
  <c r="H36" i="5"/>
  <c r="E2" i="13" s="1"/>
  <c r="E3" i="8" s="1"/>
  <c r="E42" i="5"/>
  <c r="H37" i="5"/>
  <c r="E43" i="5"/>
  <c r="F39" i="5"/>
  <c r="G39" i="5" s="1"/>
  <c r="H39" i="5"/>
  <c r="E5" i="13" s="1"/>
  <c r="E6" i="8" s="1"/>
  <c r="E47" i="5"/>
  <c r="H40" i="5"/>
  <c r="E44" i="5"/>
  <c r="F42" i="5"/>
  <c r="G42" i="5" s="1"/>
  <c r="H42" i="5"/>
  <c r="E8" i="13" s="1"/>
  <c r="E9" i="8" s="1"/>
  <c r="E36" i="5"/>
  <c r="H38" i="5"/>
  <c r="E46" i="5"/>
  <c r="F46" i="5" s="1"/>
  <c r="G46" i="5" s="1"/>
  <c r="H28" i="5"/>
  <c r="E31" i="5"/>
  <c r="F29" i="5"/>
  <c r="G29" i="5" s="1"/>
  <c r="H29" i="5"/>
  <c r="D10" i="13" s="1"/>
  <c r="D11" i="8" s="1"/>
  <c r="E24" i="5"/>
  <c r="F24" i="5" s="1"/>
  <c r="G24" i="5" s="1"/>
  <c r="F30" i="5"/>
  <c r="G30" i="5" s="1"/>
  <c r="H30" i="5"/>
  <c r="D11" i="13" s="1"/>
  <c r="D12" i="8" s="1"/>
  <c r="E23" i="5"/>
  <c r="F23" i="5" s="1"/>
  <c r="G23" i="5" s="1"/>
  <c r="F31" i="5"/>
  <c r="G31" i="5" s="1"/>
  <c r="H31" i="5"/>
  <c r="D12" i="13" s="1"/>
  <c r="D13" i="8" s="1"/>
  <c r="E28" i="5"/>
  <c r="F28" i="5" s="1"/>
  <c r="G28" i="5" s="1"/>
  <c r="F32" i="5"/>
  <c r="G32" i="5" s="1"/>
  <c r="I32" i="5" s="1"/>
  <c r="H32" i="5"/>
  <c r="D13" i="13" s="1"/>
  <c r="D14" i="8" s="1"/>
  <c r="E27" i="5"/>
  <c r="F27" i="5" s="1"/>
  <c r="G27" i="5" s="1"/>
  <c r="F21" i="5"/>
  <c r="G21" i="5" s="1"/>
  <c r="I21" i="5" s="1"/>
  <c r="H21" i="5"/>
  <c r="D2" i="13" s="1"/>
  <c r="D3" i="8" s="1"/>
  <c r="E26" i="5"/>
  <c r="F26" i="5" s="1"/>
  <c r="G26" i="5" s="1"/>
  <c r="F22" i="5"/>
  <c r="G22" i="5" s="1"/>
  <c r="I22" i="5" s="1"/>
  <c r="H22" i="5"/>
  <c r="D3" i="13" s="1"/>
  <c r="D4" i="8" s="1"/>
  <c r="E25" i="5"/>
  <c r="H23" i="5"/>
  <c r="E30" i="5"/>
  <c r="H24" i="5"/>
  <c r="E29" i="5"/>
  <c r="F25" i="5"/>
  <c r="G25" i="5" s="1"/>
  <c r="H25" i="5"/>
  <c r="D6" i="13" s="1"/>
  <c r="D7" i="8" s="1"/>
  <c r="E22" i="5"/>
  <c r="H26" i="5"/>
  <c r="E21" i="5"/>
  <c r="H27" i="5"/>
  <c r="E32" i="5"/>
  <c r="H17" i="5"/>
  <c r="E13" i="5"/>
  <c r="H9" i="5"/>
  <c r="E15" i="5"/>
  <c r="H6" i="5"/>
  <c r="E10" i="5"/>
  <c r="H7" i="5"/>
  <c r="E11" i="5"/>
  <c r="H8" i="5"/>
  <c r="E14" i="5"/>
  <c r="F10" i="5"/>
  <c r="H10" i="5"/>
  <c r="E6" i="5"/>
  <c r="F6" i="5" s="1"/>
  <c r="F11" i="5"/>
  <c r="H11" i="5"/>
  <c r="E7" i="5"/>
  <c r="F7" i="5" s="1"/>
  <c r="H12" i="5"/>
  <c r="E16" i="5"/>
  <c r="F13" i="5"/>
  <c r="H13" i="5"/>
  <c r="E17" i="5"/>
  <c r="F17" i="5" s="1"/>
  <c r="F14" i="5"/>
  <c r="H14" i="5"/>
  <c r="E8" i="5"/>
  <c r="F8" i="5" s="1"/>
  <c r="F15" i="5"/>
  <c r="H15" i="5"/>
  <c r="E9" i="5"/>
  <c r="F9" i="5" s="1"/>
  <c r="F16" i="5"/>
  <c r="H16" i="5"/>
  <c r="E12" i="5"/>
  <c r="F12" i="5" s="1"/>
  <c r="I51" i="6"/>
  <c r="I43" i="6"/>
  <c r="B9" i="9" l="1"/>
  <c r="B8" i="9"/>
  <c r="B7" i="9"/>
  <c r="G51" i="7"/>
  <c r="H51" i="7"/>
  <c r="G52" i="7"/>
  <c r="H52" i="7"/>
  <c r="G53" i="7"/>
  <c r="H53" i="7"/>
  <c r="G54" i="7"/>
  <c r="H54" i="7"/>
  <c r="G55" i="7"/>
  <c r="H55" i="7"/>
  <c r="G56" i="7"/>
  <c r="H56" i="7"/>
  <c r="G57" i="7"/>
  <c r="H57" i="7"/>
  <c r="G58" i="7"/>
  <c r="H58" i="7"/>
  <c r="G59" i="7"/>
  <c r="H59" i="7"/>
  <c r="G60" i="7"/>
  <c r="H60" i="7"/>
  <c r="G61" i="7"/>
  <c r="H61" i="7"/>
  <c r="H62" i="7"/>
  <c r="G62" i="7"/>
  <c r="G36" i="7"/>
  <c r="H36" i="7"/>
  <c r="G37" i="7"/>
  <c r="H37" i="7"/>
  <c r="G38" i="7"/>
  <c r="H38" i="7"/>
  <c r="G39" i="7"/>
  <c r="H39" i="7"/>
  <c r="G40" i="7"/>
  <c r="H40" i="7"/>
  <c r="G41" i="7"/>
  <c r="H41" i="7"/>
  <c r="G42" i="7"/>
  <c r="H42" i="7"/>
  <c r="G43" i="7"/>
  <c r="H43" i="7"/>
  <c r="G44" i="7"/>
  <c r="H44" i="7"/>
  <c r="G45" i="7"/>
  <c r="H45" i="7"/>
  <c r="G46" i="7"/>
  <c r="H46" i="7"/>
  <c r="G47" i="7"/>
  <c r="H47" i="7"/>
  <c r="G21" i="7"/>
  <c r="H21" i="7"/>
  <c r="G22" i="7"/>
  <c r="H22" i="7"/>
  <c r="G23" i="7"/>
  <c r="H23" i="7"/>
  <c r="G24" i="7"/>
  <c r="H24" i="7"/>
  <c r="G25" i="7"/>
  <c r="H25" i="7"/>
  <c r="G26" i="7"/>
  <c r="H26" i="7"/>
  <c r="G27" i="7"/>
  <c r="H27" i="7"/>
  <c r="G28" i="7"/>
  <c r="H28" i="7"/>
  <c r="G29" i="7"/>
  <c r="H29" i="7"/>
  <c r="G30" i="7"/>
  <c r="H30" i="7"/>
  <c r="G31" i="7"/>
  <c r="H31" i="7"/>
  <c r="G32" i="7"/>
  <c r="H32" i="7"/>
  <c r="G6" i="7"/>
  <c r="H6" i="7"/>
  <c r="G7" i="7"/>
  <c r="H7" i="7"/>
  <c r="H9" i="7"/>
  <c r="G9" i="7"/>
  <c r="H12" i="7"/>
  <c r="G12" i="7"/>
  <c r="H13" i="7"/>
  <c r="G13" i="7"/>
  <c r="G14" i="7"/>
  <c r="H14" i="7"/>
  <c r="G15" i="7"/>
  <c r="H15" i="7"/>
  <c r="G16" i="7"/>
  <c r="H16" i="7"/>
  <c r="G17" i="7"/>
  <c r="H17" i="7"/>
  <c r="H8" i="7"/>
  <c r="G8" i="7"/>
  <c r="H11" i="7"/>
  <c r="G11" i="7"/>
  <c r="G10" i="7"/>
  <c r="H10" i="7"/>
  <c r="G89" i="7"/>
  <c r="H89" i="7"/>
  <c r="G81" i="7"/>
  <c r="H81" i="7"/>
  <c r="G82" i="7"/>
  <c r="H82" i="7"/>
  <c r="G83" i="7"/>
  <c r="H83" i="7"/>
  <c r="G84" i="7"/>
  <c r="H84" i="7"/>
  <c r="G88" i="7"/>
  <c r="H88" i="7"/>
  <c r="G87" i="7"/>
  <c r="H87" i="7"/>
  <c r="G86" i="7"/>
  <c r="H86" i="7"/>
  <c r="G85" i="7"/>
  <c r="H85" i="7"/>
  <c r="G90" i="7"/>
  <c r="H90" i="7"/>
  <c r="G92" i="7"/>
  <c r="H92" i="7"/>
  <c r="G91" i="7"/>
  <c r="H91" i="7"/>
  <c r="H66" i="7"/>
  <c r="G66" i="7"/>
  <c r="G74" i="7"/>
  <c r="H74" i="7"/>
  <c r="G75" i="7"/>
  <c r="H75" i="7"/>
  <c r="G76" i="7"/>
  <c r="H76" i="7"/>
  <c r="G77" i="7"/>
  <c r="H77" i="7"/>
  <c r="G67" i="7"/>
  <c r="H67" i="7"/>
  <c r="G68" i="7"/>
  <c r="H68" i="7"/>
  <c r="G69" i="7"/>
  <c r="H69" i="7"/>
  <c r="G70" i="7"/>
  <c r="H70" i="7"/>
  <c r="G71" i="7"/>
  <c r="H71" i="7"/>
  <c r="G72" i="7"/>
  <c r="H72" i="7"/>
  <c r="G73" i="7"/>
  <c r="H73" i="7"/>
  <c r="G17" i="6"/>
  <c r="I17" i="6" s="1"/>
  <c r="S13" i="13"/>
  <c r="J29" i="8" s="1"/>
  <c r="R13" i="13"/>
  <c r="C29" i="8"/>
  <c r="K29" i="8"/>
  <c r="G6" i="6"/>
  <c r="I6" i="6" s="1"/>
  <c r="S2" i="13"/>
  <c r="J18" i="8" s="1"/>
  <c r="R2" i="13"/>
  <c r="C18" i="8"/>
  <c r="K18" i="8"/>
  <c r="G7" i="6"/>
  <c r="I7" i="6" s="1"/>
  <c r="S3" i="13"/>
  <c r="J19" i="8" s="1"/>
  <c r="R3" i="13"/>
  <c r="C19" i="8"/>
  <c r="K19" i="8"/>
  <c r="G8" i="6"/>
  <c r="I8" i="6" s="1"/>
  <c r="S4" i="13"/>
  <c r="J20" i="8" s="1"/>
  <c r="R4" i="13"/>
  <c r="C20" i="8"/>
  <c r="K20" i="8"/>
  <c r="G9" i="6"/>
  <c r="I9" i="6" s="1"/>
  <c r="S5" i="13"/>
  <c r="J21" i="8" s="1"/>
  <c r="R5" i="13"/>
  <c r="C21" i="8"/>
  <c r="K21" i="8"/>
  <c r="G10" i="6"/>
  <c r="I10" i="6" s="1"/>
  <c r="S6" i="13"/>
  <c r="J22" i="8" s="1"/>
  <c r="R6" i="13"/>
  <c r="C22" i="8"/>
  <c r="K22" i="8"/>
  <c r="G13" i="6"/>
  <c r="I13" i="6" s="1"/>
  <c r="S9" i="13"/>
  <c r="J25" i="8" s="1"/>
  <c r="R9" i="13"/>
  <c r="C25" i="8"/>
  <c r="K25" i="8"/>
  <c r="G14" i="6"/>
  <c r="I14" i="6" s="1"/>
  <c r="S10" i="13"/>
  <c r="J26" i="8" s="1"/>
  <c r="R10" i="13"/>
  <c r="C26" i="8"/>
  <c r="K26" i="8"/>
  <c r="G11" i="6"/>
  <c r="I11" i="6" s="1"/>
  <c r="S7" i="13"/>
  <c r="J23" i="8" s="1"/>
  <c r="R7" i="13"/>
  <c r="C23" i="8"/>
  <c r="K23" i="8"/>
  <c r="G15" i="6"/>
  <c r="I15" i="6" s="1"/>
  <c r="S11" i="13"/>
  <c r="J27" i="8" s="1"/>
  <c r="R11" i="13"/>
  <c r="C27" i="8"/>
  <c r="K27" i="8"/>
  <c r="G12" i="6"/>
  <c r="I12" i="6" s="1"/>
  <c r="S8" i="13"/>
  <c r="J24" i="8" s="1"/>
  <c r="R8" i="13"/>
  <c r="C24" i="8"/>
  <c r="K24" i="8"/>
  <c r="G16" i="6"/>
  <c r="I16" i="6" s="1"/>
  <c r="S12" i="13"/>
  <c r="J28" i="8" s="1"/>
  <c r="R12" i="13"/>
  <c r="C28" i="8"/>
  <c r="K28" i="8"/>
  <c r="G17" i="5"/>
  <c r="J13" i="13"/>
  <c r="J14" i="8" s="1"/>
  <c r="G9" i="5"/>
  <c r="J5" i="13"/>
  <c r="J6" i="8" s="1"/>
  <c r="G6" i="5"/>
  <c r="J2" i="13"/>
  <c r="J3" i="8" s="1"/>
  <c r="G7" i="5"/>
  <c r="J3" i="13"/>
  <c r="J4" i="8" s="1"/>
  <c r="G8" i="5"/>
  <c r="J4" i="13"/>
  <c r="J5" i="8" s="1"/>
  <c r="G10" i="5"/>
  <c r="J6" i="13"/>
  <c r="J7" i="8" s="1"/>
  <c r="G11" i="5"/>
  <c r="J7" i="13"/>
  <c r="J8" i="8" s="1"/>
  <c r="G12" i="5"/>
  <c r="J8" i="13"/>
  <c r="J9" i="8" s="1"/>
  <c r="G13" i="5"/>
  <c r="J9" i="13"/>
  <c r="J10" i="8" s="1"/>
  <c r="G14" i="5"/>
  <c r="J10" i="13"/>
  <c r="J11" i="8" s="1"/>
  <c r="G15" i="5"/>
  <c r="J11" i="13"/>
  <c r="J12" i="8" s="1"/>
  <c r="G16" i="5"/>
  <c r="J12" i="13"/>
  <c r="J13" i="8" s="1"/>
  <c r="H11" i="13"/>
  <c r="H12" i="8" s="1"/>
  <c r="H3" i="13"/>
  <c r="H4" i="8" s="1"/>
  <c r="I91" i="6"/>
  <c r="I90" i="6"/>
  <c r="I89" i="6"/>
  <c r="I88" i="6"/>
  <c r="I87" i="6"/>
  <c r="I86" i="6"/>
  <c r="I85" i="6"/>
  <c r="I83" i="6"/>
  <c r="I82" i="6"/>
  <c r="I81" i="6"/>
  <c r="I84" i="6"/>
  <c r="I76" i="6"/>
  <c r="I75" i="6"/>
  <c r="I74" i="6"/>
  <c r="I73" i="6"/>
  <c r="I72" i="6"/>
  <c r="I71" i="6"/>
  <c r="H4" i="13"/>
  <c r="H5" i="8" s="1"/>
  <c r="I70" i="6"/>
  <c r="I69" i="6"/>
  <c r="I68" i="6"/>
  <c r="I67" i="6"/>
  <c r="I66" i="6"/>
  <c r="I77" i="6"/>
  <c r="I61" i="6"/>
  <c r="I60" i="6"/>
  <c r="I62" i="6"/>
  <c r="I59" i="6"/>
  <c r="I58" i="6"/>
  <c r="I57" i="6"/>
  <c r="I56" i="6"/>
  <c r="G8" i="13"/>
  <c r="G9" i="8" s="1"/>
  <c r="G9" i="13"/>
  <c r="G10" i="8" s="1"/>
  <c r="I40" i="6"/>
  <c r="I39" i="6"/>
  <c r="I38" i="6"/>
  <c r="I37" i="6"/>
  <c r="I29" i="6"/>
  <c r="I30" i="6"/>
  <c r="I31" i="6"/>
  <c r="I32" i="6"/>
  <c r="I23" i="6"/>
  <c r="I21" i="6"/>
  <c r="I22" i="6"/>
  <c r="I24" i="6"/>
  <c r="I25" i="6"/>
  <c r="I26" i="6"/>
  <c r="I27" i="6"/>
  <c r="I28" i="6"/>
  <c r="I84" i="5"/>
  <c r="I86" i="5"/>
  <c r="I69" i="5"/>
  <c r="I66" i="5"/>
  <c r="I77" i="5"/>
  <c r="I61" i="5"/>
  <c r="I53" i="5"/>
  <c r="F9" i="13"/>
  <c r="F10" i="8" s="1"/>
  <c r="I57" i="5"/>
  <c r="I47" i="5"/>
  <c r="I44" i="5"/>
  <c r="I43" i="5"/>
  <c r="I41" i="5"/>
  <c r="I36" i="5"/>
  <c r="F6" i="13"/>
  <c r="F7" i="8" s="1"/>
  <c r="I60" i="5"/>
  <c r="I39" i="5"/>
  <c r="I42" i="5"/>
  <c r="I29" i="5"/>
  <c r="I30" i="5"/>
  <c r="I31" i="5"/>
  <c r="I25" i="5"/>
  <c r="H6" i="13"/>
  <c r="H7" i="8" s="1"/>
  <c r="I85" i="5"/>
  <c r="H8" i="13"/>
  <c r="H9" i="8" s="1"/>
  <c r="I87" i="5"/>
  <c r="H10" i="13"/>
  <c r="H11" i="8" s="1"/>
  <c r="I89" i="5"/>
  <c r="H9" i="13"/>
  <c r="H10" i="8" s="1"/>
  <c r="I88" i="5"/>
  <c r="H12" i="13"/>
  <c r="H13" i="8" s="1"/>
  <c r="I91" i="5"/>
  <c r="G7" i="13"/>
  <c r="G8" i="8" s="1"/>
  <c r="I71" i="5"/>
  <c r="G12" i="13"/>
  <c r="G13" i="8" s="1"/>
  <c r="I76" i="5"/>
  <c r="G3" i="13"/>
  <c r="G4" i="8" s="1"/>
  <c r="I67" i="5"/>
  <c r="G11" i="13"/>
  <c r="G12" i="8" s="1"/>
  <c r="I75" i="5"/>
  <c r="G4" i="13"/>
  <c r="G5" i="8" s="1"/>
  <c r="I68" i="5"/>
  <c r="G10" i="13"/>
  <c r="G11" i="8" s="1"/>
  <c r="I74" i="5"/>
  <c r="F10" i="13"/>
  <c r="F11" i="8" s="1"/>
  <c r="I59" i="5"/>
  <c r="F5" i="13"/>
  <c r="F6" i="8" s="1"/>
  <c r="I54" i="5"/>
  <c r="F13" i="13"/>
  <c r="F14" i="8" s="1"/>
  <c r="I62" i="5"/>
  <c r="F7" i="13"/>
  <c r="F8" i="8" s="1"/>
  <c r="I56" i="5"/>
  <c r="F2" i="13"/>
  <c r="F3" i="8" s="1"/>
  <c r="I51" i="5"/>
  <c r="F3" i="13"/>
  <c r="F4" i="8" s="1"/>
  <c r="I52" i="5"/>
  <c r="E4" i="13"/>
  <c r="E5" i="8" s="1"/>
  <c r="I38" i="5"/>
  <c r="E6" i="13"/>
  <c r="E7" i="8" s="1"/>
  <c r="I40" i="5"/>
  <c r="E3" i="13"/>
  <c r="E4" i="8" s="1"/>
  <c r="I37" i="5"/>
  <c r="E11" i="13"/>
  <c r="E12" i="8" s="1"/>
  <c r="I45" i="5"/>
  <c r="E12" i="13"/>
  <c r="E13" i="8" s="1"/>
  <c r="I46" i="5"/>
  <c r="D5" i="13"/>
  <c r="D6" i="8" s="1"/>
  <c r="I24" i="5"/>
  <c r="D4" i="13"/>
  <c r="D5" i="8" s="1"/>
  <c r="I23" i="5"/>
  <c r="D9" i="13"/>
  <c r="D10" i="8" s="1"/>
  <c r="I28" i="5"/>
  <c r="D8" i="13"/>
  <c r="D9" i="8" s="1"/>
  <c r="I27" i="5"/>
  <c r="D7" i="13"/>
  <c r="D8" i="8" s="1"/>
  <c r="I26" i="5"/>
  <c r="T13" i="13" l="1"/>
  <c r="H68" i="8" s="1"/>
  <c r="I29" i="8"/>
  <c r="D68" i="8"/>
  <c r="T2" i="13"/>
  <c r="I18" i="8"/>
  <c r="D57" i="8"/>
  <c r="T3" i="13"/>
  <c r="H58" i="8" s="1"/>
  <c r="I19" i="8"/>
  <c r="D58" i="8"/>
  <c r="T4" i="13"/>
  <c r="H59" i="8" s="1"/>
  <c r="I20" i="8"/>
  <c r="D59" i="8"/>
  <c r="T5" i="13"/>
  <c r="H60" i="8" s="1"/>
  <c r="I21" i="8"/>
  <c r="D60" i="8"/>
  <c r="T6" i="13"/>
  <c r="H61" i="8" s="1"/>
  <c r="I22" i="8"/>
  <c r="D61" i="8"/>
  <c r="T9" i="13"/>
  <c r="H64" i="8" s="1"/>
  <c r="I25" i="8"/>
  <c r="D64" i="8"/>
  <c r="T10" i="13"/>
  <c r="H65" i="8" s="1"/>
  <c r="I26" i="8"/>
  <c r="D65" i="8"/>
  <c r="T7" i="13"/>
  <c r="H62" i="8" s="1"/>
  <c r="I23" i="8"/>
  <c r="D62" i="8"/>
  <c r="T11" i="13"/>
  <c r="H66" i="8" s="1"/>
  <c r="I27" i="8"/>
  <c r="D66" i="8"/>
  <c r="T8" i="13"/>
  <c r="H63" i="8" s="1"/>
  <c r="I24" i="8"/>
  <c r="D63" i="8"/>
  <c r="T12" i="13"/>
  <c r="H67" i="8" s="1"/>
  <c r="I28" i="8"/>
  <c r="D67" i="8"/>
  <c r="C13" i="13"/>
  <c r="I17" i="5"/>
  <c r="C5" i="13"/>
  <c r="I9" i="5"/>
  <c r="C2" i="13"/>
  <c r="I6" i="5"/>
  <c r="C3" i="13"/>
  <c r="I7" i="5"/>
  <c r="C4" i="13"/>
  <c r="I8" i="5"/>
  <c r="C6" i="13"/>
  <c r="I10" i="5"/>
  <c r="C7" i="13"/>
  <c r="I11" i="5"/>
  <c r="C8" i="13"/>
  <c r="I12" i="5"/>
  <c r="C9" i="13"/>
  <c r="I13" i="5"/>
  <c r="C10" i="13"/>
  <c r="I14" i="5"/>
  <c r="C11" i="13"/>
  <c r="I15" i="5"/>
  <c r="C12" i="13"/>
  <c r="I16" i="5"/>
  <c r="B6" i="9" l="1"/>
  <c r="H57" i="8"/>
  <c r="K14" i="8"/>
  <c r="C14" i="8"/>
  <c r="I13" i="13"/>
  <c r="K6" i="8"/>
  <c r="C6" i="8"/>
  <c r="I5" i="13"/>
  <c r="K3" i="8"/>
  <c r="C3" i="8"/>
  <c r="I2" i="13"/>
  <c r="K4" i="8"/>
  <c r="C4" i="8"/>
  <c r="I3" i="13"/>
  <c r="K5" i="8"/>
  <c r="C5" i="8"/>
  <c r="I4" i="13"/>
  <c r="K7" i="8"/>
  <c r="C7" i="8"/>
  <c r="I6" i="13"/>
  <c r="K8" i="8"/>
  <c r="C8" i="8"/>
  <c r="I7" i="13"/>
  <c r="K9" i="8"/>
  <c r="C9" i="8"/>
  <c r="I8" i="13"/>
  <c r="K10" i="8"/>
  <c r="C10" i="8"/>
  <c r="I9" i="13"/>
  <c r="K11" i="8"/>
  <c r="C11" i="8"/>
  <c r="I10" i="13"/>
  <c r="K12" i="8"/>
  <c r="C12" i="8"/>
  <c r="I11" i="13"/>
  <c r="K13" i="8"/>
  <c r="C13" i="8"/>
  <c r="I12" i="13"/>
  <c r="K13" i="13" l="1"/>
  <c r="G68" i="8" s="1"/>
  <c r="AE13" i="13"/>
  <c r="I14" i="8"/>
  <c r="C68" i="8"/>
  <c r="K5" i="13"/>
  <c r="G60" i="8" s="1"/>
  <c r="AE5" i="13"/>
  <c r="I6" i="8"/>
  <c r="C60" i="8"/>
  <c r="K2" i="13"/>
  <c r="AE2" i="13"/>
  <c r="I3" i="8"/>
  <c r="C57" i="8"/>
  <c r="K3" i="13"/>
  <c r="G58" i="8" s="1"/>
  <c r="AE3" i="13"/>
  <c r="I4" i="8"/>
  <c r="C58" i="8"/>
  <c r="K4" i="13"/>
  <c r="G59" i="8" s="1"/>
  <c r="AE4" i="13"/>
  <c r="I5" i="8"/>
  <c r="C59" i="8"/>
  <c r="K6" i="13"/>
  <c r="G61" i="8" s="1"/>
  <c r="AE6" i="13"/>
  <c r="I7" i="8"/>
  <c r="C61" i="8"/>
  <c r="K7" i="13"/>
  <c r="G62" i="8" s="1"/>
  <c r="AE7" i="13"/>
  <c r="I8" i="8"/>
  <c r="C62" i="8"/>
  <c r="K8" i="13"/>
  <c r="G63" i="8" s="1"/>
  <c r="AE8" i="13"/>
  <c r="I9" i="8"/>
  <c r="C63" i="8"/>
  <c r="K9" i="13"/>
  <c r="G64" i="8" s="1"/>
  <c r="AE9" i="13"/>
  <c r="I10" i="8"/>
  <c r="C64" i="8"/>
  <c r="K10" i="13"/>
  <c r="G65" i="8" s="1"/>
  <c r="AE10" i="13"/>
  <c r="I11" i="8"/>
  <c r="C65" i="8"/>
  <c r="K11" i="13"/>
  <c r="G66" i="8" s="1"/>
  <c r="AE11" i="13"/>
  <c r="I12" i="8"/>
  <c r="C66" i="8"/>
  <c r="K12" i="13"/>
  <c r="G67" i="8" s="1"/>
  <c r="AE12" i="13"/>
  <c r="I13" i="8"/>
  <c r="C67" i="8"/>
  <c r="AF13" i="13" l="1"/>
  <c r="I51" i="9"/>
  <c r="F68" i="8"/>
  <c r="AF5" i="13"/>
  <c r="F60" i="8"/>
  <c r="I43" i="9"/>
  <c r="B5" i="9"/>
  <c r="G57" i="8"/>
  <c r="AF2" i="13"/>
  <c r="I40" i="9"/>
  <c r="F57" i="8"/>
  <c r="AF3" i="13"/>
  <c r="I41" i="9"/>
  <c r="F58" i="8"/>
  <c r="AF4" i="13"/>
  <c r="I42" i="9"/>
  <c r="F59" i="8"/>
  <c r="AF6" i="13"/>
  <c r="F61" i="8"/>
  <c r="I44" i="9"/>
  <c r="AF7" i="13"/>
  <c r="I45" i="9"/>
  <c r="F62" i="8"/>
  <c r="AF8" i="13"/>
  <c r="I46" i="9"/>
  <c r="F63" i="8"/>
  <c r="AF9" i="13"/>
  <c r="I47" i="9"/>
  <c r="F64" i="8"/>
  <c r="AF10" i="13"/>
  <c r="F65" i="8"/>
  <c r="I48" i="9"/>
  <c r="AF11" i="13"/>
  <c r="F66" i="8"/>
  <c r="I49" i="9"/>
  <c r="AF12" i="13"/>
  <c r="F67" i="8"/>
  <c r="I50" i="9"/>
  <c r="C30" i="9" l="1"/>
  <c r="F30" i="9" s="1"/>
  <c r="C26" i="9"/>
  <c r="C31" i="9"/>
  <c r="F31" i="9" s="1"/>
  <c r="C32" i="9"/>
  <c r="F32" i="9" s="1"/>
  <c r="C34" i="9"/>
  <c r="F34" i="9" s="1"/>
  <c r="C35" i="9"/>
  <c r="F35" i="9" s="1"/>
  <c r="C36" i="9"/>
  <c r="F36" i="9" s="1"/>
  <c r="F5" i="9"/>
  <c r="C29" i="9"/>
  <c r="F29" i="9" s="1"/>
  <c r="C33" i="9"/>
  <c r="F33" i="9" s="1"/>
  <c r="C37" i="9"/>
  <c r="F37" i="9" s="1"/>
  <c r="E5" i="9"/>
  <c r="C27" i="9"/>
  <c r="F27" i="9" s="1"/>
  <c r="C28" i="9"/>
  <c r="F28" i="9" s="1"/>
  <c r="C38" i="9" l="1"/>
  <c r="F26" i="9"/>
  <c r="F38" i="9" s="1"/>
  <c r="E6" i="9"/>
  <c r="E7" i="9" s="1"/>
  <c r="B17" i="9"/>
  <c r="B5" i="10" s="1"/>
  <c r="B14" i="10" s="1"/>
  <c r="A6" i="11" s="1"/>
  <c r="B18" i="9" l="1"/>
  <c r="B6" i="10" s="1"/>
  <c r="B15" i="10" s="1"/>
  <c r="A7" i="11" s="1"/>
  <c r="F6" i="9"/>
  <c r="B19" i="9"/>
  <c r="B7" i="10" s="1"/>
  <c r="B16" i="10" s="1"/>
  <c r="A8" i="11" s="1"/>
  <c r="F7" i="9"/>
  <c r="B13" i="11"/>
  <c r="A22" i="11"/>
  <c r="E8" i="9"/>
  <c r="B14" i="11" l="1"/>
  <c r="A23" i="11"/>
  <c r="B15" i="11"/>
  <c r="A24" i="11"/>
  <c r="B20" i="9"/>
  <c r="B8" i="10" s="1"/>
  <c r="B17" i="10" s="1"/>
  <c r="A9" i="11" s="1"/>
  <c r="F8" i="9"/>
  <c r="E9" i="9"/>
  <c r="B16" i="11" l="1"/>
  <c r="A25" i="11"/>
  <c r="B21" i="9"/>
  <c r="B9" i="10" s="1"/>
  <c r="B18" i="10" s="1"/>
  <c r="F9" i="9"/>
  <c r="J44" i="9"/>
  <c r="K44" i="9" s="1"/>
  <c r="J45" i="9"/>
  <c r="K45" i="9" s="1"/>
  <c r="J46" i="9"/>
  <c r="K46" i="9" s="1"/>
  <c r="J40" i="9"/>
  <c r="K40" i="9" s="1"/>
  <c r="J42" i="9"/>
  <c r="K42" i="9" s="1"/>
  <c r="J51" i="9"/>
  <c r="K51" i="9" s="1"/>
  <c r="J47" i="9"/>
  <c r="K47" i="9" s="1"/>
  <c r="J48" i="9"/>
  <c r="K48" i="9" s="1"/>
  <c r="J50" i="9"/>
  <c r="K50" i="9" s="1"/>
  <c r="J43" i="9"/>
  <c r="K43" i="9" s="1"/>
  <c r="J49" i="9"/>
  <c r="K49" i="9" s="1"/>
  <c r="J41" i="9"/>
  <c r="K41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<sst xmlns="http://schemas.openxmlformats.org/spreadsheetml/2006/main" count="4363" uniqueCount="359">
  <si>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</si>
  <si>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</si>
  <si>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</si>
  <si>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</si>
  <si>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</si>
  <si>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</si>
  <si>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</si>
  <si>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</si>
  <si>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</si>
  <si>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</si>
  <si>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</si>
  <si>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</si>
  <si>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</si>
  <si>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</si>
  <si>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</si>
  <si>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</si>
  <si>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</si>
  <si>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</si>
  <si>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</si>
  <si>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</si>
  <si>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</si>
  <si>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</si>
  <si>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</si>
  <si>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</si>
  <si>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</si>
  <si>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</si>
  <si>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</si>
  <si>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</si>
  <si>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</si>
  <si>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</si>
  <si>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</si>
  <si>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</si>
  <si>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</si>
  <si>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</si>
  <si>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</si>
  <si>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</si>
  <si>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</si>
  <si>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</si>
  <si>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</si>
  <si>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</si>
  <si>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</si>
  <si>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</si>
  <si>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</si>
  <si>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</si>
  <si>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</si>
  <si>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</si>
  <si>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</si>
  <si>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</si>
  <si>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</si>
  <si>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</si>
  <si>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</si>
  <si>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</si>
  <si>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</si>
  <si>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</si>
  <si>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</si>
  <si>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</si>
  <si>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</si>
  <si>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</si>
  <si>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</si>
  <si>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</si>
  <si>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</si>
  <si>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</si>
  <si>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</si>
  <si>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</si>
  <si>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</si>
  <si>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</si>
  <si>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</si>
  <si>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</si>
  <si>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</si>
  <si>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</si>
  <si>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</si>
  <si>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</si>
  <si>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</si>
  <si>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</si>
  <si>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</si>
  <si>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</si>
  <si>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</si>
  <si>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</si>
  <si>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</si>
  <si>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</si>
  <si>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</si>
  <si>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</si>
  <si>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</si>
  <si>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</si>
  <si>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</si>
  <si>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</si>
  <si>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</si>
  <si>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</si>
  <si>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</si>
  <si>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</si>
  <si>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</si>
  <si>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</si>
  <si>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</si>
  <si>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</si>
  <si>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</si>
  <si>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</si>
  <si>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WEIGHTED POINTS — assign 1-8, each value once</t>
  </si>
  <si>
    <t>Evan Pts</t>
  </si>
  <si>
    <t>Chris Pts</t>
  </si>
  <si>
    <t>Jack Pts</t>
  </si>
  <si>
    <t>Luke Pts</t>
  </si>
  <si>
    <t>Mikayla Pts</t>
  </si>
  <si>
    <t>Alan Pts</t>
  </si>
  <si>
    <t>Caleb Pts</t>
  </si>
  <si>
    <t>Larry Pts</t>
  </si>
  <si>
    <t>D. Michael Pts</t>
  </si>
  <si>
    <t>Zach Pts</t>
  </si>
  <si>
    <t>Jeffrey Pts</t>
  </si>
  <si>
    <t>Jake Pts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</si>
  <si>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</si>
  <si>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</si>
  <si>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</si>
  <si>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</si>
  <si>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</si>
  <si>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</si>
  <si>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</si>
  <si>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</si>
  <si>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</si>
  <si>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</si>
  <si>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</si>
  <si>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</si>
  <si>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</si>
  <si>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</si>
  <si>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</si>
  <si>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</si>
  <si>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</si>
  <si>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</si>
  <si>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</si>
  <si>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</si>
  <si>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</si>
  <si>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</si>
  <si>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</si>
  <si>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</si>
  <si>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</si>
  <si>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</si>
  <si>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</si>
  <si>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</si>
  <si>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</si>
  <si>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</si>
  <si>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</si>
  <si>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</si>
  <si>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</si>
  <si>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</si>
  <si>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</si>
  <si>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</si>
  <si>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</si>
  <si>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</si>
  <si>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</si>
  <si>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</si>
  <si>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</si>
  <si>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</si>
  <si>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</si>
  <si>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</si>
  <si>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</si>
  <si>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</si>
  <si>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</si>
  <si>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</si>
  <si>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</si>
  <si>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</si>
  <si>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</si>
  <si>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</si>
  <si>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</si>
  <si>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</si>
  <si>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</si>
  <si>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</si>
  <si>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</si>
  <si>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</si>
  <si>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</si>
  <si>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</si>
  <si>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</si>
  <si>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</si>
  <si>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</si>
  <si>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</si>
  <si>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</si>
  <si>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</si>
  <si>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</si>
  <si>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</si>
  <si>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</si>
  <si>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</si>
  <si>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</si>
  <si>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</si>
  <si>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</si>
  <si>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</si>
  <si>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</si>
  <si>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</si>
  <si>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</si>
  <si>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</si>
  <si>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</si>
  <si>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</si>
  <si>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</si>
  <si>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</si>
  <si>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</si>
  <si>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</si>
  <si>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</si>
  <si>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</si>
  <si>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</si>
  <si>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</si>
  <si>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</si>
  <si>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</si>
  <si>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</si>
  <si>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</si>
  <si>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</si>
  <si>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</si>
  <si>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</si>
  <si>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</si>
  <si>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</si>
  <si>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</si>
  <si>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</si>
  <si>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</si>
  <si>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</si>
  <si>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Weighted points auto-calculated from Picks Detail (pick × point value).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</si>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</sst>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E3B341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15" fillId="8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24"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9E6A03"/>
      <rgbColor rgb="FF800080"/>
      <rgbColor rgb="FF008080"/>
      <rgbColor rgb="FFC0C0C0"/>
      <rgbColor rgb="FF808080"/>
      <rgbColor rgb="FF58A6FF"/>
      <rgbColor rgb="FFDA3633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E3B341"/>
      <rgbColor rgb="FFD29922"/>
      <rgbColor rgb="FFF85149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7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4" t="s">
        <v>25</v>
      </c>
      <c r="B1" s="24"/>
      <c r="C1" s="24"/>
      <c r="D1" s="24"/>
      <c r="E1" s="24"/>
      <c r="F1" s="24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4" t="s">
        <v>36</v>
      </c>
      <c r="B56" s="24"/>
      <c r="C56" s="24"/>
      <c r="D56" s="24"/>
      <c r="E56" s="24"/>
      <c r="F56" s="24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4" t="s">
        <v>43</v>
      </c>
      <c r="B111" s="24"/>
      <c r="C111" s="24"/>
      <c r="D111" s="24"/>
      <c r="E111" s="24"/>
      <c r="F111" s="24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AD329"/>
  <sheetViews>
    <sheetView topLeftCell="A97" zoomScaleNormal="100" workbookViewId="0">
      <selection activeCell="F123" sqref="F123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  <col min="18" max="18" width="2" customWidth="1"/>
    <col min="19" max="30" width="9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7" t="s">
        <v>52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7" t="s">
        <v>90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7" t="s">
        <v>91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7" t="s">
        <v>92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7" t="s">
        <v>93</v>
      </c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7" t="s">
        <v>94</v>
      </c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30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>WAS</v>
      </c>
      <c r="F113" s="10" t="s">
        <v>59</v>
      </c>
      <c r="G113" s="10" t="s">
        <v>59</v>
      </c>
      <c r="H113" s="10" t="s">
        <v>59</v>
      </c>
      <c r="I113" s="10"/>
      <c r="J113" s="10" t="s">
        <v>59</v>
      </c>
      <c r="K113" s="10" t="s">
        <v>59</v>
      </c>
      <c r="L113" s="10" t="s">
        <v>59</v>
      </c>
      <c r="M113" s="10" t="s">
        <v>59</v>
      </c>
      <c r="N113" s="10" t="s">
        <v>83</v>
      </c>
      <c r="O113" s="10" t="s">
        <v>59</v>
      </c>
      <c r="P113" s="10" t="s">
        <v>59</v>
      </c>
      <c r="Q113" s="10" t="s">
        <v>59</v>
      </c>
    </row>
    <row r="114" spans="1:30" x14ac:dyDescent="0.25">
      <c r="A114" s="11" t="s">
        <v>63</v>
      </c>
      <c r="B114" s="12" t="s">
        <v>89</v>
      </c>
      <c r="E114" s="13">
        <f>'NFL Schedule'!E111</f>
        <v>40</v>
      </c>
      <c r="F114" s="14">
        <v>46</v>
      </c>
      <c r="G114" s="14">
        <v>52</v>
      </c>
      <c r="H114" s="14">
        <v>49</v>
      </c>
      <c r="I114" s="14"/>
      <c r="J114" s="14">
        <v>50</v>
      </c>
      <c r="K114" s="14">
        <v>42</v>
      </c>
      <c r="L114" s="14">
        <v>42</v>
      </c>
      <c r="M114" s="14">
        <v>47</v>
      </c>
      <c r="N114" s="14">
        <v>50</v>
      </c>
      <c r="O114" s="14">
        <v>45</v>
      </c>
      <c r="P114" s="14">
        <v>43</v>
      </c>
      <c r="Q114" s="14">
        <v>51</v>
      </c>
    </row>
    <row r="115" spans="1:30" ht="15" customHeight="1" x14ac:dyDescent="0.25">
      <c r="A115" s="27" t="s">
        <v>95</v>
      </c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S115" s="27" t="s">
        <v>96</v>
      </c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spans="1:30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  <c r="S116" s="6" t="s">
        <v>97</v>
      </c>
      <c r="T116" s="6" t="s">
        <v>98</v>
      </c>
      <c r="U116" s="6" t="s">
        <v>99</v>
      </c>
      <c r="V116" s="6" t="s">
        <v>100</v>
      </c>
      <c r="W116" s="6" t="s">
        <v>101</v>
      </c>
      <c r="X116" s="6" t="s">
        <v>102</v>
      </c>
      <c r="Y116" s="6" t="s">
        <v>103</v>
      </c>
      <c r="Z116" s="6" t="s">
        <v>104</v>
      </c>
      <c r="AA116" s="6" t="s">
        <v>105</v>
      </c>
      <c r="AB116" s="6" t="s">
        <v>106</v>
      </c>
      <c r="AC116" s="6" t="s">
        <v>107</v>
      </c>
      <c r="AD116" s="6" t="s">
        <v>108</v>
      </c>
    </row>
    <row r="117" spans="1:30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>CHI</v>
      </c>
      <c r="F117" s="10" t="s">
        <v>57</v>
      </c>
      <c r="G117" s="10" t="s">
        <v>61</v>
      </c>
      <c r="H117" s="10"/>
      <c r="I117" s="10"/>
      <c r="J117" s="10"/>
      <c r="K117" s="10" t="s">
        <v>61</v>
      </c>
      <c r="L117" s="10" t="s">
        <v>57</v>
      </c>
      <c r="M117" s="10"/>
      <c r="N117" s="10" t="s">
        <v>61</v>
      </c>
      <c r="O117" s="10" t="s">
        <v>57</v>
      </c>
      <c r="P117" s="10" t="s">
        <v>61</v>
      </c>
      <c r="Q117" s="10" t="s">
        <v>61</v>
      </c>
      <c r="S117" s="15">
        <v>3</v>
      </c>
      <c r="T117" s="15">
        <v>8</v>
      </c>
      <c r="U117" s="15"/>
      <c r="V117" s="15"/>
      <c r="W117" s="15"/>
      <c r="X117" s="15">
        <v>6</v>
      </c>
      <c r="Y117" s="15">
        <v>8</v>
      </c>
      <c r="Z117" s="15"/>
      <c r="AA117" s="15">
        <v>6</v>
      </c>
      <c r="AB117" s="15">
        <v>5</v>
      </c>
      <c r="AC117" s="15">
        <v>6</v>
      </c>
      <c r="AD117" s="15">
        <v>6</v>
      </c>
    </row>
    <row r="118" spans="1:30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1:30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1:30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1:30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1:30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1:30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1:30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1:30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1:30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1:30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1:30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1:30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1:30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1:30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S131" s="11" t="str">
        <f t="shared" ref="S131:AD131" si="0">IF(COUNT(S117:S130)=0,"",IF(AND(COUNT(S117:S130)=8,SUM(S117:S130)=36,MIN(S117:S130)&gt;=1,MAX(S117:S130)&lt;=8,SUMPRODUCT((S117:S130&lt;&gt;"")*(COUNTIF(S117:S130,S117:S130)&gt;1))=0,COUNTA(F117:F130)=8),"✓","FIX"))</f>
        <v>FIX</v>
      </c>
      <c r="T131" s="11" t="str">
        <f t="shared" si="0"/>
        <v>FIX</v>
      </c>
      <c r="U131" s="11" t="str">
        <f t="shared" si="0"/>
        <v/>
      </c>
      <c r="V131" s="11" t="str">
        <f t="shared" si="0"/>
        <v/>
      </c>
      <c r="W131" s="11" t="str">
        <f t="shared" si="0"/>
        <v/>
      </c>
      <c r="X131" s="11" t="str">
        <f t="shared" si="0"/>
        <v>FIX</v>
      </c>
      <c r="Y131" s="11" t="str">
        <f t="shared" si="0"/>
        <v>FIX</v>
      </c>
      <c r="Z131" s="11" t="str">
        <f t="shared" si="0"/>
        <v/>
      </c>
      <c r="AA131" s="11" t="str">
        <f t="shared" si="0"/>
        <v>FIX</v>
      </c>
      <c r="AB131" s="11" t="str">
        <f t="shared" si="0"/>
        <v>FIX</v>
      </c>
      <c r="AC131" s="11" t="str">
        <f t="shared" si="0"/>
        <v>FIX</v>
      </c>
      <c r="AD131" s="11" t="str">
        <f t="shared" si="0"/>
        <v>FIX</v>
      </c>
    </row>
    <row r="132" spans="1:30" ht="15" customHeight="1" x14ac:dyDescent="0.25">
      <c r="A132" s="27" t="s">
        <v>109</v>
      </c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S132" s="27" t="s">
        <v>96</v>
      </c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spans="1:30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  <c r="S133" s="6" t="s">
        <v>97</v>
      </c>
      <c r="T133" s="6" t="s">
        <v>98</v>
      </c>
      <c r="U133" s="6" t="s">
        <v>99</v>
      </c>
      <c r="V133" s="6" t="s">
        <v>100</v>
      </c>
      <c r="W133" s="6" t="s">
        <v>101</v>
      </c>
      <c r="X133" s="6" t="s">
        <v>102</v>
      </c>
      <c r="Y133" s="6" t="s">
        <v>103</v>
      </c>
      <c r="Z133" s="6" t="s">
        <v>104</v>
      </c>
      <c r="AA133" s="6" t="s">
        <v>105</v>
      </c>
      <c r="AB133" s="6" t="s">
        <v>106</v>
      </c>
      <c r="AC133" s="6" t="s">
        <v>107</v>
      </c>
      <c r="AD133" s="6" t="s">
        <v>108</v>
      </c>
    </row>
    <row r="134" spans="1:30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1:30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1:30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1:30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1:30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1:30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1:30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 spans="1:30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1:30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1:30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1:30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 spans="1:30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 spans="1:30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1:30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 spans="1:30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S148" s="11" t="str">
        <f t="shared" ref="S148:AD148" si="1">IF(COUNT(S134:S147)=0,"",IF(AND(COUNT(S134:S147)=8,SUM(S134:S147)=36,MIN(S134:S147)&gt;=1,MAX(S134:S147)&lt;=8,SUMPRODUCT((S134:S147&lt;&gt;"")*(COUNTIF(S134:S147,S134:S147)&gt;1))=0,COUNTA(F134:F147)=8),"✓","FIX"))</f>
        <v/>
      </c>
      <c r="T148" s="11" t="str">
        <f t="shared" si="1"/>
        <v/>
      </c>
      <c r="U148" s="11" t="str">
        <f t="shared" si="1"/>
        <v/>
      </c>
      <c r="V148" s="11" t="str">
        <f t="shared" si="1"/>
        <v/>
      </c>
      <c r="W148" s="11" t="str">
        <f t="shared" si="1"/>
        <v/>
      </c>
      <c r="X148" s="11" t="str">
        <f t="shared" si="1"/>
        <v/>
      </c>
      <c r="Y148" s="11" t="str">
        <f t="shared" si="1"/>
        <v/>
      </c>
      <c r="Z148" s="11" t="str">
        <f t="shared" si="1"/>
        <v/>
      </c>
      <c r="AA148" s="11" t="str">
        <f t="shared" si="1"/>
        <v/>
      </c>
      <c r="AB148" s="11" t="str">
        <f t="shared" si="1"/>
        <v/>
      </c>
      <c r="AC148" s="11" t="str">
        <f t="shared" si="1"/>
        <v/>
      </c>
      <c r="AD148" s="11" t="str">
        <f t="shared" si="1"/>
        <v/>
      </c>
    </row>
    <row r="149" spans="1:30" ht="15" customHeight="1" x14ac:dyDescent="0.25">
      <c r="A149" s="27" t="s">
        <v>110</v>
      </c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S149" s="27" t="s">
        <v>96</v>
      </c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spans="1:30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  <c r="S150" s="6" t="s">
        <v>97</v>
      </c>
      <c r="T150" s="6" t="s">
        <v>98</v>
      </c>
      <c r="U150" s="6" t="s">
        <v>99</v>
      </c>
      <c r="V150" s="6" t="s">
        <v>100</v>
      </c>
      <c r="W150" s="6" t="s">
        <v>101</v>
      </c>
      <c r="X150" s="6" t="s">
        <v>102</v>
      </c>
      <c r="Y150" s="6" t="s">
        <v>103</v>
      </c>
      <c r="Z150" s="6" t="s">
        <v>104</v>
      </c>
      <c r="AA150" s="6" t="s">
        <v>105</v>
      </c>
      <c r="AB150" s="6" t="s">
        <v>106</v>
      </c>
      <c r="AC150" s="6" t="s">
        <v>107</v>
      </c>
      <c r="AD150" s="6" t="s">
        <v>108</v>
      </c>
    </row>
    <row r="151" spans="1:30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1:30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 spans="1:30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1:30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1:30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1:30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1:30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 spans="1:30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1:30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1:30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1:30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1:30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1:30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1:30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 spans="1:30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 spans="1:30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S166" s="11" t="str">
        <f t="shared" ref="S166:AD166" si="2">IF(COUNT(S151:S165)=0,"",IF(AND(COUNT(S151:S165)=8,SUM(S151:S165)=36,MIN(S151:S165)&gt;=1,MAX(S151:S165)&lt;=8,SUMPRODUCT((S151:S165&lt;&gt;"")*(COUNTIF(S151:S165,S151:S165)&gt;1))=0,COUNTA(F151:F165)=8),"✓","FIX"))</f>
        <v/>
      </c>
      <c r="T166" s="11" t="str">
        <f t="shared" si="2"/>
        <v/>
      </c>
      <c r="U166" s="11" t="str">
        <f t="shared" si="2"/>
        <v/>
      </c>
      <c r="V166" s="11" t="str">
        <f t="shared" si="2"/>
        <v/>
      </c>
      <c r="W166" s="11" t="str">
        <f t="shared" si="2"/>
        <v/>
      </c>
      <c r="X166" s="11" t="str">
        <f t="shared" si="2"/>
        <v/>
      </c>
      <c r="Y166" s="11" t="str">
        <f t="shared" si="2"/>
        <v/>
      </c>
      <c r="Z166" s="11" t="str">
        <f t="shared" si="2"/>
        <v/>
      </c>
      <c r="AA166" s="11" t="str">
        <f t="shared" si="2"/>
        <v/>
      </c>
      <c r="AB166" s="11" t="str">
        <f t="shared" si="2"/>
        <v/>
      </c>
      <c r="AC166" s="11" t="str">
        <f t="shared" si="2"/>
        <v/>
      </c>
      <c r="AD166" s="11" t="str">
        <f t="shared" si="2"/>
        <v/>
      </c>
    </row>
    <row r="167" spans="1:30" ht="15" customHeight="1" x14ac:dyDescent="0.25">
      <c r="A167" s="27" t="s">
        <v>111</v>
      </c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S167" s="27" t="s">
        <v>96</v>
      </c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spans="1:30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  <c r="S168" s="6" t="s">
        <v>97</v>
      </c>
      <c r="T168" s="6" t="s">
        <v>98</v>
      </c>
      <c r="U168" s="6" t="s">
        <v>99</v>
      </c>
      <c r="V168" s="6" t="s">
        <v>100</v>
      </c>
      <c r="W168" s="6" t="s">
        <v>101</v>
      </c>
      <c r="X168" s="6" t="s">
        <v>102</v>
      </c>
      <c r="Y168" s="6" t="s">
        <v>103</v>
      </c>
      <c r="Z168" s="6" t="s">
        <v>104</v>
      </c>
      <c r="AA168" s="6" t="s">
        <v>105</v>
      </c>
      <c r="AB168" s="6" t="s">
        <v>106</v>
      </c>
      <c r="AC168" s="6" t="s">
        <v>107</v>
      </c>
      <c r="AD168" s="6" t="s">
        <v>108</v>
      </c>
    </row>
    <row r="169" spans="1:30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 spans="1:30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 spans="1:30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1:30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1:30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1:30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 spans="1:30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1:30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 spans="1:30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1:30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1:30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1:30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1:30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 spans="1:30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1:30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S183" s="11" t="str">
        <f t="shared" ref="S183:AD183" si="3">IF(COUNT(S169:S182)=0,"",IF(AND(COUNT(S169:S182)=8,SUM(S169:S182)=36,MIN(S169:S182)&gt;=1,MAX(S169:S182)&lt;=8,SUMPRODUCT((S169:S182&lt;&gt;"")*(COUNTIF(S169:S182,S169:S182)&gt;1))=0,COUNTA(F169:F182)=8),"✓","FIX"))</f>
        <v/>
      </c>
      <c r="T183" s="11" t="str">
        <f t="shared" si="3"/>
        <v/>
      </c>
      <c r="U183" s="11" t="str">
        <f t="shared" si="3"/>
        <v/>
      </c>
      <c r="V183" s="11" t="str">
        <f t="shared" si="3"/>
        <v/>
      </c>
      <c r="W183" s="11" t="str">
        <f t="shared" si="3"/>
        <v/>
      </c>
      <c r="X183" s="11" t="str">
        <f t="shared" si="3"/>
        <v/>
      </c>
      <c r="Y183" s="11" t="str">
        <f t="shared" si="3"/>
        <v/>
      </c>
      <c r="Z183" s="11" t="str">
        <f t="shared" si="3"/>
        <v/>
      </c>
      <c r="AA183" s="11" t="str">
        <f t="shared" si="3"/>
        <v/>
      </c>
      <c r="AB183" s="11" t="str">
        <f t="shared" si="3"/>
        <v/>
      </c>
      <c r="AC183" s="11" t="str">
        <f t="shared" si="3"/>
        <v/>
      </c>
      <c r="AD183" s="11" t="str">
        <f t="shared" si="3"/>
        <v/>
      </c>
    </row>
    <row r="184" spans="1:30" ht="15" customHeight="1" x14ac:dyDescent="0.25">
      <c r="A184" s="27" t="s">
        <v>112</v>
      </c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S184" s="27" t="s">
        <v>96</v>
      </c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spans="1:30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  <c r="S185" s="6" t="s">
        <v>97</v>
      </c>
      <c r="T185" s="6" t="s">
        <v>98</v>
      </c>
      <c r="U185" s="6" t="s">
        <v>99</v>
      </c>
      <c r="V185" s="6" t="s">
        <v>100</v>
      </c>
      <c r="W185" s="6" t="s">
        <v>101</v>
      </c>
      <c r="X185" s="6" t="s">
        <v>102</v>
      </c>
      <c r="Y185" s="6" t="s">
        <v>103</v>
      </c>
      <c r="Z185" s="6" t="s">
        <v>104</v>
      </c>
      <c r="AA185" s="6" t="s">
        <v>105</v>
      </c>
      <c r="AB185" s="6" t="s">
        <v>106</v>
      </c>
      <c r="AC185" s="6" t="s">
        <v>107</v>
      </c>
      <c r="AD185" s="6" t="s">
        <v>108</v>
      </c>
    </row>
    <row r="186" spans="1:30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1:30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1:30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1:30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1:30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1:30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1:30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1:30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1:30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1:30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1:30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1:30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1:30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1:30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S199" s="11" t="str">
        <f t="shared" ref="S199:AD199" si="4">IF(COUNT(S186:S198)=0,"",IF(AND(COUNT(S186:S198)=8,SUM(S186:S198)=36,MIN(S186:S198)&gt;=1,MAX(S186:S198)&lt;=8,SUMPRODUCT((S186:S198&lt;&gt;"")*(COUNTIF(S186:S198,S186:S198)&gt;1))=0,COUNTA(F186:F198)=8),"✓","FIX"))</f>
        <v/>
      </c>
      <c r="T199" s="11" t="str">
        <f t="shared" si="4"/>
        <v/>
      </c>
      <c r="U199" s="11" t="str">
        <f t="shared" si="4"/>
        <v/>
      </c>
      <c r="V199" s="11" t="str">
        <f t="shared" si="4"/>
        <v/>
      </c>
      <c r="W199" s="11" t="str">
        <f t="shared" si="4"/>
        <v/>
      </c>
      <c r="X199" s="11" t="str">
        <f t="shared" si="4"/>
        <v/>
      </c>
      <c r="Y199" s="11" t="str">
        <f t="shared" si="4"/>
        <v/>
      </c>
      <c r="Z199" s="11" t="str">
        <f t="shared" si="4"/>
        <v/>
      </c>
      <c r="AA199" s="11" t="str">
        <f t="shared" si="4"/>
        <v/>
      </c>
      <c r="AB199" s="11" t="str">
        <f t="shared" si="4"/>
        <v/>
      </c>
      <c r="AC199" s="11" t="str">
        <f t="shared" si="4"/>
        <v/>
      </c>
      <c r="AD199" s="11" t="str">
        <f t="shared" si="4"/>
        <v/>
      </c>
    </row>
    <row r="200" spans="1:30" ht="15" customHeight="1" x14ac:dyDescent="0.25">
      <c r="A200" s="27" t="s">
        <v>113</v>
      </c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S200" s="27" t="s">
        <v>96</v>
      </c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spans="1:30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  <c r="S201" s="6" t="s">
        <v>97</v>
      </c>
      <c r="T201" s="6" t="s">
        <v>98</v>
      </c>
      <c r="U201" s="6" t="s">
        <v>99</v>
      </c>
      <c r="V201" s="6" t="s">
        <v>100</v>
      </c>
      <c r="W201" s="6" t="s">
        <v>101</v>
      </c>
      <c r="X201" s="6" t="s">
        <v>102</v>
      </c>
      <c r="Y201" s="6" t="s">
        <v>103</v>
      </c>
      <c r="Z201" s="6" t="s">
        <v>104</v>
      </c>
      <c r="AA201" s="6" t="s">
        <v>105</v>
      </c>
      <c r="AB201" s="6" t="s">
        <v>106</v>
      </c>
      <c r="AC201" s="6" t="s">
        <v>107</v>
      </c>
      <c r="AD201" s="6" t="s">
        <v>108</v>
      </c>
    </row>
    <row r="202" spans="1:30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30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30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30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30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30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30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1:30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1:30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1:30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1:30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1:30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1:30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1:30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1:30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S218" s="11" t="str">
        <f t="shared" ref="S218:AD218" si="5">IF(COUNT(S202:S217)=0,"",IF(AND(COUNT(S202:S217)=8,SUM(S202:S217)=36,MIN(S202:S217)&gt;=1,MAX(S202:S217)&lt;=8,SUMPRODUCT((S202:S217&lt;&gt;"")*(COUNTIF(S202:S217,S202:S217)&gt;1))=0,COUNTA(F202:F217)=8),"✓","FIX"))</f>
        <v/>
      </c>
      <c r="T218" s="11" t="str">
        <f t="shared" si="5"/>
        <v/>
      </c>
      <c r="U218" s="11" t="str">
        <f t="shared" si="5"/>
        <v/>
      </c>
      <c r="V218" s="11" t="str">
        <f t="shared" si="5"/>
        <v/>
      </c>
      <c r="W218" s="11" t="str">
        <f t="shared" si="5"/>
        <v/>
      </c>
      <c r="X218" s="11" t="str">
        <f t="shared" si="5"/>
        <v/>
      </c>
      <c r="Y218" s="11" t="str">
        <f t="shared" si="5"/>
        <v/>
      </c>
      <c r="Z218" s="11" t="str">
        <f t="shared" si="5"/>
        <v/>
      </c>
      <c r="AA218" s="11" t="str">
        <f t="shared" si="5"/>
        <v/>
      </c>
      <c r="AB218" s="11" t="str">
        <f t="shared" si="5"/>
        <v/>
      </c>
      <c r="AC218" s="11" t="str">
        <f t="shared" si="5"/>
        <v/>
      </c>
      <c r="AD218" s="11" t="str">
        <f t="shared" si="5"/>
        <v/>
      </c>
    </row>
    <row r="219" spans="1:30" ht="15" customHeight="1" x14ac:dyDescent="0.25">
      <c r="A219" s="27" t="s">
        <v>114</v>
      </c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</row>
    <row r="220" spans="1:30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30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30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30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30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7" t="s">
        <v>115</v>
      </c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7" t="s">
        <v>116</v>
      </c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7" t="s">
        <v>117</v>
      </c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7" t="s">
        <v>118</v>
      </c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7" t="s">
        <v>119</v>
      </c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6">
    <mergeCell ref="A236:Q236"/>
    <mergeCell ref="A254:Q254"/>
    <mergeCell ref="A273:Q273"/>
    <mergeCell ref="A292:Q292"/>
    <mergeCell ref="A311:Q311"/>
    <mergeCell ref="A184:Q184"/>
    <mergeCell ref="S184:AD184"/>
    <mergeCell ref="A200:Q200"/>
    <mergeCell ref="S200:AD200"/>
    <mergeCell ref="A219:Q219"/>
    <mergeCell ref="A132:Q132"/>
    <mergeCell ref="S132:AD132"/>
    <mergeCell ref="A149:Q149"/>
    <mergeCell ref="S149:AD149"/>
    <mergeCell ref="A167:Q167"/>
    <mergeCell ref="S167:AD167"/>
    <mergeCell ref="A61:Q61"/>
    <mergeCell ref="A80:Q80"/>
    <mergeCell ref="A98:Q98"/>
    <mergeCell ref="A115:Q115"/>
    <mergeCell ref="S115:AD115"/>
    <mergeCell ref="A1:Q1"/>
    <mergeCell ref="A2:Q2"/>
    <mergeCell ref="A4:Q4"/>
    <mergeCell ref="A23:Q23"/>
    <mergeCell ref="A42:Q42"/>
  </mergeCells>
  <conditionalFormatting sqref="S117:AD130">
    <cfRule type="expression" dxfId="23" priority="2">
      <formula>AND(S117&lt;&gt;"",COUNTIF(S$117:S$130,S117)&gt;1)</formula>
    </cfRule>
    <cfRule type="expression" dxfId="22" priority="3">
      <formula>OR(AND(F117&lt;&gt;"",S117=""),AND(F117="",S117&lt;&gt;""))</formula>
    </cfRule>
  </conditionalFormatting>
  <conditionalFormatting sqref="S131:AD131">
    <cfRule type="expression" dxfId="21" priority="4">
      <formula>S131="✓"</formula>
    </cfRule>
    <cfRule type="expression" dxfId="20" priority="5">
      <formula>S131="FIX"</formula>
    </cfRule>
  </conditionalFormatting>
  <conditionalFormatting sqref="S134:AD147">
    <cfRule type="expression" dxfId="19" priority="6">
      <formula>AND(S134&lt;&gt;"",COUNTIF(S$134:S$147,S134)&gt;1)</formula>
    </cfRule>
    <cfRule type="expression" dxfId="18" priority="7">
      <formula>OR(AND(F134&lt;&gt;"",S134=""),AND(F134="",S134&lt;&gt;""))</formula>
    </cfRule>
  </conditionalFormatting>
  <conditionalFormatting sqref="S148:AD148">
    <cfRule type="expression" dxfId="17" priority="8">
      <formula>S148="✓"</formula>
    </cfRule>
    <cfRule type="expression" dxfId="16" priority="9">
      <formula>S148="FIX"</formula>
    </cfRule>
  </conditionalFormatting>
  <conditionalFormatting sqref="S151:AD165">
    <cfRule type="expression" dxfId="15" priority="10">
      <formula>AND(S151&lt;&gt;"",COUNTIF(S$151:S$165,S151)&gt;1)</formula>
    </cfRule>
    <cfRule type="expression" dxfId="14" priority="11">
      <formula>OR(AND(F151&lt;&gt;"",S151=""),AND(F151="",S151&lt;&gt;""))</formula>
    </cfRule>
  </conditionalFormatting>
  <conditionalFormatting sqref="S166:AD166">
    <cfRule type="expression" dxfId="13" priority="12">
      <formula>S166="✓"</formula>
    </cfRule>
    <cfRule type="expression" dxfId="12" priority="13">
      <formula>S166="FIX"</formula>
    </cfRule>
  </conditionalFormatting>
  <conditionalFormatting sqref="S169:AD182">
    <cfRule type="expression" dxfId="11" priority="14">
      <formula>AND(S169&lt;&gt;"",COUNTIF(S$169:S$182,S169)&gt;1)</formula>
    </cfRule>
    <cfRule type="expression" dxfId="10" priority="15">
      <formula>OR(AND(F169&lt;&gt;"",S169=""),AND(F169="",S169&lt;&gt;""))</formula>
    </cfRule>
  </conditionalFormatting>
  <conditionalFormatting sqref="S183:AD183">
    <cfRule type="expression" dxfId="9" priority="16">
      <formula>S183="✓"</formula>
    </cfRule>
    <cfRule type="expression" dxfId="8" priority="17">
      <formula>S183="FIX"</formula>
    </cfRule>
  </conditionalFormatting>
  <conditionalFormatting sqref="S186:AD198">
    <cfRule type="expression" dxfId="7" priority="18">
      <formula>AND(S186&lt;&gt;"",COUNTIF(S$186:S$198,S186)&gt;1)</formula>
    </cfRule>
    <cfRule type="expression" dxfId="6" priority="19">
      <formula>OR(AND(F186&lt;&gt;"",S186=""),AND(F186="",S186&lt;&gt;""))</formula>
    </cfRule>
  </conditionalFormatting>
  <conditionalFormatting sqref="S199:AD199">
    <cfRule type="expression" dxfId="5" priority="20">
      <formula>S199="✓"</formula>
    </cfRule>
    <cfRule type="expression" dxfId="4" priority="21">
      <formula>S199="FIX"</formula>
    </cfRule>
  </conditionalFormatting>
  <conditionalFormatting sqref="S202:AD217">
    <cfRule type="expression" dxfId="3" priority="22">
      <formula>AND(S202&lt;&gt;"",COUNTIF(S$202:S$217,S202)&gt;1)</formula>
    </cfRule>
    <cfRule type="expression" dxfId="2" priority="23">
      <formula>OR(AND(F202&lt;&gt;"",S202=""),AND(F202="",S202&lt;&gt;""))</formula>
    </cfRule>
  </conditionalFormatting>
  <conditionalFormatting sqref="S218:AD218">
    <cfRule type="expression" dxfId="1" priority="24">
      <formula>S218="✓"</formula>
    </cfRule>
    <cfRule type="expression" dxfId="0" priority="25">
      <formula>S218="FIX"</formula>
    </cfRule>
  </conditionalFormatting>
  <dataValidations count="274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17:AD130" xr:uid="{00000000-0002-0000-0200-00000C010000}">
      <formula1>AND(ISNUMBER(S117),S117&gt;=1,S117&lt;=8,INT(S117)=S117,COUNTIF(S$117:S$130,S117)=1)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34:AD147" xr:uid="{00000000-0002-0000-0200-00000D010000}">
      <formula1>AND(ISNUMBER(S134),S134&gt;=1,S134&lt;=8,INT(S134)=S134,COUNTIF(S$134:S$147,S134)=1)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51:AD165" xr:uid="{00000000-0002-0000-0200-00000E010000}">
      <formula1>AND(ISNUMBER(S151),S151&gt;=1,S151&lt;=8,INT(S151)=S151,COUNTIF(S$151:S$165,S151)=1)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69:AD182" xr:uid="{00000000-0002-0000-0200-00000F010000}">
      <formula1>AND(ISNUMBER(S169),S169&gt;=1,S169&lt;=8,INT(S169)=S169,COUNTIF(S$169:S$182,S169)=1)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86:AD198" xr:uid="{00000000-0002-0000-0200-000010010000}">
      <formula1>AND(ISNUMBER(S186),S186&gt;=1,S186&lt;=8,INT(S186)=S186,COUNTIF(S$186:S$198,S186)=1)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202:AD217" xr:uid="{00000000-0002-0000-0200-000011010000}">
      <formula1>AND(ISNUMBER(S202),S202&gt;=1,S202&lt;=8,INT(S202)=S202,COUNTIF(S$202:S$217,S202)=1)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94" zoomScaleNormal="100" workbookViewId="0">
      <selection activeCell="I114" sqref="I11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120</v>
      </c>
      <c r="B2" t="s">
        <v>121</v>
      </c>
      <c r="C2" t="s">
        <v>122</v>
      </c>
      <c r="D2" t="s">
        <v>53</v>
      </c>
      <c r="E2" t="s">
        <v>123</v>
      </c>
      <c r="F2" t="s">
        <v>55</v>
      </c>
      <c r="G2" t="s">
        <v>124</v>
      </c>
      <c r="H2" t="s">
        <v>125</v>
      </c>
      <c r="I2" t="s">
        <v>126</v>
      </c>
      <c r="J2" t="s">
        <v>127</v>
      </c>
    </row>
    <row r="3" spans="1:10" ht="15" customHeight="1" x14ac:dyDescent="0.25">
      <c r="A3">
        <v>1</v>
      </c>
      <c r="B3" t="s">
        <v>128</v>
      </c>
      <c r="C3" t="s">
        <v>129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130</v>
      </c>
      <c r="C4" t="s">
        <v>131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132</v>
      </c>
      <c r="C5" t="s">
        <v>133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132</v>
      </c>
      <c r="C6" t="s">
        <v>133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132</v>
      </c>
      <c r="C7" t="s">
        <v>133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132</v>
      </c>
      <c r="C8" t="s">
        <v>133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132</v>
      </c>
      <c r="C9" t="s">
        <v>133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132</v>
      </c>
      <c r="C10" t="s">
        <v>133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132</v>
      </c>
      <c r="C11" t="s">
        <v>133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132</v>
      </c>
      <c r="C12" t="s">
        <v>133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132</v>
      </c>
      <c r="C13" t="s">
        <v>134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132</v>
      </c>
      <c r="C14" t="s">
        <v>134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132</v>
      </c>
      <c r="C15" t="s">
        <v>134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132</v>
      </c>
      <c r="C16" t="s">
        <v>134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132</v>
      </c>
      <c r="C17" t="s">
        <v>129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135</v>
      </c>
      <c r="C18" t="s">
        <v>136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6" t="s">
        <v>89</v>
      </c>
      <c r="E19" s="17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120</v>
      </c>
      <c r="B21" t="s">
        <v>121</v>
      </c>
      <c r="C21" t="s">
        <v>122</v>
      </c>
      <c r="D21" t="s">
        <v>53</v>
      </c>
      <c r="E21" t="s">
        <v>123</v>
      </c>
      <c r="F21" t="s">
        <v>55</v>
      </c>
      <c r="G21" t="s">
        <v>124</v>
      </c>
      <c r="H21" t="s">
        <v>125</v>
      </c>
      <c r="I21" t="s">
        <v>126</v>
      </c>
      <c r="J21" t="s">
        <v>127</v>
      </c>
    </row>
    <row r="22" spans="1:10" ht="15" customHeight="1" x14ac:dyDescent="0.25">
      <c r="A22">
        <v>2</v>
      </c>
      <c r="B22" t="s">
        <v>137</v>
      </c>
      <c r="C22" t="s">
        <v>136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138</v>
      </c>
      <c r="C23" t="s">
        <v>133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138</v>
      </c>
      <c r="C24" t="s">
        <v>133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138</v>
      </c>
      <c r="C25" t="s">
        <v>133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138</v>
      </c>
      <c r="C26" t="s">
        <v>133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138</v>
      </c>
      <c r="C27" t="s">
        <v>133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138</v>
      </c>
      <c r="C28" t="s">
        <v>133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138</v>
      </c>
      <c r="C29" t="s">
        <v>133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138</v>
      </c>
      <c r="C30" t="s">
        <v>133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138</v>
      </c>
      <c r="C31" t="s">
        <v>139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138</v>
      </c>
      <c r="C32" t="s">
        <v>139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138</v>
      </c>
      <c r="C33" t="s">
        <v>134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138</v>
      </c>
      <c r="C34" t="s">
        <v>134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138</v>
      </c>
      <c r="C35" t="s">
        <v>134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138</v>
      </c>
      <c r="C36" t="s">
        <v>129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140</v>
      </c>
      <c r="C37" t="s">
        <v>136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6" t="s">
        <v>89</v>
      </c>
      <c r="E38" s="17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120</v>
      </c>
      <c r="B40" t="s">
        <v>121</v>
      </c>
      <c r="C40" t="s">
        <v>122</v>
      </c>
      <c r="D40" t="s">
        <v>53</v>
      </c>
      <c r="E40" t="s">
        <v>123</v>
      </c>
      <c r="F40" t="s">
        <v>55</v>
      </c>
      <c r="G40" t="s">
        <v>124</v>
      </c>
      <c r="H40" t="s">
        <v>125</v>
      </c>
      <c r="I40" t="s">
        <v>126</v>
      </c>
      <c r="J40" t="s">
        <v>127</v>
      </c>
    </row>
    <row r="41" spans="1:10" ht="15" customHeight="1" x14ac:dyDescent="0.25">
      <c r="A41">
        <v>3</v>
      </c>
      <c r="B41" t="s">
        <v>141</v>
      </c>
      <c r="C41" t="s">
        <v>136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142</v>
      </c>
      <c r="C42" t="s">
        <v>133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142</v>
      </c>
      <c r="C43" t="s">
        <v>133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142</v>
      </c>
      <c r="C44" t="s">
        <v>133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142</v>
      </c>
      <c r="C45" t="s">
        <v>133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142</v>
      </c>
      <c r="C46" t="s">
        <v>133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142</v>
      </c>
      <c r="C47" t="s">
        <v>133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142</v>
      </c>
      <c r="C48" t="s">
        <v>133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142</v>
      </c>
      <c r="C49" t="s">
        <v>133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142</v>
      </c>
      <c r="C50" t="s">
        <v>133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142</v>
      </c>
      <c r="C51" t="s">
        <v>139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142</v>
      </c>
      <c r="C52" t="s">
        <v>139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142</v>
      </c>
      <c r="C53" t="s">
        <v>134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142</v>
      </c>
      <c r="C54" t="s">
        <v>134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142</v>
      </c>
      <c r="C55" t="s">
        <v>129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143</v>
      </c>
      <c r="C56" t="s">
        <v>136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6" t="s">
        <v>89</v>
      </c>
      <c r="E57" s="17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120</v>
      </c>
      <c r="B59" t="s">
        <v>121</v>
      </c>
      <c r="C59" t="s">
        <v>122</v>
      </c>
      <c r="D59" t="s">
        <v>53</v>
      </c>
      <c r="E59" t="s">
        <v>123</v>
      </c>
      <c r="F59" t="s">
        <v>55</v>
      </c>
      <c r="G59" t="s">
        <v>124</v>
      </c>
      <c r="H59" t="s">
        <v>125</v>
      </c>
      <c r="I59" t="s">
        <v>126</v>
      </c>
      <c r="J59" t="s">
        <v>127</v>
      </c>
    </row>
    <row r="60" spans="1:10" ht="15" customHeight="1" x14ac:dyDescent="0.25">
      <c r="A60">
        <v>4</v>
      </c>
      <c r="B60" t="s">
        <v>144</v>
      </c>
      <c r="C60" t="s">
        <v>136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145</v>
      </c>
      <c r="C61" t="s">
        <v>146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145</v>
      </c>
      <c r="C62" t="s">
        <v>133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145</v>
      </c>
      <c r="C63" t="s">
        <v>133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145</v>
      </c>
      <c r="C64" t="s">
        <v>133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145</v>
      </c>
      <c r="C65" t="s">
        <v>133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145</v>
      </c>
      <c r="C66" t="s">
        <v>133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145</v>
      </c>
      <c r="C67" t="s">
        <v>133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145</v>
      </c>
      <c r="C68" t="s">
        <v>133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145</v>
      </c>
      <c r="C69" t="s">
        <v>133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145</v>
      </c>
      <c r="C70" t="s">
        <v>139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145</v>
      </c>
      <c r="C71" t="s">
        <v>134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145</v>
      </c>
      <c r="C72" t="s">
        <v>134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145</v>
      </c>
      <c r="C73" t="s">
        <v>134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145</v>
      </c>
      <c r="C74" t="s">
        <v>129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147</v>
      </c>
      <c r="C75" t="s">
        <v>136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6" t="s">
        <v>89</v>
      </c>
      <c r="E76" s="17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120</v>
      </c>
      <c r="B78" t="s">
        <v>121</v>
      </c>
      <c r="C78" t="s">
        <v>122</v>
      </c>
      <c r="D78" t="s">
        <v>53</v>
      </c>
      <c r="E78" t="s">
        <v>123</v>
      </c>
      <c r="F78" t="s">
        <v>55</v>
      </c>
      <c r="G78" t="s">
        <v>124</v>
      </c>
      <c r="H78" t="s">
        <v>125</v>
      </c>
      <c r="I78" t="s">
        <v>126</v>
      </c>
      <c r="J78" t="s">
        <v>127</v>
      </c>
    </row>
    <row r="79" spans="1:10" ht="15" customHeight="1" x14ac:dyDescent="0.25">
      <c r="A79">
        <v>5</v>
      </c>
      <c r="B79" t="s">
        <v>148</v>
      </c>
      <c r="C79" t="s">
        <v>136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149</v>
      </c>
      <c r="C80" t="s">
        <v>146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149</v>
      </c>
      <c r="C81" t="s">
        <v>133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149</v>
      </c>
      <c r="C82" t="s">
        <v>133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149</v>
      </c>
      <c r="C83" t="s">
        <v>133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149</v>
      </c>
      <c r="C84" t="s">
        <v>133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149</v>
      </c>
      <c r="C85" t="s">
        <v>133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149</v>
      </c>
      <c r="C86" t="s">
        <v>133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149</v>
      </c>
      <c r="C87" t="s">
        <v>133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149</v>
      </c>
      <c r="C88" t="s">
        <v>139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149</v>
      </c>
      <c r="C89" t="s">
        <v>134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149</v>
      </c>
      <c r="C90" t="s">
        <v>134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149</v>
      </c>
      <c r="C91" t="s">
        <v>134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149</v>
      </c>
      <c r="C92" t="s">
        <v>129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150</v>
      </c>
      <c r="C93" t="s">
        <v>136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6" t="s">
        <v>89</v>
      </c>
      <c r="E94" s="17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120</v>
      </c>
      <c r="B96" t="s">
        <v>121</v>
      </c>
      <c r="C96" t="s">
        <v>122</v>
      </c>
      <c r="D96" t="s">
        <v>53</v>
      </c>
      <c r="E96" t="s">
        <v>123</v>
      </c>
      <c r="F96" t="s">
        <v>55</v>
      </c>
      <c r="G96" t="s">
        <v>124</v>
      </c>
      <c r="H96" t="s">
        <v>125</v>
      </c>
      <c r="I96" t="s">
        <v>126</v>
      </c>
      <c r="J96" t="s">
        <v>127</v>
      </c>
    </row>
    <row r="97" spans="1:10" ht="15" customHeight="1" x14ac:dyDescent="0.25">
      <c r="A97">
        <v>6</v>
      </c>
      <c r="B97" t="s">
        <v>151</v>
      </c>
      <c r="C97" t="s">
        <v>136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152</v>
      </c>
      <c r="C98" t="s">
        <v>146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152</v>
      </c>
      <c r="C99" t="s">
        <v>133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152</v>
      </c>
      <c r="C100" t="s">
        <v>133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152</v>
      </c>
      <c r="C101" t="s">
        <v>133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152</v>
      </c>
      <c r="C102" t="s">
        <v>133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152</v>
      </c>
      <c r="C103" t="s">
        <v>133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152</v>
      </c>
      <c r="C104" t="s">
        <v>133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152</v>
      </c>
      <c r="C105" t="s">
        <v>133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152</v>
      </c>
      <c r="C106" t="s">
        <v>139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152</v>
      </c>
      <c r="C107" t="s">
        <v>134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152</v>
      </c>
      <c r="C108" t="s">
        <v>134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152</v>
      </c>
      <c r="C109" t="s">
        <v>129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153</v>
      </c>
      <c r="C110" t="s">
        <v>136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16" t="s">
        <v>89</v>
      </c>
      <c r="E111" s="17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120</v>
      </c>
      <c r="B113" t="s">
        <v>121</v>
      </c>
      <c r="C113" t="s">
        <v>122</v>
      </c>
      <c r="D113" t="s">
        <v>53</v>
      </c>
      <c r="E113" t="s">
        <v>123</v>
      </c>
      <c r="F113" t="s">
        <v>55</v>
      </c>
      <c r="G113" t="s">
        <v>124</v>
      </c>
      <c r="H113" t="s">
        <v>125</v>
      </c>
      <c r="I113" t="s">
        <v>126</v>
      </c>
      <c r="J113" t="s">
        <v>127</v>
      </c>
    </row>
    <row r="114" spans="1:10" ht="15" customHeight="1" x14ac:dyDescent="0.25">
      <c r="A114">
        <v>7</v>
      </c>
      <c r="B114" t="s">
        <v>154</v>
      </c>
      <c r="C114" t="s">
        <v>136</v>
      </c>
      <c r="D114" t="s">
        <v>57</v>
      </c>
      <c r="E114">
        <v>24</v>
      </c>
      <c r="F114" t="s">
        <v>61</v>
      </c>
      <c r="G114">
        <v>30</v>
      </c>
      <c r="H114">
        <v>-3.5</v>
      </c>
      <c r="I114" t="str">
        <f t="shared" ref="I114:I127" si="12">IF(OR(E114="",G114=""),"",IF(E114&gt;G114,D114,IF(G114&gt;E114,F114,"TIE")))</f>
        <v>CHI</v>
      </c>
      <c r="J114" t="str">
        <f t="shared" ref="J114:J127" si="13">IF(OR(E114="",G114="",H114=""),"",IF(E114+H114&gt;G114,D114,IF(E114+H114&lt;G114,F114,"PUSH")))</f>
        <v>CHI</v>
      </c>
    </row>
    <row r="115" spans="1:10" ht="15" customHeight="1" x14ac:dyDescent="0.25">
      <c r="A115">
        <v>7</v>
      </c>
      <c r="B115" t="s">
        <v>155</v>
      </c>
      <c r="C115" t="s">
        <v>146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155</v>
      </c>
      <c r="C116" t="s">
        <v>133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155</v>
      </c>
      <c r="C117" t="s">
        <v>133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155</v>
      </c>
      <c r="C118" t="s">
        <v>133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155</v>
      </c>
      <c r="C119" t="s">
        <v>133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155</v>
      </c>
      <c r="C120" t="s">
        <v>133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155</v>
      </c>
      <c r="C121" t="s">
        <v>133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155</v>
      </c>
      <c r="C122" t="s">
        <v>133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155</v>
      </c>
      <c r="C123" t="s">
        <v>139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155</v>
      </c>
      <c r="C124" t="s">
        <v>134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155</v>
      </c>
      <c r="C125" t="s">
        <v>134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155</v>
      </c>
      <c r="C126" t="s">
        <v>129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156</v>
      </c>
      <c r="C127" t="s">
        <v>136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6" t="s">
        <v>89</v>
      </c>
      <c r="E128" s="17" t="str">
        <f>IF(AND(E127&lt;&gt;"",G127&lt;&gt;""),E127+G127,"")</f>
        <v/>
      </c>
    </row>
    <row r="129" spans="1:10" ht="15" customHeight="1" x14ac:dyDescent="0.25">
      <c r="A129" t="s">
        <v>109</v>
      </c>
    </row>
    <row r="130" spans="1:10" ht="15" customHeight="1" x14ac:dyDescent="0.25">
      <c r="A130" t="s">
        <v>120</v>
      </c>
      <c r="B130" t="s">
        <v>121</v>
      </c>
      <c r="C130" t="s">
        <v>122</v>
      </c>
      <c r="D130" t="s">
        <v>53</v>
      </c>
      <c r="E130" t="s">
        <v>123</v>
      </c>
      <c r="F130" t="s">
        <v>55</v>
      </c>
      <c r="G130" t="s">
        <v>124</v>
      </c>
      <c r="H130" t="s">
        <v>125</v>
      </c>
      <c r="I130" t="s">
        <v>126</v>
      </c>
      <c r="J130" t="s">
        <v>127</v>
      </c>
    </row>
    <row r="131" spans="1:10" ht="15" customHeight="1" x14ac:dyDescent="0.25">
      <c r="A131">
        <v>8</v>
      </c>
      <c r="B131" t="s">
        <v>157</v>
      </c>
      <c r="C131" t="s">
        <v>136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158</v>
      </c>
      <c r="C132" t="s">
        <v>133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158</v>
      </c>
      <c r="C133" t="s">
        <v>133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158</v>
      </c>
      <c r="C134" t="s">
        <v>133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158</v>
      </c>
      <c r="C135" t="s">
        <v>133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158</v>
      </c>
      <c r="C136" t="s">
        <v>133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158</v>
      </c>
      <c r="C137" t="s">
        <v>133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158</v>
      </c>
      <c r="C138" t="s">
        <v>133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158</v>
      </c>
      <c r="C139" t="s">
        <v>133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158</v>
      </c>
      <c r="C140" t="s">
        <v>139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158</v>
      </c>
      <c r="C141" t="s">
        <v>134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158</v>
      </c>
      <c r="C142" t="s">
        <v>134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158</v>
      </c>
      <c r="C143" t="s">
        <v>129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159</v>
      </c>
      <c r="C144" t="s">
        <v>136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6" t="s">
        <v>89</v>
      </c>
      <c r="E145" s="17" t="str">
        <f>IF(AND(E144&lt;&gt;"",G144&lt;&gt;""),E144+G144,"")</f>
        <v/>
      </c>
    </row>
    <row r="146" spans="1:10" ht="15" customHeight="1" x14ac:dyDescent="0.25">
      <c r="A146" t="s">
        <v>110</v>
      </c>
    </row>
    <row r="147" spans="1:10" ht="15" customHeight="1" x14ac:dyDescent="0.25">
      <c r="A147" t="s">
        <v>120</v>
      </c>
      <c r="B147" t="s">
        <v>121</v>
      </c>
      <c r="C147" t="s">
        <v>122</v>
      </c>
      <c r="D147" t="s">
        <v>53</v>
      </c>
      <c r="E147" t="s">
        <v>123</v>
      </c>
      <c r="F147" t="s">
        <v>55</v>
      </c>
      <c r="G147" t="s">
        <v>124</v>
      </c>
      <c r="H147" t="s">
        <v>125</v>
      </c>
      <c r="I147" t="s">
        <v>126</v>
      </c>
      <c r="J147" t="s">
        <v>127</v>
      </c>
    </row>
    <row r="148" spans="1:10" ht="15" customHeight="1" x14ac:dyDescent="0.25">
      <c r="A148">
        <v>9</v>
      </c>
      <c r="B148" t="s">
        <v>160</v>
      </c>
      <c r="C148" t="s">
        <v>136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161</v>
      </c>
      <c r="C149" t="s">
        <v>146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161</v>
      </c>
      <c r="C150" t="s">
        <v>133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161</v>
      </c>
      <c r="C151" t="s">
        <v>133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161</v>
      </c>
      <c r="C152" t="s">
        <v>133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161</v>
      </c>
      <c r="C153" t="s">
        <v>133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161</v>
      </c>
      <c r="C154" t="s">
        <v>133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161</v>
      </c>
      <c r="C155" t="s">
        <v>133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161</v>
      </c>
      <c r="C156" t="s">
        <v>133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161</v>
      </c>
      <c r="C157" t="s">
        <v>139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161</v>
      </c>
      <c r="C158" t="s">
        <v>139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161</v>
      </c>
      <c r="C159" t="s">
        <v>134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161</v>
      </c>
      <c r="C160" t="s">
        <v>134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161</v>
      </c>
      <c r="C161" t="s">
        <v>129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162</v>
      </c>
      <c r="C162" t="s">
        <v>136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6" t="s">
        <v>89</v>
      </c>
      <c r="E163" s="17" t="str">
        <f>IF(AND(E162&lt;&gt;"",G162&lt;&gt;""),E162+G162,"")</f>
        <v/>
      </c>
    </row>
    <row r="164" spans="1:10" ht="15" customHeight="1" x14ac:dyDescent="0.25">
      <c r="A164" t="s">
        <v>111</v>
      </c>
    </row>
    <row r="165" spans="1:10" ht="15" customHeight="1" x14ac:dyDescent="0.25">
      <c r="A165" t="s">
        <v>120</v>
      </c>
      <c r="B165" t="s">
        <v>121</v>
      </c>
      <c r="C165" t="s">
        <v>122</v>
      </c>
      <c r="D165" t="s">
        <v>53</v>
      </c>
      <c r="E165" t="s">
        <v>123</v>
      </c>
      <c r="F165" t="s">
        <v>55</v>
      </c>
      <c r="G165" t="s">
        <v>124</v>
      </c>
      <c r="H165" t="s">
        <v>125</v>
      </c>
      <c r="I165" t="s">
        <v>126</v>
      </c>
      <c r="J165" t="s">
        <v>127</v>
      </c>
    </row>
    <row r="166" spans="1:10" ht="15" customHeight="1" x14ac:dyDescent="0.25">
      <c r="A166">
        <v>10</v>
      </c>
      <c r="B166" t="s">
        <v>163</v>
      </c>
      <c r="C166" t="s">
        <v>136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164</v>
      </c>
      <c r="C167" t="s">
        <v>146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164</v>
      </c>
      <c r="C168" t="s">
        <v>133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164</v>
      </c>
      <c r="C169" t="s">
        <v>133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164</v>
      </c>
      <c r="C170" t="s">
        <v>133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164</v>
      </c>
      <c r="C171" t="s">
        <v>133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164</v>
      </c>
      <c r="C172" t="s">
        <v>133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164</v>
      </c>
      <c r="C173" t="s">
        <v>133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164</v>
      </c>
      <c r="C174" t="s">
        <v>133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164</v>
      </c>
      <c r="C175" t="s">
        <v>139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164</v>
      </c>
      <c r="C176" t="s">
        <v>139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164</v>
      </c>
      <c r="C177" t="s">
        <v>134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164</v>
      </c>
      <c r="C178" t="s">
        <v>129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165</v>
      </c>
      <c r="C179" t="s">
        <v>136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6" t="s">
        <v>89</v>
      </c>
      <c r="E180" s="17" t="str">
        <f>IF(AND(E179&lt;&gt;"",G179&lt;&gt;""),E179+G179,"")</f>
        <v/>
      </c>
    </row>
    <row r="181" spans="1:10" ht="15" customHeight="1" x14ac:dyDescent="0.25">
      <c r="A181" t="s">
        <v>112</v>
      </c>
    </row>
    <row r="182" spans="1:10" ht="15" customHeight="1" x14ac:dyDescent="0.25">
      <c r="A182" t="s">
        <v>120</v>
      </c>
      <c r="B182" t="s">
        <v>121</v>
      </c>
      <c r="C182" t="s">
        <v>122</v>
      </c>
      <c r="D182" t="s">
        <v>53</v>
      </c>
      <c r="E182" t="s">
        <v>123</v>
      </c>
      <c r="F182" t="s">
        <v>55</v>
      </c>
      <c r="G182" t="s">
        <v>124</v>
      </c>
      <c r="H182" t="s">
        <v>125</v>
      </c>
      <c r="I182" t="s">
        <v>126</v>
      </c>
      <c r="J182" t="s">
        <v>127</v>
      </c>
    </row>
    <row r="183" spans="1:10" ht="15" customHeight="1" x14ac:dyDescent="0.25">
      <c r="A183">
        <v>11</v>
      </c>
      <c r="B183" t="s">
        <v>166</v>
      </c>
      <c r="C183" t="s">
        <v>136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167</v>
      </c>
      <c r="C184" t="s">
        <v>133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167</v>
      </c>
      <c r="C185" t="s">
        <v>133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167</v>
      </c>
      <c r="C186" t="s">
        <v>133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167</v>
      </c>
      <c r="C187" t="s">
        <v>133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167</v>
      </c>
      <c r="C188" t="s">
        <v>133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167</v>
      </c>
      <c r="C189" t="s">
        <v>133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167</v>
      </c>
      <c r="C190" t="s">
        <v>133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167</v>
      </c>
      <c r="C191" t="s">
        <v>139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167</v>
      </c>
      <c r="C192" t="s">
        <v>134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167</v>
      </c>
      <c r="C193" t="s">
        <v>134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167</v>
      </c>
      <c r="C194" t="s">
        <v>129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168</v>
      </c>
      <c r="C195" t="s">
        <v>136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6" t="s">
        <v>89</v>
      </c>
      <c r="E196" s="17" t="str">
        <f>IF(AND(E195&lt;&gt;"",G195&lt;&gt;""),E195+G195,"")</f>
        <v/>
      </c>
    </row>
    <row r="197" spans="1:10" ht="15" customHeight="1" x14ac:dyDescent="0.25">
      <c r="A197" t="s">
        <v>113</v>
      </c>
    </row>
    <row r="198" spans="1:10" ht="15" customHeight="1" x14ac:dyDescent="0.25">
      <c r="A198" t="s">
        <v>120</v>
      </c>
      <c r="B198" t="s">
        <v>121</v>
      </c>
      <c r="C198" t="s">
        <v>122</v>
      </c>
      <c r="D198" t="s">
        <v>53</v>
      </c>
      <c r="E198" t="s">
        <v>123</v>
      </c>
      <c r="F198" t="s">
        <v>55</v>
      </c>
      <c r="G198" t="s">
        <v>124</v>
      </c>
      <c r="H198" t="s">
        <v>125</v>
      </c>
      <c r="I198" t="s">
        <v>126</v>
      </c>
      <c r="J198" t="s">
        <v>127</v>
      </c>
    </row>
    <row r="199" spans="1:10" ht="15" customHeight="1" x14ac:dyDescent="0.25">
      <c r="A199">
        <v>12</v>
      </c>
      <c r="B199" t="s">
        <v>169</v>
      </c>
      <c r="C199" t="s">
        <v>170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171</v>
      </c>
      <c r="C200" t="s">
        <v>133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171</v>
      </c>
      <c r="C201" t="s">
        <v>172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171</v>
      </c>
      <c r="C202" t="s">
        <v>129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173</v>
      </c>
      <c r="C203" t="s">
        <v>174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175</v>
      </c>
      <c r="C204" t="s">
        <v>133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175</v>
      </c>
      <c r="C205" t="s">
        <v>133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175</v>
      </c>
      <c r="C206" t="s">
        <v>133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175</v>
      </c>
      <c r="C207" t="s">
        <v>133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175</v>
      </c>
      <c r="C208" t="s">
        <v>133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175</v>
      </c>
      <c r="C209" t="s">
        <v>133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175</v>
      </c>
      <c r="C210" t="s">
        <v>139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175</v>
      </c>
      <c r="C211" t="s">
        <v>134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175</v>
      </c>
      <c r="C212" t="s">
        <v>134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175</v>
      </c>
      <c r="C213" t="s">
        <v>129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176</v>
      </c>
      <c r="C214" t="s">
        <v>136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6" t="s">
        <v>89</v>
      </c>
      <c r="E215" s="17" t="str">
        <f>IF(AND(E214&lt;&gt;"",G214&lt;&gt;""),E214+G214,"")</f>
        <v/>
      </c>
    </row>
    <row r="216" spans="1:10" ht="15" customHeight="1" x14ac:dyDescent="0.25">
      <c r="A216" t="s">
        <v>114</v>
      </c>
    </row>
    <row r="217" spans="1:10" ht="15" customHeight="1" x14ac:dyDescent="0.25">
      <c r="A217" t="s">
        <v>120</v>
      </c>
      <c r="B217" t="s">
        <v>121</v>
      </c>
      <c r="C217" t="s">
        <v>122</v>
      </c>
      <c r="D217" t="s">
        <v>53</v>
      </c>
      <c r="E217" t="s">
        <v>123</v>
      </c>
      <c r="F217" t="s">
        <v>55</v>
      </c>
      <c r="G217" t="s">
        <v>124</v>
      </c>
      <c r="H217" t="s">
        <v>125</v>
      </c>
      <c r="I217" t="s">
        <v>126</v>
      </c>
      <c r="J217" t="s">
        <v>127</v>
      </c>
    </row>
    <row r="218" spans="1:10" ht="15" customHeight="1" x14ac:dyDescent="0.25">
      <c r="A218">
        <v>13</v>
      </c>
      <c r="B218" t="s">
        <v>177</v>
      </c>
      <c r="C218" t="s">
        <v>136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178</v>
      </c>
      <c r="C219" t="s">
        <v>133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178</v>
      </c>
      <c r="C220" t="s">
        <v>133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178</v>
      </c>
      <c r="C221" t="s">
        <v>133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178</v>
      </c>
      <c r="C222" t="s">
        <v>133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178</v>
      </c>
      <c r="C223" t="s">
        <v>133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178</v>
      </c>
      <c r="C224" t="s">
        <v>133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178</v>
      </c>
      <c r="C225" t="s">
        <v>133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178</v>
      </c>
      <c r="C226" t="s">
        <v>139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178</v>
      </c>
      <c r="C227" t="s">
        <v>139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178</v>
      </c>
      <c r="C228" t="s">
        <v>134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178</v>
      </c>
      <c r="C229" t="s">
        <v>134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178</v>
      </c>
      <c r="C230" t="s">
        <v>129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179</v>
      </c>
      <c r="C231" t="s">
        <v>136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6" t="s">
        <v>89</v>
      </c>
      <c r="E232" s="17" t="str">
        <f>IF(AND(E231&lt;&gt;"",G231&lt;&gt;""),E231+G231,"")</f>
        <v/>
      </c>
    </row>
    <row r="233" spans="1:10" ht="15" customHeight="1" x14ac:dyDescent="0.25">
      <c r="A233" t="s">
        <v>115</v>
      </c>
    </row>
    <row r="234" spans="1:10" ht="15" customHeight="1" x14ac:dyDescent="0.25">
      <c r="A234" t="s">
        <v>120</v>
      </c>
      <c r="B234" t="s">
        <v>121</v>
      </c>
      <c r="C234" t="s">
        <v>122</v>
      </c>
      <c r="D234" t="s">
        <v>53</v>
      </c>
      <c r="E234" t="s">
        <v>123</v>
      </c>
      <c r="F234" t="s">
        <v>55</v>
      </c>
      <c r="G234" t="s">
        <v>124</v>
      </c>
      <c r="H234" t="s">
        <v>125</v>
      </c>
      <c r="I234" t="s">
        <v>126</v>
      </c>
      <c r="J234" t="s">
        <v>127</v>
      </c>
    </row>
    <row r="235" spans="1:10" ht="15" customHeight="1" x14ac:dyDescent="0.25">
      <c r="A235">
        <v>14</v>
      </c>
      <c r="B235" t="s">
        <v>180</v>
      </c>
      <c r="C235" t="s">
        <v>136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181</v>
      </c>
      <c r="C236" t="s">
        <v>133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181</v>
      </c>
      <c r="C237" t="s">
        <v>133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181</v>
      </c>
      <c r="C238" t="s">
        <v>133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181</v>
      </c>
      <c r="C239" t="s">
        <v>133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181</v>
      </c>
      <c r="C240" t="s">
        <v>133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181</v>
      </c>
      <c r="C241" t="s">
        <v>133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181</v>
      </c>
      <c r="C242" t="s">
        <v>133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181</v>
      </c>
      <c r="C243" t="s">
        <v>133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181</v>
      </c>
      <c r="C244" t="s">
        <v>139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181</v>
      </c>
      <c r="C245" t="s">
        <v>134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181</v>
      </c>
      <c r="C246" t="s">
        <v>134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181</v>
      </c>
      <c r="C247" t="s">
        <v>134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181</v>
      </c>
      <c r="C248" t="s">
        <v>129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182</v>
      </c>
      <c r="C249" t="s">
        <v>136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6" t="s">
        <v>89</v>
      </c>
      <c r="E250" s="17" t="str">
        <f>IF(AND(E249&lt;&gt;"",G249&lt;&gt;""),E249+G249,"")</f>
        <v/>
      </c>
    </row>
    <row r="251" spans="1:10" ht="15" customHeight="1" x14ac:dyDescent="0.25">
      <c r="A251" t="s">
        <v>116</v>
      </c>
    </row>
    <row r="252" spans="1:10" ht="15" customHeight="1" x14ac:dyDescent="0.25">
      <c r="A252" t="s">
        <v>120</v>
      </c>
      <c r="B252" t="s">
        <v>121</v>
      </c>
      <c r="C252" t="s">
        <v>122</v>
      </c>
      <c r="D252" t="s">
        <v>53</v>
      </c>
      <c r="E252" t="s">
        <v>123</v>
      </c>
      <c r="F252" t="s">
        <v>55</v>
      </c>
      <c r="G252" t="s">
        <v>124</v>
      </c>
      <c r="H252" t="s">
        <v>125</v>
      </c>
      <c r="I252" t="s">
        <v>126</v>
      </c>
      <c r="J252" t="s">
        <v>127</v>
      </c>
    </row>
    <row r="253" spans="1:10" ht="15" customHeight="1" x14ac:dyDescent="0.25">
      <c r="A253">
        <v>15</v>
      </c>
      <c r="B253" t="s">
        <v>183</v>
      </c>
      <c r="C253" t="s">
        <v>136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184</v>
      </c>
      <c r="C254" t="s">
        <v>185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184</v>
      </c>
      <c r="C255" t="s">
        <v>129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186</v>
      </c>
      <c r="C256" t="s">
        <v>133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186</v>
      </c>
      <c r="C257" t="s">
        <v>133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186</v>
      </c>
      <c r="C258" t="s">
        <v>133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186</v>
      </c>
      <c r="C259" t="s">
        <v>133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186</v>
      </c>
      <c r="C260" t="s">
        <v>133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186</v>
      </c>
      <c r="C261" t="s">
        <v>133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186</v>
      </c>
      <c r="C262" t="s">
        <v>133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186</v>
      </c>
      <c r="C263" t="s">
        <v>133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186</v>
      </c>
      <c r="C264" t="s">
        <v>139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186</v>
      </c>
      <c r="C265" t="s">
        <v>134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186</v>
      </c>
      <c r="C266" t="s">
        <v>134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186</v>
      </c>
      <c r="C267" t="s">
        <v>129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187</v>
      </c>
      <c r="C268" t="s">
        <v>136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6" t="s">
        <v>89</v>
      </c>
      <c r="E269" s="17" t="str">
        <f>IF(AND(E268&lt;&gt;"",G268&lt;&gt;""),E268+G268,"")</f>
        <v/>
      </c>
    </row>
    <row r="270" spans="1:10" ht="15" customHeight="1" x14ac:dyDescent="0.25">
      <c r="A270" t="s">
        <v>117</v>
      </c>
    </row>
    <row r="271" spans="1:10" ht="15" customHeight="1" x14ac:dyDescent="0.25">
      <c r="A271" t="s">
        <v>120</v>
      </c>
      <c r="B271" t="s">
        <v>121</v>
      </c>
      <c r="C271" t="s">
        <v>122</v>
      </c>
      <c r="D271" t="s">
        <v>53</v>
      </c>
      <c r="E271" t="s">
        <v>123</v>
      </c>
      <c r="F271" t="s">
        <v>55</v>
      </c>
      <c r="G271" t="s">
        <v>124</v>
      </c>
      <c r="H271" t="s">
        <v>125</v>
      </c>
      <c r="I271" t="s">
        <v>126</v>
      </c>
      <c r="J271" t="s">
        <v>127</v>
      </c>
    </row>
    <row r="272" spans="1:10" ht="15" customHeight="1" x14ac:dyDescent="0.25">
      <c r="A272">
        <v>16</v>
      </c>
      <c r="B272" t="s">
        <v>188</v>
      </c>
      <c r="C272" t="s">
        <v>136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189</v>
      </c>
      <c r="C273" t="s">
        <v>133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189</v>
      </c>
      <c r="C274" t="s">
        <v>172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189</v>
      </c>
      <c r="C275" t="s">
        <v>136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190</v>
      </c>
      <c r="C276" t="s">
        <v>133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190</v>
      </c>
      <c r="C277" t="s">
        <v>133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190</v>
      </c>
      <c r="C278" t="s">
        <v>133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190</v>
      </c>
      <c r="C279" t="s">
        <v>133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190</v>
      </c>
      <c r="C280" t="s">
        <v>139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190</v>
      </c>
      <c r="C281" t="s">
        <v>134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190</v>
      </c>
      <c r="C282" t="s">
        <v>129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191</v>
      </c>
      <c r="C283" t="s">
        <v>136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192</v>
      </c>
      <c r="C284" t="s">
        <v>192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192</v>
      </c>
      <c r="C285" t="s">
        <v>192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192</v>
      </c>
      <c r="C286" t="s">
        <v>192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192</v>
      </c>
      <c r="C287" t="s">
        <v>192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6" t="s">
        <v>89</v>
      </c>
      <c r="E288" s="17" t="str">
        <f>IF(AND(E287&lt;&gt;"",G287&lt;&gt;""),E287+G287,"")</f>
        <v/>
      </c>
    </row>
    <row r="289" spans="1:10" ht="15" customHeight="1" x14ac:dyDescent="0.25">
      <c r="A289" t="s">
        <v>118</v>
      </c>
    </row>
    <row r="290" spans="1:10" ht="15" customHeight="1" x14ac:dyDescent="0.25">
      <c r="A290" t="s">
        <v>120</v>
      </c>
      <c r="B290" t="s">
        <v>121</v>
      </c>
      <c r="C290" t="s">
        <v>122</v>
      </c>
      <c r="D290" t="s">
        <v>53</v>
      </c>
      <c r="E290" t="s">
        <v>123</v>
      </c>
      <c r="F290" t="s">
        <v>55</v>
      </c>
      <c r="G290" t="s">
        <v>124</v>
      </c>
      <c r="H290" t="s">
        <v>125</v>
      </c>
      <c r="I290" t="s">
        <v>126</v>
      </c>
      <c r="J290" t="s">
        <v>127</v>
      </c>
    </row>
    <row r="291" spans="1:10" ht="15" customHeight="1" x14ac:dyDescent="0.25">
      <c r="A291">
        <v>17</v>
      </c>
      <c r="B291" t="s">
        <v>193</v>
      </c>
      <c r="C291" t="s">
        <v>136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194</v>
      </c>
      <c r="C292" t="s">
        <v>133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194</v>
      </c>
      <c r="C293" t="s">
        <v>133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194</v>
      </c>
      <c r="C294" t="s">
        <v>133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194</v>
      </c>
      <c r="C295" t="s">
        <v>133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194</v>
      </c>
      <c r="C296" t="s">
        <v>133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194</v>
      </c>
      <c r="C297" t="s">
        <v>133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194</v>
      </c>
      <c r="C298" t="s">
        <v>133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194</v>
      </c>
      <c r="C299" t="s">
        <v>139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194</v>
      </c>
      <c r="C300" t="s">
        <v>134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194</v>
      </c>
      <c r="C301" t="s">
        <v>129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195</v>
      </c>
      <c r="C302" t="s">
        <v>136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192</v>
      </c>
      <c r="C303" t="s">
        <v>192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192</v>
      </c>
      <c r="C304" t="s">
        <v>192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192</v>
      </c>
      <c r="C305" t="s">
        <v>192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192</v>
      </c>
      <c r="C306" t="s">
        <v>192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6" t="s">
        <v>89</v>
      </c>
      <c r="E307" s="17" t="str">
        <f>IF(AND(E306&lt;&gt;"",G306&lt;&gt;""),E306+G306,"")</f>
        <v/>
      </c>
    </row>
    <row r="308" spans="1:10" ht="15" customHeight="1" x14ac:dyDescent="0.25">
      <c r="A308" t="s">
        <v>119</v>
      </c>
    </row>
    <row r="309" spans="1:10" ht="15" customHeight="1" x14ac:dyDescent="0.25">
      <c r="A309" t="s">
        <v>120</v>
      </c>
      <c r="B309" t="s">
        <v>121</v>
      </c>
      <c r="C309" t="s">
        <v>122</v>
      </c>
      <c r="D309" t="s">
        <v>53</v>
      </c>
      <c r="E309" t="s">
        <v>123</v>
      </c>
      <c r="F309" t="s">
        <v>55</v>
      </c>
      <c r="G309" t="s">
        <v>124</v>
      </c>
      <c r="H309" t="s">
        <v>125</v>
      </c>
      <c r="I309" t="s">
        <v>126</v>
      </c>
      <c r="J309" t="s">
        <v>127</v>
      </c>
    </row>
    <row r="310" spans="1:10" ht="15" customHeight="1" x14ac:dyDescent="0.25">
      <c r="A310">
        <v>18</v>
      </c>
      <c r="B310" t="s">
        <v>192</v>
      </c>
      <c r="C310" t="s">
        <v>192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192</v>
      </c>
      <c r="C311" t="s">
        <v>192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192</v>
      </c>
      <c r="C312" t="s">
        <v>192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192</v>
      </c>
      <c r="C313" t="s">
        <v>192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192</v>
      </c>
      <c r="C314" t="s">
        <v>192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192</v>
      </c>
      <c r="C315" t="s">
        <v>192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192</v>
      </c>
      <c r="C316" t="s">
        <v>192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192</v>
      </c>
      <c r="C317" t="s">
        <v>192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192</v>
      </c>
      <c r="C318" t="s">
        <v>192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192</v>
      </c>
      <c r="C319" t="s">
        <v>192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192</v>
      </c>
      <c r="C320" t="s">
        <v>192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192</v>
      </c>
      <c r="C321" t="s">
        <v>192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192</v>
      </c>
      <c r="C322" t="s">
        <v>192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192</v>
      </c>
      <c r="C323" t="s">
        <v>192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192</v>
      </c>
      <c r="C324" t="s">
        <v>192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192</v>
      </c>
      <c r="C325" t="s">
        <v>192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6" t="s">
        <v>89</v>
      </c>
      <c r="E326" s="17" t="str">
        <f>IF(AND(E325&lt;&gt;"",G325&lt;&gt;""),E325+G325,"")</f>
        <v/>
      </c>
    </row>
    <row r="327" spans="1:10" ht="15" customHeight="1" x14ac:dyDescent="0.25">
      <c r="A327" t="s">
        <v>196</v>
      </c>
    </row>
    <row r="328" spans="1:10" ht="15" customHeight="1" x14ac:dyDescent="0.25">
      <c r="A328" t="s">
        <v>120</v>
      </c>
      <c r="B328" t="s">
        <v>121</v>
      </c>
      <c r="C328" t="s">
        <v>122</v>
      </c>
      <c r="D328" t="s">
        <v>53</v>
      </c>
      <c r="E328" t="s">
        <v>123</v>
      </c>
      <c r="F328" t="s">
        <v>55</v>
      </c>
      <c r="G328" t="s">
        <v>124</v>
      </c>
      <c r="H328" t="s">
        <v>125</v>
      </c>
      <c r="I328" t="s">
        <v>126</v>
      </c>
      <c r="J328" t="s">
        <v>127</v>
      </c>
    </row>
    <row r="329" spans="1:10" ht="15" customHeight="1" x14ac:dyDescent="0.25">
      <c r="A329">
        <v>19</v>
      </c>
      <c r="B329" t="s">
        <v>192</v>
      </c>
      <c r="C329" t="s">
        <v>192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192</v>
      </c>
      <c r="C330" t="s">
        <v>192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192</v>
      </c>
      <c r="C331" t="s">
        <v>192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192</v>
      </c>
      <c r="C332" t="s">
        <v>192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197</v>
      </c>
    </row>
    <row r="335" spans="1:10" ht="15" customHeight="1" x14ac:dyDescent="0.25">
      <c r="A335" t="s">
        <v>120</v>
      </c>
      <c r="B335" t="s">
        <v>121</v>
      </c>
      <c r="C335" t="s">
        <v>122</v>
      </c>
      <c r="D335" t="s">
        <v>53</v>
      </c>
      <c r="E335" t="s">
        <v>123</v>
      </c>
      <c r="F335" t="s">
        <v>55</v>
      </c>
      <c r="G335" t="s">
        <v>124</v>
      </c>
      <c r="H335" t="s">
        <v>125</v>
      </c>
      <c r="I335" t="s">
        <v>126</v>
      </c>
      <c r="J335" t="s">
        <v>127</v>
      </c>
    </row>
    <row r="336" spans="1:10" ht="15" customHeight="1" x14ac:dyDescent="0.25">
      <c r="A336">
        <v>20</v>
      </c>
      <c r="B336" t="s">
        <v>192</v>
      </c>
      <c r="C336" t="s">
        <v>192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192</v>
      </c>
      <c r="C337" t="s">
        <v>192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192</v>
      </c>
      <c r="C338" t="s">
        <v>192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192</v>
      </c>
      <c r="C339" t="s">
        <v>192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198</v>
      </c>
    </row>
    <row r="342" spans="1:10" ht="15" customHeight="1" x14ac:dyDescent="0.25">
      <c r="A342" t="s">
        <v>120</v>
      </c>
      <c r="B342" t="s">
        <v>121</v>
      </c>
      <c r="C342" t="s">
        <v>122</v>
      </c>
      <c r="D342" t="s">
        <v>53</v>
      </c>
      <c r="E342" t="s">
        <v>123</v>
      </c>
      <c r="F342" t="s">
        <v>55</v>
      </c>
      <c r="G342" t="s">
        <v>124</v>
      </c>
      <c r="H342" t="s">
        <v>125</v>
      </c>
      <c r="I342" t="s">
        <v>126</v>
      </c>
      <c r="J342" t="s">
        <v>127</v>
      </c>
    </row>
    <row r="343" spans="1:10" ht="15" customHeight="1" x14ac:dyDescent="0.25">
      <c r="A343">
        <v>21</v>
      </c>
      <c r="B343" t="s">
        <v>192</v>
      </c>
      <c r="C343" t="s">
        <v>192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192</v>
      </c>
      <c r="C344" t="s">
        <v>192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199</v>
      </c>
    </row>
    <row r="347" spans="1:10" ht="15" customHeight="1" x14ac:dyDescent="0.25">
      <c r="A347" t="s">
        <v>120</v>
      </c>
      <c r="B347" t="s">
        <v>121</v>
      </c>
      <c r="C347" t="s">
        <v>122</v>
      </c>
      <c r="D347" t="s">
        <v>53</v>
      </c>
      <c r="E347" t="s">
        <v>123</v>
      </c>
      <c r="F347" t="s">
        <v>55</v>
      </c>
      <c r="G347" t="s">
        <v>124</v>
      </c>
      <c r="H347" t="s">
        <v>125</v>
      </c>
      <c r="I347" t="s">
        <v>126</v>
      </c>
      <c r="J347" t="s">
        <v>127</v>
      </c>
    </row>
    <row r="348" spans="1:10" ht="15" customHeight="1" x14ac:dyDescent="0.25">
      <c r="A348">
        <v>22</v>
      </c>
      <c r="B348" t="s">
        <v>192</v>
      </c>
      <c r="C348" t="s">
        <v>192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42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200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201</v>
      </c>
    </row>
    <row r="4" spans="1:9" ht="15" customHeight="1" x14ac:dyDescent="0.25">
      <c r="A4" s="18" t="s">
        <v>52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Detail'!E6:E21&lt;&gt;"")*((('Picks Detail'!F6:F21='Picks Detail'!E6:E21)+('Picks Detail'!E6:E21="PUSH"))&gt;0))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Detail'!E6:E21&lt;&gt;"")*((('Picks Detail'!G6:G21='Picks Detail'!E6:E21)+('Picks Detail'!E6:E21="PUSH"))&gt;0))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Detail'!E6:E21&lt;&gt;"")*((('Picks Detail'!H6:H21='Picks Detail'!E6:E21)+('Picks Detail'!E6:E21="PUSH"))&gt;0))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Detail'!E6:E21&lt;&gt;"")*((('Picks Detail'!I6:I21='Picks Detail'!E6:E21)+('Picks Detail'!E6:E21="PUSH"))&gt;0))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Detail'!E6:E21&lt;&gt;"")*((('Picks Detail'!J6:J21='Picks Detail'!E6:E21)+('Picks Detail'!E6:E21="PUSH"))&gt;0))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Detail'!E6:E21&lt;&gt;"")*((('Picks Detail'!K6:K21='Picks Detail'!E6:E21)+('Picks Detail'!E6:E21="PUSH"))&gt;0))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Detail'!E6:E21&lt;&gt;"")*((('Picks Detail'!L6:L21='Picks Detail'!E6:E21)+('Picks Detail'!E6:E21="PUSH"))&gt;0))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Detail'!E6:E21&lt;&gt;"")*((('Picks Detail'!M6:M21='Picks Detail'!E6:E21)+('Picks Detail'!E6:E21="PUSH"))&gt;0))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Detail'!E6:E21&lt;&gt;"")*((('Picks Detail'!N6:N21='Picks Detail'!E6:E21)+('Picks Detail'!E6:E21="PUSH"))&gt;0))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Detail'!E6:E21&lt;&gt;"")*((('Picks Detail'!O6:O21='Picks Detail'!E6:E21)+('Picks Detail'!E6:E21="PUSH"))&gt;0))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Detail'!E6:E21&lt;&gt;"")*((('Picks Detail'!P6:P21='Picks Detail'!E6:E21)+('Picks Detail'!E6:E21="PUSH"))&gt;0))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Detail'!E6:E21&lt;&gt;"")*((('Picks Detail'!Q6:Q21='Picks Detail'!E6:E21)+('Picks Detail'!E6:E21="PUSH"))&gt;0))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8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Detail'!E25:E40&lt;&gt;"")*((('Picks Detail'!F25:F40='Picks Detail'!E25:E40)+('Picks Detail'!E25:E40="PUSH"))&gt;0))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Detail'!E25:E40&lt;&gt;"")*((('Picks Detail'!G25:G40='Picks Detail'!E25:E40)+('Picks Detail'!E25:E40="PUSH"))&gt;0))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Detail'!E25:E40&lt;&gt;"")*((('Picks Detail'!H25:H40='Picks Detail'!E25:E40)+('Picks Detail'!E25:E40="PUSH"))&gt;0))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Detail'!E25:E40&lt;&gt;"")*((('Picks Detail'!I25:I40='Picks Detail'!E25:E40)+('Picks Detail'!E25:E40="PUSH"))&gt;0))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Detail'!E25:E40&lt;&gt;"")*((('Picks Detail'!J25:J40='Picks Detail'!E25:E40)+('Picks Detail'!E25:E40="PUSH"))&gt;0))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Detail'!E25:E40&lt;&gt;"")*((('Picks Detail'!K25:K40='Picks Detail'!E25:E40)+('Picks Detail'!E25:E40="PUSH"))&gt;0))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Detail'!E25:E40&lt;&gt;"")*((('Picks Detail'!L25:L40='Picks Detail'!E25:E40)+('Picks Detail'!E25:E40="PUSH"))&gt;0))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Detail'!E25:E40&lt;&gt;"")*((('Picks Detail'!M25:M40='Picks Detail'!E25:E40)+('Picks Detail'!E25:E40="PUSH"))&gt;0))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Detail'!E25:E40&lt;&gt;"")*((('Picks Detail'!N25:N40='Picks Detail'!E25:E40)+('Picks Detail'!E25:E40="PUSH"))&gt;0))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Detail'!E25:E40&lt;&gt;"")*((('Picks Detail'!O25:O40='Picks Detail'!E25:E40)+('Picks Detail'!E25:E40="PUSH"))&gt;0))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Detail'!E25:E40&lt;&gt;"")*((('Picks Detail'!P25:P40='Picks Detail'!E25:E40)+('Picks Detail'!E25:E40="PUSH"))&gt;0))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Detail'!E25:E40&lt;&gt;"")*((('Picks Detail'!Q25:Q40='Picks Detail'!E25:E40)+('Picks Detail'!E25:E40="PUSH"))&gt;0))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8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Detail'!E44:E59&lt;&gt;"")*((('Picks Detail'!F44:F59='Picks Detail'!E44:E59)+('Picks Detail'!E44:E59="PUSH"))&gt;0))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Detail'!E44:E59&lt;&gt;"")*((('Picks Detail'!G44:G59='Picks Detail'!E44:E59)+('Picks Detail'!E44:E59="PUSH"))&gt;0))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Detail'!E44:E59&lt;&gt;"")*((('Picks Detail'!H44:H59='Picks Detail'!E44:E59)+('Picks Detail'!E44:E59="PUSH"))&gt;0))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Detail'!E44:E59&lt;&gt;"")*((('Picks Detail'!I44:I59='Picks Detail'!E44:E59)+('Picks Detail'!E44:E59="PUSH"))&gt;0))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Detail'!E44:E59&lt;&gt;"")*((('Picks Detail'!J44:J59='Picks Detail'!E44:E59)+('Picks Detail'!E44:E59="PUSH"))&gt;0))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Detail'!E44:E59&lt;&gt;"")*((('Picks Detail'!K44:K59='Picks Detail'!E44:E59)+('Picks Detail'!E44:E59="PUSH"))&gt;0))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Detail'!E44:E59&lt;&gt;"")*((('Picks Detail'!L44:L59='Picks Detail'!E44:E59)+('Picks Detail'!E44:E59="PUSH"))&gt;0))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Detail'!E44:E59&lt;&gt;"")*((('Picks Detail'!M44:M59='Picks Detail'!E44:E59)+('Picks Detail'!E44:E59="PUSH"))&gt;0))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Detail'!E44:E59&lt;&gt;"")*((('Picks Detail'!N44:N59='Picks Detail'!E44:E59)+('Picks Detail'!E44:E59="PUSH"))&gt;0))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Detail'!E44:E59&lt;&gt;"")*((('Picks Detail'!O44:O59='Picks Detail'!E44:E59)+('Picks Detail'!E44:E59="PUSH"))&gt;0))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Detail'!E44:E59&lt;&gt;"")*((('Picks Detail'!P44:P59='Picks Detail'!E44:E59)+('Picks Detail'!E44:E59="PUSH"))&gt;0))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Detail'!E44:E59&lt;&gt;"")*((('Picks Detail'!Q44:Q59='Picks Detail'!E44:E59)+('Picks Detail'!E44:E59="PUSH"))&gt;0))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8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Detail'!E63:E78&lt;&gt;"")*((('Picks Detail'!F63:F78='Picks Detail'!E63:E78)+('Picks Detail'!E63:E78="PUSH"))&gt;0))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Detail'!E63:E78&lt;&gt;"")*((('Picks Detail'!G63:G78='Picks Detail'!E63:E78)+('Picks Detail'!E63:E78="PUSH"))&gt;0))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Detail'!E63:E78&lt;&gt;"")*((('Picks Detail'!H63:H78='Picks Detail'!E63:E78)+('Picks Detail'!E63:E78="PUSH"))&gt;0))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Detail'!E63:E78&lt;&gt;"")*((('Picks Detail'!I63:I78='Picks Detail'!E63:E78)+('Picks Detail'!E63:E78="PUSH"))&gt;0))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Detail'!E63:E78&lt;&gt;"")*((('Picks Detail'!J63:J78='Picks Detail'!E63:E78)+('Picks Detail'!E63:E78="PUSH"))&gt;0))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Detail'!E63:E78&lt;&gt;"")*((('Picks Detail'!K63:K78='Picks Detail'!E63:E78)+('Picks Detail'!E63:E78="PUSH"))&gt;0))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Detail'!E63:E78&lt;&gt;"")*((('Picks Detail'!L63:L78='Picks Detail'!E63:E78)+('Picks Detail'!E63:E78="PUSH"))&gt;0))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Detail'!E63:E78&lt;&gt;"")*((('Picks Detail'!M63:M78='Picks Detail'!E63:E78)+('Picks Detail'!E63:E78="PUSH"))&gt;0))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Detail'!E63:E78&lt;&gt;"")*((('Picks Detail'!N63:N78='Picks Detail'!E63:E78)+('Picks Detail'!E63:E78="PUSH"))&gt;0))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Detail'!E63:E78&lt;&gt;"")*((('Picks Detail'!O63:O78='Picks Detail'!E63:E78)+('Picks Detail'!E63:E78="PUSH"))&gt;0))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Detail'!E63:E78&lt;&gt;"")*((('Picks Detail'!P63:P78='Picks Detail'!E63:E78)+('Picks Detail'!E63:E78="PUSH"))&gt;0))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Detail'!E63:E78&lt;&gt;"")*((('Picks Detail'!Q63:Q78='Picks Detail'!E63:E78)+('Picks Detail'!E63:E78="PUSH"))&gt;0))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8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Detail'!E82:E96&lt;&gt;"")*((('Picks Detail'!F82:F96='Picks Detail'!E82:E96)+('Picks Detail'!E82:E96="PUSH"))&gt;0))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Detail'!E82:E96&lt;&gt;"")*((('Picks Detail'!G82:G96='Picks Detail'!E82:E96)+('Picks Detail'!E82:E96="PUSH"))&gt;0))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Detail'!E82:E96&lt;&gt;"")*((('Picks Detail'!H82:H96='Picks Detail'!E82:E96)+('Picks Detail'!E82:E96="PUSH"))&gt;0))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Detail'!E82:E96&lt;&gt;"")*((('Picks Detail'!I82:I96='Picks Detail'!E82:E96)+('Picks Detail'!E82:E96="PUSH"))&gt;0))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Detail'!E82:E96&lt;&gt;"")*((('Picks Detail'!J82:J96='Picks Detail'!E82:E96)+('Picks Detail'!E82:E96="PUSH"))&gt;0))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Detail'!E82:E96&lt;&gt;"")*((('Picks Detail'!K82:K96='Picks Detail'!E82:E96)+('Picks Detail'!E82:E96="PUSH"))&gt;0))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Detail'!E82:E96&lt;&gt;"")*((('Picks Detail'!L82:L96='Picks Detail'!E82:E96)+('Picks Detail'!E82:E96="PUSH"))&gt;0))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Detail'!E82:E96&lt;&gt;"")*((('Picks Detail'!M82:M96='Picks Detail'!E82:E96)+('Picks Detail'!E82:E96="PUSH"))&gt;0))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Detail'!E82:E96&lt;&gt;"")*((('Picks Detail'!N82:N96='Picks Detail'!E82:E96)+('Picks Detail'!E82:E96="PUSH"))&gt;0))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Detail'!E82:E96&lt;&gt;"")*((('Picks Detail'!O82:O96='Picks Detail'!E82:E96)+('Picks Detail'!E82:E96="PUSH"))&gt;0))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Detail'!E82:E96&lt;&gt;"")*((('Picks Detail'!P82:P96='Picks Detail'!E82:E96)+('Picks Detail'!E82:E96="PUSH"))&gt;0))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Detail'!E82:E96&lt;&gt;"")*((('Picks Detail'!Q82:Q96='Picks Detail'!E82:E96)+('Picks Detail'!E82:E96="PUSH"))&gt;0))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8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Detail'!E100:E113&lt;&gt;"")*((('Picks Detail'!F100:F113='Picks Detail'!E100:E113)+('Picks Detail'!E100:E113="PUSH"))&gt;0))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Detail'!E100:E113&lt;&gt;"")*((('Picks Detail'!G100:G113='Picks Detail'!E100:E113)+('Picks Detail'!E100:E113="PUSH"))&gt;0))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Detail'!E100:E113&lt;&gt;"")*((('Picks Detail'!H100:H113='Picks Detail'!E100:E113)+('Picks Detail'!E100:E113="PUSH"))&gt;0))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Detail'!E100:E113&lt;&gt;"")*((('Picks Detail'!I100:I113='Picks Detail'!E100:E113)+('Picks Detail'!E100:E113="PUSH"))&gt;0))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Detail'!E100:E113&lt;&gt;"")*((('Picks Detail'!J100:J113='Picks Detail'!E100:E113)+('Picks Detail'!E100:E113="PUSH"))&gt;0))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Detail'!E100:E113&lt;&gt;"")*((('Picks Detail'!K100:K113='Picks Detail'!E100:E113)+('Picks Detail'!E100:E113="PUSH"))&gt;0))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Detail'!E100:E113&lt;&gt;"")*((('Picks Detail'!L100:L113='Picks Detail'!E100:E113)+('Picks Detail'!E100:E113="PUSH"))&gt;0))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Detail'!E100:E113&lt;&gt;"")*((('Picks Detail'!M100:M113='Picks Detail'!E100:E113)+('Picks Detail'!E100:E113="PUSH"))&gt;0))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Detail'!E100:E113&lt;&gt;"")*((('Picks Detail'!N100:N113='Picks Detail'!E100:E113)+('Picks Detail'!E100:E113="PUSH"))&gt;0))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Detail'!E100:E113&lt;&gt;"")*((('Picks Detail'!O100:O113='Picks Detail'!E100:E113)+('Picks Detail'!E100:E113="PUSH"))&gt;0))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Detail'!E100:E113&lt;&gt;"")*((('Picks Detail'!P100:P113='Picks Detail'!E100:E113)+('Picks Detail'!E100:E113="PUSH"))&gt;0))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Detail'!E100:E113&lt;&gt;"")*((('Picks Detail'!Q100:Q113='Picks Detail'!E100:E113)+('Picks Detail'!E100:E113="PUSH"))&gt;0))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abSelected="1" zoomScaleNormal="100" workbookViewId="0">
      <selection activeCell="R16" sqref="R1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209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210</v>
      </c>
    </row>
    <row r="4" spans="1:9" ht="15" customHeight="1" x14ac:dyDescent="0.25">
      <c r="A4" s="18" t="s">
        <v>95</v>
      </c>
    </row>
    <row r="5" spans="1:9" ht="15" customHeight="1" x14ac:dyDescent="0.25">
      <c r="A5" s="2" t="s">
        <v>1</v>
      </c>
      <c r="B5" s="2" t="s">
        <v>2</v>
      </c>
      <c r="C5" s="2" t="s">
        <v>211</v>
      </c>
      <c r="D5" s="2" t="s">
        <v>203</v>
      </c>
      <c r="E5" s="2" t="s">
        <v>212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Detail'!E117:E130&lt;&gt;"")*((('Picks Detail'!F117:F130='Picks Detail'!E117:E130)+('Picks Detail'!E117:E130="PUSH"))&gt;0)*('Picks Detail'!S117:S130))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Detail'!E117:E130&lt;&gt;"")*((('Picks Detail'!G117:G130='Picks Detail'!E117:E130)+('Picks Detail'!E117:E130="PUSH"))&gt;0)*('Picks Detail'!T117:T130))</f>
        <v>8</v>
      </c>
      <c r="D7">
        <v>9</v>
      </c>
      <c r="E7">
        <f>IFERROR(INDEX(C$6:C$17,MATCH(9,A$6:A$17,0)),0)</f>
        <v>6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W</v>
      </c>
      <c r="G7">
        <f t="shared" si="0"/>
        <v>10</v>
      </c>
      <c r="H7">
        <f t="shared" si="1"/>
        <v>8</v>
      </c>
      <c r="I7">
        <f t="shared" si="2"/>
        <v>18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Detail'!E117:E130&lt;&gt;"")*((('Picks Detail'!H117:H130='Picks Detail'!E117:E130)+('Picks Detail'!E117:E130="PUSH"))&gt;0)*('Picks Detail'!U117:U130))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Detail'!E117:E130&lt;&gt;"")*((('Picks Detail'!I117:I130='Picks Detail'!E117:E130)+('Picks Detail'!E117:E130="PUSH"))&gt;0)*('Picks Detail'!V117:V130))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Detail'!E117:E130&lt;&gt;"")*((('Picks Detail'!J117:J130='Picks Detail'!E117:E130)+('Picks Detail'!E117:E130="PUSH"))&gt;0)*('Picks Detail'!W117:W130))</f>
        <v>0</v>
      </c>
      <c r="D10">
        <v>11</v>
      </c>
      <c r="E10">
        <f>IFERROR(INDEX(C$6:C$17,MATCH(11,A$6:A$17,0)),0)</f>
        <v>6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Detail'!E117:E130&lt;&gt;"")*((('Picks Detail'!K117:K130='Picks Detail'!E117:E130)+('Picks Detail'!E117:E130="PUSH"))&gt;0)*('Picks Detail'!X117:X130))</f>
        <v>6</v>
      </c>
      <c r="D11">
        <v>12</v>
      </c>
      <c r="E11">
        <f>IFERROR(INDEX(C$6:C$17,MATCH(12,A$6:A$17,0)),0)</f>
        <v>6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T</v>
      </c>
      <c r="G11">
        <f t="shared" si="0"/>
        <v>5</v>
      </c>
      <c r="H11">
        <f t="shared" si="1"/>
        <v>6</v>
      </c>
      <c r="I11">
        <f t="shared" si="2"/>
        <v>11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Detail'!E117:E130&lt;&gt;"")*((('Picks Detail'!L117:L130='Picks Detail'!E117:E130)+('Picks Detail'!E117:E130="PUSH"))&gt;0)*('Picks Detail'!Y117:Y130))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Detail'!E117:E130&lt;&gt;"")*((('Picks Detail'!M117:M130='Picks Detail'!E117:E130)+('Picks Detail'!E117:E130="PUSH"))&gt;0)*('Picks Detail'!Z117:Z130))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Detail'!E117:E130&lt;&gt;"")*((('Picks Detail'!N117:N130='Picks Detail'!E117:E130)+('Picks Detail'!E117:E130="PUSH"))&gt;0)*('Picks Detail'!AA117:AA130))</f>
        <v>6</v>
      </c>
      <c r="D14">
        <v>2</v>
      </c>
      <c r="E14">
        <f>IFERROR(INDEX(C$6:C$17,MATCH(2,A$6:A$17,0)),0)</f>
        <v>8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L</v>
      </c>
      <c r="G14">
        <f t="shared" si="0"/>
        <v>0</v>
      </c>
      <c r="H14">
        <f t="shared" si="1"/>
        <v>6</v>
      </c>
      <c r="I14">
        <f t="shared" si="2"/>
        <v>6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Detail'!E117:E130&lt;&gt;"")*((('Picks Detail'!O117:O130='Picks Detail'!E117:E130)+('Picks Detail'!E117:E130="PUSH"))&gt;0)*('Picks Detail'!AB117:AB130))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Detail'!E117:E130&lt;&gt;"")*((('Picks Detail'!P117:P130='Picks Detail'!E117:E130)+('Picks Detail'!E117:E130="PUSH"))&gt;0)*('Picks Detail'!AC117:AC130))</f>
        <v>6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W</v>
      </c>
      <c r="G16">
        <f t="shared" si="0"/>
        <v>10</v>
      </c>
      <c r="H16">
        <f t="shared" si="1"/>
        <v>6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Detail'!E117:E130&lt;&gt;"")*((('Picks Detail'!Q117:Q130='Picks Detail'!E117:E130)+('Picks Detail'!E117:E130="PUSH"))&gt;0)*('Picks Detail'!AD117:AD130))</f>
        <v>6</v>
      </c>
      <c r="D17">
        <v>6</v>
      </c>
      <c r="E17">
        <f>IFERROR(INDEX(C$6:C$17,MATCH(6,A$6:A$17,0)),0)</f>
        <v>6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T</v>
      </c>
      <c r="G17">
        <f t="shared" si="0"/>
        <v>5</v>
      </c>
      <c r="H17">
        <f t="shared" si="1"/>
        <v>6</v>
      </c>
      <c r="I17">
        <f t="shared" si="2"/>
        <v>11</v>
      </c>
    </row>
    <row r="19" spans="1:9" ht="15" customHeight="1" x14ac:dyDescent="0.25">
      <c r="A19" s="18" t="s">
        <v>109</v>
      </c>
    </row>
    <row r="20" spans="1:9" ht="15" customHeight="1" x14ac:dyDescent="0.25">
      <c r="A20" s="2" t="s">
        <v>1</v>
      </c>
      <c r="B20" s="2" t="s">
        <v>2</v>
      </c>
      <c r="C20" s="2" t="s">
        <v>211</v>
      </c>
      <c r="D20" s="2" t="s">
        <v>203</v>
      </c>
      <c r="E20" s="2" t="s">
        <v>212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Detail'!E134:E147&lt;&gt;"")*((('Picks Detail'!F134:F147='Picks Detail'!E134:E147)+('Picks Detail'!E134:E147="PUSH"))&gt;0)*('Picks Detail'!S134:S147))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Detail'!E134:E147&lt;&gt;"")*((('Picks Detail'!G134:G147='Picks Detail'!E134:E147)+('Picks Detail'!E134:E147="PUSH"))&gt;0)*('Picks Detail'!T134:T147))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Detail'!E134:E147&lt;&gt;"")*((('Picks Detail'!H134:H147='Picks Detail'!E134:E147)+('Picks Detail'!E134:E147="PUSH"))&gt;0)*('Picks Detail'!U134:U147))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Detail'!E134:E147&lt;&gt;"")*((('Picks Detail'!I134:I147='Picks Detail'!E134:E147)+('Picks Detail'!E134:E147="PUSH"))&gt;0)*('Picks Detail'!V134:V147))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Detail'!E134:E147&lt;&gt;"")*((('Picks Detail'!J134:J147='Picks Detail'!E134:E147)+('Picks Detail'!E134:E147="PUSH"))&gt;0)*('Picks Detail'!W134:W147))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Detail'!E134:E147&lt;&gt;"")*((('Picks Detail'!K134:K147='Picks Detail'!E134:E147)+('Picks Detail'!E134:E147="PUSH"))&gt;0)*('Picks Detail'!X134:X147))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Detail'!E134:E147&lt;&gt;"")*((('Picks Detail'!L134:L147='Picks Detail'!E134:E147)+('Picks Detail'!E134:E147="PUSH"))&gt;0)*('Picks Detail'!Y134:Y147))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Detail'!E134:E147&lt;&gt;"")*((('Picks Detail'!M134:M147='Picks Detail'!E134:E147)+('Picks Detail'!E134:E147="PUSH"))&gt;0)*('Picks Detail'!Z134:Z147))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Detail'!E134:E147&lt;&gt;"")*((('Picks Detail'!N134:N147='Picks Detail'!E134:E147)+('Picks Detail'!E134:E147="PUSH"))&gt;0)*('Picks Detail'!AA134:AA147))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Detail'!E134:E147&lt;&gt;"")*((('Picks Detail'!O134:O147='Picks Detail'!E134:E147)+('Picks Detail'!E134:E147="PUSH"))&gt;0)*('Picks Detail'!AB134:AB147))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Detail'!E134:E147&lt;&gt;"")*((('Picks Detail'!P134:P147='Picks Detail'!E134:E147)+('Picks Detail'!E134:E147="PUSH"))&gt;0)*('Picks Detail'!AC134:AC147))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Detail'!E134:E147&lt;&gt;"")*((('Picks Detail'!Q134:Q147='Picks Detail'!E134:E147)+('Picks Detail'!E134:E147="PUSH"))&gt;0)*('Picks Detail'!AD134:AD147))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110</v>
      </c>
    </row>
    <row r="35" spans="1:9" ht="15" customHeight="1" x14ac:dyDescent="0.25">
      <c r="A35" s="2" t="s">
        <v>1</v>
      </c>
      <c r="B35" s="2" t="s">
        <v>2</v>
      </c>
      <c r="C35" s="2" t="s">
        <v>211</v>
      </c>
      <c r="D35" s="2" t="s">
        <v>203</v>
      </c>
      <c r="E35" s="2" t="s">
        <v>212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Detail'!E151:E165&lt;&gt;"")*((('Picks Detail'!F151:F165='Picks Detail'!E151:E165)+('Picks Detail'!E151:E165="PUSH"))&gt;0)*('Picks Detail'!S151:S165))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Detail'!E151:E165&lt;&gt;"")*((('Picks Detail'!G151:G165='Picks Detail'!E151:E165)+('Picks Detail'!E151:E165="PUSH"))&gt;0)*('Picks Detail'!T151:T165))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Detail'!E151:E165&lt;&gt;"")*((('Picks Detail'!H151:H165='Picks Detail'!E151:E165)+('Picks Detail'!E151:E165="PUSH"))&gt;0)*('Picks Detail'!U151:U165))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Detail'!E151:E165&lt;&gt;"")*((('Picks Detail'!I151:I165='Picks Detail'!E151:E165)+('Picks Detail'!E151:E165="PUSH"))&gt;0)*('Picks Detail'!V151:V165))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Detail'!E151:E165&lt;&gt;"")*((('Picks Detail'!J151:J165='Picks Detail'!E151:E165)+('Picks Detail'!E151:E165="PUSH"))&gt;0)*('Picks Detail'!W151:W165))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Detail'!E151:E165&lt;&gt;"")*((('Picks Detail'!K151:K165='Picks Detail'!E151:E165)+('Picks Detail'!E151:E165="PUSH"))&gt;0)*('Picks Detail'!X151:X165))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Detail'!E151:E165&lt;&gt;"")*((('Picks Detail'!L151:L165='Picks Detail'!E151:E165)+('Picks Detail'!E151:E165="PUSH"))&gt;0)*('Picks Detail'!Y151:Y165))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Detail'!E151:E165&lt;&gt;"")*((('Picks Detail'!M151:M165='Picks Detail'!E151:E165)+('Picks Detail'!E151:E165="PUSH"))&gt;0)*('Picks Detail'!Z151:Z165))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Detail'!E151:E165&lt;&gt;"")*((('Picks Detail'!N151:N165='Picks Detail'!E151:E165)+('Picks Detail'!E151:E165="PUSH"))&gt;0)*('Picks Detail'!AA151:AA165))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Detail'!E151:E165&lt;&gt;"")*((('Picks Detail'!O151:O165='Picks Detail'!E151:E165)+('Picks Detail'!E151:E165="PUSH"))&gt;0)*('Picks Detail'!AB151:AB165))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Detail'!E151:E165&lt;&gt;"")*((('Picks Detail'!P151:P165='Picks Detail'!E151:E165)+('Picks Detail'!E151:E165="PUSH"))&gt;0)*('Picks Detail'!AC151:AC165))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Detail'!E151:E165&lt;&gt;"")*((('Picks Detail'!Q151:Q165='Picks Detail'!E151:E165)+('Picks Detail'!E151:E165="PUSH"))&gt;0)*('Picks Detail'!AD151:AD165))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211</v>
      </c>
      <c r="D50" s="2" t="s">
        <v>203</v>
      </c>
      <c r="E50" s="2" t="s">
        <v>212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Detail'!E169:E182&lt;&gt;"")*((('Picks Detail'!F169:F182='Picks Detail'!E169:E182)+('Picks Detail'!E169:E182="PUSH"))&gt;0)*('Picks Detail'!S169:S182))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Detail'!E169:E182&lt;&gt;"")*((('Picks Detail'!G169:G182='Picks Detail'!E169:E182)+('Picks Detail'!E169:E182="PUSH"))&gt;0)*('Picks Detail'!T169:T182))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Detail'!E169:E182&lt;&gt;"")*((('Picks Detail'!H169:H182='Picks Detail'!E169:E182)+('Picks Detail'!E169:E182="PUSH"))&gt;0)*('Picks Detail'!U169:U182))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Detail'!E169:E182&lt;&gt;"")*((('Picks Detail'!I169:I182='Picks Detail'!E169:E182)+('Picks Detail'!E169:E182="PUSH"))&gt;0)*('Picks Detail'!V169:V182))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Detail'!E169:E182&lt;&gt;"")*((('Picks Detail'!J169:J182='Picks Detail'!E169:E182)+('Picks Detail'!E169:E182="PUSH"))&gt;0)*('Picks Detail'!W169:W182))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Detail'!E169:E182&lt;&gt;"")*((('Picks Detail'!K169:K182='Picks Detail'!E169:E182)+('Picks Detail'!E169:E182="PUSH"))&gt;0)*('Picks Detail'!X169:X182))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Detail'!E169:E182&lt;&gt;"")*((('Picks Detail'!L169:L182='Picks Detail'!E169:E182)+('Picks Detail'!E169:E182="PUSH"))&gt;0)*('Picks Detail'!Y169:Y182))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Detail'!E169:E182&lt;&gt;"")*((('Picks Detail'!M169:M182='Picks Detail'!E169:E182)+('Picks Detail'!E169:E182="PUSH"))&gt;0)*('Picks Detail'!Z169:Z182))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Detail'!E169:E182&lt;&gt;"")*((('Picks Detail'!N169:N182='Picks Detail'!E169:E182)+('Picks Detail'!E169:E182="PUSH"))&gt;0)*('Picks Detail'!AA169:AA182))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Detail'!E169:E182&lt;&gt;"")*((('Picks Detail'!O169:O182='Picks Detail'!E169:E182)+('Picks Detail'!E169:E182="PUSH"))&gt;0)*('Picks Detail'!AB169:AB182))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Detail'!E169:E182&lt;&gt;"")*((('Picks Detail'!P169:P182='Picks Detail'!E169:E182)+('Picks Detail'!E169:E182="PUSH"))&gt;0)*('Picks Detail'!AC169:AC182))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Detail'!E169:E182&lt;&gt;"")*((('Picks Detail'!Q169:Q182='Picks Detail'!E169:E182)+('Picks Detail'!E169:E182="PUSH"))&gt;0)*('Picks Detail'!AD169:AD182))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112</v>
      </c>
    </row>
    <row r="65" spans="1:9" ht="15" customHeight="1" x14ac:dyDescent="0.25">
      <c r="A65" s="2" t="s">
        <v>1</v>
      </c>
      <c r="B65" s="2" t="s">
        <v>2</v>
      </c>
      <c r="C65" s="2" t="s">
        <v>211</v>
      </c>
      <c r="D65" s="2" t="s">
        <v>203</v>
      </c>
      <c r="E65" s="2" t="s">
        <v>212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Detail'!E186:E198&lt;&gt;"")*((('Picks Detail'!F186:F198='Picks Detail'!E186:E198)+('Picks Detail'!E186:E198="PUSH"))&gt;0)*('Picks Detail'!S186:S198))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Detail'!E186:E198&lt;&gt;"")*((('Picks Detail'!G186:G198='Picks Detail'!E186:E198)+('Picks Detail'!E186:E198="PUSH"))&gt;0)*('Picks Detail'!T186:T198))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Detail'!E186:E198&lt;&gt;"")*((('Picks Detail'!H186:H198='Picks Detail'!E186:E198)+('Picks Detail'!E186:E198="PUSH"))&gt;0)*('Picks Detail'!U186:U198))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Detail'!E186:E198&lt;&gt;"")*((('Picks Detail'!I186:I198='Picks Detail'!E186:E198)+('Picks Detail'!E186:E198="PUSH"))&gt;0)*('Picks Detail'!V186:V198))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Detail'!E186:E198&lt;&gt;"")*((('Picks Detail'!J186:J198='Picks Detail'!E186:E198)+('Picks Detail'!E186:E198="PUSH"))&gt;0)*('Picks Detail'!W186:W198))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Detail'!E186:E198&lt;&gt;"")*((('Picks Detail'!K186:K198='Picks Detail'!E186:E198)+('Picks Detail'!E186:E198="PUSH"))&gt;0)*('Picks Detail'!X186:X198))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Detail'!E186:E198&lt;&gt;"")*((('Picks Detail'!L186:L198='Picks Detail'!E186:E198)+('Picks Detail'!E186:E198="PUSH"))&gt;0)*('Picks Detail'!Y186:Y198))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Detail'!E186:E198&lt;&gt;"")*((('Picks Detail'!M186:M198='Picks Detail'!E186:E198)+('Picks Detail'!E186:E198="PUSH"))&gt;0)*('Picks Detail'!Z186:Z198))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Detail'!E186:E198&lt;&gt;"")*((('Picks Detail'!N186:N198='Picks Detail'!E186:E198)+('Picks Detail'!E186:E198="PUSH"))&gt;0)*('Picks Detail'!AA186:AA198))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Detail'!E186:E198&lt;&gt;"")*((('Picks Detail'!O186:O198='Picks Detail'!E186:E198)+('Picks Detail'!E186:E198="PUSH"))&gt;0)*('Picks Detail'!AB186:AB198))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Detail'!E186:E198&lt;&gt;"")*((('Picks Detail'!P186:P198='Picks Detail'!E186:E198)+('Picks Detail'!E186:E198="PUSH"))&gt;0)*('Picks Detail'!AC186:AC198))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Detail'!E186:E198&lt;&gt;"")*((('Picks Detail'!Q186:Q198='Picks Detail'!E186:E198)+('Picks Detail'!E186:E198="PUSH"))&gt;0)*('Picks Detail'!AD186:AD198))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113</v>
      </c>
    </row>
    <row r="80" spans="1:9" ht="15" customHeight="1" x14ac:dyDescent="0.25">
      <c r="A80" s="2" t="s">
        <v>1</v>
      </c>
      <c r="B80" s="2" t="s">
        <v>2</v>
      </c>
      <c r="C80" s="2" t="s">
        <v>211</v>
      </c>
      <c r="D80" s="2" t="s">
        <v>203</v>
      </c>
      <c r="E80" s="2" t="s">
        <v>212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Detail'!E202:E217&lt;&gt;"")*((('Picks Detail'!F202:F217='Picks Detail'!E202:E217)+('Picks Detail'!E202:E217="PUSH"))&gt;0)*('Picks Detail'!S202:S217))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Detail'!E202:E217&lt;&gt;"")*((('Picks Detail'!G202:G217='Picks Detail'!E202:E217)+('Picks Detail'!E202:E217="PUSH"))&gt;0)*('Picks Detail'!T202:T217))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Detail'!E202:E217&lt;&gt;"")*((('Picks Detail'!H202:H217='Picks Detail'!E202:E217)+('Picks Detail'!E202:E217="PUSH"))&gt;0)*('Picks Detail'!U202:U217))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Detail'!E202:E217&lt;&gt;"")*((('Picks Detail'!I202:I217='Picks Detail'!E202:E217)+('Picks Detail'!E202:E217="PUSH"))&gt;0)*('Picks Detail'!V202:V217))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Detail'!E202:E217&lt;&gt;"")*((('Picks Detail'!J202:J217='Picks Detail'!E202:E217)+('Picks Detail'!E202:E217="PUSH"))&gt;0)*('Picks Detail'!W202:W217))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Detail'!E202:E217&lt;&gt;"")*((('Picks Detail'!K202:K217='Picks Detail'!E202:E217)+('Picks Detail'!E202:E217="PUSH"))&gt;0)*('Picks Detail'!X202:X217))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Detail'!E202:E217&lt;&gt;"")*((('Picks Detail'!L202:L217='Picks Detail'!E202:E217)+('Picks Detail'!E202:E217="PUSH"))&gt;0)*('Picks Detail'!Y202:Y217))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Detail'!E202:E217&lt;&gt;"")*((('Picks Detail'!M202:M217='Picks Detail'!E202:E217)+('Picks Detail'!E202:E217="PUSH"))&gt;0)*('Picks Detail'!Z202:Z217))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Detail'!E202:E217&lt;&gt;"")*((('Picks Detail'!N202:N217='Picks Detail'!E202:E217)+('Picks Detail'!E202:E217="PUSH"))&gt;0)*('Picks Detail'!AA202:AA217))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Detail'!E202:E217&lt;&gt;"")*((('Picks Detail'!O202:O217='Picks Detail'!E202:E217)+('Picks Detail'!E202:E217="PUSH"))&gt;0)*('Picks Detail'!AB202:AB217))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Detail'!E202:E217&lt;&gt;"")*((('Picks Detail'!P202:P217='Picks Detail'!E202:E217)+('Picks Detail'!E202:E217="PUSH"))&gt;0)*('Picks Detail'!AC202:AC217))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Detail'!E202:E217&lt;&gt;"")*((('Picks Detail'!Q202:Q217='Picks Detail'!E202:E217)+('Picks Detail'!E202:E217="PUSH"))&gt;0)*('Picks Detail'!AD202:AD217))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4" t="s">
        <v>213</v>
      </c>
      <c r="B1" s="24"/>
      <c r="C1" s="24"/>
      <c r="D1" s="24"/>
      <c r="E1" s="24"/>
      <c r="F1" s="24"/>
      <c r="G1" s="24"/>
      <c r="H1" s="24"/>
      <c r="I1" s="24"/>
    </row>
    <row r="2" spans="1:9" ht="15" customHeight="1" x14ac:dyDescent="0.25">
      <c r="A2" s="5" t="s">
        <v>214</v>
      </c>
    </row>
    <row r="4" spans="1:9" ht="15" customHeight="1" x14ac:dyDescent="0.25">
      <c r="A4" s="18" t="s">
        <v>114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215</v>
      </c>
      <c r="H5" s="2" t="s">
        <v>216</v>
      </c>
      <c r="I5" s="2" t="s">
        <v>217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Detail'!E221:E234&lt;&gt;"")*((('Picks Detail'!F221:F234='Picks Detail'!E221:E234)+('Picks Detail'!E221:E234="PUSH"))&gt;0))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Detail'!E221:E234&lt;&gt;"")*((('Picks Detail'!G221:G234='Picks Detail'!E221:E234)+('Picks Detail'!E221:E234="PUSH"))&gt;0))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Detail'!E221:E234&lt;&gt;"")*((('Picks Detail'!H221:H234='Picks Detail'!E221:E234)+('Picks Detail'!E221:E234="PUSH"))&gt;0))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Detail'!E221:E234&lt;&gt;"")*((('Picks Detail'!I221:I234='Picks Detail'!E221:E234)+('Picks Detail'!E221:E234="PUSH"))&gt;0))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Detail'!E221:E234&lt;&gt;"")*((('Picks Detail'!J221:J234='Picks Detail'!E221:E234)+('Picks Detail'!E221:E234="PUSH"))&gt;0))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Detail'!E221:E234&lt;&gt;"")*((('Picks Detail'!K221:K234='Picks Detail'!E221:E234)+('Picks Detail'!E221:E234="PUSH"))&gt;0))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Detail'!E221:E234&lt;&gt;"")*((('Picks Detail'!L221:L234='Picks Detail'!E221:E234)+('Picks Detail'!E221:E234="PUSH"))&gt;0))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Detail'!E221:E234&lt;&gt;"")*((('Picks Detail'!M221:M234='Picks Detail'!E221:E234)+('Picks Detail'!E221:E234="PUSH"))&gt;0))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Detail'!E221:E234&lt;&gt;"")*((('Picks Detail'!N221:N234='Picks Detail'!E221:E234)+('Picks Detail'!E221:E234="PUSH"))&gt;0))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Detail'!E221:E234&lt;&gt;"")*((('Picks Detail'!O221:O234='Picks Detail'!E221:E234)+('Picks Detail'!E221:E234="PUSH"))&gt;0))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Detail'!E221:E234&lt;&gt;"")*((('Picks Detail'!P221:P234='Picks Detail'!E221:E234)+('Picks Detail'!E221:E234="PUSH"))&gt;0))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Detail'!E221:E234&lt;&gt;"")*((('Picks Detail'!Q221:Q234='Picks Detail'!E221:E234)+('Picks Detail'!E221:E234="PUSH"))&gt;0))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115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215</v>
      </c>
      <c r="H20" s="2" t="s">
        <v>216</v>
      </c>
      <c r="I20" s="2" t="s">
        <v>217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Detail'!E238:E252&lt;&gt;"")*((('Picks Detail'!F238:F252='Picks Detail'!E238:E252)+('Picks Detail'!E238:E252="PUSH"))&gt;0))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Detail'!E238:E252&lt;&gt;"")*((('Picks Detail'!G238:G252='Picks Detail'!E238:E252)+('Picks Detail'!E238:E252="PUSH"))&gt;0))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Detail'!E238:E252&lt;&gt;"")*((('Picks Detail'!H238:H252='Picks Detail'!E238:E252)+('Picks Detail'!E238:E252="PUSH"))&gt;0))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Detail'!E238:E252&lt;&gt;"")*((('Picks Detail'!I238:I252='Picks Detail'!E238:E252)+('Picks Detail'!E238:E252="PUSH"))&gt;0))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Detail'!E238:E252&lt;&gt;"")*((('Picks Detail'!J238:J252='Picks Detail'!E238:E252)+('Picks Detail'!E238:E252="PUSH"))&gt;0))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Detail'!E238:E252&lt;&gt;"")*((('Picks Detail'!K238:K252='Picks Detail'!E238:E252)+('Picks Detail'!E238:E252="PUSH"))&gt;0))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Detail'!E238:E252&lt;&gt;"")*((('Picks Detail'!L238:L252='Picks Detail'!E238:E252)+('Picks Detail'!E238:E252="PUSH"))&gt;0))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Detail'!E238:E252&lt;&gt;"")*((('Picks Detail'!M238:M252='Picks Detail'!E238:E252)+('Picks Detail'!E238:E252="PUSH"))&gt;0))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Detail'!E238:E252&lt;&gt;"")*((('Picks Detail'!N238:N252='Picks Detail'!E238:E252)+('Picks Detail'!E238:E252="PUSH"))&gt;0))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Detail'!E238:E252&lt;&gt;"")*((('Picks Detail'!O238:O252='Picks Detail'!E238:E252)+('Picks Detail'!E238:E252="PUSH"))&gt;0))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Detail'!E238:E252&lt;&gt;"")*((('Picks Detail'!P238:P252='Picks Detail'!E238:E252)+('Picks Detail'!E238:E252="PUSH"))&gt;0))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Detail'!E238:E252&lt;&gt;"")*((('Picks Detail'!Q238:Q252='Picks Detail'!E238:E252)+('Picks Detail'!E238:E252="PUSH"))&gt;0))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116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215</v>
      </c>
      <c r="H35" s="2" t="s">
        <v>216</v>
      </c>
      <c r="I35" s="2" t="s">
        <v>217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Detail'!E256:E271&lt;&gt;"")*((('Picks Detail'!F256:F271='Picks Detail'!E256:E271)+('Picks Detail'!E256:E271="PUSH"))&gt;0))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Detail'!E256:E271&lt;&gt;"")*((('Picks Detail'!G256:G271='Picks Detail'!E256:E271)+('Picks Detail'!E256:E271="PUSH"))&gt;0))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Detail'!E256:E271&lt;&gt;"")*((('Picks Detail'!H256:H271='Picks Detail'!E256:E271)+('Picks Detail'!E256:E271="PUSH"))&gt;0))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Detail'!E256:E271&lt;&gt;"")*((('Picks Detail'!I256:I271='Picks Detail'!E256:E271)+('Picks Detail'!E256:E271="PUSH"))&gt;0))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Detail'!E256:E271&lt;&gt;"")*((('Picks Detail'!J256:J271='Picks Detail'!E256:E271)+('Picks Detail'!E256:E271="PUSH"))&gt;0))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Detail'!E256:E271&lt;&gt;"")*((('Picks Detail'!K256:K271='Picks Detail'!E256:E271)+('Picks Detail'!E256:E271="PUSH"))&gt;0))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Detail'!E256:E271&lt;&gt;"")*((('Picks Detail'!L256:L271='Picks Detail'!E256:E271)+('Picks Detail'!E256:E271="PUSH"))&gt;0))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Detail'!E256:E271&lt;&gt;"")*((('Picks Detail'!M256:M271='Picks Detail'!E256:E271)+('Picks Detail'!E256:E271="PUSH"))&gt;0))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Detail'!E256:E271&lt;&gt;"")*((('Picks Detail'!N256:N271='Picks Detail'!E256:E271)+('Picks Detail'!E256:E271="PUSH"))&gt;0))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Detail'!E256:E271&lt;&gt;"")*((('Picks Detail'!O256:O271='Picks Detail'!E256:E271)+('Picks Detail'!E256:E271="PUSH"))&gt;0))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Detail'!E256:E271&lt;&gt;"")*((('Picks Detail'!P256:P271='Picks Detail'!E256:E271)+('Picks Detail'!E256:E271="PUSH"))&gt;0))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Detail'!E256:E271&lt;&gt;"")*((('Picks Detail'!Q256:Q271='Picks Detail'!E256:E271)+('Picks Detail'!E256:E271="PUSH"))&gt;0))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117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215</v>
      </c>
      <c r="H50" s="2" t="s">
        <v>216</v>
      </c>
      <c r="I50" s="2" t="s">
        <v>217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Detail'!E275:E290&lt;&gt;"")*((('Picks Detail'!F275:F290='Picks Detail'!E275:E290)+('Picks Detail'!E275:E290="PUSH"))&gt;0))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Detail'!E275:E290&lt;&gt;"")*((('Picks Detail'!G275:G290='Picks Detail'!E275:E290)+('Picks Detail'!E275:E290="PUSH"))&gt;0))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Detail'!E275:E290&lt;&gt;"")*((('Picks Detail'!H275:H290='Picks Detail'!E275:E290)+('Picks Detail'!E275:E290="PUSH"))&gt;0))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Detail'!E275:E290&lt;&gt;"")*((('Picks Detail'!I275:I290='Picks Detail'!E275:E290)+('Picks Detail'!E275:E290="PUSH"))&gt;0))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Detail'!E275:E290&lt;&gt;"")*((('Picks Detail'!J275:J290='Picks Detail'!E275:E290)+('Picks Detail'!E275:E290="PUSH"))&gt;0))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Detail'!E275:E290&lt;&gt;"")*((('Picks Detail'!K275:K290='Picks Detail'!E275:E290)+('Picks Detail'!E275:E290="PUSH"))&gt;0))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Detail'!E275:E290&lt;&gt;"")*((('Picks Detail'!L275:L290='Picks Detail'!E275:E290)+('Picks Detail'!E275:E290="PUSH"))&gt;0))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Detail'!E275:E290&lt;&gt;"")*((('Picks Detail'!M275:M290='Picks Detail'!E275:E290)+('Picks Detail'!E275:E290="PUSH"))&gt;0))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Detail'!E275:E290&lt;&gt;"")*((('Picks Detail'!N275:N290='Picks Detail'!E275:E290)+('Picks Detail'!E275:E290="PUSH"))&gt;0))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Detail'!E275:E290&lt;&gt;"")*((('Picks Detail'!O275:O290='Picks Detail'!E275:E290)+('Picks Detail'!E275:E290="PUSH"))&gt;0))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Detail'!E275:E290&lt;&gt;"")*((('Picks Detail'!P275:P290='Picks Detail'!E275:E290)+('Picks Detail'!E275:E290="PUSH"))&gt;0))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Detail'!E275:E290&lt;&gt;"")*((('Picks Detail'!Q275:Q290='Picks Detail'!E275:E290)+('Picks Detail'!E275:E290="PUSH"))&gt;0))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118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215</v>
      </c>
      <c r="H65" s="2" t="s">
        <v>216</v>
      </c>
      <c r="I65" s="2" t="s">
        <v>217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Detail'!E294:E309&lt;&gt;"")*((('Picks Detail'!F294:F309='Picks Detail'!E294:E309)+('Picks Detail'!E294:E309="PUSH"))&gt;0))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Detail'!E294:E309&lt;&gt;"")*((('Picks Detail'!G294:G309='Picks Detail'!E294:E309)+('Picks Detail'!E294:E309="PUSH"))&gt;0))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Detail'!E294:E309&lt;&gt;"")*((('Picks Detail'!H294:H309='Picks Detail'!E294:E309)+('Picks Detail'!E294:E309="PUSH"))&gt;0))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Detail'!E294:E309&lt;&gt;"")*((('Picks Detail'!I294:I309='Picks Detail'!E294:E309)+('Picks Detail'!E294:E309="PUSH"))&gt;0))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Detail'!E294:E309&lt;&gt;"")*((('Picks Detail'!J294:J309='Picks Detail'!E294:E309)+('Picks Detail'!E294:E309="PUSH"))&gt;0))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Detail'!E294:E309&lt;&gt;"")*((('Picks Detail'!K294:K309='Picks Detail'!E294:E309)+('Picks Detail'!E294:E309="PUSH"))&gt;0))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Detail'!E294:E309&lt;&gt;"")*((('Picks Detail'!L294:L309='Picks Detail'!E294:E309)+('Picks Detail'!E294:E309="PUSH"))&gt;0))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Detail'!E294:E309&lt;&gt;"")*((('Picks Detail'!M294:M309='Picks Detail'!E294:E309)+('Picks Detail'!E294:E309="PUSH"))&gt;0))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Detail'!E294:E309&lt;&gt;"")*((('Picks Detail'!N294:N309='Picks Detail'!E294:E309)+('Picks Detail'!E294:E309="PUSH"))&gt;0))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Detail'!E294:E309&lt;&gt;"")*((('Picks Detail'!O294:O309='Picks Detail'!E294:E309)+('Picks Detail'!E294:E309="PUSH"))&gt;0))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Detail'!E294:E309&lt;&gt;"")*((('Picks Detail'!P294:P309='Picks Detail'!E294:E309)+('Picks Detail'!E294:E309="PUSH"))&gt;0))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Detail'!E294:E309&lt;&gt;"")*((('Picks Detail'!Q294:Q309='Picks Detail'!E294:E309)+('Picks Detail'!E294:E309="PUSH"))&gt;0))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119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215</v>
      </c>
      <c r="H80" s="2" t="s">
        <v>216</v>
      </c>
      <c r="I80" s="2" t="s">
        <v>217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Detail'!E313:E328&lt;&gt;"")*((('Picks Detail'!F313:F328='Picks Detail'!E313:E328)+('Picks Detail'!E313:E328="PUSH"))&gt;0))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Detail'!E313:E328&lt;&gt;"")*((('Picks Detail'!G313:G328='Picks Detail'!E313:E328)+('Picks Detail'!E313:E328="PUSH"))&gt;0))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Detail'!E313:E328&lt;&gt;"")*((('Picks Detail'!H313:H328='Picks Detail'!E313:E328)+('Picks Detail'!E313:E328="PUSH"))&gt;0))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Detail'!E313:E328&lt;&gt;"")*((('Picks Detail'!I313:I328='Picks Detail'!E313:E328)+('Picks Detail'!E313:E328="PUSH"))&gt;0))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Detail'!E313:E328&lt;&gt;"")*((('Picks Detail'!J313:J328='Picks Detail'!E313:E328)+('Picks Detail'!E313:E328="PUSH"))&gt;0))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Detail'!E313:E328&lt;&gt;"")*((('Picks Detail'!K313:K328='Picks Detail'!E313:E328)+('Picks Detail'!E313:E328="PUSH"))&gt;0))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Detail'!E313:E328&lt;&gt;"")*((('Picks Detail'!L313:L328='Picks Detail'!E313:E328)+('Picks Detail'!E313:E328="PUSH"))&gt;0))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Detail'!E313:E328&lt;&gt;"")*((('Picks Detail'!M313:M328='Picks Detail'!E313:E328)+('Picks Detail'!E313:E328="PUSH"))&gt;0))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Detail'!E313:E328&lt;&gt;"")*((('Picks Detail'!N313:N328='Picks Detail'!E313:E328)+('Picks Detail'!E313:E328="PUSH"))&gt;0))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Detail'!E313:E328&lt;&gt;"")*((('Picks Detail'!O313:O328='Picks Detail'!E313:E328)+('Picks Detail'!E313:E328="PUSH"))&gt;0))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Detail'!E313:E328&lt;&gt;"")*((('Picks Detail'!P313:P328='Picks Detail'!E313:E328)+('Picks Detail'!E313:E328="PUSH"))&gt;0))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Detail'!E313:E328&lt;&gt;"")*((('Picks Detail'!Q313:Q328='Picks Detail'!E313:E328)+('Picks Detail'!E313:E328="PUSH"))&gt;0))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4" t="s">
        <v>218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5" customHeight="1" x14ac:dyDescent="0.25">
      <c r="A2" s="2" t="s">
        <v>219</v>
      </c>
      <c r="B2" s="2" t="s">
        <v>220</v>
      </c>
      <c r="C2" s="2" t="s">
        <v>221</v>
      </c>
      <c r="D2" s="2" t="s">
        <v>222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8" t="s">
        <v>230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1" ht="15" customHeight="1" x14ac:dyDescent="0.25">
      <c r="A17" s="2" t="s">
        <v>219</v>
      </c>
      <c r="B17" s="2" t="s">
        <v>220</v>
      </c>
      <c r="C17" s="2" t="s">
        <v>231</v>
      </c>
      <c r="D17" s="2" t="s">
        <v>232</v>
      </c>
      <c r="E17" s="2" t="s">
        <v>233</v>
      </c>
      <c r="F17" s="2" t="s">
        <v>234</v>
      </c>
      <c r="G17" s="2" t="s">
        <v>235</v>
      </c>
      <c r="H17" s="2" t="s">
        <v>236</v>
      </c>
      <c r="I17" s="2" t="s">
        <v>227</v>
      </c>
      <c r="J17" s="2" t="s">
        <v>228</v>
      </c>
      <c r="K17" s="2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8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8</v>
      </c>
      <c r="J19">
        <f>Helper!S3</f>
        <v>0</v>
      </c>
      <c r="K19">
        <f>MAX(Helper!L3:Q3)</f>
        <v>8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6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6</v>
      </c>
      <c r="J23">
        <f>Helper!S7</f>
        <v>0</v>
      </c>
      <c r="K23">
        <f>MAX(Helper!L7:Q7)</f>
        <v>6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6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6</v>
      </c>
      <c r="J26">
        <f>Helper!S10</f>
        <v>0</v>
      </c>
      <c r="K26">
        <f>MAX(Helper!L10:Q10)</f>
        <v>6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6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6</v>
      </c>
      <c r="J28">
        <f>Helper!S12</f>
        <v>0</v>
      </c>
      <c r="K28">
        <f>MAX(Helper!L12:Q12)</f>
        <v>6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6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6</v>
      </c>
      <c r="J29">
        <f>Helper!S13</f>
        <v>0</v>
      </c>
      <c r="K29">
        <f>MAX(Helper!L13:Q13)</f>
        <v>6</v>
      </c>
    </row>
    <row r="31" spans="1:11" ht="17.25" customHeight="1" x14ac:dyDescent="0.25">
      <c r="A31" s="29" t="s">
        <v>237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</row>
    <row r="32" spans="1:11" ht="15" customHeight="1" x14ac:dyDescent="0.25">
      <c r="A32" s="19" t="s">
        <v>238</v>
      </c>
    </row>
    <row r="33" spans="1:11" ht="15" customHeight="1" x14ac:dyDescent="0.25">
      <c r="A33" s="2" t="s">
        <v>219</v>
      </c>
      <c r="B33" s="2" t="s">
        <v>220</v>
      </c>
      <c r="C33" s="2" t="s">
        <v>239</v>
      </c>
      <c r="D33" s="2" t="s">
        <v>240</v>
      </c>
      <c r="E33" s="2" t="s">
        <v>241</v>
      </c>
      <c r="F33" s="2" t="s">
        <v>242</v>
      </c>
      <c r="G33" s="2" t="s">
        <v>243</v>
      </c>
      <c r="H33" s="2" t="s">
        <v>244</v>
      </c>
      <c r="I33" s="2" t="s">
        <v>215</v>
      </c>
      <c r="J33" s="2" t="s">
        <v>216</v>
      </c>
      <c r="K33" s="2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9" t="s">
        <v>246</v>
      </c>
    </row>
    <row r="40" spans="1:11" ht="15" customHeight="1" x14ac:dyDescent="0.25">
      <c r="A40" s="2" t="s">
        <v>219</v>
      </c>
      <c r="B40" s="2" t="s">
        <v>220</v>
      </c>
      <c r="C40" s="2" t="s">
        <v>239</v>
      </c>
      <c r="D40" s="2" t="s">
        <v>240</v>
      </c>
      <c r="E40" s="2" t="s">
        <v>241</v>
      </c>
      <c r="F40" s="2" t="s">
        <v>242</v>
      </c>
      <c r="G40" s="2" t="s">
        <v>243</v>
      </c>
      <c r="H40" s="2" t="s">
        <v>244</v>
      </c>
      <c r="I40" s="2" t="s">
        <v>215</v>
      </c>
      <c r="J40" s="2" t="s">
        <v>216</v>
      </c>
      <c r="K40" s="2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9" t="s">
        <v>247</v>
      </c>
    </row>
    <row r="47" spans="1:11" ht="15" customHeight="1" x14ac:dyDescent="0.25">
      <c r="A47" s="2" t="s">
        <v>219</v>
      </c>
      <c r="B47" s="2" t="s">
        <v>220</v>
      </c>
      <c r="C47" s="2" t="s">
        <v>239</v>
      </c>
      <c r="D47" s="2" t="s">
        <v>240</v>
      </c>
      <c r="E47" s="2" t="s">
        <v>241</v>
      </c>
      <c r="F47" s="2" t="s">
        <v>242</v>
      </c>
      <c r="G47" s="2" t="s">
        <v>243</v>
      </c>
      <c r="H47" s="2" t="s">
        <v>244</v>
      </c>
      <c r="I47" s="2" t="s">
        <v>215</v>
      </c>
      <c r="J47" s="2" t="s">
        <v>216</v>
      </c>
      <c r="K47" s="2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30" t="s">
        <v>248</v>
      </c>
      <c r="B55" s="30"/>
      <c r="C55" s="30"/>
      <c r="D55" s="30"/>
      <c r="E55" s="30"/>
      <c r="F55" s="30"/>
      <c r="G55" s="30"/>
      <c r="H55" s="30"/>
    </row>
    <row r="56" spans="1:11" ht="15" customHeight="1" x14ac:dyDescent="0.25">
      <c r="A56" s="2" t="s">
        <v>219</v>
      </c>
      <c r="B56" s="2" t="s">
        <v>220</v>
      </c>
      <c r="C56" s="2" t="s">
        <v>249</v>
      </c>
      <c r="D56" s="2" t="s">
        <v>250</v>
      </c>
      <c r="E56" s="2" t="s">
        <v>251</v>
      </c>
      <c r="F56" s="2" t="s">
        <v>252</v>
      </c>
      <c r="G56" s="2" t="s">
        <v>253</v>
      </c>
      <c r="H56" s="2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8</v>
      </c>
      <c r="E58">
        <f>Helper!AC3</f>
        <v>0</v>
      </c>
      <c r="F58">
        <f>Helper!AE3</f>
        <v>76</v>
      </c>
      <c r="G58">
        <f>Helper!K3</f>
        <v>68.000200000000007</v>
      </c>
      <c r="H58">
        <f>Helper!T3</f>
        <v>8.0001999999999995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6</v>
      </c>
      <c r="E62">
        <f>Helper!AC7</f>
        <v>0</v>
      </c>
      <c r="F62">
        <f>Helper!AE7</f>
        <v>66</v>
      </c>
      <c r="G62">
        <f>Helper!K7</f>
        <v>60.000599999999999</v>
      </c>
      <c r="H62">
        <f>Helper!T7</f>
        <v>6.0006000000000004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6</v>
      </c>
      <c r="E65">
        <f>Helper!AC10</f>
        <v>0</v>
      </c>
      <c r="F65">
        <f>Helper!AE10</f>
        <v>62</v>
      </c>
      <c r="G65">
        <f>Helper!K10</f>
        <v>56.000900000000001</v>
      </c>
      <c r="H65">
        <f>Helper!T10</f>
        <v>6.0008999999999997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6</v>
      </c>
      <c r="E67">
        <f>Helper!AC12</f>
        <v>0</v>
      </c>
      <c r="F67">
        <f>Helper!AE12</f>
        <v>66</v>
      </c>
      <c r="G67">
        <f>Helper!K12</f>
        <v>60.001100000000001</v>
      </c>
      <c r="H67">
        <f>Helper!T12</f>
        <v>6.0011000000000001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6</v>
      </c>
      <c r="E68">
        <f>Helper!AC13</f>
        <v>0</v>
      </c>
      <c r="F68">
        <f>Helper!AE13</f>
        <v>54</v>
      </c>
      <c r="G68">
        <f>Helper!K13</f>
        <v>48.001199999999997</v>
      </c>
      <c r="H68">
        <f>Helper!T13</f>
        <v>6.0011999999999999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255</v>
      </c>
    </row>
    <row r="3" spans="1:8" ht="15" customHeight="1" x14ac:dyDescent="0.25">
      <c r="A3" s="20" t="s">
        <v>256</v>
      </c>
    </row>
    <row r="4" spans="1:8" ht="15" customHeight="1" x14ac:dyDescent="0.25">
      <c r="A4" s="2" t="s">
        <v>257</v>
      </c>
      <c r="B4" s="2" t="s">
        <v>258</v>
      </c>
      <c r="C4" s="2" t="s">
        <v>259</v>
      </c>
      <c r="D4" s="2" t="s">
        <v>260</v>
      </c>
      <c r="E4" s="2" t="s">
        <v>261</v>
      </c>
      <c r="F4" s="2" t="s">
        <v>262</v>
      </c>
      <c r="H4" s="21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Mikayla Simmons</v>
      </c>
      <c r="C5" t="s">
        <v>265</v>
      </c>
      <c r="D5" t="s">
        <v>266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Chris Simmons</v>
      </c>
      <c r="C6" t="s">
        <v>265</v>
      </c>
      <c r="D6" t="s">
        <v>268</v>
      </c>
      <c r="E6" t="str">
        <f>IF(B6&lt;&gt;$E$5,B6,INDEX(Helper!B$2:B$13,MATCH(LARGE(Helper!T$2:T$13,2),Helper!T$2:T$13,0)))</f>
        <v>Chris Simmons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Jake Andrews</v>
      </c>
      <c r="F9" t="str">
        <f>IF(E9=B9,"QUALIFIED","PASS → "&amp;E9)</f>
        <v>QUALIFIED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0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257</v>
      </c>
      <c r="B12" s="2" t="s">
        <v>220</v>
      </c>
      <c r="C12" s="2" t="s">
        <v>274</v>
      </c>
      <c r="D12" s="2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0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220</v>
      </c>
      <c r="C16" s="2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Chris Simmons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Jake Andrews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20" t="s">
        <v>279</v>
      </c>
    </row>
    <row r="25" spans="1:6" ht="15" customHeight="1" x14ac:dyDescent="0.25">
      <c r="A25" s="2" t="s">
        <v>27</v>
      </c>
      <c r="B25" s="2" t="s">
        <v>220</v>
      </c>
      <c r="C25" s="2" t="s">
        <v>280</v>
      </c>
      <c r="D25" s="2" t="s">
        <v>281</v>
      </c>
      <c r="E25" s="2" t="s">
        <v>282</v>
      </c>
      <c r="F25" s="2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1" t="s">
        <v>285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76</v>
      </c>
      <c r="J41" t="b">
        <f t="shared" si="1"/>
        <v>1</v>
      </c>
      <c r="K41">
        <f>IF(J41,-1,I41+0.00002)</f>
        <v>-1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66</v>
      </c>
      <c r="J45" t="b">
        <f t="shared" si="1"/>
        <v>0</v>
      </c>
      <c r="K45">
        <f>IF(J45,-1,I45+0.00006)</f>
        <v>66.000060000000005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62</v>
      </c>
      <c r="J48" t="b">
        <f t="shared" si="1"/>
        <v>0</v>
      </c>
      <c r="K48">
        <f>IF(J48,-1,I48+0.00009)</f>
        <v>62.00009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66</v>
      </c>
      <c r="J50" t="b">
        <f t="shared" si="1"/>
        <v>0</v>
      </c>
      <c r="K50">
        <f>IF(J50,-1,I50+0.00011)</f>
        <v>66.000110000000006</v>
      </c>
    </row>
    <row r="51" spans="8:11" ht="15" customHeight="1" x14ac:dyDescent="0.25">
      <c r="H51" t="str">
        <f>Roster!B14</f>
        <v>Jake Andrews</v>
      </c>
      <c r="I51">
        <f>Helper!AE13</f>
        <v>54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2" t="s">
        <v>27</v>
      </c>
      <c r="B4" s="2" t="s">
        <v>220</v>
      </c>
      <c r="C4" s="2" t="s">
        <v>211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Chris Simmons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Jake Andrews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20" t="s">
        <v>293</v>
      </c>
    </row>
    <row r="13" spans="1:8" ht="15" customHeight="1" x14ac:dyDescent="0.25">
      <c r="A13" s="2" t="s">
        <v>219</v>
      </c>
      <c r="B13" s="2" t="s">
        <v>220</v>
      </c>
      <c r="C13" s="2" t="s">
        <v>211</v>
      </c>
      <c r="D13" s="2"/>
      <c r="E13" s="2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Chris Simmons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Jake Andrews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20" t="s">
        <v>296</v>
      </c>
    </row>
    <row r="5" spans="1:11" ht="15" customHeight="1" x14ac:dyDescent="0.25">
      <c r="A5" s="2" t="s">
        <v>220</v>
      </c>
      <c r="B5" s="2" t="s">
        <v>297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304</v>
      </c>
      <c r="J5" s="2"/>
      <c r="K5" s="2" t="s">
        <v>305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Chris Simmons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20" t="s">
        <v>306</v>
      </c>
    </row>
    <row r="12" spans="1:11" ht="15" customHeight="1" x14ac:dyDescent="0.25">
      <c r="A12" s="2" t="s">
        <v>307</v>
      </c>
      <c r="B12" s="2" t="s">
        <v>220</v>
      </c>
      <c r="C12" s="2" t="s">
        <v>297</v>
      </c>
      <c r="D12" s="2" t="s">
        <v>308</v>
      </c>
      <c r="E12" s="2" t="s">
        <v>309</v>
      </c>
      <c r="F12" s="2" t="s">
        <v>310</v>
      </c>
      <c r="G12" s="2" t="s">
        <v>311</v>
      </c>
      <c r="H12" s="2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Chris Simmons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22" t="s">
        <v>320</v>
      </c>
    </row>
    <row r="20" spans="1:4" ht="15" customHeight="1" x14ac:dyDescent="0.25">
      <c r="A20" s="20" t="s">
        <v>321</v>
      </c>
    </row>
    <row r="21" spans="1:4" ht="15" customHeight="1" x14ac:dyDescent="0.25">
      <c r="A21" s="2" t="s">
        <v>220</v>
      </c>
      <c r="B21" s="2" t="s">
        <v>322</v>
      </c>
      <c r="C21" s="2" t="s">
        <v>323</v>
      </c>
      <c r="D21" s="2" t="s">
        <v>324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Chris Simmons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customWidth="1"/>
    <col min="2" max="2" width="24" customWidth="1"/>
    <col min="3" max="3" width="60" customWidth="1"/>
  </cols>
  <sheetData>
    <row r="1" spans="1:3" ht="17.25" customHeight="1" x14ac:dyDescent="0.25">
      <c r="A1" s="1" t="s">
        <v>325</v>
      </c>
    </row>
    <row r="6" spans="1:3" ht="15" customHeight="1" x14ac:dyDescent="0.25">
      <c r="A6" s="2" t="s">
        <v>326</v>
      </c>
      <c r="B6" s="2" t="s">
        <v>327</v>
      </c>
      <c r="C6" s="2" t="s">
        <v>328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329</v>
      </c>
      <c r="D1" s="4" t="s">
        <v>330</v>
      </c>
      <c r="E1" s="4" t="s">
        <v>331</v>
      </c>
      <c r="F1" s="4" t="s">
        <v>332</v>
      </c>
      <c r="G1" s="4" t="s">
        <v>333</v>
      </c>
      <c r="H1" s="4" t="s">
        <v>334</v>
      </c>
      <c r="I1" s="4" t="s">
        <v>335</v>
      </c>
      <c r="J1" s="4" t="s">
        <v>336</v>
      </c>
      <c r="K1" s="4" t="s">
        <v>337</v>
      </c>
      <c r="L1" s="4" t="s">
        <v>338</v>
      </c>
      <c r="M1" s="4" t="s">
        <v>339</v>
      </c>
      <c r="N1" s="4" t="s">
        <v>340</v>
      </c>
      <c r="O1" s="4" t="s">
        <v>341</v>
      </c>
      <c r="P1" s="4" t="s">
        <v>342</v>
      </c>
      <c r="Q1" s="4" t="s">
        <v>343</v>
      </c>
      <c r="R1" s="4" t="s">
        <v>344</v>
      </c>
      <c r="S1" s="4" t="s">
        <v>345</v>
      </c>
      <c r="T1" s="4" t="s">
        <v>346</v>
      </c>
      <c r="U1" s="4" t="s">
        <v>347</v>
      </c>
      <c r="V1" s="4" t="s">
        <v>348</v>
      </c>
      <c r="W1" s="4" t="s">
        <v>349</v>
      </c>
      <c r="X1" s="4" t="s">
        <v>350</v>
      </c>
      <c r="Y1" s="4" t="s">
        <v>351</v>
      </c>
      <c r="Z1" s="4" t="s">
        <v>352</v>
      </c>
      <c r="AA1" s="4" t="s">
        <v>353</v>
      </c>
      <c r="AB1" s="4" t="s">
        <v>354</v>
      </c>
      <c r="AC1" s="4" t="s">
        <v>355</v>
      </c>
      <c r="AD1" s="4" t="s">
        <v>356</v>
      </c>
      <c r="AE1" s="4" t="s">
        <v>357</v>
      </c>
      <c r="AF1" s="4" t="s">
        <v>358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8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8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8.0001999999999995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76</v>
      </c>
      <c r="AF3">
        <f>AE3+0.0002</f>
        <v>76.000200000000007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6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6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6.0006000000000004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66</v>
      </c>
      <c r="AF7">
        <f>AE7+0.0006</f>
        <v>66.000600000000006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6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6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6.0008999999999997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62</v>
      </c>
      <c r="AF10">
        <f>AE10+0.0009</f>
        <v>62.000900000000001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6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6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6.0011000000000001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66</v>
      </c>
      <c r="AF12">
        <f>AE12+0.0011</f>
        <v>66.001099999999994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6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6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6.0011999999999999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54</v>
      </c>
      <c r="AF13">
        <f>AE13+0.0012</f>
        <v>54.001199999999997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2026-10-23T17:56:29Z</dcterms:modified>
  <dc:language>en-US</dc:language>
</cp:coreProperties>
</file>