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7" documentId="11_A930DE6ECE181D84182801EE46564744083B8A1B" xr6:coauthVersionLast="47" xr6:coauthVersionMax="47" xr10:uidLastSave="{FE67ECBB-3C6F-41F9-9B05-03D4F3681FBC}"/>
  <bookViews>
    <workbookView xWindow="28680" yWindow="-120" windowWidth="29040" windowHeight="16440" tabRatio="747" activeTab="3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8" r:id="rId7"/>
    <sheet name="Playoff Picture" sheetId="9" r:id="rId8"/>
    <sheet name="Playoff Wild Card" sheetId="10" r:id="rId9"/>
    <sheet name="Playoff Finals" sheetId="11" r:id="rId10"/>
    <sheet name="Updates" sheetId="12" r:id="rId11"/>
    <sheet name="Helper" sheetId="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11" l="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C17" i="10"/>
  <c r="B9" i="11" s="1"/>
  <c r="I9" i="11" s="1"/>
  <c r="J9" i="11" s="1"/>
  <c r="E16" i="10"/>
  <c r="E15" i="10"/>
  <c r="E14" i="10"/>
  <c r="D10" i="10"/>
  <c r="H10" i="10" s="1"/>
  <c r="D9" i="10"/>
  <c r="H9" i="10" s="1"/>
  <c r="H8" i="10"/>
  <c r="D8" i="10"/>
  <c r="H7" i="10"/>
  <c r="D7" i="10"/>
  <c r="H6" i="10"/>
  <c r="D6" i="10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B37" i="9"/>
  <c r="B36" i="9"/>
  <c r="B35" i="9"/>
  <c r="B34" i="9"/>
  <c r="B33" i="9"/>
  <c r="B32" i="9"/>
  <c r="B31" i="9"/>
  <c r="B30" i="9"/>
  <c r="B29" i="9"/>
  <c r="B28" i="9"/>
  <c r="B27" i="9"/>
  <c r="B26" i="9"/>
  <c r="C22" i="9"/>
  <c r="C21" i="9"/>
  <c r="C20" i="9"/>
  <c r="C19" i="9"/>
  <c r="C18" i="9"/>
  <c r="C17" i="9"/>
  <c r="H42" i="8"/>
  <c r="H37" i="8"/>
  <c r="G35" i="8"/>
  <c r="B24" i="8"/>
  <c r="B9" i="8"/>
  <c r="B13" i="7"/>
  <c r="B68" i="8" s="1"/>
  <c r="B12" i="7"/>
  <c r="B11" i="7"/>
  <c r="B10" i="7"/>
  <c r="B65" i="8" s="1"/>
  <c r="B9" i="7"/>
  <c r="B10" i="8" s="1"/>
  <c r="B8" i="7"/>
  <c r="B63" i="8" s="1"/>
  <c r="B7" i="7"/>
  <c r="B62" i="8" s="1"/>
  <c r="Y6" i="7"/>
  <c r="G41" i="8" s="1"/>
  <c r="B6" i="7"/>
  <c r="B61" i="8" s="1"/>
  <c r="Z5" i="7"/>
  <c r="B5" i="7"/>
  <c r="Z4" i="7"/>
  <c r="H36" i="8" s="1"/>
  <c r="Y4" i="7"/>
  <c r="G36" i="8" s="1"/>
  <c r="B4" i="7"/>
  <c r="B5" i="8" s="1"/>
  <c r="Z3" i="7"/>
  <c r="H35" i="8" s="1"/>
  <c r="B3" i="7"/>
  <c r="B58" i="8" s="1"/>
  <c r="Y2" i="7"/>
  <c r="G34" i="8" s="1"/>
  <c r="B2" i="7"/>
  <c r="B57" i="8" s="1"/>
  <c r="I92" i="6"/>
  <c r="H92" i="6"/>
  <c r="F92" i="6"/>
  <c r="Z13" i="7" s="1"/>
  <c r="H51" i="8" s="1"/>
  <c r="E92" i="6"/>
  <c r="B92" i="6"/>
  <c r="I91" i="6"/>
  <c r="G91" i="6"/>
  <c r="F91" i="6"/>
  <c r="H91" i="6" s="1"/>
  <c r="E91" i="6"/>
  <c r="B91" i="6"/>
  <c r="I90" i="6"/>
  <c r="H90" i="6"/>
  <c r="G90" i="6"/>
  <c r="F90" i="6"/>
  <c r="Z11" i="7" s="1"/>
  <c r="H49" i="8" s="1"/>
  <c r="E90" i="6"/>
  <c r="B90" i="6"/>
  <c r="I89" i="6"/>
  <c r="H89" i="6"/>
  <c r="G89" i="6"/>
  <c r="F89" i="6"/>
  <c r="Z10" i="7" s="1"/>
  <c r="H48" i="8" s="1"/>
  <c r="E89" i="6"/>
  <c r="B89" i="6"/>
  <c r="I88" i="6"/>
  <c r="H88" i="6"/>
  <c r="G88" i="6"/>
  <c r="F88" i="6"/>
  <c r="Z9" i="7" s="1"/>
  <c r="H44" i="8" s="1"/>
  <c r="E88" i="6"/>
  <c r="B88" i="6"/>
  <c r="I87" i="6"/>
  <c r="H87" i="6"/>
  <c r="G87" i="6"/>
  <c r="F87" i="6"/>
  <c r="Z8" i="7" s="1"/>
  <c r="H43" i="8" s="1"/>
  <c r="E87" i="6"/>
  <c r="B87" i="6"/>
  <c r="I86" i="6"/>
  <c r="H86" i="6"/>
  <c r="G86" i="6"/>
  <c r="F86" i="6"/>
  <c r="Z7" i="7" s="1"/>
  <c r="E86" i="6"/>
  <c r="B86" i="6"/>
  <c r="I85" i="6"/>
  <c r="H85" i="6"/>
  <c r="G85" i="6"/>
  <c r="F85" i="6"/>
  <c r="Z6" i="7" s="1"/>
  <c r="H41" i="8" s="1"/>
  <c r="E85" i="6"/>
  <c r="B85" i="6"/>
  <c r="I84" i="6"/>
  <c r="H84" i="6"/>
  <c r="G84" i="6"/>
  <c r="F84" i="6"/>
  <c r="E84" i="6"/>
  <c r="B84" i="6"/>
  <c r="I83" i="6"/>
  <c r="H83" i="6"/>
  <c r="G83" i="6"/>
  <c r="F83" i="6"/>
  <c r="E83" i="6"/>
  <c r="B83" i="6"/>
  <c r="I82" i="6"/>
  <c r="H82" i="6"/>
  <c r="G82" i="6"/>
  <c r="F82" i="6"/>
  <c r="E82" i="6"/>
  <c r="B82" i="6"/>
  <c r="I81" i="6"/>
  <c r="H81" i="6"/>
  <c r="G81" i="6"/>
  <c r="F81" i="6"/>
  <c r="Z2" i="7" s="1"/>
  <c r="H34" i="8" s="1"/>
  <c r="E81" i="6"/>
  <c r="B81" i="6"/>
  <c r="I77" i="6"/>
  <c r="H77" i="6"/>
  <c r="G77" i="6"/>
  <c r="F77" i="6"/>
  <c r="Y13" i="7" s="1"/>
  <c r="G51" i="8" s="1"/>
  <c r="E77" i="6"/>
  <c r="B77" i="6"/>
  <c r="I76" i="6"/>
  <c r="H76" i="6"/>
  <c r="G76" i="6"/>
  <c r="F76" i="6"/>
  <c r="Y12" i="7" s="1"/>
  <c r="G50" i="8" s="1"/>
  <c r="E76" i="6"/>
  <c r="B76" i="6"/>
  <c r="I75" i="6"/>
  <c r="H75" i="6"/>
  <c r="G75" i="6"/>
  <c r="F75" i="6"/>
  <c r="Y11" i="7" s="1"/>
  <c r="G49" i="8" s="1"/>
  <c r="E75" i="6"/>
  <c r="B75" i="6"/>
  <c r="I74" i="6"/>
  <c r="H74" i="6"/>
  <c r="G74" i="6"/>
  <c r="F74" i="6"/>
  <c r="Y10" i="7" s="1"/>
  <c r="G48" i="8" s="1"/>
  <c r="E74" i="6"/>
  <c r="B74" i="6"/>
  <c r="I73" i="6"/>
  <c r="H73" i="6"/>
  <c r="G73" i="6"/>
  <c r="F73" i="6"/>
  <c r="Y9" i="7" s="1"/>
  <c r="G44" i="8" s="1"/>
  <c r="E73" i="6"/>
  <c r="B73" i="6"/>
  <c r="I72" i="6"/>
  <c r="H72" i="6"/>
  <c r="G72" i="6"/>
  <c r="F72" i="6"/>
  <c r="Y8" i="7" s="1"/>
  <c r="G43" i="8" s="1"/>
  <c r="E72" i="6"/>
  <c r="B72" i="6"/>
  <c r="I71" i="6"/>
  <c r="H71" i="6"/>
  <c r="G71" i="6"/>
  <c r="F71" i="6"/>
  <c r="Y7" i="7" s="1"/>
  <c r="G42" i="8" s="1"/>
  <c r="E71" i="6"/>
  <c r="B71" i="6"/>
  <c r="I70" i="6"/>
  <c r="H70" i="6"/>
  <c r="G70" i="6"/>
  <c r="F70" i="6"/>
  <c r="E70" i="6"/>
  <c r="B70" i="6"/>
  <c r="I69" i="6"/>
  <c r="H69" i="6"/>
  <c r="G69" i="6"/>
  <c r="F69" i="6"/>
  <c r="Y5" i="7" s="1"/>
  <c r="G37" i="8" s="1"/>
  <c r="E69" i="6"/>
  <c r="B69" i="6"/>
  <c r="I68" i="6"/>
  <c r="H68" i="6"/>
  <c r="G68" i="6"/>
  <c r="F68" i="6"/>
  <c r="E68" i="6"/>
  <c r="B68" i="6"/>
  <c r="I67" i="6"/>
  <c r="H67" i="6"/>
  <c r="G67" i="6"/>
  <c r="F67" i="6"/>
  <c r="Y3" i="7" s="1"/>
  <c r="E67" i="6"/>
  <c r="B67" i="6"/>
  <c r="I66" i="6"/>
  <c r="H66" i="6"/>
  <c r="G66" i="6"/>
  <c r="F66" i="6"/>
  <c r="E66" i="6"/>
  <c r="B66" i="6"/>
  <c r="I62" i="6"/>
  <c r="F62" i="6"/>
  <c r="X13" i="7" s="1"/>
  <c r="F51" i="8" s="1"/>
  <c r="E62" i="6"/>
  <c r="B62" i="6"/>
  <c r="I61" i="6"/>
  <c r="F61" i="6"/>
  <c r="X12" i="7" s="1"/>
  <c r="F50" i="8" s="1"/>
  <c r="E61" i="6"/>
  <c r="B61" i="6"/>
  <c r="I60" i="6"/>
  <c r="F60" i="6"/>
  <c r="X11" i="7" s="1"/>
  <c r="F49" i="8" s="1"/>
  <c r="E60" i="6"/>
  <c r="B60" i="6"/>
  <c r="I59" i="6"/>
  <c r="F59" i="6"/>
  <c r="X10" i="7" s="1"/>
  <c r="F48" i="8" s="1"/>
  <c r="E59" i="6"/>
  <c r="B59" i="6"/>
  <c r="I58" i="6"/>
  <c r="F58" i="6"/>
  <c r="X9" i="7" s="1"/>
  <c r="F44" i="8" s="1"/>
  <c r="E58" i="6"/>
  <c r="B58" i="6"/>
  <c r="I57" i="6"/>
  <c r="F57" i="6"/>
  <c r="X8" i="7" s="1"/>
  <c r="F43" i="8" s="1"/>
  <c r="E57" i="6"/>
  <c r="B57" i="6"/>
  <c r="I56" i="6"/>
  <c r="H56" i="6"/>
  <c r="G56" i="6"/>
  <c r="F56" i="6"/>
  <c r="X7" i="7" s="1"/>
  <c r="F42" i="8" s="1"/>
  <c r="E56" i="6"/>
  <c r="B56" i="6"/>
  <c r="I55" i="6"/>
  <c r="F55" i="6"/>
  <c r="X6" i="7" s="1"/>
  <c r="F41" i="8" s="1"/>
  <c r="E55" i="6"/>
  <c r="B55" i="6"/>
  <c r="I54" i="6"/>
  <c r="E54" i="6"/>
  <c r="F54" i="6" s="1"/>
  <c r="G54" i="6" s="1"/>
  <c r="B54" i="6"/>
  <c r="I53" i="6"/>
  <c r="F53" i="6"/>
  <c r="X4" i="7" s="1"/>
  <c r="F36" i="8" s="1"/>
  <c r="E53" i="6"/>
  <c r="B53" i="6"/>
  <c r="I52" i="6"/>
  <c r="E52" i="6"/>
  <c r="F52" i="6" s="1"/>
  <c r="G52" i="6" s="1"/>
  <c r="B52" i="6"/>
  <c r="I51" i="6"/>
  <c r="F51" i="6"/>
  <c r="G51" i="6" s="1"/>
  <c r="E51" i="6"/>
  <c r="B51" i="6"/>
  <c r="I47" i="6"/>
  <c r="F47" i="6"/>
  <c r="W13" i="7" s="1"/>
  <c r="E51" i="8" s="1"/>
  <c r="E47" i="6"/>
  <c r="B47" i="6"/>
  <c r="I46" i="6"/>
  <c r="H46" i="6"/>
  <c r="F46" i="6"/>
  <c r="W12" i="7" s="1"/>
  <c r="E50" i="8" s="1"/>
  <c r="E46" i="6"/>
  <c r="B46" i="6"/>
  <c r="I45" i="6"/>
  <c r="F45" i="6"/>
  <c r="W11" i="7" s="1"/>
  <c r="E49" i="8" s="1"/>
  <c r="E45" i="6"/>
  <c r="B45" i="6"/>
  <c r="I44" i="6"/>
  <c r="F44" i="6"/>
  <c r="W10" i="7" s="1"/>
  <c r="E48" i="8" s="1"/>
  <c r="E44" i="6"/>
  <c r="B44" i="6"/>
  <c r="I43" i="6"/>
  <c r="H43" i="6"/>
  <c r="F43" i="6"/>
  <c r="W9" i="7" s="1"/>
  <c r="E44" i="8" s="1"/>
  <c r="E43" i="6"/>
  <c r="B43" i="6"/>
  <c r="I42" i="6"/>
  <c r="F42" i="6"/>
  <c r="W8" i="7" s="1"/>
  <c r="E43" i="8" s="1"/>
  <c r="E42" i="6"/>
  <c r="B42" i="6"/>
  <c r="I41" i="6"/>
  <c r="G41" i="6"/>
  <c r="F41" i="6"/>
  <c r="W7" i="7" s="1"/>
  <c r="E42" i="8" s="1"/>
  <c r="E41" i="6"/>
  <c r="B41" i="6"/>
  <c r="I40" i="6"/>
  <c r="F40" i="6"/>
  <c r="W6" i="7" s="1"/>
  <c r="E41" i="8" s="1"/>
  <c r="E40" i="6"/>
  <c r="B40" i="6"/>
  <c r="I39" i="6"/>
  <c r="E39" i="6"/>
  <c r="F39" i="6" s="1"/>
  <c r="G39" i="6" s="1"/>
  <c r="B39" i="6"/>
  <c r="I38" i="6"/>
  <c r="F38" i="6"/>
  <c r="W4" i="7" s="1"/>
  <c r="E36" i="8" s="1"/>
  <c r="E38" i="6"/>
  <c r="B38" i="6"/>
  <c r="I37" i="6"/>
  <c r="E37" i="6"/>
  <c r="F37" i="6" s="1"/>
  <c r="B37" i="6"/>
  <c r="I36" i="6"/>
  <c r="F36" i="6"/>
  <c r="W2" i="7" s="1"/>
  <c r="E34" i="8" s="1"/>
  <c r="E36" i="6"/>
  <c r="B36" i="6"/>
  <c r="I32" i="6"/>
  <c r="F32" i="6"/>
  <c r="V13" i="7" s="1"/>
  <c r="D51" i="8" s="1"/>
  <c r="E32" i="6"/>
  <c r="B32" i="6"/>
  <c r="I31" i="6"/>
  <c r="F31" i="6"/>
  <c r="V12" i="7" s="1"/>
  <c r="D50" i="8" s="1"/>
  <c r="E31" i="6"/>
  <c r="B31" i="6"/>
  <c r="I30" i="6"/>
  <c r="F30" i="6"/>
  <c r="V11" i="7" s="1"/>
  <c r="D49" i="8" s="1"/>
  <c r="E30" i="6"/>
  <c r="B30" i="6"/>
  <c r="I29" i="6"/>
  <c r="F29" i="6"/>
  <c r="V10" i="7" s="1"/>
  <c r="D48" i="8" s="1"/>
  <c r="E29" i="6"/>
  <c r="B29" i="6"/>
  <c r="I28" i="6"/>
  <c r="F28" i="6"/>
  <c r="V9" i="7" s="1"/>
  <c r="D44" i="8" s="1"/>
  <c r="E28" i="6"/>
  <c r="B28" i="6"/>
  <c r="I27" i="6"/>
  <c r="F27" i="6"/>
  <c r="V8" i="7" s="1"/>
  <c r="D43" i="8" s="1"/>
  <c r="E27" i="6"/>
  <c r="B27" i="6"/>
  <c r="I26" i="6"/>
  <c r="H26" i="6"/>
  <c r="G26" i="6"/>
  <c r="F26" i="6"/>
  <c r="V7" i="7" s="1"/>
  <c r="D42" i="8" s="1"/>
  <c r="E26" i="6"/>
  <c r="B26" i="6"/>
  <c r="I25" i="6"/>
  <c r="F25" i="6"/>
  <c r="V6" i="7" s="1"/>
  <c r="D41" i="8" s="1"/>
  <c r="E25" i="6"/>
  <c r="B25" i="6"/>
  <c r="I24" i="6"/>
  <c r="E24" i="6"/>
  <c r="F24" i="6" s="1"/>
  <c r="V5" i="7" s="1"/>
  <c r="D37" i="8" s="1"/>
  <c r="B24" i="6"/>
  <c r="I23" i="6"/>
  <c r="E23" i="6"/>
  <c r="F23" i="6" s="1"/>
  <c r="B23" i="6"/>
  <c r="I22" i="6"/>
  <c r="E22" i="6"/>
  <c r="F22" i="6" s="1"/>
  <c r="V3" i="7" s="1"/>
  <c r="D35" i="8" s="1"/>
  <c r="B22" i="6"/>
  <c r="I21" i="6"/>
  <c r="F21" i="6"/>
  <c r="V2" i="7" s="1"/>
  <c r="D34" i="8" s="1"/>
  <c r="E21" i="6"/>
  <c r="B21" i="6"/>
  <c r="I17" i="6"/>
  <c r="AC13" i="7" s="1"/>
  <c r="K51" i="8" s="1"/>
  <c r="F17" i="6"/>
  <c r="U13" i="7" s="1"/>
  <c r="C51" i="8" s="1"/>
  <c r="E17" i="6"/>
  <c r="B17" i="6"/>
  <c r="I16" i="6"/>
  <c r="AC12" i="7" s="1"/>
  <c r="F16" i="6"/>
  <c r="U12" i="7" s="1"/>
  <c r="C50" i="8" s="1"/>
  <c r="E16" i="6"/>
  <c r="B16" i="6"/>
  <c r="I15" i="6"/>
  <c r="AC11" i="7" s="1"/>
  <c r="E66" i="8" s="1"/>
  <c r="F15" i="6"/>
  <c r="U11" i="7" s="1"/>
  <c r="C49" i="8" s="1"/>
  <c r="E15" i="6"/>
  <c r="B15" i="6"/>
  <c r="I14" i="6"/>
  <c r="AC10" i="7" s="1"/>
  <c r="F14" i="6"/>
  <c r="U10" i="7" s="1"/>
  <c r="C48" i="8" s="1"/>
  <c r="E14" i="6"/>
  <c r="B14" i="6"/>
  <c r="I13" i="6"/>
  <c r="AC9" i="7" s="1"/>
  <c r="G13" i="6"/>
  <c r="F13" i="6"/>
  <c r="U9" i="7" s="1"/>
  <c r="C44" i="8" s="1"/>
  <c r="E13" i="6"/>
  <c r="B13" i="6"/>
  <c r="I12" i="6"/>
  <c r="AC8" i="7" s="1"/>
  <c r="F12" i="6"/>
  <c r="U8" i="7" s="1"/>
  <c r="C43" i="8" s="1"/>
  <c r="E12" i="6"/>
  <c r="B12" i="6"/>
  <c r="I11" i="6"/>
  <c r="H11" i="6"/>
  <c r="E11" i="6"/>
  <c r="F11" i="6" s="1"/>
  <c r="U7" i="7" s="1"/>
  <c r="C42" i="8" s="1"/>
  <c r="B11" i="6"/>
  <c r="I10" i="6"/>
  <c r="AC6" i="7" s="1"/>
  <c r="F10" i="6"/>
  <c r="U6" i="7" s="1"/>
  <c r="C41" i="8" s="1"/>
  <c r="E10" i="6"/>
  <c r="B10" i="6"/>
  <c r="I9" i="6"/>
  <c r="AC5" i="7" s="1"/>
  <c r="K37" i="8" s="1"/>
  <c r="G9" i="6"/>
  <c r="E9" i="6"/>
  <c r="F9" i="6" s="1"/>
  <c r="U5" i="7" s="1"/>
  <c r="C37" i="8" s="1"/>
  <c r="B9" i="6"/>
  <c r="I8" i="6"/>
  <c r="F8" i="6"/>
  <c r="U4" i="7" s="1"/>
  <c r="C36" i="8" s="1"/>
  <c r="E8" i="6"/>
  <c r="B8" i="6"/>
  <c r="I7" i="6"/>
  <c r="E7" i="6"/>
  <c r="F7" i="6" s="1"/>
  <c r="U3" i="7" s="1"/>
  <c r="C35" i="8" s="1"/>
  <c r="B7" i="6"/>
  <c r="I6" i="6"/>
  <c r="AC2" i="7" s="1"/>
  <c r="K34" i="8" s="1"/>
  <c r="F6" i="6"/>
  <c r="U2" i="7" s="1"/>
  <c r="C34" i="8" s="1"/>
  <c r="E6" i="6"/>
  <c r="B6" i="6"/>
  <c r="H92" i="5"/>
  <c r="G92" i="5"/>
  <c r="F92" i="5"/>
  <c r="E92" i="5"/>
  <c r="B92" i="5"/>
  <c r="H91" i="5"/>
  <c r="G91" i="5"/>
  <c r="I91" i="5" s="1"/>
  <c r="Q12" i="7" s="1"/>
  <c r="H28" i="8" s="1"/>
  <c r="F91" i="5"/>
  <c r="E91" i="5"/>
  <c r="B91" i="5"/>
  <c r="H90" i="5"/>
  <c r="G90" i="5"/>
  <c r="F90" i="5"/>
  <c r="E90" i="5"/>
  <c r="B90" i="5"/>
  <c r="H89" i="5"/>
  <c r="G89" i="5"/>
  <c r="I89" i="5" s="1"/>
  <c r="Q10" i="7" s="1"/>
  <c r="H26" i="8" s="1"/>
  <c r="F89" i="5"/>
  <c r="E89" i="5"/>
  <c r="B89" i="5"/>
  <c r="H88" i="5"/>
  <c r="G88" i="5"/>
  <c r="I88" i="5" s="1"/>
  <c r="Q9" i="7" s="1"/>
  <c r="H25" i="8" s="1"/>
  <c r="F88" i="5"/>
  <c r="E88" i="5"/>
  <c r="B88" i="5"/>
  <c r="H87" i="5"/>
  <c r="F87" i="5"/>
  <c r="G87" i="5" s="1"/>
  <c r="I87" i="5" s="1"/>
  <c r="Q8" i="7" s="1"/>
  <c r="H24" i="8" s="1"/>
  <c r="E87" i="5"/>
  <c r="B87" i="5"/>
  <c r="H86" i="5"/>
  <c r="F86" i="5"/>
  <c r="G86" i="5" s="1"/>
  <c r="I86" i="5" s="1"/>
  <c r="Q7" i="7" s="1"/>
  <c r="H23" i="8" s="1"/>
  <c r="E86" i="5"/>
  <c r="B86" i="5"/>
  <c r="H85" i="5"/>
  <c r="G85" i="5"/>
  <c r="I85" i="5" s="1"/>
  <c r="Q6" i="7" s="1"/>
  <c r="H22" i="8" s="1"/>
  <c r="F85" i="5"/>
  <c r="E85" i="5"/>
  <c r="B85" i="5"/>
  <c r="H84" i="5"/>
  <c r="F84" i="5"/>
  <c r="G84" i="5" s="1"/>
  <c r="I84" i="5" s="1"/>
  <c r="Q5" i="7" s="1"/>
  <c r="H21" i="8" s="1"/>
  <c r="E84" i="5"/>
  <c r="B84" i="5"/>
  <c r="H83" i="5"/>
  <c r="G83" i="5"/>
  <c r="I83" i="5" s="1"/>
  <c r="Q4" i="7" s="1"/>
  <c r="H20" i="8" s="1"/>
  <c r="F83" i="5"/>
  <c r="E83" i="5"/>
  <c r="B83" i="5"/>
  <c r="H82" i="5"/>
  <c r="F82" i="5"/>
  <c r="G82" i="5" s="1"/>
  <c r="I82" i="5" s="1"/>
  <c r="Q3" i="7" s="1"/>
  <c r="H19" i="8" s="1"/>
  <c r="E82" i="5"/>
  <c r="B82" i="5"/>
  <c r="H81" i="5"/>
  <c r="F81" i="5"/>
  <c r="G81" i="5" s="1"/>
  <c r="I81" i="5" s="1"/>
  <c r="Q2" i="7" s="1"/>
  <c r="H18" i="8" s="1"/>
  <c r="E81" i="5"/>
  <c r="B81" i="5"/>
  <c r="H77" i="5"/>
  <c r="F77" i="5"/>
  <c r="G77" i="5" s="1"/>
  <c r="I77" i="5" s="1"/>
  <c r="P13" i="7" s="1"/>
  <c r="G29" i="8" s="1"/>
  <c r="E77" i="5"/>
  <c r="B77" i="5"/>
  <c r="H76" i="5"/>
  <c r="G76" i="5"/>
  <c r="I76" i="5" s="1"/>
  <c r="P12" i="7" s="1"/>
  <c r="G28" i="8" s="1"/>
  <c r="F76" i="5"/>
  <c r="E76" i="5"/>
  <c r="B76" i="5"/>
  <c r="H75" i="5"/>
  <c r="F75" i="5"/>
  <c r="G75" i="5" s="1"/>
  <c r="I75" i="5" s="1"/>
  <c r="P11" i="7" s="1"/>
  <c r="G27" i="8" s="1"/>
  <c r="E75" i="5"/>
  <c r="B75" i="5"/>
  <c r="H74" i="5"/>
  <c r="G74" i="5"/>
  <c r="I74" i="5" s="1"/>
  <c r="P10" i="7" s="1"/>
  <c r="G26" i="8" s="1"/>
  <c r="F74" i="5"/>
  <c r="E74" i="5"/>
  <c r="B74" i="5"/>
  <c r="H73" i="5"/>
  <c r="F73" i="5"/>
  <c r="G73" i="5" s="1"/>
  <c r="I73" i="5" s="1"/>
  <c r="P9" i="7" s="1"/>
  <c r="G25" i="8" s="1"/>
  <c r="E73" i="5"/>
  <c r="B73" i="5"/>
  <c r="H72" i="5"/>
  <c r="F72" i="5"/>
  <c r="G72" i="5" s="1"/>
  <c r="I72" i="5" s="1"/>
  <c r="P8" i="7" s="1"/>
  <c r="G24" i="8" s="1"/>
  <c r="E72" i="5"/>
  <c r="B72" i="5"/>
  <c r="H71" i="5"/>
  <c r="F71" i="5"/>
  <c r="G71" i="5" s="1"/>
  <c r="I71" i="5" s="1"/>
  <c r="P7" i="7" s="1"/>
  <c r="G23" i="8" s="1"/>
  <c r="E71" i="5"/>
  <c r="B71" i="5"/>
  <c r="H70" i="5"/>
  <c r="G70" i="5"/>
  <c r="I70" i="5" s="1"/>
  <c r="P6" i="7" s="1"/>
  <c r="G22" i="8" s="1"/>
  <c r="F70" i="5"/>
  <c r="E70" i="5"/>
  <c r="B70" i="5"/>
  <c r="I69" i="5"/>
  <c r="P5" i="7" s="1"/>
  <c r="G21" i="8" s="1"/>
  <c r="H69" i="5"/>
  <c r="G69" i="5"/>
  <c r="F69" i="5"/>
  <c r="E69" i="5"/>
  <c r="B69" i="5"/>
  <c r="H68" i="5"/>
  <c r="F68" i="5"/>
  <c r="G68" i="5" s="1"/>
  <c r="I68" i="5" s="1"/>
  <c r="P4" i="7" s="1"/>
  <c r="G20" i="8" s="1"/>
  <c r="E68" i="5"/>
  <c r="B68" i="5"/>
  <c r="H67" i="5"/>
  <c r="F67" i="5"/>
  <c r="G67" i="5" s="1"/>
  <c r="I67" i="5" s="1"/>
  <c r="P3" i="7" s="1"/>
  <c r="G19" i="8" s="1"/>
  <c r="E67" i="5"/>
  <c r="B67" i="5"/>
  <c r="H66" i="5"/>
  <c r="G66" i="5"/>
  <c r="I66" i="5" s="1"/>
  <c r="P2" i="7" s="1"/>
  <c r="G18" i="8" s="1"/>
  <c r="F66" i="5"/>
  <c r="E66" i="5"/>
  <c r="B66" i="5"/>
  <c r="H62" i="5"/>
  <c r="G62" i="5"/>
  <c r="I62" i="5" s="1"/>
  <c r="O13" i="7" s="1"/>
  <c r="F29" i="8" s="1"/>
  <c r="F62" i="5"/>
  <c r="E62" i="5"/>
  <c r="B62" i="5"/>
  <c r="H61" i="5"/>
  <c r="F61" i="5"/>
  <c r="G61" i="5" s="1"/>
  <c r="I61" i="5" s="1"/>
  <c r="O12" i="7" s="1"/>
  <c r="F28" i="8" s="1"/>
  <c r="E61" i="5"/>
  <c r="B61" i="5"/>
  <c r="H60" i="5"/>
  <c r="F60" i="5"/>
  <c r="G60" i="5" s="1"/>
  <c r="I60" i="5" s="1"/>
  <c r="O11" i="7" s="1"/>
  <c r="F27" i="8" s="1"/>
  <c r="E60" i="5"/>
  <c r="B60" i="5"/>
  <c r="H59" i="5"/>
  <c r="F59" i="5"/>
  <c r="G59" i="5" s="1"/>
  <c r="I59" i="5" s="1"/>
  <c r="O10" i="7" s="1"/>
  <c r="F26" i="8" s="1"/>
  <c r="E59" i="5"/>
  <c r="B59" i="5"/>
  <c r="H58" i="5"/>
  <c r="F58" i="5"/>
  <c r="G58" i="5" s="1"/>
  <c r="I58" i="5" s="1"/>
  <c r="O9" i="7" s="1"/>
  <c r="F25" i="8" s="1"/>
  <c r="E58" i="5"/>
  <c r="B58" i="5"/>
  <c r="H57" i="5"/>
  <c r="F57" i="5"/>
  <c r="G57" i="5" s="1"/>
  <c r="I57" i="5" s="1"/>
  <c r="O8" i="7" s="1"/>
  <c r="F24" i="8" s="1"/>
  <c r="E57" i="5"/>
  <c r="B57" i="5"/>
  <c r="H56" i="5"/>
  <c r="F56" i="5"/>
  <c r="G56" i="5" s="1"/>
  <c r="I56" i="5" s="1"/>
  <c r="O7" i="7" s="1"/>
  <c r="F23" i="8" s="1"/>
  <c r="E56" i="5"/>
  <c r="B56" i="5"/>
  <c r="H55" i="5"/>
  <c r="G55" i="5"/>
  <c r="I55" i="5" s="1"/>
  <c r="O6" i="7" s="1"/>
  <c r="F22" i="8" s="1"/>
  <c r="F55" i="5"/>
  <c r="E55" i="5"/>
  <c r="B55" i="5"/>
  <c r="H54" i="5"/>
  <c r="G54" i="5"/>
  <c r="I54" i="5" s="1"/>
  <c r="O5" i="7" s="1"/>
  <c r="F21" i="8" s="1"/>
  <c r="F54" i="5"/>
  <c r="E54" i="5"/>
  <c r="B54" i="5"/>
  <c r="H53" i="5"/>
  <c r="F53" i="5"/>
  <c r="G53" i="5" s="1"/>
  <c r="I53" i="5" s="1"/>
  <c r="O4" i="7" s="1"/>
  <c r="F20" i="8" s="1"/>
  <c r="E53" i="5"/>
  <c r="B53" i="5"/>
  <c r="H52" i="5"/>
  <c r="F52" i="5"/>
  <c r="G52" i="5" s="1"/>
  <c r="I52" i="5" s="1"/>
  <c r="O3" i="7" s="1"/>
  <c r="F19" i="8" s="1"/>
  <c r="E52" i="5"/>
  <c r="B52" i="5"/>
  <c r="H51" i="5"/>
  <c r="G51" i="5"/>
  <c r="I51" i="5" s="1"/>
  <c r="O2" i="7" s="1"/>
  <c r="F18" i="8" s="1"/>
  <c r="F51" i="5"/>
  <c r="E51" i="5"/>
  <c r="B51" i="5"/>
  <c r="H47" i="5"/>
  <c r="G47" i="5"/>
  <c r="I47" i="5" s="1"/>
  <c r="N13" i="7" s="1"/>
  <c r="E29" i="8" s="1"/>
  <c r="F47" i="5"/>
  <c r="E47" i="5"/>
  <c r="B47" i="5"/>
  <c r="H46" i="5"/>
  <c r="F46" i="5"/>
  <c r="G46" i="5" s="1"/>
  <c r="I46" i="5" s="1"/>
  <c r="N12" i="7" s="1"/>
  <c r="E28" i="8" s="1"/>
  <c r="E46" i="5"/>
  <c r="B46" i="5"/>
  <c r="H45" i="5"/>
  <c r="F45" i="5"/>
  <c r="G45" i="5" s="1"/>
  <c r="I45" i="5" s="1"/>
  <c r="N11" i="7" s="1"/>
  <c r="E27" i="8" s="1"/>
  <c r="E45" i="5"/>
  <c r="B45" i="5"/>
  <c r="H44" i="5"/>
  <c r="F44" i="5"/>
  <c r="G44" i="5" s="1"/>
  <c r="I44" i="5" s="1"/>
  <c r="N10" i="7" s="1"/>
  <c r="E26" i="8" s="1"/>
  <c r="E44" i="5"/>
  <c r="B44" i="5"/>
  <c r="H43" i="5"/>
  <c r="F43" i="5"/>
  <c r="G43" i="5" s="1"/>
  <c r="I43" i="5" s="1"/>
  <c r="N9" i="7" s="1"/>
  <c r="E25" i="8" s="1"/>
  <c r="E43" i="5"/>
  <c r="B43" i="5"/>
  <c r="H42" i="5"/>
  <c r="F42" i="5"/>
  <c r="G42" i="5" s="1"/>
  <c r="I42" i="5" s="1"/>
  <c r="N8" i="7" s="1"/>
  <c r="E24" i="8" s="1"/>
  <c r="E42" i="5"/>
  <c r="B42" i="5"/>
  <c r="H41" i="5"/>
  <c r="F41" i="5"/>
  <c r="G41" i="5" s="1"/>
  <c r="I41" i="5" s="1"/>
  <c r="N7" i="7" s="1"/>
  <c r="E23" i="8" s="1"/>
  <c r="E41" i="5"/>
  <c r="B41" i="5"/>
  <c r="H40" i="5"/>
  <c r="G40" i="5"/>
  <c r="I40" i="5" s="1"/>
  <c r="N6" i="7" s="1"/>
  <c r="E22" i="8" s="1"/>
  <c r="F40" i="5"/>
  <c r="E40" i="5"/>
  <c r="B40" i="5"/>
  <c r="I39" i="5"/>
  <c r="N5" i="7" s="1"/>
  <c r="E21" i="8" s="1"/>
  <c r="H39" i="5"/>
  <c r="G39" i="5"/>
  <c r="F39" i="5"/>
  <c r="E39" i="5"/>
  <c r="B39" i="5"/>
  <c r="H38" i="5"/>
  <c r="F38" i="5"/>
  <c r="G38" i="5" s="1"/>
  <c r="I38" i="5" s="1"/>
  <c r="N4" i="7" s="1"/>
  <c r="E20" i="8" s="1"/>
  <c r="E38" i="5"/>
  <c r="B38" i="5"/>
  <c r="H37" i="5"/>
  <c r="F37" i="5"/>
  <c r="G37" i="5" s="1"/>
  <c r="I37" i="5" s="1"/>
  <c r="N3" i="7" s="1"/>
  <c r="E19" i="8" s="1"/>
  <c r="E37" i="5"/>
  <c r="B37" i="5"/>
  <c r="H36" i="5"/>
  <c r="G36" i="5"/>
  <c r="I36" i="5" s="1"/>
  <c r="N2" i="7" s="1"/>
  <c r="E18" i="8" s="1"/>
  <c r="F36" i="5"/>
  <c r="E36" i="5"/>
  <c r="B36" i="5"/>
  <c r="H32" i="5"/>
  <c r="G32" i="5"/>
  <c r="I32" i="5" s="1"/>
  <c r="M13" i="7" s="1"/>
  <c r="D29" i="8" s="1"/>
  <c r="F32" i="5"/>
  <c r="E32" i="5"/>
  <c r="B32" i="5"/>
  <c r="H31" i="5"/>
  <c r="F31" i="5"/>
  <c r="G31" i="5" s="1"/>
  <c r="I31" i="5" s="1"/>
  <c r="M12" i="7" s="1"/>
  <c r="D28" i="8" s="1"/>
  <c r="E31" i="5"/>
  <c r="B31" i="5"/>
  <c r="H30" i="5"/>
  <c r="F30" i="5"/>
  <c r="G30" i="5" s="1"/>
  <c r="I30" i="5" s="1"/>
  <c r="M11" i="7" s="1"/>
  <c r="D27" i="8" s="1"/>
  <c r="E30" i="5"/>
  <c r="B30" i="5"/>
  <c r="H29" i="5"/>
  <c r="F29" i="5"/>
  <c r="G29" i="5" s="1"/>
  <c r="I29" i="5" s="1"/>
  <c r="M10" i="7" s="1"/>
  <c r="D26" i="8" s="1"/>
  <c r="E29" i="5"/>
  <c r="B29" i="5"/>
  <c r="H28" i="5"/>
  <c r="F28" i="5"/>
  <c r="G28" i="5" s="1"/>
  <c r="I28" i="5" s="1"/>
  <c r="M9" i="7" s="1"/>
  <c r="D25" i="8" s="1"/>
  <c r="E28" i="5"/>
  <c r="B28" i="5"/>
  <c r="H27" i="5"/>
  <c r="F27" i="5"/>
  <c r="G27" i="5" s="1"/>
  <c r="I27" i="5" s="1"/>
  <c r="M8" i="7" s="1"/>
  <c r="D24" i="8" s="1"/>
  <c r="E27" i="5"/>
  <c r="B27" i="5"/>
  <c r="H26" i="5"/>
  <c r="F26" i="5"/>
  <c r="G26" i="5" s="1"/>
  <c r="I26" i="5" s="1"/>
  <c r="M7" i="7" s="1"/>
  <c r="D23" i="8" s="1"/>
  <c r="E26" i="5"/>
  <c r="B26" i="5"/>
  <c r="H25" i="5"/>
  <c r="G25" i="5"/>
  <c r="I25" i="5" s="1"/>
  <c r="M6" i="7" s="1"/>
  <c r="D22" i="8" s="1"/>
  <c r="F25" i="5"/>
  <c r="E25" i="5"/>
  <c r="B25" i="5"/>
  <c r="H24" i="5"/>
  <c r="G24" i="5"/>
  <c r="I24" i="5" s="1"/>
  <c r="M5" i="7" s="1"/>
  <c r="D21" i="8" s="1"/>
  <c r="F24" i="5"/>
  <c r="E24" i="5"/>
  <c r="B24" i="5"/>
  <c r="H23" i="5"/>
  <c r="F23" i="5"/>
  <c r="G23" i="5" s="1"/>
  <c r="I23" i="5" s="1"/>
  <c r="M4" i="7" s="1"/>
  <c r="D20" i="8" s="1"/>
  <c r="E23" i="5"/>
  <c r="B23" i="5"/>
  <c r="H22" i="5"/>
  <c r="F22" i="5"/>
  <c r="G22" i="5" s="1"/>
  <c r="I22" i="5" s="1"/>
  <c r="M3" i="7" s="1"/>
  <c r="D19" i="8" s="1"/>
  <c r="E22" i="5"/>
  <c r="B22" i="5"/>
  <c r="H21" i="5"/>
  <c r="F21" i="5"/>
  <c r="G21" i="5" s="1"/>
  <c r="I21" i="5" s="1"/>
  <c r="M2" i="7" s="1"/>
  <c r="D18" i="8" s="1"/>
  <c r="E21" i="5"/>
  <c r="B21" i="5"/>
  <c r="H17" i="5"/>
  <c r="F17" i="5"/>
  <c r="E17" i="5"/>
  <c r="B17" i="5"/>
  <c r="H16" i="5"/>
  <c r="F16" i="5"/>
  <c r="E16" i="5"/>
  <c r="B16" i="5"/>
  <c r="H15" i="5"/>
  <c r="F15" i="5"/>
  <c r="E15" i="5"/>
  <c r="B15" i="5"/>
  <c r="H14" i="5"/>
  <c r="F14" i="5"/>
  <c r="E14" i="5"/>
  <c r="B14" i="5"/>
  <c r="H13" i="5"/>
  <c r="F13" i="5"/>
  <c r="E13" i="5"/>
  <c r="B13" i="5"/>
  <c r="H12" i="5"/>
  <c r="F12" i="5"/>
  <c r="E12" i="5"/>
  <c r="B12" i="5"/>
  <c r="H11" i="5"/>
  <c r="F11" i="5"/>
  <c r="E11" i="5"/>
  <c r="B11" i="5"/>
  <c r="H10" i="5"/>
  <c r="F10" i="5"/>
  <c r="S6" i="7" s="1"/>
  <c r="J22" i="8" s="1"/>
  <c r="E10" i="5"/>
  <c r="B10" i="5"/>
  <c r="H9" i="5"/>
  <c r="F9" i="5"/>
  <c r="S5" i="7" s="1"/>
  <c r="J21" i="8" s="1"/>
  <c r="E9" i="5"/>
  <c r="B9" i="5"/>
  <c r="H8" i="5"/>
  <c r="F8" i="5"/>
  <c r="E8" i="5"/>
  <c r="B8" i="5"/>
  <c r="H7" i="5"/>
  <c r="F7" i="5"/>
  <c r="E7" i="5"/>
  <c r="B7" i="5"/>
  <c r="H6" i="5"/>
  <c r="F6" i="5"/>
  <c r="S2" i="7" s="1"/>
  <c r="J18" i="8" s="1"/>
  <c r="E6" i="5"/>
  <c r="B6" i="5"/>
  <c r="H92" i="4"/>
  <c r="F92" i="4"/>
  <c r="G92" i="4" s="1"/>
  <c r="I92" i="4" s="1"/>
  <c r="H13" i="7" s="1"/>
  <c r="H14" i="8" s="1"/>
  <c r="E92" i="4"/>
  <c r="B92" i="4"/>
  <c r="H91" i="4"/>
  <c r="F91" i="4"/>
  <c r="G91" i="4" s="1"/>
  <c r="I91" i="4" s="1"/>
  <c r="H12" i="7" s="1"/>
  <c r="H13" i="8" s="1"/>
  <c r="E91" i="4"/>
  <c r="B91" i="4"/>
  <c r="H90" i="4"/>
  <c r="F90" i="4"/>
  <c r="G90" i="4" s="1"/>
  <c r="I90" i="4" s="1"/>
  <c r="H11" i="7" s="1"/>
  <c r="H12" i="8" s="1"/>
  <c r="E90" i="4"/>
  <c r="B90" i="4"/>
  <c r="H89" i="4"/>
  <c r="F89" i="4"/>
  <c r="G89" i="4" s="1"/>
  <c r="I89" i="4" s="1"/>
  <c r="H10" i="7" s="1"/>
  <c r="H11" i="8" s="1"/>
  <c r="E89" i="4"/>
  <c r="B89" i="4"/>
  <c r="H88" i="4"/>
  <c r="F88" i="4"/>
  <c r="G88" i="4" s="1"/>
  <c r="I88" i="4" s="1"/>
  <c r="H9" i="7" s="1"/>
  <c r="H10" i="8" s="1"/>
  <c r="E88" i="4"/>
  <c r="B88" i="4"/>
  <c r="H87" i="4"/>
  <c r="F87" i="4"/>
  <c r="G87" i="4" s="1"/>
  <c r="I87" i="4" s="1"/>
  <c r="H8" i="7" s="1"/>
  <c r="H9" i="8" s="1"/>
  <c r="E87" i="4"/>
  <c r="B87" i="4"/>
  <c r="H86" i="4"/>
  <c r="F86" i="4"/>
  <c r="G86" i="4" s="1"/>
  <c r="I86" i="4" s="1"/>
  <c r="H7" i="7" s="1"/>
  <c r="H8" i="8" s="1"/>
  <c r="E86" i="4"/>
  <c r="B86" i="4"/>
  <c r="H85" i="4"/>
  <c r="F85" i="4"/>
  <c r="G85" i="4" s="1"/>
  <c r="I85" i="4" s="1"/>
  <c r="H6" i="7" s="1"/>
  <c r="H7" i="8" s="1"/>
  <c r="E85" i="4"/>
  <c r="B85" i="4"/>
  <c r="H84" i="4"/>
  <c r="F84" i="4"/>
  <c r="G84" i="4" s="1"/>
  <c r="I84" i="4" s="1"/>
  <c r="H5" i="7" s="1"/>
  <c r="H6" i="8" s="1"/>
  <c r="E84" i="4"/>
  <c r="B84" i="4"/>
  <c r="H83" i="4"/>
  <c r="F83" i="4"/>
  <c r="G83" i="4" s="1"/>
  <c r="I83" i="4" s="1"/>
  <c r="H4" i="7" s="1"/>
  <c r="H5" i="8" s="1"/>
  <c r="E83" i="4"/>
  <c r="B83" i="4"/>
  <c r="H82" i="4"/>
  <c r="F82" i="4"/>
  <c r="G82" i="4" s="1"/>
  <c r="I82" i="4" s="1"/>
  <c r="H3" i="7" s="1"/>
  <c r="H4" i="8" s="1"/>
  <c r="E82" i="4"/>
  <c r="B82" i="4"/>
  <c r="H81" i="4"/>
  <c r="F81" i="4"/>
  <c r="G81" i="4" s="1"/>
  <c r="I81" i="4" s="1"/>
  <c r="H2" i="7" s="1"/>
  <c r="H3" i="8" s="1"/>
  <c r="E81" i="4"/>
  <c r="B81" i="4"/>
  <c r="H77" i="4"/>
  <c r="F77" i="4"/>
  <c r="G77" i="4" s="1"/>
  <c r="I77" i="4" s="1"/>
  <c r="G13" i="7" s="1"/>
  <c r="G14" i="8" s="1"/>
  <c r="E77" i="4"/>
  <c r="B77" i="4"/>
  <c r="H76" i="4"/>
  <c r="F76" i="4"/>
  <c r="G76" i="4" s="1"/>
  <c r="I76" i="4" s="1"/>
  <c r="G12" i="7" s="1"/>
  <c r="G13" i="8" s="1"/>
  <c r="E76" i="4"/>
  <c r="B76" i="4"/>
  <c r="H75" i="4"/>
  <c r="F75" i="4"/>
  <c r="G75" i="4" s="1"/>
  <c r="I75" i="4" s="1"/>
  <c r="G11" i="7" s="1"/>
  <c r="G12" i="8" s="1"/>
  <c r="E75" i="4"/>
  <c r="B75" i="4"/>
  <c r="H74" i="4"/>
  <c r="F74" i="4"/>
  <c r="G74" i="4" s="1"/>
  <c r="I74" i="4" s="1"/>
  <c r="G10" i="7" s="1"/>
  <c r="G11" i="8" s="1"/>
  <c r="E74" i="4"/>
  <c r="B74" i="4"/>
  <c r="H73" i="4"/>
  <c r="F73" i="4"/>
  <c r="G73" i="4" s="1"/>
  <c r="I73" i="4" s="1"/>
  <c r="G9" i="7" s="1"/>
  <c r="G10" i="8" s="1"/>
  <c r="E73" i="4"/>
  <c r="B73" i="4"/>
  <c r="H72" i="4"/>
  <c r="F72" i="4"/>
  <c r="G72" i="4" s="1"/>
  <c r="I72" i="4" s="1"/>
  <c r="G8" i="7" s="1"/>
  <c r="G9" i="8" s="1"/>
  <c r="E72" i="4"/>
  <c r="B72" i="4"/>
  <c r="H71" i="4"/>
  <c r="F71" i="4"/>
  <c r="G71" i="4" s="1"/>
  <c r="I71" i="4" s="1"/>
  <c r="G7" i="7" s="1"/>
  <c r="G8" i="8" s="1"/>
  <c r="E71" i="4"/>
  <c r="B71" i="4"/>
  <c r="H70" i="4"/>
  <c r="F70" i="4"/>
  <c r="G70" i="4" s="1"/>
  <c r="I70" i="4" s="1"/>
  <c r="G6" i="7" s="1"/>
  <c r="G7" i="8" s="1"/>
  <c r="E70" i="4"/>
  <c r="B70" i="4"/>
  <c r="H69" i="4"/>
  <c r="F69" i="4"/>
  <c r="G69" i="4" s="1"/>
  <c r="I69" i="4" s="1"/>
  <c r="G5" i="7" s="1"/>
  <c r="G6" i="8" s="1"/>
  <c r="E69" i="4"/>
  <c r="B69" i="4"/>
  <c r="H68" i="4"/>
  <c r="F68" i="4"/>
  <c r="G68" i="4" s="1"/>
  <c r="I68" i="4" s="1"/>
  <c r="G4" i="7" s="1"/>
  <c r="G5" i="8" s="1"/>
  <c r="E68" i="4"/>
  <c r="B68" i="4"/>
  <c r="H67" i="4"/>
  <c r="F67" i="4"/>
  <c r="G67" i="4" s="1"/>
  <c r="I67" i="4" s="1"/>
  <c r="G3" i="7" s="1"/>
  <c r="G4" i="8" s="1"/>
  <c r="E67" i="4"/>
  <c r="B67" i="4"/>
  <c r="H66" i="4"/>
  <c r="F66" i="4"/>
  <c r="G66" i="4" s="1"/>
  <c r="I66" i="4" s="1"/>
  <c r="G2" i="7" s="1"/>
  <c r="G3" i="8" s="1"/>
  <c r="E66" i="4"/>
  <c r="B66" i="4"/>
  <c r="H62" i="4"/>
  <c r="F62" i="4"/>
  <c r="G62" i="4" s="1"/>
  <c r="I62" i="4" s="1"/>
  <c r="F13" i="7" s="1"/>
  <c r="F14" i="8" s="1"/>
  <c r="E62" i="4"/>
  <c r="B62" i="4"/>
  <c r="H61" i="4"/>
  <c r="F61" i="4"/>
  <c r="G61" i="4" s="1"/>
  <c r="I61" i="4" s="1"/>
  <c r="F12" i="7" s="1"/>
  <c r="F13" i="8" s="1"/>
  <c r="E61" i="4"/>
  <c r="B61" i="4"/>
  <c r="H60" i="4"/>
  <c r="F60" i="4"/>
  <c r="G60" i="4" s="1"/>
  <c r="I60" i="4" s="1"/>
  <c r="F11" i="7" s="1"/>
  <c r="F12" i="8" s="1"/>
  <c r="E60" i="4"/>
  <c r="B60" i="4"/>
  <c r="H59" i="4"/>
  <c r="F59" i="4"/>
  <c r="G59" i="4" s="1"/>
  <c r="I59" i="4" s="1"/>
  <c r="F10" i="7" s="1"/>
  <c r="F11" i="8" s="1"/>
  <c r="E59" i="4"/>
  <c r="B59" i="4"/>
  <c r="H58" i="4"/>
  <c r="F58" i="4"/>
  <c r="G58" i="4" s="1"/>
  <c r="I58" i="4" s="1"/>
  <c r="F9" i="7" s="1"/>
  <c r="F10" i="8" s="1"/>
  <c r="E58" i="4"/>
  <c r="B58" i="4"/>
  <c r="H57" i="4"/>
  <c r="F57" i="4"/>
  <c r="G57" i="4" s="1"/>
  <c r="I57" i="4" s="1"/>
  <c r="F8" i="7" s="1"/>
  <c r="F9" i="8" s="1"/>
  <c r="E57" i="4"/>
  <c r="B57" i="4"/>
  <c r="H56" i="4"/>
  <c r="F56" i="4"/>
  <c r="G56" i="4" s="1"/>
  <c r="I56" i="4" s="1"/>
  <c r="F7" i="7" s="1"/>
  <c r="F8" i="8" s="1"/>
  <c r="E56" i="4"/>
  <c r="B56" i="4"/>
  <c r="H55" i="4"/>
  <c r="F55" i="4"/>
  <c r="G55" i="4" s="1"/>
  <c r="I55" i="4" s="1"/>
  <c r="F6" i="7" s="1"/>
  <c r="F7" i="8" s="1"/>
  <c r="E55" i="4"/>
  <c r="B55" i="4"/>
  <c r="H54" i="4"/>
  <c r="F54" i="4"/>
  <c r="G54" i="4" s="1"/>
  <c r="I54" i="4" s="1"/>
  <c r="F5" i="7" s="1"/>
  <c r="F6" i="8" s="1"/>
  <c r="E54" i="4"/>
  <c r="B54" i="4"/>
  <c r="H53" i="4"/>
  <c r="F53" i="4"/>
  <c r="G53" i="4" s="1"/>
  <c r="I53" i="4" s="1"/>
  <c r="F4" i="7" s="1"/>
  <c r="F5" i="8" s="1"/>
  <c r="E53" i="4"/>
  <c r="B53" i="4"/>
  <c r="H52" i="4"/>
  <c r="F52" i="4"/>
  <c r="G52" i="4" s="1"/>
  <c r="I52" i="4" s="1"/>
  <c r="F3" i="7" s="1"/>
  <c r="F4" i="8" s="1"/>
  <c r="E52" i="4"/>
  <c r="B52" i="4"/>
  <c r="H51" i="4"/>
  <c r="F51" i="4"/>
  <c r="G51" i="4" s="1"/>
  <c r="I51" i="4" s="1"/>
  <c r="F2" i="7" s="1"/>
  <c r="F3" i="8" s="1"/>
  <c r="E51" i="4"/>
  <c r="B51" i="4"/>
  <c r="H47" i="4"/>
  <c r="F47" i="4"/>
  <c r="G47" i="4" s="1"/>
  <c r="I47" i="4" s="1"/>
  <c r="E13" i="7" s="1"/>
  <c r="E14" i="8" s="1"/>
  <c r="E47" i="4"/>
  <c r="B47" i="4"/>
  <c r="H46" i="4"/>
  <c r="F46" i="4"/>
  <c r="G46" i="4" s="1"/>
  <c r="I46" i="4" s="1"/>
  <c r="E12" i="7" s="1"/>
  <c r="E13" i="8" s="1"/>
  <c r="E46" i="4"/>
  <c r="B46" i="4"/>
  <c r="H45" i="4"/>
  <c r="F45" i="4"/>
  <c r="G45" i="4" s="1"/>
  <c r="I45" i="4" s="1"/>
  <c r="E11" i="7" s="1"/>
  <c r="E12" i="8" s="1"/>
  <c r="E45" i="4"/>
  <c r="B45" i="4"/>
  <c r="H44" i="4"/>
  <c r="F44" i="4"/>
  <c r="G44" i="4" s="1"/>
  <c r="I44" i="4" s="1"/>
  <c r="E10" i="7" s="1"/>
  <c r="E11" i="8" s="1"/>
  <c r="E44" i="4"/>
  <c r="B44" i="4"/>
  <c r="H43" i="4"/>
  <c r="F43" i="4"/>
  <c r="G43" i="4" s="1"/>
  <c r="I43" i="4" s="1"/>
  <c r="E9" i="7" s="1"/>
  <c r="E10" i="8" s="1"/>
  <c r="E43" i="4"/>
  <c r="B43" i="4"/>
  <c r="H42" i="4"/>
  <c r="F42" i="4"/>
  <c r="G42" i="4" s="1"/>
  <c r="I42" i="4" s="1"/>
  <c r="E8" i="7" s="1"/>
  <c r="E9" i="8" s="1"/>
  <c r="E42" i="4"/>
  <c r="B42" i="4"/>
  <c r="H41" i="4"/>
  <c r="F41" i="4"/>
  <c r="G41" i="4" s="1"/>
  <c r="I41" i="4" s="1"/>
  <c r="E7" i="7" s="1"/>
  <c r="E8" i="8" s="1"/>
  <c r="E41" i="4"/>
  <c r="B41" i="4"/>
  <c r="H40" i="4"/>
  <c r="F40" i="4"/>
  <c r="G40" i="4" s="1"/>
  <c r="I40" i="4" s="1"/>
  <c r="E6" i="7" s="1"/>
  <c r="E7" i="8" s="1"/>
  <c r="E40" i="4"/>
  <c r="B40" i="4"/>
  <c r="H39" i="4"/>
  <c r="F39" i="4"/>
  <c r="G39" i="4" s="1"/>
  <c r="I39" i="4" s="1"/>
  <c r="E5" i="7" s="1"/>
  <c r="E6" i="8" s="1"/>
  <c r="E39" i="4"/>
  <c r="B39" i="4"/>
  <c r="H38" i="4"/>
  <c r="F38" i="4"/>
  <c r="G38" i="4" s="1"/>
  <c r="I38" i="4" s="1"/>
  <c r="E4" i="7" s="1"/>
  <c r="E5" i="8" s="1"/>
  <c r="E38" i="4"/>
  <c r="B38" i="4"/>
  <c r="H37" i="4"/>
  <c r="F37" i="4"/>
  <c r="G37" i="4" s="1"/>
  <c r="I37" i="4" s="1"/>
  <c r="E3" i="7" s="1"/>
  <c r="E4" i="8" s="1"/>
  <c r="E37" i="4"/>
  <c r="B37" i="4"/>
  <c r="H36" i="4"/>
  <c r="F36" i="4"/>
  <c r="G36" i="4" s="1"/>
  <c r="I36" i="4" s="1"/>
  <c r="E2" i="7" s="1"/>
  <c r="E3" i="8" s="1"/>
  <c r="E36" i="4"/>
  <c r="B36" i="4"/>
  <c r="H32" i="4"/>
  <c r="F32" i="4"/>
  <c r="G32" i="4" s="1"/>
  <c r="I32" i="4" s="1"/>
  <c r="D13" i="7" s="1"/>
  <c r="D14" i="8" s="1"/>
  <c r="E32" i="4"/>
  <c r="B32" i="4"/>
  <c r="H31" i="4"/>
  <c r="F31" i="4"/>
  <c r="G31" i="4" s="1"/>
  <c r="I31" i="4" s="1"/>
  <c r="D12" i="7" s="1"/>
  <c r="D13" i="8" s="1"/>
  <c r="E31" i="4"/>
  <c r="B31" i="4"/>
  <c r="H30" i="4"/>
  <c r="F30" i="4"/>
  <c r="G30" i="4" s="1"/>
  <c r="I30" i="4" s="1"/>
  <c r="D11" i="7" s="1"/>
  <c r="D12" i="8" s="1"/>
  <c r="E30" i="4"/>
  <c r="B30" i="4"/>
  <c r="H29" i="4"/>
  <c r="F29" i="4"/>
  <c r="G29" i="4" s="1"/>
  <c r="I29" i="4" s="1"/>
  <c r="D10" i="7" s="1"/>
  <c r="D11" i="8" s="1"/>
  <c r="E29" i="4"/>
  <c r="B29" i="4"/>
  <c r="H28" i="4"/>
  <c r="F28" i="4"/>
  <c r="G28" i="4" s="1"/>
  <c r="I28" i="4" s="1"/>
  <c r="D9" i="7" s="1"/>
  <c r="D10" i="8" s="1"/>
  <c r="E28" i="4"/>
  <c r="B28" i="4"/>
  <c r="H27" i="4"/>
  <c r="F27" i="4"/>
  <c r="G27" i="4" s="1"/>
  <c r="I27" i="4" s="1"/>
  <c r="D8" i="7" s="1"/>
  <c r="D9" i="8" s="1"/>
  <c r="E27" i="4"/>
  <c r="B27" i="4"/>
  <c r="H26" i="4"/>
  <c r="F26" i="4"/>
  <c r="G26" i="4" s="1"/>
  <c r="I26" i="4" s="1"/>
  <c r="D7" i="7" s="1"/>
  <c r="D8" i="8" s="1"/>
  <c r="E26" i="4"/>
  <c r="B26" i="4"/>
  <c r="H25" i="4"/>
  <c r="F25" i="4"/>
  <c r="G25" i="4" s="1"/>
  <c r="I25" i="4" s="1"/>
  <c r="D6" i="7" s="1"/>
  <c r="D7" i="8" s="1"/>
  <c r="E25" i="4"/>
  <c r="B25" i="4"/>
  <c r="H24" i="4"/>
  <c r="F24" i="4"/>
  <c r="G24" i="4" s="1"/>
  <c r="I24" i="4" s="1"/>
  <c r="D5" i="7" s="1"/>
  <c r="D6" i="8" s="1"/>
  <c r="E24" i="4"/>
  <c r="B24" i="4"/>
  <c r="H23" i="4"/>
  <c r="F23" i="4"/>
  <c r="G23" i="4" s="1"/>
  <c r="I23" i="4" s="1"/>
  <c r="D4" i="7" s="1"/>
  <c r="D5" i="8" s="1"/>
  <c r="E23" i="4"/>
  <c r="B23" i="4"/>
  <c r="H22" i="4"/>
  <c r="F22" i="4"/>
  <c r="G22" i="4" s="1"/>
  <c r="I22" i="4" s="1"/>
  <c r="D3" i="7" s="1"/>
  <c r="D4" i="8" s="1"/>
  <c r="E22" i="4"/>
  <c r="B22" i="4"/>
  <c r="H21" i="4"/>
  <c r="F21" i="4"/>
  <c r="G21" i="4" s="1"/>
  <c r="I21" i="4" s="1"/>
  <c r="D2" i="7" s="1"/>
  <c r="D3" i="8" s="1"/>
  <c r="E21" i="4"/>
  <c r="B21" i="4"/>
  <c r="H17" i="4"/>
  <c r="E17" i="4"/>
  <c r="F17" i="4" s="1"/>
  <c r="J13" i="7" s="1"/>
  <c r="J14" i="8" s="1"/>
  <c r="B17" i="4"/>
  <c r="H16" i="4"/>
  <c r="F16" i="4"/>
  <c r="J12" i="7" s="1"/>
  <c r="J13" i="8" s="1"/>
  <c r="E16" i="4"/>
  <c r="B16" i="4"/>
  <c r="H15" i="4"/>
  <c r="E15" i="4"/>
  <c r="F15" i="4" s="1"/>
  <c r="J11" i="7" s="1"/>
  <c r="J12" i="8" s="1"/>
  <c r="B15" i="4"/>
  <c r="H14" i="4"/>
  <c r="E14" i="4"/>
  <c r="F14" i="4" s="1"/>
  <c r="J10" i="7" s="1"/>
  <c r="J11" i="8" s="1"/>
  <c r="B14" i="4"/>
  <c r="H13" i="4"/>
  <c r="F13" i="4"/>
  <c r="J9" i="7" s="1"/>
  <c r="J10" i="8" s="1"/>
  <c r="E13" i="4"/>
  <c r="B13" i="4"/>
  <c r="H12" i="4"/>
  <c r="F12" i="4"/>
  <c r="G12" i="4" s="1"/>
  <c r="I12" i="4" s="1"/>
  <c r="C8" i="7" s="1"/>
  <c r="E12" i="4"/>
  <c r="B12" i="4"/>
  <c r="H11" i="4"/>
  <c r="F11" i="4"/>
  <c r="J7" i="7" s="1"/>
  <c r="J8" i="8" s="1"/>
  <c r="E11" i="4"/>
  <c r="B11" i="4"/>
  <c r="H10" i="4"/>
  <c r="E10" i="4"/>
  <c r="F10" i="4" s="1"/>
  <c r="G10" i="4" s="1"/>
  <c r="I10" i="4" s="1"/>
  <c r="C6" i="7" s="1"/>
  <c r="B10" i="4"/>
  <c r="H9" i="4"/>
  <c r="F9" i="4"/>
  <c r="J5" i="7" s="1"/>
  <c r="J6" i="8" s="1"/>
  <c r="E9" i="4"/>
  <c r="B9" i="4"/>
  <c r="H8" i="4"/>
  <c r="F8" i="4"/>
  <c r="G8" i="4" s="1"/>
  <c r="I8" i="4" s="1"/>
  <c r="C4" i="7" s="1"/>
  <c r="E8" i="4"/>
  <c r="B8" i="4"/>
  <c r="H7" i="4"/>
  <c r="F7" i="4"/>
  <c r="J3" i="7" s="1"/>
  <c r="J4" i="8" s="1"/>
  <c r="E7" i="4"/>
  <c r="B7" i="4"/>
  <c r="H6" i="4"/>
  <c r="E6" i="4"/>
  <c r="F6" i="4" s="1"/>
  <c r="G6" i="4" s="1"/>
  <c r="I6" i="4" s="1"/>
  <c r="C2" i="7" s="1"/>
  <c r="B6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B14" i="8" l="1"/>
  <c r="B29" i="8"/>
  <c r="B51" i="8"/>
  <c r="B11" i="8"/>
  <c r="B43" i="8"/>
  <c r="B36" i="8"/>
  <c r="B34" i="8"/>
  <c r="G62" i="6"/>
  <c r="G60" i="6"/>
  <c r="H62" i="6"/>
  <c r="H60" i="6"/>
  <c r="X2" i="7"/>
  <c r="F34" i="8" s="1"/>
  <c r="G58" i="6"/>
  <c r="AC4" i="7"/>
  <c r="AC7" i="7"/>
  <c r="K42" i="8" s="1"/>
  <c r="H58" i="6"/>
  <c r="G61" i="6"/>
  <c r="H51" i="6"/>
  <c r="H44" i="6"/>
  <c r="H42" i="6"/>
  <c r="H40" i="6"/>
  <c r="AC3" i="7"/>
  <c r="K35" i="8" s="1"/>
  <c r="G47" i="6"/>
  <c r="G45" i="6"/>
  <c r="H47" i="6"/>
  <c r="G43" i="6"/>
  <c r="AA9" i="7" s="1"/>
  <c r="H45" i="6"/>
  <c r="H41" i="6"/>
  <c r="AB7" i="7" s="1"/>
  <c r="J42" i="8" s="1"/>
  <c r="G32" i="6"/>
  <c r="AA13" i="7" s="1"/>
  <c r="H32" i="6"/>
  <c r="G30" i="6"/>
  <c r="G22" i="6"/>
  <c r="H30" i="6"/>
  <c r="G28" i="6"/>
  <c r="H28" i="6"/>
  <c r="K48" i="8"/>
  <c r="E65" i="8"/>
  <c r="H9" i="6"/>
  <c r="G17" i="6"/>
  <c r="H17" i="6"/>
  <c r="G10" i="6"/>
  <c r="G15" i="6"/>
  <c r="H10" i="6"/>
  <c r="H15" i="6"/>
  <c r="E60" i="8"/>
  <c r="H13" i="6"/>
  <c r="J4" i="7"/>
  <c r="J5" i="8" s="1"/>
  <c r="J6" i="7"/>
  <c r="J7" i="8" s="1"/>
  <c r="V4" i="7"/>
  <c r="D36" i="8" s="1"/>
  <c r="H23" i="6"/>
  <c r="G23" i="6"/>
  <c r="C7" i="8"/>
  <c r="K7" i="8"/>
  <c r="I6" i="7"/>
  <c r="K9" i="8"/>
  <c r="C9" i="8"/>
  <c r="I8" i="7"/>
  <c r="K5" i="8"/>
  <c r="C5" i="8"/>
  <c r="I4" i="7"/>
  <c r="C3" i="8"/>
  <c r="K3" i="8"/>
  <c r="I2" i="7"/>
  <c r="H7" i="6"/>
  <c r="H38" i="6"/>
  <c r="I92" i="5"/>
  <c r="Q13" i="7" s="1"/>
  <c r="H29" i="8" s="1"/>
  <c r="G25" i="6"/>
  <c r="G27" i="6"/>
  <c r="G29" i="6"/>
  <c r="G31" i="6"/>
  <c r="G36" i="6"/>
  <c r="X3" i="7"/>
  <c r="F35" i="8" s="1"/>
  <c r="H52" i="6"/>
  <c r="E61" i="8"/>
  <c r="K41" i="8"/>
  <c r="S3" i="7"/>
  <c r="J19" i="8" s="1"/>
  <c r="S7" i="7"/>
  <c r="J23" i="8" s="1"/>
  <c r="S9" i="7"/>
  <c r="J25" i="8" s="1"/>
  <c r="S11" i="7"/>
  <c r="J27" i="8" s="1"/>
  <c r="S13" i="7"/>
  <c r="J29" i="8" s="1"/>
  <c r="H25" i="6"/>
  <c r="H27" i="6"/>
  <c r="H29" i="6"/>
  <c r="H31" i="6"/>
  <c r="H36" i="6"/>
  <c r="J2" i="7"/>
  <c r="J3" i="8" s="1"/>
  <c r="G7" i="4"/>
  <c r="I7" i="4" s="1"/>
  <c r="C3" i="7" s="1"/>
  <c r="G9" i="4"/>
  <c r="I9" i="4" s="1"/>
  <c r="C5" i="7" s="1"/>
  <c r="G11" i="4"/>
  <c r="I11" i="4" s="1"/>
  <c r="C7" i="7" s="1"/>
  <c r="G13" i="4"/>
  <c r="I13" i="4" s="1"/>
  <c r="C9" i="7" s="1"/>
  <c r="G15" i="4"/>
  <c r="I15" i="4" s="1"/>
  <c r="C11" i="7" s="1"/>
  <c r="G17" i="4"/>
  <c r="I17" i="4" s="1"/>
  <c r="C13" i="7" s="1"/>
  <c r="G7" i="5"/>
  <c r="I7" i="5" s="1"/>
  <c r="L3" i="7" s="1"/>
  <c r="G9" i="5"/>
  <c r="I9" i="5" s="1"/>
  <c r="L5" i="7" s="1"/>
  <c r="G11" i="5"/>
  <c r="I11" i="5" s="1"/>
  <c r="L7" i="7" s="1"/>
  <c r="G13" i="5"/>
  <c r="I13" i="5" s="1"/>
  <c r="L9" i="7" s="1"/>
  <c r="G15" i="5"/>
  <c r="I15" i="5" s="1"/>
  <c r="L11" i="7" s="1"/>
  <c r="G17" i="5"/>
  <c r="I17" i="5" s="1"/>
  <c r="L13" i="7" s="1"/>
  <c r="I90" i="5"/>
  <c r="Q11" i="7" s="1"/>
  <c r="H27" i="8" s="1"/>
  <c r="G12" i="6"/>
  <c r="G14" i="6"/>
  <c r="G16" i="6"/>
  <c r="G21" i="6"/>
  <c r="W5" i="7"/>
  <c r="E37" i="8" s="1"/>
  <c r="H39" i="6"/>
  <c r="G7" i="6"/>
  <c r="AA3" i="7" s="1"/>
  <c r="H12" i="6"/>
  <c r="H14" i="6"/>
  <c r="AB10" i="7" s="1"/>
  <c r="J48" i="8" s="1"/>
  <c r="H16" i="6"/>
  <c r="H21" i="6"/>
  <c r="E68" i="8"/>
  <c r="G38" i="6"/>
  <c r="G8" i="6"/>
  <c r="E67" i="8"/>
  <c r="K50" i="8"/>
  <c r="W3" i="7"/>
  <c r="E35" i="8" s="1"/>
  <c r="H37" i="6"/>
  <c r="G55" i="6"/>
  <c r="G57" i="6"/>
  <c r="G59" i="6"/>
  <c r="G6" i="6"/>
  <c r="AA2" i="7" s="1"/>
  <c r="H8" i="6"/>
  <c r="G37" i="6"/>
  <c r="H55" i="6"/>
  <c r="H57" i="6"/>
  <c r="H59" i="6"/>
  <c r="H61" i="6"/>
  <c r="K43" i="8"/>
  <c r="E63" i="8"/>
  <c r="H6" i="6"/>
  <c r="G24" i="6"/>
  <c r="AA5" i="7" s="1"/>
  <c r="G53" i="6"/>
  <c r="E57" i="8"/>
  <c r="E62" i="8"/>
  <c r="S4" i="7"/>
  <c r="J20" i="8" s="1"/>
  <c r="S8" i="7"/>
  <c r="J24" i="8" s="1"/>
  <c r="S10" i="7"/>
  <c r="J26" i="8" s="1"/>
  <c r="S12" i="7"/>
  <c r="J28" i="8" s="1"/>
  <c r="H24" i="6"/>
  <c r="H53" i="6"/>
  <c r="J8" i="7"/>
  <c r="J9" i="8" s="1"/>
  <c r="X5" i="7"/>
  <c r="F37" i="8" s="1"/>
  <c r="H54" i="6"/>
  <c r="G14" i="4"/>
  <c r="I14" i="4" s="1"/>
  <c r="C10" i="7" s="1"/>
  <c r="G16" i="4"/>
  <c r="I16" i="4" s="1"/>
  <c r="C12" i="7" s="1"/>
  <c r="G6" i="5"/>
  <c r="I6" i="5" s="1"/>
  <c r="L2" i="7" s="1"/>
  <c r="G8" i="5"/>
  <c r="I8" i="5" s="1"/>
  <c r="L4" i="7" s="1"/>
  <c r="G10" i="5"/>
  <c r="I10" i="5" s="1"/>
  <c r="L6" i="7" s="1"/>
  <c r="G12" i="5"/>
  <c r="I12" i="5" s="1"/>
  <c r="L8" i="7" s="1"/>
  <c r="G14" i="5"/>
  <c r="I14" i="5" s="1"/>
  <c r="L10" i="7" s="1"/>
  <c r="G16" i="5"/>
  <c r="I16" i="5" s="1"/>
  <c r="L12" i="7" s="1"/>
  <c r="G11" i="6"/>
  <c r="AA7" i="7" s="1"/>
  <c r="H22" i="6"/>
  <c r="G40" i="6"/>
  <c r="G42" i="6"/>
  <c r="G44" i="6"/>
  <c r="G46" i="6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B19" i="8"/>
  <c r="B42" i="8"/>
  <c r="B44" i="8"/>
  <c r="E59" i="8"/>
  <c r="K36" i="8"/>
  <c r="B50" i="8"/>
  <c r="B28" i="8"/>
  <c r="B13" i="8"/>
  <c r="B4" i="8"/>
  <c r="B23" i="8"/>
  <c r="B25" i="8"/>
  <c r="B49" i="8"/>
  <c r="B27" i="8"/>
  <c r="B12" i="8"/>
  <c r="B66" i="8"/>
  <c r="G92" i="6"/>
  <c r="B37" i="8"/>
  <c r="B21" i="8"/>
  <c r="B6" i="8"/>
  <c r="B18" i="8"/>
  <c r="B20" i="8"/>
  <c r="B48" i="8"/>
  <c r="Z12" i="7"/>
  <c r="H50" i="8" s="1"/>
  <c r="B64" i="8"/>
  <c r="B8" i="8"/>
  <c r="B35" i="8"/>
  <c r="B59" i="8"/>
  <c r="B67" i="8"/>
  <c r="K44" i="8"/>
  <c r="E64" i="8"/>
  <c r="K49" i="8"/>
  <c r="B3" i="8"/>
  <c r="B26" i="8"/>
  <c r="B60" i="8"/>
  <c r="B7" i="8"/>
  <c r="B22" i="8"/>
  <c r="B41" i="8"/>
  <c r="AB12" i="7" l="1"/>
  <c r="J50" i="8" s="1"/>
  <c r="AD9" i="7"/>
  <c r="I44" i="8"/>
  <c r="E58" i="8"/>
  <c r="AA6" i="7"/>
  <c r="I41" i="8" s="1"/>
  <c r="AB13" i="7"/>
  <c r="J51" i="8" s="1"/>
  <c r="AA11" i="7"/>
  <c r="AD11" i="7" s="1"/>
  <c r="AB9" i="7"/>
  <c r="J44" i="8" s="1"/>
  <c r="AA10" i="7"/>
  <c r="AD10" i="7" s="1"/>
  <c r="AB6" i="7"/>
  <c r="J41" i="8" s="1"/>
  <c r="AA8" i="7"/>
  <c r="AD8" i="7" s="1"/>
  <c r="AB11" i="7"/>
  <c r="J49" i="8" s="1"/>
  <c r="AB5" i="7"/>
  <c r="J37" i="8" s="1"/>
  <c r="AD5" i="7"/>
  <c r="I37" i="8"/>
  <c r="I7" i="7"/>
  <c r="C8" i="8"/>
  <c r="K8" i="8"/>
  <c r="C63" i="8"/>
  <c r="I9" i="8"/>
  <c r="AE8" i="7"/>
  <c r="K8" i="7"/>
  <c r="G63" i="8" s="1"/>
  <c r="R13" i="7"/>
  <c r="C29" i="8"/>
  <c r="K29" i="8"/>
  <c r="AB3" i="7"/>
  <c r="J35" i="8" s="1"/>
  <c r="C16" i="11"/>
  <c r="C14" i="11"/>
  <c r="G15" i="11"/>
  <c r="G13" i="11"/>
  <c r="F15" i="11"/>
  <c r="F13" i="11"/>
  <c r="E15" i="11"/>
  <c r="E13" i="11"/>
  <c r="D16" i="11"/>
  <c r="G14" i="11"/>
  <c r="F14" i="11"/>
  <c r="E14" i="11"/>
  <c r="D14" i="11"/>
  <c r="D13" i="11"/>
  <c r="C13" i="11"/>
  <c r="G16" i="11"/>
  <c r="F16" i="11"/>
  <c r="E16" i="11"/>
  <c r="D15" i="11"/>
  <c r="C15" i="11"/>
  <c r="I43" i="8"/>
  <c r="K4" i="8"/>
  <c r="C4" i="8"/>
  <c r="I3" i="7"/>
  <c r="K26" i="8"/>
  <c r="C26" i="8"/>
  <c r="R10" i="7"/>
  <c r="AB8" i="7"/>
  <c r="J43" i="8" s="1"/>
  <c r="C27" i="8"/>
  <c r="R11" i="7"/>
  <c r="K27" i="8"/>
  <c r="AB2" i="7"/>
  <c r="J34" i="8" s="1"/>
  <c r="K25" i="8"/>
  <c r="R9" i="7"/>
  <c r="C25" i="8"/>
  <c r="C22" i="8"/>
  <c r="R6" i="7"/>
  <c r="AE6" i="7" s="1"/>
  <c r="K22" i="8"/>
  <c r="I35" i="8"/>
  <c r="AD3" i="7"/>
  <c r="K23" i="8"/>
  <c r="R7" i="7"/>
  <c r="C23" i="8"/>
  <c r="I3" i="8"/>
  <c r="C57" i="8"/>
  <c r="K2" i="7"/>
  <c r="C61" i="8"/>
  <c r="I7" i="8"/>
  <c r="K6" i="7"/>
  <c r="G61" i="8" s="1"/>
  <c r="I51" i="8"/>
  <c r="AD13" i="7"/>
  <c r="C28" i="8"/>
  <c r="K28" i="8"/>
  <c r="R12" i="7"/>
  <c r="C24" i="8"/>
  <c r="R8" i="7"/>
  <c r="K24" i="8"/>
  <c r="R4" i="7"/>
  <c r="K20" i="8"/>
  <c r="C20" i="8"/>
  <c r="C21" i="8"/>
  <c r="K21" i="8"/>
  <c r="R5" i="7"/>
  <c r="R2" i="7"/>
  <c r="AE2" i="7" s="1"/>
  <c r="K18" i="8"/>
  <c r="C18" i="8"/>
  <c r="K19" i="8"/>
  <c r="R3" i="7"/>
  <c r="C19" i="8"/>
  <c r="I34" i="8"/>
  <c r="AD2" i="7"/>
  <c r="I13" i="7"/>
  <c r="K14" i="8"/>
  <c r="C14" i="8"/>
  <c r="C59" i="8"/>
  <c r="I5" i="8"/>
  <c r="K4" i="7"/>
  <c r="G59" i="8" s="1"/>
  <c r="K11" i="8"/>
  <c r="I10" i="7"/>
  <c r="C11" i="8"/>
  <c r="AA4" i="7"/>
  <c r="C12" i="8"/>
  <c r="I11" i="7"/>
  <c r="K12" i="8"/>
  <c r="C6" i="8"/>
  <c r="I5" i="7"/>
  <c r="K6" i="8"/>
  <c r="AD7" i="7"/>
  <c r="I42" i="8"/>
  <c r="C13" i="8"/>
  <c r="I12" i="7"/>
  <c r="K13" i="8"/>
  <c r="AB4" i="7"/>
  <c r="J36" i="8" s="1"/>
  <c r="AA12" i="7"/>
  <c r="K10" i="8"/>
  <c r="I9" i="7"/>
  <c r="C10" i="8"/>
  <c r="I49" i="8" l="1"/>
  <c r="I48" i="8"/>
  <c r="AD6" i="7"/>
  <c r="D68" i="8"/>
  <c r="I29" i="8"/>
  <c r="T13" i="7"/>
  <c r="H68" i="8" s="1"/>
  <c r="T10" i="7"/>
  <c r="H65" i="8" s="1"/>
  <c r="I26" i="8"/>
  <c r="D65" i="8"/>
  <c r="I46" i="9"/>
  <c r="AF8" i="7"/>
  <c r="F63" i="8"/>
  <c r="G57" i="8"/>
  <c r="K10" i="7"/>
  <c r="G65" i="8" s="1"/>
  <c r="C65" i="8"/>
  <c r="I11" i="8"/>
  <c r="AE10" i="7"/>
  <c r="C68" i="8"/>
  <c r="AE13" i="7"/>
  <c r="K13" i="7"/>
  <c r="G68" i="8" s="1"/>
  <c r="I14" i="8"/>
  <c r="I19" i="8"/>
  <c r="T3" i="7"/>
  <c r="H58" i="8" s="1"/>
  <c r="D58" i="8"/>
  <c r="K12" i="7"/>
  <c r="G67" i="8" s="1"/>
  <c r="C67" i="8"/>
  <c r="I13" i="8"/>
  <c r="AE12" i="7"/>
  <c r="AE7" i="7"/>
  <c r="I8" i="8"/>
  <c r="C62" i="8"/>
  <c r="K7" i="7"/>
  <c r="G62" i="8" s="1"/>
  <c r="D61" i="8"/>
  <c r="T6" i="7"/>
  <c r="H61" i="8" s="1"/>
  <c r="I22" i="8"/>
  <c r="I24" i="8"/>
  <c r="T8" i="7"/>
  <c r="H63" i="8" s="1"/>
  <c r="D63" i="8"/>
  <c r="I25" i="8"/>
  <c r="D64" i="8"/>
  <c r="T9" i="7"/>
  <c r="H64" i="8" s="1"/>
  <c r="AF2" i="7"/>
  <c r="F57" i="8"/>
  <c r="I40" i="9"/>
  <c r="H9" i="9"/>
  <c r="H12" i="9"/>
  <c r="H11" i="9"/>
  <c r="H10" i="9"/>
  <c r="K5" i="7"/>
  <c r="G60" i="8" s="1"/>
  <c r="I6" i="8"/>
  <c r="AE5" i="7"/>
  <c r="C60" i="8"/>
  <c r="T7" i="7"/>
  <c r="H62" i="8" s="1"/>
  <c r="D62" i="8"/>
  <c r="I23" i="8"/>
  <c r="AD4" i="7"/>
  <c r="H6" i="9" s="1"/>
  <c r="I36" i="8"/>
  <c r="D59" i="8"/>
  <c r="T4" i="7"/>
  <c r="H59" i="8" s="1"/>
  <c r="I20" i="8"/>
  <c r="T12" i="7"/>
  <c r="H67" i="8" s="1"/>
  <c r="D67" i="8"/>
  <c r="I28" i="8"/>
  <c r="AE4" i="7"/>
  <c r="I18" i="8"/>
  <c r="T2" i="7"/>
  <c r="D57" i="8"/>
  <c r="AE9" i="7"/>
  <c r="I10" i="8"/>
  <c r="C64" i="8"/>
  <c r="K9" i="7"/>
  <c r="G64" i="8" s="1"/>
  <c r="T5" i="7"/>
  <c r="H60" i="8" s="1"/>
  <c r="I21" i="8"/>
  <c r="D60" i="8"/>
  <c r="I44" i="9"/>
  <c r="F61" i="8"/>
  <c r="AF6" i="7"/>
  <c r="D66" i="8"/>
  <c r="I27" i="8"/>
  <c r="T11" i="7"/>
  <c r="H66" i="8" s="1"/>
  <c r="I4" i="8"/>
  <c r="K3" i="7"/>
  <c r="G58" i="8" s="1"/>
  <c r="AE3" i="7"/>
  <c r="C58" i="8"/>
  <c r="C66" i="8"/>
  <c r="K11" i="7"/>
  <c r="G66" i="8" s="1"/>
  <c r="I12" i="8"/>
  <c r="AE11" i="7"/>
  <c r="AD12" i="7"/>
  <c r="H13" i="9" s="1"/>
  <c r="I50" i="8"/>
  <c r="B9" i="9" l="1"/>
  <c r="I51" i="9"/>
  <c r="AF13" i="7"/>
  <c r="F68" i="8"/>
  <c r="B8" i="9"/>
  <c r="H15" i="9"/>
  <c r="H57" i="8"/>
  <c r="B6" i="9"/>
  <c r="I45" i="9"/>
  <c r="AF7" i="7"/>
  <c r="F62" i="8"/>
  <c r="I48" i="9"/>
  <c r="AF10" i="7"/>
  <c r="F65" i="8"/>
  <c r="H7" i="9"/>
  <c r="H14" i="9"/>
  <c r="AF12" i="7"/>
  <c r="I50" i="9"/>
  <c r="F67" i="8"/>
  <c r="H8" i="9"/>
  <c r="F64" i="8"/>
  <c r="I47" i="9"/>
  <c r="AF9" i="7"/>
  <c r="I41" i="9"/>
  <c r="AF3" i="7"/>
  <c r="F58" i="8"/>
  <c r="F66" i="8"/>
  <c r="I49" i="9"/>
  <c r="AF11" i="7"/>
  <c r="H16" i="9"/>
  <c r="B5" i="9"/>
  <c r="H5" i="9"/>
  <c r="I42" i="9"/>
  <c r="F59" i="8"/>
  <c r="AF4" i="7"/>
  <c r="AF5" i="7"/>
  <c r="I43" i="9"/>
  <c r="F60" i="8"/>
  <c r="B7" i="9" l="1"/>
  <c r="C36" i="9"/>
  <c r="C31" i="9"/>
  <c r="C26" i="9"/>
  <c r="C33" i="9"/>
  <c r="C28" i="9"/>
  <c r="C32" i="9"/>
  <c r="C29" i="9"/>
  <c r="C35" i="9"/>
  <c r="F5" i="9"/>
  <c r="E5" i="9"/>
  <c r="E6" i="9" s="1"/>
  <c r="C34" i="9"/>
  <c r="C27" i="9"/>
  <c r="C37" i="9"/>
  <c r="C30" i="9"/>
  <c r="B18" i="9" l="1"/>
  <c r="B6" i="10" s="1"/>
  <c r="B15" i="10" s="1"/>
  <c r="A7" i="11" s="1"/>
  <c r="F6" i="9"/>
  <c r="D26" i="9"/>
  <c r="D33" i="9"/>
  <c r="D28" i="9"/>
  <c r="D35" i="9"/>
  <c r="D36" i="9"/>
  <c r="D32" i="9"/>
  <c r="D29" i="9"/>
  <c r="D31" i="9"/>
  <c r="D34" i="9"/>
  <c r="D27" i="9"/>
  <c r="D37" i="9"/>
  <c r="D30" i="9"/>
  <c r="C38" i="9"/>
  <c r="B17" i="9"/>
  <c r="B5" i="10" s="1"/>
  <c r="B14" i="10" s="1"/>
  <c r="A6" i="11" s="1"/>
  <c r="E7" i="9"/>
  <c r="D38" i="9" l="1"/>
  <c r="A22" i="11"/>
  <c r="B13" i="11"/>
  <c r="B19" i="9"/>
  <c r="B7" i="10" s="1"/>
  <c r="B16" i="10" s="1"/>
  <c r="A8" i="11" s="1"/>
  <c r="F7" i="9"/>
  <c r="E8" i="9"/>
  <c r="E9" i="9" s="1"/>
  <c r="J49" i="9" s="1"/>
  <c r="K49" i="9" s="1"/>
  <c r="A23" i="11"/>
  <c r="B14" i="11"/>
  <c r="J45" i="9" l="1"/>
  <c r="K45" i="9" s="1"/>
  <c r="J50" i="9"/>
  <c r="K50" i="9" s="1"/>
  <c r="B20" i="9"/>
  <c r="B8" i="10" s="1"/>
  <c r="B17" i="10" s="1"/>
  <c r="A9" i="11" s="1"/>
  <c r="F8" i="9"/>
  <c r="J40" i="9"/>
  <c r="K40" i="9" s="1"/>
  <c r="J42" i="9"/>
  <c r="K42" i="9" s="1"/>
  <c r="F9" i="9"/>
  <c r="B21" i="9"/>
  <c r="B9" i="10" s="1"/>
  <c r="B18" i="10" s="1"/>
  <c r="J48" i="9"/>
  <c r="K48" i="9" s="1"/>
  <c r="A24" i="11"/>
  <c r="B15" i="11"/>
  <c r="E33" i="9" s="1"/>
  <c r="F33" i="9" s="1"/>
  <c r="J41" i="9"/>
  <c r="K41" i="9" s="1"/>
  <c r="E28" i="9"/>
  <c r="F28" i="9" s="1"/>
  <c r="E27" i="9"/>
  <c r="F27" i="9" s="1"/>
  <c r="J46" i="9"/>
  <c r="K46" i="9" s="1"/>
  <c r="J43" i="9"/>
  <c r="K43" i="9" s="1"/>
  <c r="J44" i="9"/>
  <c r="K44" i="9" s="1"/>
  <c r="J47" i="9"/>
  <c r="K47" i="9" s="1"/>
  <c r="J51" i="9"/>
  <c r="K51" i="9" s="1"/>
  <c r="E26" i="9" l="1"/>
  <c r="E29" i="9"/>
  <c r="F29" i="9" s="1"/>
  <c r="E36" i="9"/>
  <c r="F36" i="9" s="1"/>
  <c r="E31" i="9"/>
  <c r="F31" i="9" s="1"/>
  <c r="C13" i="9"/>
  <c r="B13" i="9"/>
  <c r="B22" i="9" s="1"/>
  <c r="B10" i="10" s="1"/>
  <c r="B19" i="10" s="1"/>
  <c r="E32" i="9"/>
  <c r="F32" i="9" s="1"/>
  <c r="E37" i="9"/>
  <c r="F37" i="9" s="1"/>
  <c r="E30" i="9"/>
  <c r="F30" i="9" s="1"/>
  <c r="A25" i="11"/>
  <c r="B16" i="11"/>
  <c r="E35" i="9"/>
  <c r="F35" i="9" s="1"/>
  <c r="E34" i="9"/>
  <c r="F34" i="9" s="1"/>
  <c r="E38" i="9" l="1"/>
  <c r="F26" i="9"/>
  <c r="F38" i="9" s="1"/>
</calcChain>
</file>

<file path=xl/sharedStrings.xml><?xml version="1.0" encoding="utf-8"?>
<sst xmlns="http://schemas.openxmlformats.org/spreadsheetml/2006/main" count="2020" uniqueCount="342">
  <si>
    <t>NFL PICKS LEAGUE — ROSTER</t>
  </si>
  <si>
    <t>Player #</t>
  </si>
  <si>
    <t>Player Name</t>
  </si>
  <si>
    <t>Division</t>
  </si>
  <si>
    <t>Division Name</t>
  </si>
  <si>
    <t>A</t>
  </si>
  <si>
    <t>Division A</t>
  </si>
  <si>
    <t>B</t>
  </si>
  <si>
    <t>Division B</t>
  </si>
  <si>
    <t>C</t>
  </si>
  <si>
    <t>Division C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</si>
  <si>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</si>
  <si>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</si>
  <si>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</si>
  <si>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</si>
  <si>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</si>
  <si>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</si>
  <si>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</si>
  <si>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</si>
  <si>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</si>
  <si>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</si>
  <si>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</si>
  <si>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</si>
  <si>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</si>
  <si>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</si>
  <si>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</si>
  <si>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</si>
  <si>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</si>
  <si>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</si>
  <si>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</si>
  <si>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</si>
  <si>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</si>
  <si>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</si>
  <si>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</si>
  <si>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</si>
  <si>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</si>
  <si>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</si>
  <si>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</si>
  <si>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</si>
  <si>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</si>
  <si>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</si>
  <si>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</si>
  <si>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</si>
  <si>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</si>
  <si>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</si>
  <si>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</si>
  <si>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</si>
  <si>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</si>
  <si>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</si>
  <si>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</si>
  <si>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</si>
  <si>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</si>
  <si>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</si>
  <si>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</si>
  <si>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</si>
  <si>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</si>
  <si>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</si>
  <si>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</si>
  <si>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</si>
  <si>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</si>
  <si>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</si>
  <si>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</si>
  <si>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</si>
  <si>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</si>
  <si>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</si>
  <si>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</si>
  <si>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</si>
  <si>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</si>
  <si>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</si>
  <si>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</si>
  <si>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</si>
  <si>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</si>
  <si>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</si>
  <si>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</si>
  <si>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</si>
  <si>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</si>
  <si>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</si>
  <si>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</si>
  <si>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</si>
  <si>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</si>
  <si>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</si>
  <si>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</si>
  <si>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</si>
  <si>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</si>
  <si>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</si>
  <si>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</si>
  <si>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</si>
  <si>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</si>
  <si>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</si>
  <si>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</si>
  <si>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</si>
  <si>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</si>
  <si>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</si>
  <si>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</si>
  <si>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</si>
  <si>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</si>
  <si>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</si>
  <si>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</si>
  <si>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</si>
  <si>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</si>
  <si>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</si>
  <si>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</si>
  <si>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</si>
  <si>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</si>
  <si>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</si>
  <si>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</si>
  <si>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</si>
  <si>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</si>
  <si>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</si>
  <si>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</si>
  <si>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</si>
  <si>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</si>
  <si>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</si>
  <si>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</si>
  <si>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</si>
  <si>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</si>
  <si>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</si>
  <si>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</si>
  <si>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</si>
  <si>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</si>
  <si>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</si>
  <si>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</si>
  <si>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</si>
  <si>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</si>
  <si>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</si>
  <si>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</si>
  <si>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</si>
  <si>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</si>
  <si>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</si>
  <si>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</si>
  <si>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</si>
  <si>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</si>
  <si>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</si>
  <si>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</si>
  <si>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</si>
  <si>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</si>
  <si>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</si>
  <si>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</si>
  <si>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</si>
  <si>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</si>
  <si>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</si>
  <si>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</si>
  <si>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</si>
  <si>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</si>
  <si>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</si>
  <si>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</si>
  <si>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</si>
  <si>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</si>
  <si>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</si>
  <si>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</si>
  <si>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</si>
  <si>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</si>
  <si>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</si>
  <si>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</si>
  <si>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</si>
  <si>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</si>
  <si>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</si>
  <si>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</si>
  <si>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</si>
  <si>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</si>
  <si>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</si>
  <si>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</si>
  <si>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</si>
  <si>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</si>
  <si>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</si>
  <si>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</si>
  <si>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</si>
  <si>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</si>
  <si>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</si>
  <si>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</si>
  <si>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</si>
  <si>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</si>
  <si>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</si>
  <si>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</si>
  <si>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</si>
  <si>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</si>
  <si>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</si>
  <si>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</si>
  <si>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</si>
  <si>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</si>
  <si>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</si>
  <si>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</si>
  <si>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</si>
  <si>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</si>
  <si>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</si>
  <si>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</si>
  <si>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</si>
  <si>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</si>
  <si>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</si>
  <si>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</si>
  <si>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</si>
  <si>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</si>
  <si>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</si>
  <si>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</si>
  <si>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</si>
  <si>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</si>
  <si>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</si>
  <si>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</si>
  <si>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</si>
  <si>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</si>
  <si>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</si>
  <si>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</si>
  <si>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</si>
  <si>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</si>
  <si>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</si>
  <si>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</si>
  <si>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</si>
  <si>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</si>
  <si>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</si>
  <si>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</si>
  <si>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</si>
  <si>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</si>
  <si>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</si>
  <si>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</si>
  <si>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</si>
  <si>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</si>
  <si>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</si>
  <si>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</si>
  <si>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</si>
  <si>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</si>
  <si>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</si>
  <si>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</si>
  <si>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</si>
  <si>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</si>
  <si>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</si>
  <si>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</si>
  <si>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</si>
  <si>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</si>
  <si>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</si>
  <si>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</si>
  <si>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</si>
  <si>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</si>
  <si>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</si>
  <si>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</si>
  <si>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</si>
  <si>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</si>
  <si>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</si>
  <si>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</si>
  <si>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</si>
  <si>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</si>
  <si>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</si>
  <si>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</si>
  <si>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</si>
  <si>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</si>
  <si>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</si>
  <si>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</si>
  <si>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</si>
  <si>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</si>
  <si>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</si>
  <si>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</si>
  <si>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</si>
  <si>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</si>
  <si>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</si>
  <si>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</si>
  <si>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</si>
  <si>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</si>
  <si>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</si>
  <si>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</si>
  <si>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</si>
  <si>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</si>
  <si>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</si>
  <si>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</si>
  <si>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</si>
  <si>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</si>
  <si>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</si>
  <si>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</si>
  <si>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</si>
  <si>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</si>
  <si>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</si>
  <si>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</si>
  <si>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</si>
  <si>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</si>
  <si>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</si>
  <si>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</si>
  <si>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</si>
  <si>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</si>
  <si>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</si>
  <si>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</si>
  <si>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</si>
  <si>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</si>
  <si>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</si>
  <si>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</si>
  <si>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</si>
  <si>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</si>
  <si>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</si>
  <si>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</si>
  <si>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</si>
  <si>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</si>
  <si>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</si>
  <si>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</si>
  <si>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</si>
  <si>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</si>
  <si>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</si>
  <si>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</si>
  <si>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</si>
  <si>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</si>
  <si>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</si>
  <si>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</si>
  <si>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</si>
  <si>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</si>
  <si>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</si>
  <si>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</si>
  <si>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</si>
  <si>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</si>
  <si>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</si>
  <si>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</si>
  <si>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</si>
  <si>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</si>
  <si>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</si>
  <si>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</si>
  <si>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</si>
  <si>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</si>
  <si>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</si>
  <si>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</si>
  <si>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</si>
  <si>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</si>
  <si>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</si>
  <si>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</si>
  <si>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</si>
  <si>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</si>
  <si>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</si>
  <si>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</si>
  <si>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</si>
  <si>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</si>
  <si>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</si>
  <si>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</si>
  <si>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</si>
  <si>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</si>
  <si>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</si>
  <si>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 xml:space="preserve">Welcome to Week 1 of the NFL Picks League! </t>
  </si>
  <si>
    <t>Evan Loeser</t>
  </si>
  <si>
    <t>Chris Simmons</t>
  </si>
  <si>
    <t>Jack Smith</t>
  </si>
  <si>
    <t>Luke Ussery</t>
  </si>
  <si>
    <t>Mikayla Simmons</t>
  </si>
  <si>
    <t>Alan Loeser</t>
  </si>
  <si>
    <t>Caleb Simmons</t>
  </si>
  <si>
    <t>Larry Loeser</t>
  </si>
  <si>
    <t>Daddy Michael</t>
  </si>
  <si>
    <t>Zach Zarra</t>
  </si>
  <si>
    <t>Jeffrey Loeser</t>
  </si>
  <si>
    <t>Jake Andrews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</si>
</sst>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F19" sqref="F19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11" t="s">
        <v>0</v>
      </c>
      <c r="B1" s="11"/>
      <c r="C1" s="11"/>
      <c r="D1" s="11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330</v>
      </c>
      <c r="C3" t="s">
        <v>5</v>
      </c>
      <c r="D3" t="s">
        <v>6</v>
      </c>
    </row>
    <row r="4" spans="1:4" ht="15" customHeight="1" x14ac:dyDescent="0.25">
      <c r="A4">
        <v>2</v>
      </c>
      <c r="B4" s="3" t="s">
        <v>331</v>
      </c>
      <c r="C4" t="s">
        <v>5</v>
      </c>
      <c r="D4" t="s">
        <v>6</v>
      </c>
    </row>
    <row r="5" spans="1:4" ht="15" customHeight="1" x14ac:dyDescent="0.25">
      <c r="A5">
        <v>3</v>
      </c>
      <c r="B5" s="3" t="s">
        <v>332</v>
      </c>
      <c r="C5" t="s">
        <v>5</v>
      </c>
      <c r="D5" t="s">
        <v>6</v>
      </c>
    </row>
    <row r="6" spans="1:4" ht="15" customHeight="1" x14ac:dyDescent="0.25">
      <c r="A6">
        <v>4</v>
      </c>
      <c r="B6" s="3" t="s">
        <v>333</v>
      </c>
      <c r="C6" t="s">
        <v>5</v>
      </c>
      <c r="D6" t="s">
        <v>6</v>
      </c>
    </row>
    <row r="7" spans="1:4" ht="15" customHeight="1" x14ac:dyDescent="0.25">
      <c r="A7">
        <v>5</v>
      </c>
      <c r="B7" s="3" t="s">
        <v>334</v>
      </c>
      <c r="C7" t="s">
        <v>7</v>
      </c>
      <c r="D7" t="s">
        <v>8</v>
      </c>
    </row>
    <row r="8" spans="1:4" ht="15" customHeight="1" x14ac:dyDescent="0.25">
      <c r="A8">
        <v>6</v>
      </c>
      <c r="B8" s="3" t="s">
        <v>335</v>
      </c>
      <c r="C8" t="s">
        <v>7</v>
      </c>
      <c r="D8" t="s">
        <v>8</v>
      </c>
    </row>
    <row r="9" spans="1:4" ht="15" customHeight="1" x14ac:dyDescent="0.25">
      <c r="A9">
        <v>7</v>
      </c>
      <c r="B9" s="3" t="s">
        <v>336</v>
      </c>
      <c r="C9" t="s">
        <v>7</v>
      </c>
      <c r="D9" t="s">
        <v>8</v>
      </c>
    </row>
    <row r="10" spans="1:4" ht="15" customHeight="1" x14ac:dyDescent="0.25">
      <c r="A10">
        <v>8</v>
      </c>
      <c r="B10" s="3" t="s">
        <v>337</v>
      </c>
      <c r="C10" t="s">
        <v>7</v>
      </c>
      <c r="D10" t="s">
        <v>8</v>
      </c>
    </row>
    <row r="11" spans="1:4" ht="15" customHeight="1" x14ac:dyDescent="0.25">
      <c r="A11">
        <v>9</v>
      </c>
      <c r="B11" s="3" t="s">
        <v>338</v>
      </c>
      <c r="C11" t="s">
        <v>9</v>
      </c>
      <c r="D11" t="s">
        <v>10</v>
      </c>
    </row>
    <row r="12" spans="1:4" ht="15" customHeight="1" x14ac:dyDescent="0.25">
      <c r="A12">
        <v>10</v>
      </c>
      <c r="B12" s="3" t="s">
        <v>339</v>
      </c>
      <c r="C12" t="s">
        <v>9</v>
      </c>
      <c r="D12" t="s">
        <v>10</v>
      </c>
    </row>
    <row r="13" spans="1:4" ht="15" customHeight="1" x14ac:dyDescent="0.25">
      <c r="A13">
        <v>11</v>
      </c>
      <c r="B13" s="3" t="s">
        <v>340</v>
      </c>
      <c r="C13" t="s">
        <v>9</v>
      </c>
      <c r="D13" t="s">
        <v>10</v>
      </c>
    </row>
    <row r="14" spans="1:4" ht="15" customHeight="1" x14ac:dyDescent="0.25">
      <c r="A14">
        <v>12</v>
      </c>
      <c r="B14" s="3" t="s">
        <v>341</v>
      </c>
      <c r="C14" t="s">
        <v>9</v>
      </c>
      <c r="D14" t="s">
        <v>10</v>
      </c>
    </row>
    <row r="16" spans="1:4" ht="15" customHeight="1" x14ac:dyDescent="0.25">
      <c r="A16" s="4" t="s">
        <v>11</v>
      </c>
      <c r="B16" s="3">
        <v>0</v>
      </c>
    </row>
    <row r="17" spans="1:1" ht="15" customHeight="1" x14ac:dyDescent="0.25">
      <c r="A17" s="5" t="s">
        <v>12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12" t="s">
        <v>13</v>
      </c>
      <c r="B1" s="12"/>
      <c r="C1" s="12"/>
      <c r="D1" s="12"/>
      <c r="E1" s="12"/>
      <c r="F1" s="12"/>
    </row>
    <row r="2" spans="1:6" ht="15" customHeight="1" x14ac:dyDescent="0.25">
      <c r="A2" s="4" t="s">
        <v>14</v>
      </c>
    </row>
    <row r="3" spans="1:6" ht="15" customHeight="1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16</v>
      </c>
      <c r="F3" s="2" t="s">
        <v>17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18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18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18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18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18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18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19</v>
      </c>
    </row>
    <row r="12" spans="1:6" ht="15" customHeight="1" x14ac:dyDescent="0.25">
      <c r="A12" s="2" t="s">
        <v>15</v>
      </c>
      <c r="B12" s="2" t="s">
        <v>16</v>
      </c>
      <c r="C12" s="2" t="s">
        <v>17</v>
      </c>
      <c r="D12" s="2" t="s">
        <v>18</v>
      </c>
      <c r="E12" s="2" t="s">
        <v>16</v>
      </c>
      <c r="F12" s="2" t="s">
        <v>17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18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18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18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18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18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18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20</v>
      </c>
    </row>
    <row r="21" spans="1:6" ht="15" customHeight="1" x14ac:dyDescent="0.25">
      <c r="A21" s="2" t="s">
        <v>15</v>
      </c>
      <c r="B21" s="2" t="s">
        <v>16</v>
      </c>
      <c r="C21" s="2" t="s">
        <v>17</v>
      </c>
      <c r="D21" s="2" t="s">
        <v>18</v>
      </c>
      <c r="E21" s="2" t="s">
        <v>16</v>
      </c>
      <c r="F21" s="2" t="s">
        <v>17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18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18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18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18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18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18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21</v>
      </c>
    </row>
    <row r="30" spans="1:6" ht="15" customHeight="1" x14ac:dyDescent="0.25">
      <c r="A30" s="2" t="s">
        <v>15</v>
      </c>
      <c r="B30" s="2" t="s">
        <v>16</v>
      </c>
      <c r="C30" s="2" t="s">
        <v>17</v>
      </c>
      <c r="D30" s="2" t="s">
        <v>18</v>
      </c>
      <c r="E30" s="2" t="s">
        <v>16</v>
      </c>
      <c r="F30" s="2" t="s">
        <v>17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18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18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18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18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18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18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22</v>
      </c>
    </row>
    <row r="39" spans="1:6" ht="15" customHeight="1" x14ac:dyDescent="0.25">
      <c r="A39" s="2" t="s">
        <v>15</v>
      </c>
      <c r="B39" s="2" t="s">
        <v>16</v>
      </c>
      <c r="C39" s="2" t="s">
        <v>17</v>
      </c>
      <c r="D39" s="2" t="s">
        <v>18</v>
      </c>
      <c r="E39" s="2" t="s">
        <v>16</v>
      </c>
      <c r="F39" s="2" t="s">
        <v>17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18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18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18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18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18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18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23</v>
      </c>
    </row>
    <row r="48" spans="1:6" ht="15" customHeight="1" x14ac:dyDescent="0.25">
      <c r="A48" s="2" t="s">
        <v>15</v>
      </c>
      <c r="B48" s="2" t="s">
        <v>16</v>
      </c>
      <c r="C48" s="2" t="s">
        <v>17</v>
      </c>
      <c r="D48" s="2" t="s">
        <v>18</v>
      </c>
      <c r="E48" s="2" t="s">
        <v>16</v>
      </c>
      <c r="F48" s="2" t="s">
        <v>17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18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18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18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18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18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18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12" t="s">
        <v>24</v>
      </c>
      <c r="B56" s="12"/>
      <c r="C56" s="12"/>
      <c r="D56" s="12"/>
      <c r="E56" s="12"/>
      <c r="F56" s="12"/>
    </row>
    <row r="57" spans="1:6" ht="15" customHeight="1" x14ac:dyDescent="0.25">
      <c r="A57" s="4" t="s">
        <v>25</v>
      </c>
    </row>
    <row r="58" spans="1:6" ht="15" customHeight="1" x14ac:dyDescent="0.25">
      <c r="A58" s="2" t="s">
        <v>15</v>
      </c>
      <c r="B58" s="2" t="s">
        <v>16</v>
      </c>
      <c r="C58" s="2" t="s">
        <v>17</v>
      </c>
      <c r="D58" s="2" t="s">
        <v>18</v>
      </c>
      <c r="E58" s="2" t="s">
        <v>16</v>
      </c>
      <c r="F58" s="2" t="s">
        <v>17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18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18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18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18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18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18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26</v>
      </c>
    </row>
    <row r="67" spans="1:6" ht="15" customHeight="1" x14ac:dyDescent="0.25">
      <c r="A67" s="2" t="s">
        <v>15</v>
      </c>
      <c r="B67" s="2" t="s">
        <v>16</v>
      </c>
      <c r="C67" s="2" t="s">
        <v>17</v>
      </c>
      <c r="D67" s="2" t="s">
        <v>18</v>
      </c>
      <c r="E67" s="2" t="s">
        <v>16</v>
      </c>
      <c r="F67" s="2" t="s">
        <v>17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18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18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18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18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18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18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27</v>
      </c>
    </row>
    <row r="76" spans="1:6" ht="15" customHeight="1" x14ac:dyDescent="0.25">
      <c r="A76" s="2" t="s">
        <v>15</v>
      </c>
      <c r="B76" s="2" t="s">
        <v>16</v>
      </c>
      <c r="C76" s="2" t="s">
        <v>17</v>
      </c>
      <c r="D76" s="2" t="s">
        <v>18</v>
      </c>
      <c r="E76" s="2" t="s">
        <v>16</v>
      </c>
      <c r="F76" s="2" t="s">
        <v>17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18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18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18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18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18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18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28</v>
      </c>
    </row>
    <row r="85" spans="1:6" ht="15" customHeight="1" x14ac:dyDescent="0.25">
      <c r="A85" s="2" t="s">
        <v>15</v>
      </c>
      <c r="B85" s="2" t="s">
        <v>16</v>
      </c>
      <c r="C85" s="2" t="s">
        <v>17</v>
      </c>
      <c r="D85" s="2" t="s">
        <v>18</v>
      </c>
      <c r="E85" s="2" t="s">
        <v>16</v>
      </c>
      <c r="F85" s="2" t="s">
        <v>17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18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18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18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18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18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18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29</v>
      </c>
    </row>
    <row r="94" spans="1:6" ht="15" customHeight="1" x14ac:dyDescent="0.25">
      <c r="A94" s="2" t="s">
        <v>15</v>
      </c>
      <c r="B94" s="2" t="s">
        <v>16</v>
      </c>
      <c r="C94" s="2" t="s">
        <v>17</v>
      </c>
      <c r="D94" s="2" t="s">
        <v>18</v>
      </c>
      <c r="E94" s="2" t="s">
        <v>16</v>
      </c>
      <c r="F94" s="2" t="s">
        <v>17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18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18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18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18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18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18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30</v>
      </c>
    </row>
    <row r="103" spans="1:6" ht="15" customHeight="1" x14ac:dyDescent="0.25">
      <c r="A103" s="2" t="s">
        <v>15</v>
      </c>
      <c r="B103" s="2" t="s">
        <v>16</v>
      </c>
      <c r="C103" s="2" t="s">
        <v>17</v>
      </c>
      <c r="D103" s="2" t="s">
        <v>18</v>
      </c>
      <c r="E103" s="2" t="s">
        <v>16</v>
      </c>
      <c r="F103" s="2" t="s">
        <v>17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18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18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18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18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18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18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12" t="s">
        <v>31</v>
      </c>
      <c r="B111" s="12"/>
      <c r="C111" s="12"/>
      <c r="D111" s="12"/>
      <c r="E111" s="12"/>
      <c r="F111" s="12"/>
    </row>
    <row r="112" spans="1:6" ht="15" customHeight="1" x14ac:dyDescent="0.25">
      <c r="A112" s="4" t="s">
        <v>32</v>
      </c>
    </row>
    <row r="113" spans="1:6" ht="15" customHeight="1" x14ac:dyDescent="0.25">
      <c r="A113" s="2" t="s">
        <v>15</v>
      </c>
      <c r="B113" s="2" t="s">
        <v>16</v>
      </c>
      <c r="C113" s="2" t="s">
        <v>17</v>
      </c>
      <c r="D113" s="2" t="s">
        <v>18</v>
      </c>
      <c r="E113" s="2" t="s">
        <v>16</v>
      </c>
      <c r="F113" s="2" t="s">
        <v>17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18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18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18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18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18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18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33</v>
      </c>
    </row>
    <row r="122" spans="1:6" ht="15" customHeight="1" x14ac:dyDescent="0.25">
      <c r="A122" s="2" t="s">
        <v>15</v>
      </c>
      <c r="B122" s="2" t="s">
        <v>16</v>
      </c>
      <c r="C122" s="2" t="s">
        <v>17</v>
      </c>
      <c r="D122" s="2" t="s">
        <v>18</v>
      </c>
      <c r="E122" s="2" t="s">
        <v>16</v>
      </c>
      <c r="F122" s="2" t="s">
        <v>17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18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18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18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18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18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18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34</v>
      </c>
    </row>
    <row r="131" spans="1:6" ht="15" customHeight="1" x14ac:dyDescent="0.25">
      <c r="A131" s="2" t="s">
        <v>15</v>
      </c>
      <c r="B131" s="2" t="s">
        <v>16</v>
      </c>
      <c r="C131" s="2" t="s">
        <v>17</v>
      </c>
      <c r="D131" s="2" t="s">
        <v>18</v>
      </c>
      <c r="E131" s="2" t="s">
        <v>16</v>
      </c>
      <c r="F131" s="2" t="s">
        <v>17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18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18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18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18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18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18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35</v>
      </c>
    </row>
    <row r="140" spans="1:6" ht="15" customHeight="1" x14ac:dyDescent="0.25">
      <c r="A140" s="2" t="s">
        <v>15</v>
      </c>
      <c r="B140" s="2" t="s">
        <v>16</v>
      </c>
      <c r="C140" s="2" t="s">
        <v>17</v>
      </c>
      <c r="D140" s="2" t="s">
        <v>18</v>
      </c>
      <c r="E140" s="2" t="s">
        <v>16</v>
      </c>
      <c r="F140" s="2" t="s">
        <v>17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18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18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18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18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18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18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36</v>
      </c>
    </row>
    <row r="149" spans="1:6" ht="15" customHeight="1" x14ac:dyDescent="0.25">
      <c r="A149" s="2" t="s">
        <v>15</v>
      </c>
      <c r="B149" s="2" t="s">
        <v>16</v>
      </c>
      <c r="C149" s="2" t="s">
        <v>17</v>
      </c>
      <c r="D149" s="2" t="s">
        <v>18</v>
      </c>
      <c r="E149" s="2" t="s">
        <v>16</v>
      </c>
      <c r="F149" s="2" t="s">
        <v>17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18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18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18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18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18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18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37</v>
      </c>
    </row>
    <row r="158" spans="1:6" ht="15" customHeight="1" x14ac:dyDescent="0.25">
      <c r="A158" s="2" t="s">
        <v>15</v>
      </c>
      <c r="B158" s="2" t="s">
        <v>16</v>
      </c>
      <c r="C158" s="2" t="s">
        <v>17</v>
      </c>
      <c r="D158" s="2" t="s">
        <v>18</v>
      </c>
      <c r="E158" s="2" t="s">
        <v>16</v>
      </c>
      <c r="F158" s="2" t="s">
        <v>17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18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18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18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18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18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18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>
      <selection activeCell="H4" sqref="H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38</v>
      </c>
    </row>
    <row r="2" spans="1:10" ht="15" customHeight="1" x14ac:dyDescent="0.25">
      <c r="A2" t="s">
        <v>39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  <c r="I2" t="s">
        <v>47</v>
      </c>
      <c r="J2" t="s">
        <v>48</v>
      </c>
    </row>
    <row r="3" spans="1:10" ht="15" customHeight="1" x14ac:dyDescent="0.25">
      <c r="A3">
        <v>1</v>
      </c>
      <c r="B3" t="s">
        <v>49</v>
      </c>
      <c r="C3" t="s">
        <v>50</v>
      </c>
      <c r="D3" t="s">
        <v>51</v>
      </c>
      <c r="E3">
        <v>10</v>
      </c>
      <c r="F3" t="s">
        <v>52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53</v>
      </c>
      <c r="C4" t="s">
        <v>54</v>
      </c>
      <c r="D4" t="s">
        <v>55</v>
      </c>
      <c r="F4" t="s">
        <v>56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57</v>
      </c>
      <c r="C5" t="s">
        <v>58</v>
      </c>
      <c r="D5" t="s">
        <v>59</v>
      </c>
      <c r="F5" t="s">
        <v>60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57</v>
      </c>
      <c r="C6" t="s">
        <v>58</v>
      </c>
      <c r="D6" t="s">
        <v>61</v>
      </c>
      <c r="F6" t="s">
        <v>62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57</v>
      </c>
      <c r="C7" t="s">
        <v>58</v>
      </c>
      <c r="D7" t="s">
        <v>63</v>
      </c>
      <c r="F7" t="s">
        <v>64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57</v>
      </c>
      <c r="C8" t="s">
        <v>58</v>
      </c>
      <c r="D8" t="s">
        <v>65</v>
      </c>
      <c r="F8" t="s">
        <v>66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57</v>
      </c>
      <c r="C9" t="s">
        <v>58</v>
      </c>
      <c r="D9" t="s">
        <v>67</v>
      </c>
      <c r="F9" t="s">
        <v>68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57</v>
      </c>
      <c r="C10" t="s">
        <v>58</v>
      </c>
      <c r="D10" t="s">
        <v>69</v>
      </c>
      <c r="F10" t="s">
        <v>70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57</v>
      </c>
      <c r="C11" t="s">
        <v>58</v>
      </c>
      <c r="D11" t="s">
        <v>71</v>
      </c>
      <c r="F11" t="s">
        <v>72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57</v>
      </c>
      <c r="C12" t="s">
        <v>58</v>
      </c>
      <c r="D12" t="s">
        <v>73</v>
      </c>
      <c r="F12" t="s">
        <v>74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57</v>
      </c>
      <c r="C13" t="s">
        <v>75</v>
      </c>
      <c r="D13" t="s">
        <v>76</v>
      </c>
      <c r="F13" t="s">
        <v>77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57</v>
      </c>
      <c r="C14" t="s">
        <v>75</v>
      </c>
      <c r="D14" t="s">
        <v>78</v>
      </c>
      <c r="F14" t="s">
        <v>79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57</v>
      </c>
      <c r="C15" t="s">
        <v>75</v>
      </c>
      <c r="D15" t="s">
        <v>80</v>
      </c>
      <c r="F15" t="s">
        <v>81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57</v>
      </c>
      <c r="C16" t="s">
        <v>75</v>
      </c>
      <c r="D16" t="s">
        <v>82</v>
      </c>
      <c r="F16" t="s">
        <v>83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57</v>
      </c>
      <c r="C17" t="s">
        <v>50</v>
      </c>
      <c r="D17" t="s">
        <v>84</v>
      </c>
      <c r="F17" t="s">
        <v>85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86</v>
      </c>
      <c r="C18" t="s">
        <v>87</v>
      </c>
      <c r="D18" t="s">
        <v>88</v>
      </c>
      <c r="F18" t="s">
        <v>89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90</v>
      </c>
    </row>
    <row r="21" spans="1:10" ht="15" customHeight="1" x14ac:dyDescent="0.25">
      <c r="A21" t="s">
        <v>39</v>
      </c>
      <c r="B21" t="s">
        <v>40</v>
      </c>
      <c r="C21" t="s">
        <v>41</v>
      </c>
      <c r="D21" t="s">
        <v>42</v>
      </c>
      <c r="E21" t="s">
        <v>43</v>
      </c>
      <c r="F21" t="s">
        <v>44</v>
      </c>
      <c r="G21" t="s">
        <v>45</v>
      </c>
      <c r="H21" t="s">
        <v>46</v>
      </c>
      <c r="I21" t="s">
        <v>47</v>
      </c>
      <c r="J21" t="s">
        <v>48</v>
      </c>
    </row>
    <row r="22" spans="1:10" ht="15" customHeight="1" x14ac:dyDescent="0.25">
      <c r="A22">
        <v>2</v>
      </c>
      <c r="B22" t="s">
        <v>91</v>
      </c>
      <c r="C22" t="s">
        <v>87</v>
      </c>
      <c r="D22" t="s">
        <v>64</v>
      </c>
      <c r="F22" t="s">
        <v>65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92</v>
      </c>
      <c r="C23" t="s">
        <v>58</v>
      </c>
      <c r="D23" t="s">
        <v>60</v>
      </c>
      <c r="F23" t="s">
        <v>71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92</v>
      </c>
      <c r="C24" t="s">
        <v>58</v>
      </c>
      <c r="D24" t="s">
        <v>63</v>
      </c>
      <c r="F24" t="s">
        <v>67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92</v>
      </c>
      <c r="C25" t="s">
        <v>58</v>
      </c>
      <c r="D25" t="s">
        <v>81</v>
      </c>
      <c r="F25" t="s">
        <v>59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92</v>
      </c>
      <c r="C26" t="s">
        <v>58</v>
      </c>
      <c r="D26" t="s">
        <v>62</v>
      </c>
      <c r="F26" t="s">
        <v>66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92</v>
      </c>
      <c r="C27" t="s">
        <v>58</v>
      </c>
      <c r="D27" t="s">
        <v>72</v>
      </c>
      <c r="F27" t="s">
        <v>51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92</v>
      </c>
      <c r="C28" t="s">
        <v>58</v>
      </c>
      <c r="D28" t="s">
        <v>80</v>
      </c>
      <c r="F28" t="s">
        <v>73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92</v>
      </c>
      <c r="C29" t="s">
        <v>58</v>
      </c>
      <c r="D29" t="s">
        <v>69</v>
      </c>
      <c r="F29" t="s">
        <v>61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92</v>
      </c>
      <c r="C30" t="s">
        <v>58</v>
      </c>
      <c r="D30" t="s">
        <v>83</v>
      </c>
      <c r="F30" t="s">
        <v>74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92</v>
      </c>
      <c r="C31" t="s">
        <v>93</v>
      </c>
      <c r="D31" t="s">
        <v>70</v>
      </c>
      <c r="F31" t="s">
        <v>88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92</v>
      </c>
      <c r="C32" t="s">
        <v>93</v>
      </c>
      <c r="D32" t="s">
        <v>79</v>
      </c>
      <c r="F32" t="s">
        <v>77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92</v>
      </c>
      <c r="C33" t="s">
        <v>75</v>
      </c>
      <c r="D33" t="s">
        <v>52</v>
      </c>
      <c r="F33" t="s">
        <v>76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92</v>
      </c>
      <c r="C34" t="s">
        <v>75</v>
      </c>
      <c r="D34" t="s">
        <v>82</v>
      </c>
      <c r="F34" t="s">
        <v>84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92</v>
      </c>
      <c r="C35" t="s">
        <v>75</v>
      </c>
      <c r="D35" t="s">
        <v>78</v>
      </c>
      <c r="F35" t="s">
        <v>55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92</v>
      </c>
      <c r="C36" t="s">
        <v>50</v>
      </c>
      <c r="D36" t="s">
        <v>68</v>
      </c>
      <c r="F36" t="s">
        <v>89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94</v>
      </c>
      <c r="C37" t="s">
        <v>87</v>
      </c>
      <c r="D37" t="s">
        <v>85</v>
      </c>
      <c r="F37" t="s">
        <v>56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95</v>
      </c>
    </row>
    <row r="40" spans="1:10" ht="15" customHeight="1" x14ac:dyDescent="0.25">
      <c r="A40" t="s">
        <v>39</v>
      </c>
      <c r="B40" t="s">
        <v>40</v>
      </c>
      <c r="C40" t="s">
        <v>41</v>
      </c>
      <c r="D40" t="s">
        <v>42</v>
      </c>
      <c r="E40" t="s">
        <v>43</v>
      </c>
      <c r="F40" t="s">
        <v>44</v>
      </c>
      <c r="G40" t="s">
        <v>45</v>
      </c>
      <c r="H40" t="s">
        <v>46</v>
      </c>
      <c r="I40" t="s">
        <v>47</v>
      </c>
      <c r="J40" t="s">
        <v>48</v>
      </c>
    </row>
    <row r="41" spans="1:10" ht="15" customHeight="1" x14ac:dyDescent="0.25">
      <c r="A41">
        <v>3</v>
      </c>
      <c r="B41" t="s">
        <v>96</v>
      </c>
      <c r="C41" t="s">
        <v>87</v>
      </c>
      <c r="D41" t="s">
        <v>71</v>
      </c>
      <c r="F41" t="s">
        <v>80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97</v>
      </c>
      <c r="C42" t="s">
        <v>58</v>
      </c>
      <c r="D42" t="s">
        <v>77</v>
      </c>
      <c r="F42" t="s">
        <v>65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97</v>
      </c>
      <c r="C43" t="s">
        <v>58</v>
      </c>
      <c r="D43" t="s">
        <v>60</v>
      </c>
      <c r="F43" t="s">
        <v>69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97</v>
      </c>
      <c r="C44" t="s">
        <v>58</v>
      </c>
      <c r="D44" t="s">
        <v>73</v>
      </c>
      <c r="F44" t="s">
        <v>64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97</v>
      </c>
      <c r="C45" t="s">
        <v>58</v>
      </c>
      <c r="D45" t="s">
        <v>66</v>
      </c>
      <c r="F45" t="s">
        <v>68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97</v>
      </c>
      <c r="C46" t="s">
        <v>58</v>
      </c>
      <c r="D46" t="s">
        <v>89</v>
      </c>
      <c r="F46" t="s">
        <v>78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97</v>
      </c>
      <c r="C47" t="s">
        <v>58</v>
      </c>
      <c r="D47" t="s">
        <v>74</v>
      </c>
      <c r="F47" t="s">
        <v>85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97</v>
      </c>
      <c r="C48" t="s">
        <v>58</v>
      </c>
      <c r="D48" t="s">
        <v>62</v>
      </c>
      <c r="F48" t="s">
        <v>72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97</v>
      </c>
      <c r="C49" t="s">
        <v>58</v>
      </c>
      <c r="D49" t="s">
        <v>52</v>
      </c>
      <c r="F49" t="s">
        <v>82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97</v>
      </c>
      <c r="C50" t="s">
        <v>58</v>
      </c>
      <c r="D50" t="s">
        <v>51</v>
      </c>
      <c r="F50" t="s">
        <v>70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97</v>
      </c>
      <c r="C51" t="s">
        <v>93</v>
      </c>
      <c r="D51" t="s">
        <v>76</v>
      </c>
      <c r="F51" t="s">
        <v>55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97</v>
      </c>
      <c r="C52" t="s">
        <v>93</v>
      </c>
      <c r="D52" t="s">
        <v>81</v>
      </c>
      <c r="F52" t="s">
        <v>61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97</v>
      </c>
      <c r="C53" t="s">
        <v>75</v>
      </c>
      <c r="D53" t="s">
        <v>67</v>
      </c>
      <c r="F53" t="s">
        <v>84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97</v>
      </c>
      <c r="C54" t="s">
        <v>75</v>
      </c>
      <c r="D54" t="s">
        <v>79</v>
      </c>
      <c r="F54" t="s">
        <v>63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97</v>
      </c>
      <c r="C55" t="s">
        <v>50</v>
      </c>
      <c r="D55" t="s">
        <v>56</v>
      </c>
      <c r="F55" t="s">
        <v>88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98</v>
      </c>
      <c r="C56" t="s">
        <v>87</v>
      </c>
      <c r="D56" t="s">
        <v>83</v>
      </c>
      <c r="F56" t="s">
        <v>59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99</v>
      </c>
    </row>
    <row r="59" spans="1:10" ht="15" customHeight="1" x14ac:dyDescent="0.25">
      <c r="A59" t="s">
        <v>39</v>
      </c>
      <c r="B59" t="s">
        <v>40</v>
      </c>
      <c r="C59" t="s">
        <v>41</v>
      </c>
      <c r="D59" t="s">
        <v>42</v>
      </c>
      <c r="E59" t="s">
        <v>43</v>
      </c>
      <c r="F59" t="s">
        <v>44</v>
      </c>
      <c r="G59" t="s">
        <v>45</v>
      </c>
      <c r="H59" t="s">
        <v>46</v>
      </c>
      <c r="I59" t="s">
        <v>47</v>
      </c>
      <c r="J59" t="s">
        <v>48</v>
      </c>
    </row>
    <row r="60" spans="1:10" ht="15" customHeight="1" x14ac:dyDescent="0.25">
      <c r="A60">
        <v>4</v>
      </c>
      <c r="B60" t="s">
        <v>100</v>
      </c>
      <c r="C60" t="s">
        <v>87</v>
      </c>
      <c r="D60" t="s">
        <v>72</v>
      </c>
      <c r="F60" t="s">
        <v>69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101</v>
      </c>
      <c r="C61" t="s">
        <v>102</v>
      </c>
      <c r="D61" t="s">
        <v>68</v>
      </c>
      <c r="F61" t="s">
        <v>82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101</v>
      </c>
      <c r="C62" t="s">
        <v>58</v>
      </c>
      <c r="D62" t="s">
        <v>51</v>
      </c>
      <c r="F62" t="s">
        <v>65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101</v>
      </c>
      <c r="C63" t="s">
        <v>58</v>
      </c>
      <c r="D63" t="s">
        <v>73</v>
      </c>
      <c r="F63" t="s">
        <v>59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101</v>
      </c>
      <c r="C64" t="s">
        <v>58</v>
      </c>
      <c r="D64" t="s">
        <v>70</v>
      </c>
      <c r="F64" t="s">
        <v>62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101</v>
      </c>
      <c r="C65" t="s">
        <v>58</v>
      </c>
      <c r="D65" t="s">
        <v>76</v>
      </c>
      <c r="F65" t="s">
        <v>85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101</v>
      </c>
      <c r="C66" t="s">
        <v>58</v>
      </c>
      <c r="D66" t="s">
        <v>56</v>
      </c>
      <c r="F66" t="s">
        <v>83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101</v>
      </c>
      <c r="C67" t="s">
        <v>58</v>
      </c>
      <c r="D67" t="s">
        <v>80</v>
      </c>
      <c r="F67" t="s">
        <v>61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101</v>
      </c>
      <c r="C68" t="s">
        <v>58</v>
      </c>
      <c r="D68" t="s">
        <v>74</v>
      </c>
      <c r="F68" t="s">
        <v>67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101</v>
      </c>
      <c r="C69" t="s">
        <v>58</v>
      </c>
      <c r="D69" t="s">
        <v>84</v>
      </c>
      <c r="F69" t="s">
        <v>66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101</v>
      </c>
      <c r="C70" t="s">
        <v>93</v>
      </c>
      <c r="D70" t="s">
        <v>78</v>
      </c>
      <c r="F70" t="s">
        <v>81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101</v>
      </c>
      <c r="C71" t="s">
        <v>75</v>
      </c>
      <c r="D71" t="s">
        <v>89</v>
      </c>
      <c r="F71" t="s">
        <v>79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101</v>
      </c>
      <c r="C72" t="s">
        <v>75</v>
      </c>
      <c r="D72" t="s">
        <v>88</v>
      </c>
      <c r="F72" t="s">
        <v>55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101</v>
      </c>
      <c r="C73" t="s">
        <v>75</v>
      </c>
      <c r="D73" t="s">
        <v>77</v>
      </c>
      <c r="F73" t="s">
        <v>52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101</v>
      </c>
      <c r="C74" t="s">
        <v>50</v>
      </c>
      <c r="D74" t="s">
        <v>64</v>
      </c>
      <c r="F74" t="s">
        <v>60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103</v>
      </c>
      <c r="C75" t="s">
        <v>87</v>
      </c>
      <c r="D75" t="s">
        <v>71</v>
      </c>
      <c r="F75" t="s">
        <v>63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104</v>
      </c>
    </row>
    <row r="78" spans="1:10" ht="15" customHeight="1" x14ac:dyDescent="0.25">
      <c r="A78" t="s">
        <v>39</v>
      </c>
      <c r="B78" t="s">
        <v>40</v>
      </c>
      <c r="C78" t="s">
        <v>41</v>
      </c>
      <c r="D78" t="s">
        <v>42</v>
      </c>
      <c r="E78" t="s">
        <v>43</v>
      </c>
      <c r="F78" t="s">
        <v>44</v>
      </c>
      <c r="G78" t="s">
        <v>45</v>
      </c>
      <c r="H78" t="s">
        <v>46</v>
      </c>
      <c r="I78" t="s">
        <v>47</v>
      </c>
      <c r="J78" t="s">
        <v>48</v>
      </c>
    </row>
    <row r="79" spans="1:10" ht="15" customHeight="1" x14ac:dyDescent="0.25">
      <c r="A79">
        <v>5</v>
      </c>
      <c r="B79" t="s">
        <v>105</v>
      </c>
      <c r="C79" t="s">
        <v>87</v>
      </c>
      <c r="D79" t="s">
        <v>61</v>
      </c>
      <c r="F79" t="s">
        <v>84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106</v>
      </c>
      <c r="C80" t="s">
        <v>102</v>
      </c>
      <c r="D80" t="s">
        <v>83</v>
      </c>
      <c r="F80" t="s">
        <v>70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106</v>
      </c>
      <c r="C81" t="s">
        <v>58</v>
      </c>
      <c r="D81" t="s">
        <v>66</v>
      </c>
      <c r="F81" t="s">
        <v>74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106</v>
      </c>
      <c r="C82" t="s">
        <v>58</v>
      </c>
      <c r="D82" t="s">
        <v>62</v>
      </c>
      <c r="F82" t="s">
        <v>78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106</v>
      </c>
      <c r="C83" t="s">
        <v>58</v>
      </c>
      <c r="D83" t="s">
        <v>79</v>
      </c>
      <c r="F83" t="s">
        <v>51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106</v>
      </c>
      <c r="C84" t="s">
        <v>58</v>
      </c>
      <c r="D84" t="s">
        <v>81</v>
      </c>
      <c r="F84" t="s">
        <v>63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106</v>
      </c>
      <c r="C85" t="s">
        <v>58</v>
      </c>
      <c r="D85" t="s">
        <v>69</v>
      </c>
      <c r="F85" t="s">
        <v>73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106</v>
      </c>
      <c r="C86" t="s">
        <v>58</v>
      </c>
      <c r="D86" t="s">
        <v>68</v>
      </c>
      <c r="F86" t="s">
        <v>72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106</v>
      </c>
      <c r="C87" t="s">
        <v>58</v>
      </c>
      <c r="D87" t="s">
        <v>85</v>
      </c>
      <c r="F87" t="s">
        <v>82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106</v>
      </c>
      <c r="C88" t="s">
        <v>93</v>
      </c>
      <c r="D88" t="s">
        <v>88</v>
      </c>
      <c r="F88" t="s">
        <v>77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106</v>
      </c>
      <c r="C89" t="s">
        <v>75</v>
      </c>
      <c r="D89" t="s">
        <v>59</v>
      </c>
      <c r="F89" t="s">
        <v>80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106</v>
      </c>
      <c r="C90" t="s">
        <v>75</v>
      </c>
      <c r="D90" t="s">
        <v>64</v>
      </c>
      <c r="F90" t="s">
        <v>76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106</v>
      </c>
      <c r="C91" t="s">
        <v>75</v>
      </c>
      <c r="D91" t="s">
        <v>55</v>
      </c>
      <c r="F91" t="s">
        <v>52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106</v>
      </c>
      <c r="C92" t="s">
        <v>50</v>
      </c>
      <c r="D92" t="s">
        <v>67</v>
      </c>
      <c r="F92" t="s">
        <v>71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107</v>
      </c>
      <c r="C93" t="s">
        <v>87</v>
      </c>
      <c r="D93" t="s">
        <v>65</v>
      </c>
      <c r="F93" t="s">
        <v>56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108</v>
      </c>
    </row>
    <row r="96" spans="1:10" ht="15" customHeight="1" x14ac:dyDescent="0.25">
      <c r="A96" t="s">
        <v>39</v>
      </c>
      <c r="B96" t="s">
        <v>40</v>
      </c>
      <c r="C96" t="s">
        <v>41</v>
      </c>
      <c r="D96" t="s">
        <v>42</v>
      </c>
      <c r="E96" t="s">
        <v>43</v>
      </c>
      <c r="F96" t="s">
        <v>44</v>
      </c>
      <c r="G96" t="s">
        <v>45</v>
      </c>
      <c r="H96" t="s">
        <v>46</v>
      </c>
      <c r="I96" t="s">
        <v>47</v>
      </c>
      <c r="J96" t="s">
        <v>48</v>
      </c>
    </row>
    <row r="97" spans="1:10" ht="15" customHeight="1" x14ac:dyDescent="0.25">
      <c r="A97">
        <v>6</v>
      </c>
      <c r="B97" t="s">
        <v>109</v>
      </c>
      <c r="C97" t="s">
        <v>87</v>
      </c>
      <c r="D97" t="s">
        <v>52</v>
      </c>
      <c r="F97" t="s">
        <v>88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110</v>
      </c>
      <c r="C98" t="s">
        <v>102</v>
      </c>
      <c r="D98" t="s">
        <v>66</v>
      </c>
      <c r="F98" t="s">
        <v>70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110</v>
      </c>
      <c r="C99" t="s">
        <v>58</v>
      </c>
      <c r="D99" t="s">
        <v>59</v>
      </c>
      <c r="F99" t="s">
        <v>71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110</v>
      </c>
      <c r="C100" t="s">
        <v>58</v>
      </c>
      <c r="D100" t="s">
        <v>67</v>
      </c>
      <c r="F100" t="s">
        <v>69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110</v>
      </c>
      <c r="C101" t="s">
        <v>58</v>
      </c>
      <c r="D101" t="s">
        <v>74</v>
      </c>
      <c r="F101" t="s">
        <v>68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110</v>
      </c>
      <c r="C102" t="s">
        <v>58</v>
      </c>
      <c r="D102" t="s">
        <v>73</v>
      </c>
      <c r="F102" t="s">
        <v>51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110</v>
      </c>
      <c r="C103" t="s">
        <v>58</v>
      </c>
      <c r="D103" t="s">
        <v>63</v>
      </c>
      <c r="F103" t="s">
        <v>85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110</v>
      </c>
      <c r="C104" t="s">
        <v>58</v>
      </c>
      <c r="D104" t="s">
        <v>60</v>
      </c>
      <c r="F104" t="s">
        <v>83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110</v>
      </c>
      <c r="C105" t="s">
        <v>58</v>
      </c>
      <c r="D105" t="s">
        <v>72</v>
      </c>
      <c r="F105" t="s">
        <v>61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110</v>
      </c>
      <c r="C106" t="s">
        <v>93</v>
      </c>
      <c r="D106" t="s">
        <v>76</v>
      </c>
      <c r="F106" t="s">
        <v>77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110</v>
      </c>
      <c r="C107" t="s">
        <v>75</v>
      </c>
      <c r="D107" t="s">
        <v>56</v>
      </c>
      <c r="F107" t="s">
        <v>89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110</v>
      </c>
      <c r="C108" t="s">
        <v>75</v>
      </c>
      <c r="D108" t="s">
        <v>65</v>
      </c>
      <c r="F108" t="s">
        <v>79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110</v>
      </c>
      <c r="C109" t="s">
        <v>50</v>
      </c>
      <c r="D109" t="s">
        <v>84</v>
      </c>
      <c r="F109" t="s">
        <v>80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111</v>
      </c>
      <c r="C110" t="s">
        <v>87</v>
      </c>
      <c r="D110" t="s">
        <v>82</v>
      </c>
      <c r="F110" t="s">
        <v>55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112</v>
      </c>
    </row>
    <row r="113" spans="1:10" ht="15" customHeight="1" x14ac:dyDescent="0.25">
      <c r="A113" t="s">
        <v>39</v>
      </c>
      <c r="B113" t="s">
        <v>40</v>
      </c>
      <c r="C113" t="s">
        <v>41</v>
      </c>
      <c r="D113" t="s">
        <v>42</v>
      </c>
      <c r="E113" t="s">
        <v>43</v>
      </c>
      <c r="F113" t="s">
        <v>44</v>
      </c>
      <c r="G113" t="s">
        <v>45</v>
      </c>
      <c r="H113" t="s">
        <v>46</v>
      </c>
      <c r="I113" t="s">
        <v>47</v>
      </c>
      <c r="J113" t="s">
        <v>48</v>
      </c>
    </row>
    <row r="114" spans="1:10" ht="15" customHeight="1" x14ac:dyDescent="0.25">
      <c r="A114">
        <v>7</v>
      </c>
      <c r="B114" t="s">
        <v>113</v>
      </c>
      <c r="C114" t="s">
        <v>87</v>
      </c>
      <c r="D114" t="s">
        <v>51</v>
      </c>
      <c r="F114" t="s">
        <v>59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114</v>
      </c>
      <c r="C115" t="s">
        <v>102</v>
      </c>
      <c r="D115" t="s">
        <v>72</v>
      </c>
      <c r="F115" t="s">
        <v>63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114</v>
      </c>
      <c r="C116" t="s">
        <v>58</v>
      </c>
      <c r="D116" t="s">
        <v>55</v>
      </c>
      <c r="F116" t="s">
        <v>71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114</v>
      </c>
      <c r="C117" t="s">
        <v>58</v>
      </c>
      <c r="D117" t="s">
        <v>69</v>
      </c>
      <c r="F117" t="s">
        <v>74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114</v>
      </c>
      <c r="C118" t="s">
        <v>58</v>
      </c>
      <c r="D118" t="s">
        <v>68</v>
      </c>
      <c r="F118" t="s">
        <v>81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114</v>
      </c>
      <c r="C119" t="s">
        <v>58</v>
      </c>
      <c r="D119" t="s">
        <v>78</v>
      </c>
      <c r="F119" t="s">
        <v>73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114</v>
      </c>
      <c r="C120" t="s">
        <v>58</v>
      </c>
      <c r="D120" t="s">
        <v>61</v>
      </c>
      <c r="F120" t="s">
        <v>60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114</v>
      </c>
      <c r="C121" t="s">
        <v>58</v>
      </c>
      <c r="D121" t="s">
        <v>62</v>
      </c>
      <c r="F121" t="s">
        <v>67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114</v>
      </c>
      <c r="C122" t="s">
        <v>58</v>
      </c>
      <c r="D122" t="s">
        <v>85</v>
      </c>
      <c r="F122" t="s">
        <v>66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114</v>
      </c>
      <c r="C123" t="s">
        <v>93</v>
      </c>
      <c r="D123" t="s">
        <v>88</v>
      </c>
      <c r="F123" t="s">
        <v>76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114</v>
      </c>
      <c r="C124" t="s">
        <v>75</v>
      </c>
      <c r="D124" t="s">
        <v>80</v>
      </c>
      <c r="F124" t="s">
        <v>64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114</v>
      </c>
      <c r="C125" t="s">
        <v>75</v>
      </c>
      <c r="D125" t="s">
        <v>56</v>
      </c>
      <c r="F125" t="s">
        <v>79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114</v>
      </c>
      <c r="C126" t="s">
        <v>50</v>
      </c>
      <c r="D126" t="s">
        <v>89</v>
      </c>
      <c r="F126" t="s">
        <v>52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115</v>
      </c>
      <c r="C127" t="s">
        <v>87</v>
      </c>
      <c r="D127" t="s">
        <v>84</v>
      </c>
      <c r="F127" t="s">
        <v>83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116</v>
      </c>
    </row>
    <row r="130" spans="1:10" ht="15" customHeight="1" x14ac:dyDescent="0.25">
      <c r="A130" t="s">
        <v>39</v>
      </c>
      <c r="B130" t="s">
        <v>40</v>
      </c>
      <c r="C130" t="s">
        <v>41</v>
      </c>
      <c r="D130" t="s">
        <v>42</v>
      </c>
      <c r="E130" t="s">
        <v>43</v>
      </c>
      <c r="F130" t="s">
        <v>44</v>
      </c>
      <c r="G130" t="s">
        <v>45</v>
      </c>
      <c r="H130" t="s">
        <v>46</v>
      </c>
      <c r="I130" t="s">
        <v>47</v>
      </c>
      <c r="J130" t="s">
        <v>48</v>
      </c>
    </row>
    <row r="131" spans="1:10" ht="15" customHeight="1" x14ac:dyDescent="0.25">
      <c r="A131">
        <v>8</v>
      </c>
      <c r="B131" t="s">
        <v>117</v>
      </c>
      <c r="C131" t="s">
        <v>87</v>
      </c>
      <c r="D131" t="s">
        <v>60</v>
      </c>
      <c r="F131" t="s">
        <v>80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118</v>
      </c>
      <c r="C132" t="s">
        <v>58</v>
      </c>
      <c r="D132" t="s">
        <v>67</v>
      </c>
      <c r="F132" t="s">
        <v>65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118</v>
      </c>
      <c r="C133" t="s">
        <v>58</v>
      </c>
      <c r="D133" t="s">
        <v>74</v>
      </c>
      <c r="F133" t="s">
        <v>62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118</v>
      </c>
      <c r="C134" t="s">
        <v>58</v>
      </c>
      <c r="D134" t="s">
        <v>76</v>
      </c>
      <c r="F134" t="s">
        <v>84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118</v>
      </c>
      <c r="C135" t="s">
        <v>58</v>
      </c>
      <c r="D135" t="s">
        <v>81</v>
      </c>
      <c r="F135" t="s">
        <v>64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118</v>
      </c>
      <c r="C136" t="s">
        <v>58</v>
      </c>
      <c r="D136" t="s">
        <v>79</v>
      </c>
      <c r="F136" t="s">
        <v>73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118</v>
      </c>
      <c r="C137" t="s">
        <v>58</v>
      </c>
      <c r="D137" t="s">
        <v>69</v>
      </c>
      <c r="F137" t="s">
        <v>72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118</v>
      </c>
      <c r="C138" t="s">
        <v>58</v>
      </c>
      <c r="D138" t="s">
        <v>71</v>
      </c>
      <c r="F138" t="s">
        <v>61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118</v>
      </c>
      <c r="C139" t="s">
        <v>58</v>
      </c>
      <c r="D139" t="s">
        <v>68</v>
      </c>
      <c r="F139" t="s">
        <v>70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118</v>
      </c>
      <c r="C140" t="s">
        <v>93</v>
      </c>
      <c r="D140" t="s">
        <v>56</v>
      </c>
      <c r="F140" t="s">
        <v>77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118</v>
      </c>
      <c r="C141" t="s">
        <v>75</v>
      </c>
      <c r="D141" t="s">
        <v>89</v>
      </c>
      <c r="F141" t="s">
        <v>88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118</v>
      </c>
      <c r="C142" t="s">
        <v>75</v>
      </c>
      <c r="D142" t="s">
        <v>51</v>
      </c>
      <c r="F142" t="s">
        <v>78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118</v>
      </c>
      <c r="C143" t="s">
        <v>50</v>
      </c>
      <c r="D143" t="s">
        <v>83</v>
      </c>
      <c r="F143" t="s">
        <v>82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119</v>
      </c>
      <c r="C144" t="s">
        <v>87</v>
      </c>
      <c r="D144" t="s">
        <v>59</v>
      </c>
      <c r="F144" t="s">
        <v>52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120</v>
      </c>
    </row>
    <row r="147" spans="1:10" ht="15" customHeight="1" x14ac:dyDescent="0.25">
      <c r="A147" t="s">
        <v>39</v>
      </c>
      <c r="B147" t="s">
        <v>40</v>
      </c>
      <c r="C147" t="s">
        <v>41</v>
      </c>
      <c r="D147" t="s">
        <v>42</v>
      </c>
      <c r="E147" t="s">
        <v>43</v>
      </c>
      <c r="F147" t="s">
        <v>44</v>
      </c>
      <c r="G147" t="s">
        <v>45</v>
      </c>
      <c r="H147" t="s">
        <v>46</v>
      </c>
      <c r="I147" t="s">
        <v>47</v>
      </c>
      <c r="J147" t="s">
        <v>48</v>
      </c>
    </row>
    <row r="148" spans="1:10" ht="15" customHeight="1" x14ac:dyDescent="0.25">
      <c r="A148">
        <v>9</v>
      </c>
      <c r="B148" t="s">
        <v>121</v>
      </c>
      <c r="C148" t="s">
        <v>87</v>
      </c>
      <c r="D148" t="s">
        <v>70</v>
      </c>
      <c r="F148" t="s">
        <v>67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122</v>
      </c>
      <c r="C149" t="s">
        <v>102</v>
      </c>
      <c r="D149" t="s">
        <v>62</v>
      </c>
      <c r="F149" t="s">
        <v>71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122</v>
      </c>
      <c r="C150" t="s">
        <v>58</v>
      </c>
      <c r="D150" t="s">
        <v>84</v>
      </c>
      <c r="F150" t="s">
        <v>68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122</v>
      </c>
      <c r="C151" t="s">
        <v>58</v>
      </c>
      <c r="D151" t="s">
        <v>73</v>
      </c>
      <c r="F151" t="s">
        <v>89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122</v>
      </c>
      <c r="C152" t="s">
        <v>58</v>
      </c>
      <c r="D152" t="s">
        <v>64</v>
      </c>
      <c r="F152" t="s">
        <v>78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122</v>
      </c>
      <c r="C153" t="s">
        <v>58</v>
      </c>
      <c r="D153" t="s">
        <v>69</v>
      </c>
      <c r="F153" t="s">
        <v>63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122</v>
      </c>
      <c r="C154" t="s">
        <v>58</v>
      </c>
      <c r="D154" t="s">
        <v>85</v>
      </c>
      <c r="F154" t="s">
        <v>83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122</v>
      </c>
      <c r="C155" t="s">
        <v>58</v>
      </c>
      <c r="D155" t="s">
        <v>56</v>
      </c>
      <c r="F155" t="s">
        <v>82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122</v>
      </c>
      <c r="C156" t="s">
        <v>58</v>
      </c>
      <c r="D156" t="s">
        <v>88</v>
      </c>
      <c r="F156" t="s">
        <v>60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122</v>
      </c>
      <c r="C157" t="s">
        <v>93</v>
      </c>
      <c r="D157" t="s">
        <v>66</v>
      </c>
      <c r="F157" t="s">
        <v>77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122</v>
      </c>
      <c r="C158" t="s">
        <v>93</v>
      </c>
      <c r="D158" t="s">
        <v>79</v>
      </c>
      <c r="F158" t="s">
        <v>55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122</v>
      </c>
      <c r="C159" t="s">
        <v>75</v>
      </c>
      <c r="D159" t="s">
        <v>80</v>
      </c>
      <c r="F159" t="s">
        <v>51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122</v>
      </c>
      <c r="C160" t="s">
        <v>75</v>
      </c>
      <c r="D160" t="s">
        <v>76</v>
      </c>
      <c r="F160" t="s">
        <v>52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122</v>
      </c>
      <c r="C161" t="s">
        <v>50</v>
      </c>
      <c r="D161" t="s">
        <v>61</v>
      </c>
      <c r="F161" t="s">
        <v>59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123</v>
      </c>
      <c r="C162" t="s">
        <v>87</v>
      </c>
      <c r="D162" t="s">
        <v>65</v>
      </c>
      <c r="F162" t="s">
        <v>81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124</v>
      </c>
    </row>
    <row r="165" spans="1:10" ht="15" customHeight="1" x14ac:dyDescent="0.25">
      <c r="A165" t="s">
        <v>39</v>
      </c>
      <c r="B165" t="s">
        <v>40</v>
      </c>
      <c r="C165" t="s">
        <v>41</v>
      </c>
      <c r="D165" t="s">
        <v>42</v>
      </c>
      <c r="E165" t="s">
        <v>43</v>
      </c>
      <c r="F165" t="s">
        <v>44</v>
      </c>
      <c r="G165" t="s">
        <v>45</v>
      </c>
      <c r="H165" t="s">
        <v>46</v>
      </c>
      <c r="I165" t="s">
        <v>47</v>
      </c>
      <c r="J165" t="s">
        <v>48</v>
      </c>
    </row>
    <row r="166" spans="1:10" ht="15" customHeight="1" x14ac:dyDescent="0.25">
      <c r="A166">
        <v>10</v>
      </c>
      <c r="B166" t="s">
        <v>125</v>
      </c>
      <c r="C166" t="s">
        <v>87</v>
      </c>
      <c r="D166" t="s">
        <v>82</v>
      </c>
      <c r="F166" t="s">
        <v>85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126</v>
      </c>
      <c r="C167" t="s">
        <v>102</v>
      </c>
      <c r="D167" t="s">
        <v>51</v>
      </c>
      <c r="F167" t="s">
        <v>64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126</v>
      </c>
      <c r="C168" t="s">
        <v>58</v>
      </c>
      <c r="D168" t="s">
        <v>89</v>
      </c>
      <c r="F168" t="s">
        <v>71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126</v>
      </c>
      <c r="C169" t="s">
        <v>58</v>
      </c>
      <c r="D169" t="s">
        <v>66</v>
      </c>
      <c r="F169" t="s">
        <v>69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126</v>
      </c>
      <c r="C170" t="s">
        <v>58</v>
      </c>
      <c r="D170" t="s">
        <v>81</v>
      </c>
      <c r="F170" t="s">
        <v>80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126</v>
      </c>
      <c r="C171" t="s">
        <v>58</v>
      </c>
      <c r="D171" t="s">
        <v>70</v>
      </c>
      <c r="F171" t="s">
        <v>74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126</v>
      </c>
      <c r="C172" t="s">
        <v>58</v>
      </c>
      <c r="D172" t="s">
        <v>78</v>
      </c>
      <c r="F172" t="s">
        <v>68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126</v>
      </c>
      <c r="C173" t="s">
        <v>58</v>
      </c>
      <c r="D173" t="s">
        <v>60</v>
      </c>
      <c r="F173" t="s">
        <v>63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126</v>
      </c>
      <c r="C174" t="s">
        <v>58</v>
      </c>
      <c r="D174" t="s">
        <v>65</v>
      </c>
      <c r="F174" t="s">
        <v>73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126</v>
      </c>
      <c r="C175" t="s">
        <v>93</v>
      </c>
      <c r="D175" t="s">
        <v>52</v>
      </c>
      <c r="F175" t="s">
        <v>79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126</v>
      </c>
      <c r="C176" t="s">
        <v>93</v>
      </c>
      <c r="D176" t="s">
        <v>56</v>
      </c>
      <c r="F176" t="s">
        <v>76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126</v>
      </c>
      <c r="C177" t="s">
        <v>75</v>
      </c>
      <c r="D177" t="s">
        <v>55</v>
      </c>
      <c r="F177" t="s">
        <v>84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126</v>
      </c>
      <c r="C178" t="s">
        <v>50</v>
      </c>
      <c r="D178" t="s">
        <v>72</v>
      </c>
      <c r="F178" t="s">
        <v>62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127</v>
      </c>
      <c r="C179" t="s">
        <v>87</v>
      </c>
      <c r="D179" t="s">
        <v>77</v>
      </c>
      <c r="F179" t="s">
        <v>67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128</v>
      </c>
    </row>
    <row r="182" spans="1:10" ht="15" customHeight="1" x14ac:dyDescent="0.25">
      <c r="A182" t="s">
        <v>39</v>
      </c>
      <c r="B182" t="s">
        <v>40</v>
      </c>
      <c r="C182" t="s">
        <v>41</v>
      </c>
      <c r="D182" t="s">
        <v>42</v>
      </c>
      <c r="E182" t="s">
        <v>43</v>
      </c>
      <c r="F182" t="s">
        <v>44</v>
      </c>
      <c r="G182" t="s">
        <v>45</v>
      </c>
      <c r="H182" t="s">
        <v>46</v>
      </c>
      <c r="I182" t="s">
        <v>47</v>
      </c>
      <c r="J182" t="s">
        <v>48</v>
      </c>
    </row>
    <row r="183" spans="1:10" ht="15" customHeight="1" x14ac:dyDescent="0.25">
      <c r="A183">
        <v>11</v>
      </c>
      <c r="B183" t="s">
        <v>129</v>
      </c>
      <c r="C183" t="s">
        <v>87</v>
      </c>
      <c r="D183" t="s">
        <v>68</v>
      </c>
      <c r="F183" t="s">
        <v>66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130</v>
      </c>
      <c r="C184" t="s">
        <v>58</v>
      </c>
      <c r="D184" t="s">
        <v>78</v>
      </c>
      <c r="F184" t="s">
        <v>65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130</v>
      </c>
      <c r="C185" t="s">
        <v>58</v>
      </c>
      <c r="D185" t="s">
        <v>63</v>
      </c>
      <c r="F185" t="s">
        <v>59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130</v>
      </c>
      <c r="C186" t="s">
        <v>58</v>
      </c>
      <c r="D186" t="s">
        <v>74</v>
      </c>
      <c r="F186" t="s">
        <v>84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130</v>
      </c>
      <c r="C187" t="s">
        <v>58</v>
      </c>
      <c r="D187" t="s">
        <v>61</v>
      </c>
      <c r="F187" t="s">
        <v>64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130</v>
      </c>
      <c r="C188" t="s">
        <v>58</v>
      </c>
      <c r="D188" t="s">
        <v>76</v>
      </c>
      <c r="F188" t="s">
        <v>89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130</v>
      </c>
      <c r="C189" t="s">
        <v>58</v>
      </c>
      <c r="D189" t="s">
        <v>70</v>
      </c>
      <c r="F189" t="s">
        <v>85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130</v>
      </c>
      <c r="C190" t="s">
        <v>58</v>
      </c>
      <c r="D190" t="s">
        <v>67</v>
      </c>
      <c r="F190" t="s">
        <v>60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130</v>
      </c>
      <c r="C191" t="s">
        <v>93</v>
      </c>
      <c r="D191" t="s">
        <v>73</v>
      </c>
      <c r="F191" t="s">
        <v>77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130</v>
      </c>
      <c r="C192" t="s">
        <v>75</v>
      </c>
      <c r="D192" t="s">
        <v>79</v>
      </c>
      <c r="F192" t="s">
        <v>88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130</v>
      </c>
      <c r="C193" t="s">
        <v>75</v>
      </c>
      <c r="D193" t="s">
        <v>72</v>
      </c>
      <c r="F193" t="s">
        <v>83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130</v>
      </c>
      <c r="C194" t="s">
        <v>50</v>
      </c>
      <c r="D194" t="s">
        <v>81</v>
      </c>
      <c r="F194" t="s">
        <v>55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131</v>
      </c>
      <c r="C195" t="s">
        <v>87</v>
      </c>
      <c r="D195" t="s">
        <v>62</v>
      </c>
      <c r="F195" t="s">
        <v>82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132</v>
      </c>
    </row>
    <row r="198" spans="1:10" ht="15" customHeight="1" x14ac:dyDescent="0.25">
      <c r="A198" t="s">
        <v>39</v>
      </c>
      <c r="B198" t="s">
        <v>40</v>
      </c>
      <c r="C198" t="s">
        <v>41</v>
      </c>
      <c r="D198" t="s">
        <v>42</v>
      </c>
      <c r="E198" t="s">
        <v>43</v>
      </c>
      <c r="F198" t="s">
        <v>44</v>
      </c>
      <c r="G198" t="s">
        <v>45</v>
      </c>
      <c r="H198" t="s">
        <v>46</v>
      </c>
      <c r="I198" t="s">
        <v>47</v>
      </c>
      <c r="J198" t="s">
        <v>48</v>
      </c>
    </row>
    <row r="199" spans="1:10" ht="15" customHeight="1" x14ac:dyDescent="0.25">
      <c r="A199">
        <v>12</v>
      </c>
      <c r="B199" t="s">
        <v>133</v>
      </c>
      <c r="C199" t="s">
        <v>134</v>
      </c>
      <c r="D199" t="s">
        <v>80</v>
      </c>
      <c r="F199" t="s">
        <v>56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135</v>
      </c>
      <c r="C200" t="s">
        <v>58</v>
      </c>
      <c r="D200" t="s">
        <v>59</v>
      </c>
      <c r="F200" t="s">
        <v>64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135</v>
      </c>
      <c r="C201" t="s">
        <v>136</v>
      </c>
      <c r="D201" t="s">
        <v>83</v>
      </c>
      <c r="F201" t="s">
        <v>84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135</v>
      </c>
      <c r="C202" t="s">
        <v>50</v>
      </c>
      <c r="D202" t="s">
        <v>89</v>
      </c>
      <c r="F202" t="s">
        <v>65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137</v>
      </c>
      <c r="C203" t="s">
        <v>138</v>
      </c>
      <c r="D203" t="s">
        <v>88</v>
      </c>
      <c r="F203" t="s">
        <v>72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139</v>
      </c>
      <c r="C204" t="s">
        <v>58</v>
      </c>
      <c r="D204" t="s">
        <v>63</v>
      </c>
      <c r="F204" t="s">
        <v>62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139</v>
      </c>
      <c r="C205" t="s">
        <v>58</v>
      </c>
      <c r="D205" t="s">
        <v>79</v>
      </c>
      <c r="F205" t="s">
        <v>69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139</v>
      </c>
      <c r="C206" t="s">
        <v>58</v>
      </c>
      <c r="D206" t="s">
        <v>85</v>
      </c>
      <c r="F206" t="s">
        <v>68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139</v>
      </c>
      <c r="C207" t="s">
        <v>58</v>
      </c>
      <c r="D207" t="s">
        <v>73</v>
      </c>
      <c r="F207" t="s">
        <v>78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139</v>
      </c>
      <c r="C208" t="s">
        <v>58</v>
      </c>
      <c r="D208" t="s">
        <v>71</v>
      </c>
      <c r="F208" t="s">
        <v>81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139</v>
      </c>
      <c r="C209" t="s">
        <v>58</v>
      </c>
      <c r="D209" t="s">
        <v>67</v>
      </c>
      <c r="F209" t="s">
        <v>66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139</v>
      </c>
      <c r="C210" t="s">
        <v>93</v>
      </c>
      <c r="D210" t="s">
        <v>74</v>
      </c>
      <c r="F210" t="s">
        <v>70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139</v>
      </c>
      <c r="C211" t="s">
        <v>75</v>
      </c>
      <c r="D211" t="s">
        <v>82</v>
      </c>
      <c r="F211" t="s">
        <v>76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139</v>
      </c>
      <c r="C212" t="s">
        <v>75</v>
      </c>
      <c r="D212" t="s">
        <v>52</v>
      </c>
      <c r="F212" t="s">
        <v>55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139</v>
      </c>
      <c r="C213" t="s">
        <v>50</v>
      </c>
      <c r="D213" t="s">
        <v>51</v>
      </c>
      <c r="F213" t="s">
        <v>77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140</v>
      </c>
      <c r="C214" t="s">
        <v>87</v>
      </c>
      <c r="D214" t="s">
        <v>60</v>
      </c>
      <c r="F214" t="s">
        <v>61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141</v>
      </c>
    </row>
    <row r="217" spans="1:10" ht="15" customHeight="1" x14ac:dyDescent="0.25">
      <c r="A217" t="s">
        <v>39</v>
      </c>
      <c r="B217" t="s">
        <v>40</v>
      </c>
      <c r="C217" t="s">
        <v>41</v>
      </c>
      <c r="D217" t="s">
        <v>42</v>
      </c>
      <c r="E217" t="s">
        <v>43</v>
      </c>
      <c r="F217" t="s">
        <v>44</v>
      </c>
      <c r="G217" t="s">
        <v>45</v>
      </c>
      <c r="H217" t="s">
        <v>46</v>
      </c>
      <c r="I217" t="s">
        <v>47</v>
      </c>
      <c r="J217" t="s">
        <v>48</v>
      </c>
    </row>
    <row r="218" spans="1:10" ht="15" customHeight="1" x14ac:dyDescent="0.25">
      <c r="A218">
        <v>13</v>
      </c>
      <c r="B218" t="s">
        <v>142</v>
      </c>
      <c r="C218" t="s">
        <v>87</v>
      </c>
      <c r="D218" t="s">
        <v>89</v>
      </c>
      <c r="F218" t="s">
        <v>77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143</v>
      </c>
      <c r="C219" t="s">
        <v>58</v>
      </c>
      <c r="D219" t="s">
        <v>64</v>
      </c>
      <c r="F219" t="s">
        <v>71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143</v>
      </c>
      <c r="C220" t="s">
        <v>58</v>
      </c>
      <c r="D220" t="s">
        <v>70</v>
      </c>
      <c r="F220" t="s">
        <v>59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143</v>
      </c>
      <c r="C221" t="s">
        <v>58</v>
      </c>
      <c r="D221" t="s">
        <v>62</v>
      </c>
      <c r="F221" t="s">
        <v>69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143</v>
      </c>
      <c r="C222" t="s">
        <v>58</v>
      </c>
      <c r="D222" t="s">
        <v>82</v>
      </c>
      <c r="F222" t="s">
        <v>74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143</v>
      </c>
      <c r="C223" t="s">
        <v>58</v>
      </c>
      <c r="D223" t="s">
        <v>80</v>
      </c>
      <c r="F223" t="s">
        <v>63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143</v>
      </c>
      <c r="C224" t="s">
        <v>58</v>
      </c>
      <c r="D224" t="s">
        <v>55</v>
      </c>
      <c r="F224" t="s">
        <v>85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143</v>
      </c>
      <c r="C225" t="s">
        <v>58</v>
      </c>
      <c r="D225" t="s">
        <v>56</v>
      </c>
      <c r="F225" t="s">
        <v>61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143</v>
      </c>
      <c r="C226" t="s">
        <v>93</v>
      </c>
      <c r="D226" t="s">
        <v>78</v>
      </c>
      <c r="F226" t="s">
        <v>88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143</v>
      </c>
      <c r="C227" t="s">
        <v>93</v>
      </c>
      <c r="D227" t="s">
        <v>83</v>
      </c>
      <c r="F227" t="s">
        <v>76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143</v>
      </c>
      <c r="C228" t="s">
        <v>75</v>
      </c>
      <c r="D228" t="s">
        <v>60</v>
      </c>
      <c r="F228" t="s">
        <v>81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143</v>
      </c>
      <c r="C229" t="s">
        <v>75</v>
      </c>
      <c r="D229" t="s">
        <v>65</v>
      </c>
      <c r="F229" t="s">
        <v>51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143</v>
      </c>
      <c r="C230" t="s">
        <v>50</v>
      </c>
      <c r="D230" t="s">
        <v>66</v>
      </c>
      <c r="F230" t="s">
        <v>72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144</v>
      </c>
      <c r="C231" t="s">
        <v>87</v>
      </c>
      <c r="D231" t="s">
        <v>84</v>
      </c>
      <c r="F231" t="s">
        <v>52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145</v>
      </c>
    </row>
    <row r="234" spans="1:10" ht="15" customHeight="1" x14ac:dyDescent="0.25">
      <c r="A234" t="s">
        <v>39</v>
      </c>
      <c r="B234" t="s">
        <v>40</v>
      </c>
      <c r="C234" t="s">
        <v>41</v>
      </c>
      <c r="D234" t="s">
        <v>42</v>
      </c>
      <c r="E234" t="s">
        <v>43</v>
      </c>
      <c r="F234" t="s">
        <v>44</v>
      </c>
      <c r="G234" t="s">
        <v>45</v>
      </c>
      <c r="H234" t="s">
        <v>46</v>
      </c>
      <c r="I234" t="s">
        <v>47</v>
      </c>
      <c r="J234" t="s">
        <v>48</v>
      </c>
    </row>
    <row r="235" spans="1:10" ht="15" customHeight="1" x14ac:dyDescent="0.25">
      <c r="A235">
        <v>14</v>
      </c>
      <c r="B235" t="s">
        <v>146</v>
      </c>
      <c r="C235" t="s">
        <v>87</v>
      </c>
      <c r="D235" t="s">
        <v>81</v>
      </c>
      <c r="F235" t="s">
        <v>51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147</v>
      </c>
      <c r="C236" t="s">
        <v>58</v>
      </c>
      <c r="D236" t="s">
        <v>71</v>
      </c>
      <c r="F236" t="s">
        <v>69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147</v>
      </c>
      <c r="C237" t="s">
        <v>58</v>
      </c>
      <c r="D237" t="s">
        <v>74</v>
      </c>
      <c r="F237" t="s">
        <v>64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147</v>
      </c>
      <c r="C238" t="s">
        <v>58</v>
      </c>
      <c r="D238" t="s">
        <v>59</v>
      </c>
      <c r="F238" t="s">
        <v>78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147</v>
      </c>
      <c r="C239" t="s">
        <v>58</v>
      </c>
      <c r="D239" t="s">
        <v>88</v>
      </c>
      <c r="F239" t="s">
        <v>73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147</v>
      </c>
      <c r="C240" t="s">
        <v>58</v>
      </c>
      <c r="D240" t="s">
        <v>68</v>
      </c>
      <c r="F240" t="s">
        <v>83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147</v>
      </c>
      <c r="C241" t="s">
        <v>58</v>
      </c>
      <c r="D241" t="s">
        <v>66</v>
      </c>
      <c r="F241" t="s">
        <v>82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147</v>
      </c>
      <c r="C242" t="s">
        <v>58</v>
      </c>
      <c r="D242" t="s">
        <v>63</v>
      </c>
      <c r="F242" t="s">
        <v>60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147</v>
      </c>
      <c r="C243" t="s">
        <v>58</v>
      </c>
      <c r="D243" t="s">
        <v>61</v>
      </c>
      <c r="F243" t="s">
        <v>67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147</v>
      </c>
      <c r="C244" t="s">
        <v>93</v>
      </c>
      <c r="D244" t="s">
        <v>77</v>
      </c>
      <c r="F244" t="s">
        <v>79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147</v>
      </c>
      <c r="C245" t="s">
        <v>75</v>
      </c>
      <c r="D245" t="s">
        <v>89</v>
      </c>
      <c r="F245" t="s">
        <v>62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147</v>
      </c>
      <c r="C246" t="s">
        <v>75</v>
      </c>
      <c r="D246" t="s">
        <v>56</v>
      </c>
      <c r="F246" t="s">
        <v>55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147</v>
      </c>
      <c r="C247" t="s">
        <v>75</v>
      </c>
      <c r="D247" t="s">
        <v>85</v>
      </c>
      <c r="F247" t="s">
        <v>52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147</v>
      </c>
      <c r="C248" t="s">
        <v>50</v>
      </c>
      <c r="D248" t="s">
        <v>65</v>
      </c>
      <c r="F248" t="s">
        <v>80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148</v>
      </c>
      <c r="C249" t="s">
        <v>87</v>
      </c>
      <c r="D249" t="s">
        <v>72</v>
      </c>
      <c r="F249" t="s">
        <v>70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149</v>
      </c>
    </row>
    <row r="252" spans="1:10" ht="15" customHeight="1" x14ac:dyDescent="0.25">
      <c r="A252" t="s">
        <v>39</v>
      </c>
      <c r="B252" t="s">
        <v>40</v>
      </c>
      <c r="C252" t="s">
        <v>41</v>
      </c>
      <c r="D252" t="s">
        <v>42</v>
      </c>
      <c r="E252" t="s">
        <v>43</v>
      </c>
      <c r="F252" t="s">
        <v>44</v>
      </c>
      <c r="G252" t="s">
        <v>45</v>
      </c>
      <c r="H252" t="s">
        <v>46</v>
      </c>
      <c r="I252" t="s">
        <v>47</v>
      </c>
      <c r="J252" t="s">
        <v>48</v>
      </c>
    </row>
    <row r="253" spans="1:10" ht="15" customHeight="1" x14ac:dyDescent="0.25">
      <c r="A253">
        <v>15</v>
      </c>
      <c r="B253" t="s">
        <v>150</v>
      </c>
      <c r="C253" t="s">
        <v>87</v>
      </c>
      <c r="D253" t="s">
        <v>55</v>
      </c>
      <c r="F253" t="s">
        <v>77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151</v>
      </c>
      <c r="C254" t="s">
        <v>152</v>
      </c>
      <c r="D254" t="s">
        <v>52</v>
      </c>
      <c r="F254" t="s">
        <v>83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151</v>
      </c>
      <c r="C255" t="s">
        <v>50</v>
      </c>
      <c r="D255" t="s">
        <v>59</v>
      </c>
      <c r="F255" t="s">
        <v>65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153</v>
      </c>
      <c r="C256" t="s">
        <v>58</v>
      </c>
      <c r="D256" t="s">
        <v>78</v>
      </c>
      <c r="F256" t="s">
        <v>80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153</v>
      </c>
      <c r="C257" t="s">
        <v>58</v>
      </c>
      <c r="D257" t="s">
        <v>68</v>
      </c>
      <c r="F257" t="s">
        <v>74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153</v>
      </c>
      <c r="C258" t="s">
        <v>58</v>
      </c>
      <c r="D258" t="s">
        <v>69</v>
      </c>
      <c r="F258" t="s">
        <v>85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153</v>
      </c>
      <c r="C259" t="s">
        <v>58</v>
      </c>
      <c r="D259" t="s">
        <v>67</v>
      </c>
      <c r="F259" t="s">
        <v>72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153</v>
      </c>
      <c r="C260" t="s">
        <v>58</v>
      </c>
      <c r="D260" t="s">
        <v>63</v>
      </c>
      <c r="F260" t="s">
        <v>61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153</v>
      </c>
      <c r="C261" t="s">
        <v>58</v>
      </c>
      <c r="D261" t="s">
        <v>71</v>
      </c>
      <c r="F261" t="s">
        <v>82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153</v>
      </c>
      <c r="C262" t="s">
        <v>58</v>
      </c>
      <c r="D262" t="s">
        <v>62</v>
      </c>
      <c r="F262" t="s">
        <v>60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153</v>
      </c>
      <c r="C263" t="s">
        <v>58</v>
      </c>
      <c r="D263" t="s">
        <v>70</v>
      </c>
      <c r="F263" t="s">
        <v>66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153</v>
      </c>
      <c r="C264" t="s">
        <v>93</v>
      </c>
      <c r="D264" t="s">
        <v>73</v>
      </c>
      <c r="F264" t="s">
        <v>76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153</v>
      </c>
      <c r="C265" t="s">
        <v>75</v>
      </c>
      <c r="D265" t="s">
        <v>88</v>
      </c>
      <c r="F265" t="s">
        <v>79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153</v>
      </c>
      <c r="C266" t="s">
        <v>75</v>
      </c>
      <c r="D266" t="s">
        <v>84</v>
      </c>
      <c r="F266" t="s">
        <v>56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153</v>
      </c>
      <c r="C267" t="s">
        <v>50</v>
      </c>
      <c r="D267" t="s">
        <v>64</v>
      </c>
      <c r="F267" t="s">
        <v>81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154</v>
      </c>
      <c r="C268" t="s">
        <v>87</v>
      </c>
      <c r="D268" t="s">
        <v>51</v>
      </c>
      <c r="F268" t="s">
        <v>89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155</v>
      </c>
    </row>
    <row r="271" spans="1:10" ht="15" customHeight="1" x14ac:dyDescent="0.25">
      <c r="A271" t="s">
        <v>39</v>
      </c>
      <c r="B271" t="s">
        <v>40</v>
      </c>
      <c r="C271" t="s">
        <v>41</v>
      </c>
      <c r="D271" t="s">
        <v>42</v>
      </c>
      <c r="E271" t="s">
        <v>43</v>
      </c>
      <c r="F271" t="s">
        <v>44</v>
      </c>
      <c r="G271" t="s">
        <v>45</v>
      </c>
      <c r="H271" t="s">
        <v>46</v>
      </c>
      <c r="I271" t="s">
        <v>47</v>
      </c>
      <c r="J271" t="s">
        <v>48</v>
      </c>
    </row>
    <row r="272" spans="1:10" ht="15" customHeight="1" x14ac:dyDescent="0.25">
      <c r="A272">
        <v>16</v>
      </c>
      <c r="B272" t="s">
        <v>156</v>
      </c>
      <c r="C272" t="s">
        <v>87</v>
      </c>
      <c r="D272" t="s">
        <v>66</v>
      </c>
      <c r="F272" t="s">
        <v>83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157</v>
      </c>
      <c r="C273" t="s">
        <v>58</v>
      </c>
      <c r="D273" t="s">
        <v>80</v>
      </c>
      <c r="F273" t="s">
        <v>59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157</v>
      </c>
      <c r="C274" t="s">
        <v>136</v>
      </c>
      <c r="D274" t="s">
        <v>65</v>
      </c>
      <c r="F274" t="s">
        <v>88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157</v>
      </c>
      <c r="C275" t="s">
        <v>87</v>
      </c>
      <c r="D275" t="s">
        <v>56</v>
      </c>
      <c r="F275" t="s">
        <v>52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158</v>
      </c>
      <c r="C276" t="s">
        <v>58</v>
      </c>
      <c r="D276" t="s">
        <v>77</v>
      </c>
      <c r="F276" t="s">
        <v>78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158</v>
      </c>
      <c r="C277" t="s">
        <v>58</v>
      </c>
      <c r="D277" t="s">
        <v>76</v>
      </c>
      <c r="F277" t="s">
        <v>63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158</v>
      </c>
      <c r="C278" t="s">
        <v>58</v>
      </c>
      <c r="D278" t="s">
        <v>51</v>
      </c>
      <c r="F278" t="s">
        <v>73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158</v>
      </c>
      <c r="C279" t="s">
        <v>58</v>
      </c>
      <c r="D279" t="s">
        <v>69</v>
      </c>
      <c r="F279" t="s">
        <v>67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158</v>
      </c>
      <c r="C280" t="s">
        <v>93</v>
      </c>
      <c r="D280" t="s">
        <v>74</v>
      </c>
      <c r="F280" t="s">
        <v>79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158</v>
      </c>
      <c r="C281" t="s">
        <v>75</v>
      </c>
      <c r="D281" t="s">
        <v>55</v>
      </c>
      <c r="F281" t="s">
        <v>89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158</v>
      </c>
      <c r="C282" t="s">
        <v>50</v>
      </c>
      <c r="D282" t="s">
        <v>70</v>
      </c>
      <c r="F282" t="s">
        <v>84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159</v>
      </c>
      <c r="C283" t="s">
        <v>87</v>
      </c>
      <c r="D283" t="s">
        <v>85</v>
      </c>
      <c r="F283" t="s">
        <v>64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160</v>
      </c>
      <c r="C284" t="s">
        <v>160</v>
      </c>
      <c r="D284" t="s">
        <v>61</v>
      </c>
      <c r="F284" t="s">
        <v>71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160</v>
      </c>
      <c r="C285" t="s">
        <v>160</v>
      </c>
      <c r="D285" t="s">
        <v>62</v>
      </c>
      <c r="F285" t="s">
        <v>68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160</v>
      </c>
      <c r="C286" t="s">
        <v>160</v>
      </c>
      <c r="D286" t="s">
        <v>82</v>
      </c>
      <c r="F286" t="s">
        <v>81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160</v>
      </c>
      <c r="C287" t="s">
        <v>160</v>
      </c>
      <c r="D287" t="s">
        <v>60</v>
      </c>
      <c r="F287" t="s">
        <v>72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161</v>
      </c>
    </row>
    <row r="290" spans="1:10" ht="15" customHeight="1" x14ac:dyDescent="0.25">
      <c r="A290" t="s">
        <v>39</v>
      </c>
      <c r="B290" t="s">
        <v>40</v>
      </c>
      <c r="C290" t="s">
        <v>41</v>
      </c>
      <c r="D290" t="s">
        <v>42</v>
      </c>
      <c r="E290" t="s">
        <v>43</v>
      </c>
      <c r="F290" t="s">
        <v>44</v>
      </c>
      <c r="G290" t="s">
        <v>45</v>
      </c>
      <c r="H290" t="s">
        <v>46</v>
      </c>
      <c r="I290" t="s">
        <v>47</v>
      </c>
      <c r="J290" t="s">
        <v>48</v>
      </c>
    </row>
    <row r="291" spans="1:10" ht="15" customHeight="1" x14ac:dyDescent="0.25">
      <c r="A291">
        <v>17</v>
      </c>
      <c r="B291" t="s">
        <v>162</v>
      </c>
      <c r="C291" t="s">
        <v>87</v>
      </c>
      <c r="D291" t="s">
        <v>67</v>
      </c>
      <c r="F291" t="s">
        <v>62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163</v>
      </c>
      <c r="C292" t="s">
        <v>58</v>
      </c>
      <c r="D292" t="s">
        <v>63</v>
      </c>
      <c r="F292" t="s">
        <v>71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163</v>
      </c>
      <c r="C293" t="s">
        <v>58</v>
      </c>
      <c r="D293" t="s">
        <v>68</v>
      </c>
      <c r="F293" t="s">
        <v>69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163</v>
      </c>
      <c r="C294" t="s">
        <v>58</v>
      </c>
      <c r="D294" t="s">
        <v>85</v>
      </c>
      <c r="F294" t="s">
        <v>84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163</v>
      </c>
      <c r="C295" t="s">
        <v>58</v>
      </c>
      <c r="D295" t="s">
        <v>72</v>
      </c>
      <c r="F295" t="s">
        <v>74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163</v>
      </c>
      <c r="C296" t="s">
        <v>58</v>
      </c>
      <c r="D296" t="s">
        <v>65</v>
      </c>
      <c r="F296" t="s">
        <v>78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163</v>
      </c>
      <c r="C297" t="s">
        <v>58</v>
      </c>
      <c r="D297" t="s">
        <v>81</v>
      </c>
      <c r="F297" t="s">
        <v>73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163</v>
      </c>
      <c r="C298" t="s">
        <v>58</v>
      </c>
      <c r="D298" t="s">
        <v>52</v>
      </c>
      <c r="F298" t="s">
        <v>60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163</v>
      </c>
      <c r="C299" t="s">
        <v>93</v>
      </c>
      <c r="D299" t="s">
        <v>79</v>
      </c>
      <c r="F299" t="s">
        <v>76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163</v>
      </c>
      <c r="C300" t="s">
        <v>75</v>
      </c>
      <c r="D300" t="s">
        <v>64</v>
      </c>
      <c r="F300" t="s">
        <v>59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163</v>
      </c>
      <c r="C301" t="s">
        <v>50</v>
      </c>
      <c r="D301" t="s">
        <v>83</v>
      </c>
      <c r="F301" t="s">
        <v>55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164</v>
      </c>
      <c r="C302" t="s">
        <v>87</v>
      </c>
      <c r="D302" t="s">
        <v>66</v>
      </c>
      <c r="F302" t="s">
        <v>80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160</v>
      </c>
      <c r="C303" t="s">
        <v>160</v>
      </c>
      <c r="D303" t="s">
        <v>88</v>
      </c>
      <c r="F303" t="s">
        <v>51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160</v>
      </c>
      <c r="C304" t="s">
        <v>160</v>
      </c>
      <c r="D304" t="s">
        <v>89</v>
      </c>
      <c r="F304" t="s">
        <v>77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160</v>
      </c>
      <c r="C305" t="s">
        <v>160</v>
      </c>
      <c r="D305" t="s">
        <v>56</v>
      </c>
      <c r="F305" t="s">
        <v>61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160</v>
      </c>
      <c r="C306" t="s">
        <v>160</v>
      </c>
      <c r="D306" t="s">
        <v>82</v>
      </c>
      <c r="F306" t="s">
        <v>70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165</v>
      </c>
    </row>
    <row r="309" spans="1:10" ht="15" customHeight="1" x14ac:dyDescent="0.25">
      <c r="A309" t="s">
        <v>39</v>
      </c>
      <c r="B309" t="s">
        <v>40</v>
      </c>
      <c r="C309" t="s">
        <v>41</v>
      </c>
      <c r="D309" t="s">
        <v>42</v>
      </c>
      <c r="E309" t="s">
        <v>43</v>
      </c>
      <c r="F309" t="s">
        <v>44</v>
      </c>
      <c r="G309" t="s">
        <v>45</v>
      </c>
      <c r="H309" t="s">
        <v>46</v>
      </c>
      <c r="I309" t="s">
        <v>47</v>
      </c>
      <c r="J309" t="s">
        <v>48</v>
      </c>
    </row>
    <row r="310" spans="1:10" ht="15" customHeight="1" x14ac:dyDescent="0.25">
      <c r="A310">
        <v>18</v>
      </c>
      <c r="B310" t="s">
        <v>160</v>
      </c>
      <c r="C310" t="s">
        <v>160</v>
      </c>
      <c r="D310" t="s">
        <v>73</v>
      </c>
      <c r="F310" t="s">
        <v>65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160</v>
      </c>
      <c r="C311" t="s">
        <v>160</v>
      </c>
      <c r="D311" t="s">
        <v>69</v>
      </c>
      <c r="F311" t="s">
        <v>62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160</v>
      </c>
      <c r="C312" t="s">
        <v>160</v>
      </c>
      <c r="D312" t="s">
        <v>56</v>
      </c>
      <c r="F312" t="s">
        <v>88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160</v>
      </c>
      <c r="C313" t="s">
        <v>160</v>
      </c>
      <c r="D313" t="s">
        <v>64</v>
      </c>
      <c r="F313" t="s">
        <v>80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160</v>
      </c>
      <c r="C314" t="s">
        <v>160</v>
      </c>
      <c r="D314" t="s">
        <v>70</v>
      </c>
      <c r="F314" t="s">
        <v>68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160</v>
      </c>
      <c r="C315" t="s">
        <v>160</v>
      </c>
      <c r="D315" t="s">
        <v>79</v>
      </c>
      <c r="F315" t="s">
        <v>89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160</v>
      </c>
      <c r="C316" t="s">
        <v>160</v>
      </c>
      <c r="D316" t="s">
        <v>52</v>
      </c>
      <c r="F316" t="s">
        <v>77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160</v>
      </c>
      <c r="C317" t="s">
        <v>160</v>
      </c>
      <c r="D317" t="s">
        <v>59</v>
      </c>
      <c r="F317" t="s">
        <v>81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160</v>
      </c>
      <c r="C318" t="s">
        <v>160</v>
      </c>
      <c r="D318" t="s">
        <v>78</v>
      </c>
      <c r="F318" t="s">
        <v>51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160</v>
      </c>
      <c r="C319" t="s">
        <v>160</v>
      </c>
      <c r="D319" t="s">
        <v>61</v>
      </c>
      <c r="F319" t="s">
        <v>63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160</v>
      </c>
      <c r="C320" t="s">
        <v>160</v>
      </c>
      <c r="D320" t="s">
        <v>83</v>
      </c>
      <c r="F320" t="s">
        <v>85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160</v>
      </c>
      <c r="C321" t="s">
        <v>160</v>
      </c>
      <c r="D321" t="s">
        <v>55</v>
      </c>
      <c r="F321" t="s">
        <v>76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160</v>
      </c>
      <c r="C322" t="s">
        <v>160</v>
      </c>
      <c r="D322" t="s">
        <v>84</v>
      </c>
      <c r="F322" t="s">
        <v>82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160</v>
      </c>
      <c r="C323" t="s">
        <v>160</v>
      </c>
      <c r="D323" t="s">
        <v>71</v>
      </c>
      <c r="F323" t="s">
        <v>60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160</v>
      </c>
      <c r="C324" t="s">
        <v>160</v>
      </c>
      <c r="D324" t="s">
        <v>72</v>
      </c>
      <c r="F324" t="s">
        <v>67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160</v>
      </c>
      <c r="C325" t="s">
        <v>160</v>
      </c>
      <c r="D325" t="s">
        <v>74</v>
      </c>
      <c r="F325" t="s">
        <v>66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166</v>
      </c>
    </row>
    <row r="328" spans="1:10" ht="15" customHeight="1" x14ac:dyDescent="0.25">
      <c r="A328" t="s">
        <v>39</v>
      </c>
      <c r="B328" t="s">
        <v>40</v>
      </c>
      <c r="C328" t="s">
        <v>41</v>
      </c>
      <c r="D328" t="s">
        <v>42</v>
      </c>
      <c r="E328" t="s">
        <v>43</v>
      </c>
      <c r="F328" t="s">
        <v>44</v>
      </c>
      <c r="G328" t="s">
        <v>45</v>
      </c>
      <c r="H328" t="s">
        <v>46</v>
      </c>
      <c r="I328" t="s">
        <v>47</v>
      </c>
      <c r="J328" t="s">
        <v>48</v>
      </c>
    </row>
    <row r="329" spans="1:10" ht="15" customHeight="1" x14ac:dyDescent="0.25">
      <c r="A329">
        <v>19</v>
      </c>
      <c r="B329" t="s">
        <v>160</v>
      </c>
      <c r="C329" t="s">
        <v>160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160</v>
      </c>
      <c r="C330" t="s">
        <v>160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160</v>
      </c>
      <c r="C331" t="s">
        <v>160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160</v>
      </c>
      <c r="C332" t="s">
        <v>160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167</v>
      </c>
    </row>
    <row r="335" spans="1:10" ht="15" customHeight="1" x14ac:dyDescent="0.25">
      <c r="A335" t="s">
        <v>39</v>
      </c>
      <c r="B335" t="s">
        <v>40</v>
      </c>
      <c r="C335" t="s">
        <v>41</v>
      </c>
      <c r="D335" t="s">
        <v>42</v>
      </c>
      <c r="E335" t="s">
        <v>43</v>
      </c>
      <c r="F335" t="s">
        <v>44</v>
      </c>
      <c r="G335" t="s">
        <v>45</v>
      </c>
      <c r="H335" t="s">
        <v>46</v>
      </c>
      <c r="I335" t="s">
        <v>47</v>
      </c>
      <c r="J335" t="s">
        <v>48</v>
      </c>
    </row>
    <row r="336" spans="1:10" ht="15" customHeight="1" x14ac:dyDescent="0.25">
      <c r="A336">
        <v>20</v>
      </c>
      <c r="B336" t="s">
        <v>160</v>
      </c>
      <c r="C336" t="s">
        <v>160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160</v>
      </c>
      <c r="C337" t="s">
        <v>160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160</v>
      </c>
      <c r="C338" t="s">
        <v>160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160</v>
      </c>
      <c r="C339" t="s">
        <v>160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168</v>
      </c>
    </row>
    <row r="342" spans="1:10" ht="15" customHeight="1" x14ac:dyDescent="0.25">
      <c r="A342" t="s">
        <v>39</v>
      </c>
      <c r="B342" t="s">
        <v>40</v>
      </c>
      <c r="C342" t="s">
        <v>41</v>
      </c>
      <c r="D342" t="s">
        <v>42</v>
      </c>
      <c r="E342" t="s">
        <v>43</v>
      </c>
      <c r="F342" t="s">
        <v>44</v>
      </c>
      <c r="G342" t="s">
        <v>45</v>
      </c>
      <c r="H342" t="s">
        <v>46</v>
      </c>
      <c r="I342" t="s">
        <v>47</v>
      </c>
      <c r="J342" t="s">
        <v>48</v>
      </c>
    </row>
    <row r="343" spans="1:10" ht="15" customHeight="1" x14ac:dyDescent="0.25">
      <c r="A343">
        <v>21</v>
      </c>
      <c r="B343" t="s">
        <v>160</v>
      </c>
      <c r="C343" t="s">
        <v>160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160</v>
      </c>
      <c r="C344" t="s">
        <v>160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169</v>
      </c>
    </row>
    <row r="347" spans="1:10" ht="15" customHeight="1" x14ac:dyDescent="0.25">
      <c r="A347" t="s">
        <v>39</v>
      </c>
      <c r="B347" t="s">
        <v>40</v>
      </c>
      <c r="C347" t="s">
        <v>41</v>
      </c>
      <c r="D347" t="s">
        <v>42</v>
      </c>
      <c r="E347" t="s">
        <v>43</v>
      </c>
      <c r="F347" t="s">
        <v>44</v>
      </c>
      <c r="G347" t="s">
        <v>45</v>
      </c>
      <c r="H347" t="s">
        <v>46</v>
      </c>
      <c r="I347" t="s">
        <v>47</v>
      </c>
      <c r="J347" t="s">
        <v>48</v>
      </c>
    </row>
    <row r="348" spans="1:10" ht="15" customHeight="1" x14ac:dyDescent="0.25">
      <c r="A348">
        <v>22</v>
      </c>
      <c r="B348" t="s">
        <v>160</v>
      </c>
      <c r="C348" t="s">
        <v>160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tabSelected="1" zoomScaleNormal="100" workbookViewId="0">
      <selection activeCell="P12" sqref="P1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170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171</v>
      </c>
    </row>
    <row r="4" spans="1:9" ht="15" customHeight="1" x14ac:dyDescent="0.25">
      <c r="A4" s="6" t="s">
        <v>38</v>
      </c>
    </row>
    <row r="5" spans="1:9" ht="15" customHeight="1" x14ac:dyDescent="0.25">
      <c r="A5" s="2" t="s">
        <v>1</v>
      </c>
      <c r="B5" s="2" t="s">
        <v>2</v>
      </c>
      <c r="C5" s="2" t="s">
        <v>172</v>
      </c>
      <c r="D5" s="2" t="s">
        <v>173</v>
      </c>
      <c r="E5" s="2" t="s">
        <v>174</v>
      </c>
      <c r="F5" s="2" t="s">
        <v>175</v>
      </c>
      <c r="G5" s="2" t="s">
        <v>176</v>
      </c>
      <c r="H5" s="2" t="s">
        <v>177</v>
      </c>
      <c r="I5" s="2" t="s">
        <v>178</v>
      </c>
    </row>
    <row r="6" spans="1:9" ht="15" customHeight="1" x14ac:dyDescent="0.25">
      <c r="A6">
        <v>1</v>
      </c>
      <c r="B6" t="str">
        <f>Roster!B3</f>
        <v>Evan Loeser</v>
      </c>
      <c r="C6" s="3">
        <v>1</v>
      </c>
      <c r="D6">
        <v>5</v>
      </c>
      <c r="E6">
        <f>IFERROR(INDEX(C$6:C$17,MATCH(5,A$6:A$17,0)),0)</f>
        <v>1</v>
      </c>
      <c r="F6" t="str">
        <f t="shared" ref="F6:F17" si="0">IF(C6=0,"-",IF(C6&gt;E6,"W",IF(C6&lt;E6,"L","T")))</f>
        <v>T</v>
      </c>
      <c r="G6">
        <f t="shared" ref="G6:G17" si="1">IF(F6="W",6,IF(F6="T",3,0))</f>
        <v>3</v>
      </c>
      <c r="H6">
        <f t="shared" ref="H6:H17" si="2">IF(C6="",0,C6)</f>
        <v>1</v>
      </c>
      <c r="I6">
        <f t="shared" ref="I6:I17" si="3">G6+H6</f>
        <v>4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6</v>
      </c>
      <c r="E7">
        <f>IFERROR(INDEX(C$6:C$17,MATCH(6,A$6:A$17,0)),0)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9</v>
      </c>
      <c r="E8">
        <f>IFERROR(INDEX(C$6:C$17,MATCH(9,A$6:A$17,0)),0)</f>
        <v>1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10</v>
      </c>
      <c r="E9">
        <f>IFERROR(INDEX(C$6:C$17,MATCH(10,A$6:A$17,0)),0)</f>
        <v>1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v>1</v>
      </c>
      <c r="D10">
        <v>1</v>
      </c>
      <c r="E10">
        <f>IFERROR(INDEX(C$6:C$17,MATCH(1,A$6:A$17,0)),0)</f>
        <v>1</v>
      </c>
      <c r="F10" t="str">
        <f t="shared" si="0"/>
        <v>T</v>
      </c>
      <c r="G10">
        <f t="shared" si="1"/>
        <v>3</v>
      </c>
      <c r="H10">
        <f t="shared" si="2"/>
        <v>1</v>
      </c>
      <c r="I10">
        <f t="shared" si="3"/>
        <v>4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2</v>
      </c>
      <c r="E11">
        <f>IFERROR(INDEX(C$6:C$17,MATCH(2,A$6:A$17,0)),0)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12</v>
      </c>
      <c r="E13">
        <f>IFERROR(INDEX(C$6:C$17,MATCH(12,A$6:A$17,0)),0)</f>
        <v>1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v>1</v>
      </c>
      <c r="D14">
        <v>3</v>
      </c>
      <c r="E14">
        <f>IFERROR(INDEX(C$6:C$17,MATCH(3,A$6:A$17,0)),0)</f>
        <v>0</v>
      </c>
      <c r="F14" t="str">
        <f t="shared" si="0"/>
        <v>W</v>
      </c>
      <c r="G14">
        <f t="shared" si="1"/>
        <v>6</v>
      </c>
      <c r="H14">
        <f t="shared" si="2"/>
        <v>1</v>
      </c>
      <c r="I14">
        <f t="shared" si="3"/>
        <v>7</v>
      </c>
    </row>
    <row r="15" spans="1:9" ht="15" customHeight="1" x14ac:dyDescent="0.25">
      <c r="A15">
        <v>10</v>
      </c>
      <c r="B15" t="str">
        <f>Roster!B12</f>
        <v>Zach Zarra</v>
      </c>
      <c r="C15" s="3">
        <v>1</v>
      </c>
      <c r="D15">
        <v>4</v>
      </c>
      <c r="E15">
        <f>IFERROR(INDEX(C$6:C$17,MATCH(4,A$6:A$17,0)),0)</f>
        <v>0</v>
      </c>
      <c r="F15" t="str">
        <f t="shared" si="0"/>
        <v>W</v>
      </c>
      <c r="G15">
        <f t="shared" si="1"/>
        <v>6</v>
      </c>
      <c r="H15">
        <f t="shared" si="2"/>
        <v>1</v>
      </c>
      <c r="I15">
        <f t="shared" si="3"/>
        <v>7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v>1</v>
      </c>
      <c r="D17">
        <v>8</v>
      </c>
      <c r="E17">
        <f>IFERROR(INDEX(C$6:C$17,MATCH(8,A$6:A$17,0)),0)</f>
        <v>0</v>
      </c>
      <c r="F17" t="str">
        <f t="shared" si="0"/>
        <v>W</v>
      </c>
      <c r="G17">
        <f t="shared" si="1"/>
        <v>6</v>
      </c>
      <c r="H17">
        <f t="shared" si="2"/>
        <v>1</v>
      </c>
      <c r="I17">
        <f t="shared" si="3"/>
        <v>7</v>
      </c>
    </row>
    <row r="19" spans="1:9" ht="15" customHeight="1" x14ac:dyDescent="0.25">
      <c r="A19" s="6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172</v>
      </c>
      <c r="D20" s="2" t="s">
        <v>173</v>
      </c>
      <c r="E20" s="2" t="s">
        <v>174</v>
      </c>
      <c r="F20" s="2" t="s">
        <v>175</v>
      </c>
      <c r="G20" s="2" t="s">
        <v>176</v>
      </c>
      <c r="H20" s="2" t="s">
        <v>177</v>
      </c>
      <c r="I20" s="2" t="s">
        <v>178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95</v>
      </c>
    </row>
    <row r="35" spans="1:9" ht="15" customHeight="1" x14ac:dyDescent="0.25">
      <c r="A35" s="2" t="s">
        <v>1</v>
      </c>
      <c r="B35" s="2" t="s">
        <v>2</v>
      </c>
      <c r="C35" s="2" t="s">
        <v>172</v>
      </c>
      <c r="D35" s="2" t="s">
        <v>173</v>
      </c>
      <c r="E35" s="2" t="s">
        <v>174</v>
      </c>
      <c r="F35" s="2" t="s">
        <v>175</v>
      </c>
      <c r="G35" s="2" t="s">
        <v>176</v>
      </c>
      <c r="H35" s="2" t="s">
        <v>177</v>
      </c>
      <c r="I35" s="2" t="s">
        <v>178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99</v>
      </c>
    </row>
    <row r="50" spans="1:9" ht="15" customHeight="1" x14ac:dyDescent="0.25">
      <c r="A50" s="2" t="s">
        <v>1</v>
      </c>
      <c r="B50" s="2" t="s">
        <v>2</v>
      </c>
      <c r="C50" s="2" t="s">
        <v>172</v>
      </c>
      <c r="D50" s="2" t="s">
        <v>173</v>
      </c>
      <c r="E50" s="2" t="s">
        <v>174</v>
      </c>
      <c r="F50" s="2" t="s">
        <v>175</v>
      </c>
      <c r="G50" s="2" t="s">
        <v>176</v>
      </c>
      <c r="H50" s="2" t="s">
        <v>177</v>
      </c>
      <c r="I50" s="2" t="s">
        <v>178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104</v>
      </c>
    </row>
    <row r="65" spans="1:9" ht="15" customHeight="1" x14ac:dyDescent="0.25">
      <c r="A65" s="2" t="s">
        <v>1</v>
      </c>
      <c r="B65" s="2" t="s">
        <v>2</v>
      </c>
      <c r="C65" s="2" t="s">
        <v>172</v>
      </c>
      <c r="D65" s="2" t="s">
        <v>173</v>
      </c>
      <c r="E65" s="2" t="s">
        <v>174</v>
      </c>
      <c r="F65" s="2" t="s">
        <v>175</v>
      </c>
      <c r="G65" s="2" t="s">
        <v>176</v>
      </c>
      <c r="H65" s="2" t="s">
        <v>177</v>
      </c>
      <c r="I65" s="2" t="s">
        <v>178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108</v>
      </c>
    </row>
    <row r="80" spans="1:9" ht="15" customHeight="1" x14ac:dyDescent="0.25">
      <c r="A80" s="2" t="s">
        <v>1</v>
      </c>
      <c r="B80" s="2" t="s">
        <v>2</v>
      </c>
      <c r="C80" s="2" t="s">
        <v>172</v>
      </c>
      <c r="D80" s="2" t="s">
        <v>173</v>
      </c>
      <c r="E80" s="2" t="s">
        <v>174</v>
      </c>
      <c r="F80" s="2" t="s">
        <v>175</v>
      </c>
      <c r="G80" s="2" t="s">
        <v>176</v>
      </c>
      <c r="H80" s="2" t="s">
        <v>177</v>
      </c>
      <c r="I80" s="2" t="s">
        <v>178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179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180</v>
      </c>
    </row>
    <row r="4" spans="1:9" ht="15" customHeight="1" x14ac:dyDescent="0.25">
      <c r="A4" s="6" t="s">
        <v>112</v>
      </c>
    </row>
    <row r="5" spans="1:9" ht="15" customHeight="1" x14ac:dyDescent="0.25">
      <c r="A5" s="2" t="s">
        <v>1</v>
      </c>
      <c r="B5" s="2" t="s">
        <v>2</v>
      </c>
      <c r="C5" s="2" t="s">
        <v>181</v>
      </c>
      <c r="D5" s="2" t="s">
        <v>173</v>
      </c>
      <c r="E5" s="2" t="s">
        <v>182</v>
      </c>
      <c r="F5" s="2" t="s">
        <v>175</v>
      </c>
      <c r="G5" s="2" t="s">
        <v>176</v>
      </c>
      <c r="H5" s="2" t="s">
        <v>177</v>
      </c>
      <c r="I5" s="2" t="s">
        <v>178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116</v>
      </c>
    </row>
    <row r="20" spans="1:9" ht="15" customHeight="1" x14ac:dyDescent="0.25">
      <c r="A20" s="2" t="s">
        <v>1</v>
      </c>
      <c r="B20" s="2" t="s">
        <v>2</v>
      </c>
      <c r="C20" s="2" t="s">
        <v>181</v>
      </c>
      <c r="D20" s="2" t="s">
        <v>173</v>
      </c>
      <c r="E20" s="2" t="s">
        <v>182</v>
      </c>
      <c r="F20" s="2" t="s">
        <v>175</v>
      </c>
      <c r="G20" s="2" t="s">
        <v>176</v>
      </c>
      <c r="H20" s="2" t="s">
        <v>177</v>
      </c>
      <c r="I20" s="2" t="s">
        <v>178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120</v>
      </c>
    </row>
    <row r="35" spans="1:9" ht="15" customHeight="1" x14ac:dyDescent="0.25">
      <c r="A35" s="2" t="s">
        <v>1</v>
      </c>
      <c r="B35" s="2" t="s">
        <v>2</v>
      </c>
      <c r="C35" s="2" t="s">
        <v>181</v>
      </c>
      <c r="D35" s="2" t="s">
        <v>173</v>
      </c>
      <c r="E35" s="2" t="s">
        <v>182</v>
      </c>
      <c r="F35" s="2" t="s">
        <v>175</v>
      </c>
      <c r="G35" s="2" t="s">
        <v>176</v>
      </c>
      <c r="H35" s="2" t="s">
        <v>177</v>
      </c>
      <c r="I35" s="2" t="s">
        <v>178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124</v>
      </c>
    </row>
    <row r="50" spans="1:9" ht="15" customHeight="1" x14ac:dyDescent="0.25">
      <c r="A50" s="2" t="s">
        <v>1</v>
      </c>
      <c r="B50" s="2" t="s">
        <v>2</v>
      </c>
      <c r="C50" s="2" t="s">
        <v>181</v>
      </c>
      <c r="D50" s="2" t="s">
        <v>173</v>
      </c>
      <c r="E50" s="2" t="s">
        <v>182</v>
      </c>
      <c r="F50" s="2" t="s">
        <v>175</v>
      </c>
      <c r="G50" s="2" t="s">
        <v>176</v>
      </c>
      <c r="H50" s="2" t="s">
        <v>177</v>
      </c>
      <c r="I50" s="2" t="s">
        <v>178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128</v>
      </c>
    </row>
    <row r="65" spans="1:9" ht="15" customHeight="1" x14ac:dyDescent="0.25">
      <c r="A65" s="2" t="s">
        <v>1</v>
      </c>
      <c r="B65" s="2" t="s">
        <v>2</v>
      </c>
      <c r="C65" s="2" t="s">
        <v>181</v>
      </c>
      <c r="D65" s="2" t="s">
        <v>173</v>
      </c>
      <c r="E65" s="2" t="s">
        <v>182</v>
      </c>
      <c r="F65" s="2" t="s">
        <v>175</v>
      </c>
      <c r="G65" s="2" t="s">
        <v>176</v>
      </c>
      <c r="H65" s="2" t="s">
        <v>177</v>
      </c>
      <c r="I65" s="2" t="s">
        <v>178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132</v>
      </c>
    </row>
    <row r="80" spans="1:9" ht="15" customHeight="1" x14ac:dyDescent="0.25">
      <c r="A80" s="2" t="s">
        <v>1</v>
      </c>
      <c r="B80" s="2" t="s">
        <v>2</v>
      </c>
      <c r="C80" s="2" t="s">
        <v>181</v>
      </c>
      <c r="D80" s="2" t="s">
        <v>173</v>
      </c>
      <c r="E80" s="2" t="s">
        <v>182</v>
      </c>
      <c r="F80" s="2" t="s">
        <v>175</v>
      </c>
      <c r="G80" s="2" t="s">
        <v>176</v>
      </c>
      <c r="H80" s="2" t="s">
        <v>177</v>
      </c>
      <c r="I80" s="2" t="s">
        <v>178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:C5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183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184</v>
      </c>
    </row>
    <row r="4" spans="1:9" ht="15" customHeight="1" x14ac:dyDescent="0.25">
      <c r="A4" s="6" t="s">
        <v>141</v>
      </c>
    </row>
    <row r="5" spans="1:9" ht="15" customHeight="1" x14ac:dyDescent="0.25">
      <c r="A5" s="2" t="s">
        <v>1</v>
      </c>
      <c r="B5" s="2" t="s">
        <v>2</v>
      </c>
      <c r="C5" s="2" t="s">
        <v>172</v>
      </c>
      <c r="D5" s="2" t="s">
        <v>173</v>
      </c>
      <c r="E5" s="2" t="s">
        <v>174</v>
      </c>
      <c r="F5" s="2" t="s">
        <v>175</v>
      </c>
      <c r="G5" s="2" t="s">
        <v>185</v>
      </c>
      <c r="H5" s="2" t="s">
        <v>186</v>
      </c>
      <c r="I5" s="2" t="s">
        <v>187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145</v>
      </c>
    </row>
    <row r="20" spans="1:9" ht="15" customHeight="1" x14ac:dyDescent="0.25">
      <c r="A20" s="2" t="s">
        <v>1</v>
      </c>
      <c r="B20" s="2" t="s">
        <v>2</v>
      </c>
      <c r="C20" s="2" t="s">
        <v>172</v>
      </c>
      <c r="D20" s="2" t="s">
        <v>173</v>
      </c>
      <c r="E20" s="2" t="s">
        <v>174</v>
      </c>
      <c r="F20" s="2" t="s">
        <v>175</v>
      </c>
      <c r="G20" s="2" t="s">
        <v>185</v>
      </c>
      <c r="H20" s="2" t="s">
        <v>186</v>
      </c>
      <c r="I20" s="2" t="s">
        <v>187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149</v>
      </c>
    </row>
    <row r="35" spans="1:9" ht="15" customHeight="1" x14ac:dyDescent="0.25">
      <c r="A35" s="2" t="s">
        <v>1</v>
      </c>
      <c r="B35" s="2" t="s">
        <v>2</v>
      </c>
      <c r="C35" s="2" t="s">
        <v>172</v>
      </c>
      <c r="D35" s="2" t="s">
        <v>173</v>
      </c>
      <c r="E35" s="2" t="s">
        <v>174</v>
      </c>
      <c r="F35" s="2" t="s">
        <v>175</v>
      </c>
      <c r="G35" s="2" t="s">
        <v>185</v>
      </c>
      <c r="H35" s="2" t="s">
        <v>186</v>
      </c>
      <c r="I35" s="2" t="s">
        <v>187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155</v>
      </c>
    </row>
    <row r="50" spans="1:9" ht="15" customHeight="1" x14ac:dyDescent="0.25">
      <c r="A50" s="2" t="s">
        <v>1</v>
      </c>
      <c r="B50" s="2" t="s">
        <v>2</v>
      </c>
      <c r="C50" s="2" t="s">
        <v>172</v>
      </c>
      <c r="D50" s="2" t="s">
        <v>173</v>
      </c>
      <c r="E50" s="2" t="s">
        <v>174</v>
      </c>
      <c r="F50" s="2" t="s">
        <v>175</v>
      </c>
      <c r="G50" s="2" t="s">
        <v>185</v>
      </c>
      <c r="H50" s="2" t="s">
        <v>186</v>
      </c>
      <c r="I50" s="2" t="s">
        <v>187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161</v>
      </c>
    </row>
    <row r="65" spans="1:9" ht="15" customHeight="1" x14ac:dyDescent="0.25">
      <c r="A65" s="2" t="s">
        <v>1</v>
      </c>
      <c r="B65" s="2" t="s">
        <v>2</v>
      </c>
      <c r="C65" s="2" t="s">
        <v>172</v>
      </c>
      <c r="D65" s="2" t="s">
        <v>173</v>
      </c>
      <c r="E65" s="2" t="s">
        <v>174</v>
      </c>
      <c r="F65" s="2" t="s">
        <v>175</v>
      </c>
      <c r="G65" s="2" t="s">
        <v>185</v>
      </c>
      <c r="H65" s="2" t="s">
        <v>186</v>
      </c>
      <c r="I65" s="2" t="s">
        <v>187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165</v>
      </c>
    </row>
    <row r="80" spans="1:9" ht="15" customHeight="1" x14ac:dyDescent="0.25">
      <c r="A80" s="2" t="s">
        <v>1</v>
      </c>
      <c r="B80" s="2" t="s">
        <v>2</v>
      </c>
      <c r="C80" s="2" t="s">
        <v>172</v>
      </c>
      <c r="D80" s="2" t="s">
        <v>173</v>
      </c>
      <c r="E80" s="2" t="s">
        <v>174</v>
      </c>
      <c r="F80" s="2" t="s">
        <v>175</v>
      </c>
      <c r="G80" s="2" t="s">
        <v>185</v>
      </c>
      <c r="H80" s="2" t="s">
        <v>186</v>
      </c>
      <c r="I80" s="2" t="s">
        <v>187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12" t="s">
        <v>218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25">
      <c r="A2" s="2" t="s">
        <v>219</v>
      </c>
      <c r="B2" s="2" t="s">
        <v>220</v>
      </c>
      <c r="C2" s="2" t="s">
        <v>221</v>
      </c>
      <c r="D2" s="2" t="s">
        <v>222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4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4</v>
      </c>
      <c r="J3">
        <f>Helper!J2</f>
        <v>0</v>
      </c>
      <c r="K3">
        <f>MAX(Helper!C2:H2)</f>
        <v>4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0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0</v>
      </c>
      <c r="J4">
        <f>Helper!J3</f>
        <v>0</v>
      </c>
      <c r="K4">
        <f>MAX(Helper!C3:H3)</f>
        <v>0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4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4</v>
      </c>
      <c r="J7">
        <f>Helper!J6</f>
        <v>0</v>
      </c>
      <c r="K7">
        <f>MAX(Helper!C6:H6)</f>
        <v>4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7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7</v>
      </c>
      <c r="J11">
        <f>Helper!J10</f>
        <v>1</v>
      </c>
      <c r="K11">
        <f>MAX(Helper!C10:H10)</f>
        <v>7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7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7</v>
      </c>
      <c r="J12">
        <f>Helper!J11</f>
        <v>1</v>
      </c>
      <c r="K12">
        <f>MAX(Helper!C11:H11)</f>
        <v>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7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7</v>
      </c>
      <c r="J14">
        <f>Helper!J13</f>
        <v>1</v>
      </c>
      <c r="K14">
        <f>MAX(Helper!C13:H13)</f>
        <v>7</v>
      </c>
    </row>
    <row r="16" spans="1:11" ht="17.25" customHeight="1" x14ac:dyDescent="0.25">
      <c r="A16" s="13" t="s">
        <v>230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11" ht="15" customHeight="1" x14ac:dyDescent="0.25">
      <c r="A17" s="2" t="s">
        <v>219</v>
      </c>
      <c r="B17" s="2" t="s">
        <v>220</v>
      </c>
      <c r="C17" s="2" t="s">
        <v>231</v>
      </c>
      <c r="D17" s="2" t="s">
        <v>232</v>
      </c>
      <c r="E17" s="2" t="s">
        <v>233</v>
      </c>
      <c r="F17" s="2" t="s">
        <v>234</v>
      </c>
      <c r="G17" s="2" t="s">
        <v>235</v>
      </c>
      <c r="H17" s="2" t="s">
        <v>236</v>
      </c>
      <c r="I17" s="2" t="s">
        <v>227</v>
      </c>
      <c r="J17" s="2" t="s">
        <v>228</v>
      </c>
      <c r="K17" s="2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14" t="s">
        <v>237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1" ht="15" customHeight="1" x14ac:dyDescent="0.25">
      <c r="A32" s="7" t="s">
        <v>238</v>
      </c>
    </row>
    <row r="33" spans="1:11" ht="15" customHeight="1" x14ac:dyDescent="0.25">
      <c r="A33" s="2" t="s">
        <v>219</v>
      </c>
      <c r="B33" s="2" t="s">
        <v>220</v>
      </c>
      <c r="C33" s="2" t="s">
        <v>239</v>
      </c>
      <c r="D33" s="2" t="s">
        <v>240</v>
      </c>
      <c r="E33" s="2" t="s">
        <v>241</v>
      </c>
      <c r="F33" s="2" t="s">
        <v>242</v>
      </c>
      <c r="G33" s="2" t="s">
        <v>243</v>
      </c>
      <c r="H33" s="2" t="s">
        <v>244</v>
      </c>
      <c r="I33" s="2" t="s">
        <v>185</v>
      </c>
      <c r="J33" s="2" t="s">
        <v>186</v>
      </c>
      <c r="K33" s="2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7" t="s">
        <v>246</v>
      </c>
    </row>
    <row r="40" spans="1:11" ht="15" customHeight="1" x14ac:dyDescent="0.25">
      <c r="A40" s="2" t="s">
        <v>219</v>
      </c>
      <c r="B40" s="2" t="s">
        <v>220</v>
      </c>
      <c r="C40" s="2" t="s">
        <v>239</v>
      </c>
      <c r="D40" s="2" t="s">
        <v>240</v>
      </c>
      <c r="E40" s="2" t="s">
        <v>241</v>
      </c>
      <c r="F40" s="2" t="s">
        <v>242</v>
      </c>
      <c r="G40" s="2" t="s">
        <v>243</v>
      </c>
      <c r="H40" s="2" t="s">
        <v>244</v>
      </c>
      <c r="I40" s="2" t="s">
        <v>185</v>
      </c>
      <c r="J40" s="2" t="s">
        <v>186</v>
      </c>
      <c r="K40" s="2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7" t="s">
        <v>247</v>
      </c>
    </row>
    <row r="47" spans="1:11" ht="15" customHeight="1" x14ac:dyDescent="0.25">
      <c r="A47" s="2" t="s">
        <v>219</v>
      </c>
      <c r="B47" s="2" t="s">
        <v>220</v>
      </c>
      <c r="C47" s="2" t="s">
        <v>239</v>
      </c>
      <c r="D47" s="2" t="s">
        <v>240</v>
      </c>
      <c r="E47" s="2" t="s">
        <v>241</v>
      </c>
      <c r="F47" s="2" t="s">
        <v>242</v>
      </c>
      <c r="G47" s="2" t="s">
        <v>243</v>
      </c>
      <c r="H47" s="2" t="s">
        <v>244</v>
      </c>
      <c r="I47" s="2" t="s">
        <v>185</v>
      </c>
      <c r="J47" s="2" t="s">
        <v>186</v>
      </c>
      <c r="K47" s="2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5" t="s">
        <v>248</v>
      </c>
      <c r="B55" s="15"/>
      <c r="C55" s="15"/>
      <c r="D55" s="15"/>
      <c r="E55" s="15"/>
      <c r="F55" s="15"/>
      <c r="G55" s="15"/>
      <c r="H55" s="15"/>
    </row>
    <row r="56" spans="1:11" ht="15" customHeight="1" x14ac:dyDescent="0.25">
      <c r="A56" s="2" t="s">
        <v>219</v>
      </c>
      <c r="B56" s="2" t="s">
        <v>220</v>
      </c>
      <c r="C56" s="2" t="s">
        <v>249</v>
      </c>
      <c r="D56" s="2" t="s">
        <v>250</v>
      </c>
      <c r="E56" s="2" t="s">
        <v>251</v>
      </c>
      <c r="F56" s="2" t="s">
        <v>252</v>
      </c>
      <c r="G56" s="2" t="s">
        <v>253</v>
      </c>
      <c r="H56" s="2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</v>
      </c>
      <c r="D57">
        <f>Helper!R2</f>
        <v>0</v>
      </c>
      <c r="E57">
        <f>Helper!AC2</f>
        <v>0</v>
      </c>
      <c r="F57">
        <f>Helper!AE2</f>
        <v>4</v>
      </c>
      <c r="G57">
        <f>Helper!K2</f>
        <v>4.0000999999999998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0</v>
      </c>
      <c r="D58">
        <f>Helper!R3</f>
        <v>0</v>
      </c>
      <c r="E58">
        <f>Helper!AC3</f>
        <v>0</v>
      </c>
      <c r="F58">
        <f>Helper!AE3</f>
        <v>0</v>
      </c>
      <c r="G58">
        <f>Helper!K3</f>
        <v>2.0000000000000001E-4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0</v>
      </c>
      <c r="D59">
        <f>Helper!R4</f>
        <v>0</v>
      </c>
      <c r="E59">
        <f>Helper!AC4</f>
        <v>0</v>
      </c>
      <c r="F59">
        <f>Helper!AE4</f>
        <v>0</v>
      </c>
      <c r="G59">
        <f>Helper!K4</f>
        <v>2.9999999999999997E-4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0</v>
      </c>
      <c r="D60">
        <f>Helper!R5</f>
        <v>0</v>
      </c>
      <c r="E60">
        <f>Helper!AC5</f>
        <v>0</v>
      </c>
      <c r="F60">
        <f>Helper!AE5</f>
        <v>0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</v>
      </c>
      <c r="D61">
        <f>Helper!R6</f>
        <v>0</v>
      </c>
      <c r="E61">
        <f>Helper!AC6</f>
        <v>0</v>
      </c>
      <c r="F61">
        <f>Helper!AE6</f>
        <v>4</v>
      </c>
      <c r="G61">
        <f>Helper!K6</f>
        <v>4.0004999999999997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0</v>
      </c>
      <c r="D62">
        <f>Helper!R7</f>
        <v>0</v>
      </c>
      <c r="E62">
        <f>Helper!AC7</f>
        <v>0</v>
      </c>
      <c r="F62">
        <f>Helper!AE7</f>
        <v>0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7</v>
      </c>
      <c r="D65">
        <f>Helper!R10</f>
        <v>0</v>
      </c>
      <c r="E65">
        <f>Helper!AC10</f>
        <v>0</v>
      </c>
      <c r="F65">
        <f>Helper!AE10</f>
        <v>7</v>
      </c>
      <c r="G65">
        <f>Helper!K10</f>
        <v>7.0008999999999997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7</v>
      </c>
      <c r="D66">
        <f>Helper!R11</f>
        <v>0</v>
      </c>
      <c r="E66">
        <f>Helper!AC11</f>
        <v>0</v>
      </c>
      <c r="F66">
        <f>Helper!AE11</f>
        <v>7</v>
      </c>
      <c r="G66">
        <f>Helper!K11</f>
        <v>7.0010000000000003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0</v>
      </c>
      <c r="D67">
        <f>Helper!R12</f>
        <v>0</v>
      </c>
      <c r="E67">
        <f>Helper!AC12</f>
        <v>0</v>
      </c>
      <c r="F67">
        <f>Helper!AE12</f>
        <v>0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7</v>
      </c>
      <c r="D68">
        <f>Helper!R13</f>
        <v>0</v>
      </c>
      <c r="E68">
        <f>Helper!AC13</f>
        <v>0</v>
      </c>
      <c r="F68">
        <f>Helper!AE13</f>
        <v>7</v>
      </c>
      <c r="G68">
        <f>Helper!K13</f>
        <v>7.0011999999999999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topLeftCell="A9"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255</v>
      </c>
    </row>
    <row r="3" spans="1:8" ht="15" customHeight="1" x14ac:dyDescent="0.25">
      <c r="A3" s="8" t="s">
        <v>256</v>
      </c>
    </row>
    <row r="4" spans="1:8" ht="15" customHeight="1" x14ac:dyDescent="0.25">
      <c r="A4" s="2" t="s">
        <v>257</v>
      </c>
      <c r="B4" s="2" t="s">
        <v>258</v>
      </c>
      <c r="C4" s="2" t="s">
        <v>259</v>
      </c>
      <c r="D4" s="2" t="s">
        <v>260</v>
      </c>
      <c r="E4" s="2" t="s">
        <v>261</v>
      </c>
      <c r="F4" s="2" t="s">
        <v>262</v>
      </c>
      <c r="H4" s="9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Jake Andrews</v>
      </c>
      <c r="C5" t="s">
        <v>265</v>
      </c>
      <c r="D5" t="s">
        <v>266</v>
      </c>
      <c r="E5" t="str">
        <f>B5</f>
        <v>Jake Andrews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Jake Andrews</v>
      </c>
      <c r="C6" t="s">
        <v>265</v>
      </c>
      <c r="D6" t="s">
        <v>268</v>
      </c>
      <c r="E6" t="str">
        <f>IF(B6&lt;&gt;$E$5,B6,INDEX(Helper!B$2:B$13,MATCH(LARGE(Helper!T$2:T$13,2),Helper!T$2:T$13,0)))</f>
        <v>Jeffrey Loeser</v>
      </c>
      <c r="F6" t="str">
        <f>IF(E6=B6,"QUALIFIED","PASS → "&amp;E6)</f>
        <v>PASS → Jeffrey Loeser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6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8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10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8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257</v>
      </c>
      <c r="B12" s="2" t="s">
        <v>220</v>
      </c>
      <c r="C12" s="2" t="s">
        <v>274</v>
      </c>
      <c r="D12" s="2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Daddy Michael</v>
      </c>
      <c r="C13">
        <f>INDEX(I$40:I$51,MATCH(MAX(K$40:K$51),K$40:K$51,0))</f>
        <v>7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8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15</v>
      </c>
      <c r="B16" s="2" t="s">
        <v>220</v>
      </c>
      <c r="C16" s="2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Jake Andrews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Jeffrey Loeser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Daddy Michael</v>
      </c>
      <c r="C22" t="str">
        <f>"Wild Card 1"</f>
        <v>Wild Card 1</v>
      </c>
    </row>
    <row r="24" spans="1:6" ht="15" customHeight="1" x14ac:dyDescent="0.25">
      <c r="A24" s="8" t="s">
        <v>279</v>
      </c>
    </row>
    <row r="25" spans="1:6" ht="15" customHeight="1" x14ac:dyDescent="0.25">
      <c r="A25" s="2" t="s">
        <v>15</v>
      </c>
      <c r="B25" s="2" t="s">
        <v>220</v>
      </c>
      <c r="C25" s="2" t="s">
        <v>280</v>
      </c>
      <c r="D25" s="2" t="s">
        <v>281</v>
      </c>
      <c r="E25" s="2" t="s">
        <v>282</v>
      </c>
      <c r="F25" s="2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9" t="s">
        <v>285</v>
      </c>
    </row>
    <row r="40" spans="1:11" ht="15" customHeight="1" x14ac:dyDescent="0.25">
      <c r="H40" t="str">
        <f>Roster!B3</f>
        <v>Evan Loeser</v>
      </c>
      <c r="I40">
        <f>Helper!AE2</f>
        <v>4</v>
      </c>
      <c r="J40" t="b">
        <f t="shared" ref="J40:J51" si="1">OR(H40=$E$5,H40=$E$6,H40=$E$7,H40=$E$8,H40=$E$9)</f>
        <v>0</v>
      </c>
      <c r="K40">
        <f>IF(J40,-1,I40+0.00001)</f>
        <v>4.0000099999999996</v>
      </c>
    </row>
    <row r="41" spans="1:11" ht="15" customHeight="1" x14ac:dyDescent="0.25">
      <c r="H41" t="str">
        <f>Roster!B4</f>
        <v>Chris Simmons</v>
      </c>
      <c r="I41">
        <f>Helper!AE3</f>
        <v>0</v>
      </c>
      <c r="J41" t="b">
        <f t="shared" si="1"/>
        <v>0</v>
      </c>
      <c r="K41">
        <f>IF(J41,-1,I41+0.00002)</f>
        <v>2.0000000000000002E-5</v>
      </c>
    </row>
    <row r="42" spans="1:11" ht="15" customHeight="1" x14ac:dyDescent="0.25">
      <c r="H42" t="str">
        <f>Roster!B5</f>
        <v>Jack Smith</v>
      </c>
      <c r="I42">
        <f>Helper!AE4</f>
        <v>0</v>
      </c>
      <c r="J42" t="b">
        <f t="shared" si="1"/>
        <v>0</v>
      </c>
      <c r="K42">
        <f>IF(J42,-1,I42+0.00003)</f>
        <v>3.0000000000000001E-5</v>
      </c>
    </row>
    <row r="43" spans="1:11" ht="15" customHeight="1" x14ac:dyDescent="0.25">
      <c r="H43" t="str">
        <f>Roster!B6</f>
        <v>Luke Ussery</v>
      </c>
      <c r="I43">
        <f>Helper!AE5</f>
        <v>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</v>
      </c>
      <c r="J44" t="b">
        <f t="shared" si="1"/>
        <v>0</v>
      </c>
      <c r="K44">
        <f>IF(J44,-1,I44+0.00005)</f>
        <v>4.0000499999999999</v>
      </c>
    </row>
    <row r="45" spans="1:11" ht="15" customHeight="1" x14ac:dyDescent="0.25">
      <c r="H45" t="str">
        <f>Roster!B8</f>
        <v>Alan Loeser</v>
      </c>
      <c r="I45">
        <f>Helper!AE7</f>
        <v>0</v>
      </c>
      <c r="J45" t="b">
        <f t="shared" si="1"/>
        <v>0</v>
      </c>
      <c r="K45">
        <f>IF(J45,-1,I45+0.00006)</f>
        <v>6.0000000000000002E-5</v>
      </c>
    </row>
    <row r="46" spans="1:11" ht="15" customHeight="1" x14ac:dyDescent="0.25">
      <c r="H46" t="str">
        <f>Roster!B9</f>
        <v>Caleb Simmons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Larry Loeser</v>
      </c>
      <c r="I47">
        <f>Helper!AE9</f>
        <v>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7</v>
      </c>
      <c r="J48" t="b">
        <f t="shared" si="1"/>
        <v>0</v>
      </c>
      <c r="K48">
        <f>IF(J48,-1,I48+0.00009)</f>
        <v>7.0000900000000001</v>
      </c>
    </row>
    <row r="49" spans="8:11" ht="15" customHeight="1" x14ac:dyDescent="0.25">
      <c r="H49" t="str">
        <f>Roster!B12</f>
        <v>Zach Zarra</v>
      </c>
      <c r="I49">
        <f>Helper!AE11</f>
        <v>7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7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2" t="s">
        <v>15</v>
      </c>
      <c r="B4" s="2" t="s">
        <v>220</v>
      </c>
      <c r="C4" s="2" t="s">
        <v>181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15" customHeight="1" x14ac:dyDescent="0.25">
      <c r="A5">
        <v>1</v>
      </c>
      <c r="B5" t="str">
        <f>'Playoff Picture'!B17</f>
        <v>Jake Andrews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Jeffrey Loeser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Daddy Michael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8" t="s">
        <v>293</v>
      </c>
    </row>
    <row r="13" spans="1:8" ht="15" customHeight="1" x14ac:dyDescent="0.25">
      <c r="A13" s="2" t="s">
        <v>219</v>
      </c>
      <c r="B13" s="2" t="s">
        <v>220</v>
      </c>
      <c r="C13" s="2" t="s">
        <v>181</v>
      </c>
      <c r="D13" s="2"/>
      <c r="E13" s="2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Jake Andrews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Jeffrey Loeser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Daddy Michael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8" t="s">
        <v>296</v>
      </c>
    </row>
    <row r="5" spans="1:11" ht="15" customHeight="1" x14ac:dyDescent="0.25">
      <c r="A5" s="2" t="s">
        <v>220</v>
      </c>
      <c r="B5" s="2" t="s">
        <v>297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304</v>
      </c>
      <c r="J5" s="2"/>
      <c r="K5" s="2" t="s">
        <v>305</v>
      </c>
    </row>
    <row r="6" spans="1:11" ht="15" customHeight="1" x14ac:dyDescent="0.25">
      <c r="A6" t="str">
        <f>'Playoff Wild Card'!B14</f>
        <v>Jake Andrews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Jeffrey Loeser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8" t="s">
        <v>306</v>
      </c>
    </row>
    <row r="12" spans="1:11" ht="15" customHeight="1" x14ac:dyDescent="0.25">
      <c r="A12" s="2" t="s">
        <v>307</v>
      </c>
      <c r="B12" s="2" t="s">
        <v>220</v>
      </c>
      <c r="C12" s="2" t="s">
        <v>297</v>
      </c>
      <c r="D12" s="2" t="s">
        <v>308</v>
      </c>
      <c r="E12" s="2" t="s">
        <v>309</v>
      </c>
      <c r="F12" s="2" t="s">
        <v>310</v>
      </c>
      <c r="G12" s="2" t="s">
        <v>311</v>
      </c>
      <c r="H12" s="2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Jake Andrews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Jeffrey Loeser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10" t="s">
        <v>320</v>
      </c>
    </row>
    <row r="20" spans="1:4" ht="15" customHeight="1" x14ac:dyDescent="0.25">
      <c r="A20" s="8" t="s">
        <v>321</v>
      </c>
    </row>
    <row r="21" spans="1:4" ht="15" customHeight="1" x14ac:dyDescent="0.25">
      <c r="A21" s="2" t="s">
        <v>220</v>
      </c>
      <c r="B21" s="2" t="s">
        <v>322</v>
      </c>
      <c r="C21" s="2" t="s">
        <v>323</v>
      </c>
      <c r="D21" s="2" t="s">
        <v>324</v>
      </c>
    </row>
    <row r="22" spans="1:4" ht="15" customHeight="1" x14ac:dyDescent="0.25">
      <c r="A22" t="str">
        <f>A6</f>
        <v>Jake Andrews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Jeffrey Loeser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325</v>
      </c>
    </row>
    <row r="6" spans="1:3" ht="15" customHeight="1" x14ac:dyDescent="0.25">
      <c r="A6" s="2" t="s">
        <v>326</v>
      </c>
      <c r="B6" s="2" t="s">
        <v>327</v>
      </c>
      <c r="C6" s="2" t="s">
        <v>328</v>
      </c>
    </row>
    <row r="7" spans="1:3" ht="15" customHeight="1" x14ac:dyDescent="0.25">
      <c r="C7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16</v>
      </c>
      <c r="B1" s="4" t="s">
        <v>17</v>
      </c>
      <c r="C1" s="4" t="s">
        <v>188</v>
      </c>
      <c r="D1" s="4" t="s">
        <v>189</v>
      </c>
      <c r="E1" s="4" t="s">
        <v>190</v>
      </c>
      <c r="F1" s="4" t="s">
        <v>191</v>
      </c>
      <c r="G1" s="4" t="s">
        <v>192</v>
      </c>
      <c r="H1" s="4" t="s">
        <v>193</v>
      </c>
      <c r="I1" s="4" t="s">
        <v>194</v>
      </c>
      <c r="J1" s="4" t="s">
        <v>195</v>
      </c>
      <c r="K1" s="4" t="s">
        <v>196</v>
      </c>
      <c r="L1" s="4" t="s">
        <v>197</v>
      </c>
      <c r="M1" s="4" t="s">
        <v>198</v>
      </c>
      <c r="N1" s="4" t="s">
        <v>199</v>
      </c>
      <c r="O1" s="4" t="s">
        <v>200</v>
      </c>
      <c r="P1" s="4" t="s">
        <v>201</v>
      </c>
      <c r="Q1" s="4" t="s">
        <v>202</v>
      </c>
      <c r="R1" s="4" t="s">
        <v>203</v>
      </c>
      <c r="S1" s="4" t="s">
        <v>204</v>
      </c>
      <c r="T1" s="4" t="s">
        <v>205</v>
      </c>
      <c r="U1" s="4" t="s">
        <v>206</v>
      </c>
      <c r="V1" s="4" t="s">
        <v>207</v>
      </c>
      <c r="W1" s="4" t="s">
        <v>208</v>
      </c>
      <c r="X1" s="4" t="s">
        <v>209</v>
      </c>
      <c r="Y1" s="4" t="s">
        <v>210</v>
      </c>
      <c r="Z1" s="4" t="s">
        <v>211</v>
      </c>
      <c r="AA1" s="4" t="s">
        <v>212</v>
      </c>
      <c r="AB1" s="4" t="s">
        <v>213</v>
      </c>
      <c r="AC1" s="4" t="s">
        <v>214</v>
      </c>
      <c r="AD1" s="4" t="s">
        <v>215</v>
      </c>
      <c r="AE1" s="4" t="s">
        <v>216</v>
      </c>
      <c r="AF1" s="4" t="s">
        <v>217</v>
      </c>
    </row>
    <row r="2" spans="1:32" ht="15" customHeight="1" x14ac:dyDescent="0.25">
      <c r="A2">
        <v>1</v>
      </c>
      <c r="B2" t="str">
        <f>Roster!B3</f>
        <v>Evan Loeser</v>
      </c>
      <c r="C2">
        <f>'Wk 1-6 Input'!I6</f>
        <v>4</v>
      </c>
      <c r="D2">
        <f>'Wk 1-6 Input'!I21</f>
        <v>0</v>
      </c>
      <c r="E2">
        <f>'Wk 1-6 Input'!I36</f>
        <v>0</v>
      </c>
      <c r="F2">
        <f>'Wk 1-6 Input'!I51</f>
        <v>0</v>
      </c>
      <c r="G2">
        <f>'Wk 1-6 Input'!I66</f>
        <v>0</v>
      </c>
      <c r="H2">
        <f>'Wk 1-6 Input'!I81</f>
        <v>0</v>
      </c>
      <c r="I2">
        <f t="shared" ref="I2:I13" si="0">SUM(C2:H2)</f>
        <v>4</v>
      </c>
      <c r="J2">
        <f>IF('Wk 1-6 Input'!F6="W",1,0)+IF('Wk 1-6 Input'!F21="W",1,0)+IF('Wk 1-6 Input'!F36="W",1,0)+IF('Wk 1-6 Input'!F51="W",1,0)+IF('Wk 1-6 Input'!F66="W",1,0)+IF('Wk 1-6 Input'!F81="W",1,0)</f>
        <v>0</v>
      </c>
      <c r="K2">
        <f>I2+0.0001</f>
        <v>4.0000999999999998</v>
      </c>
      <c r="L2">
        <f>'Wk 7-12 Input'!I6</f>
        <v>0</v>
      </c>
      <c r="M2">
        <f>'Wk 7-12 Input'!I21</f>
        <v>0</v>
      </c>
      <c r="N2">
        <f>'Wk 7-12 Input'!I36</f>
        <v>0</v>
      </c>
      <c r="O2">
        <f>'Wk 7-12 Input'!I51</f>
        <v>0</v>
      </c>
      <c r="P2">
        <f>'Wk 7-12 Input'!I66</f>
        <v>0</v>
      </c>
      <c r="Q2">
        <f>'Wk 7-12 Input'!I81</f>
        <v>0</v>
      </c>
      <c r="R2">
        <f t="shared" ref="R2:R13" si="1">SUM(L2:Q2)</f>
        <v>0</v>
      </c>
      <c r="S2">
        <f>IF('Wk 7-12 Input'!F6="W",1,0)+IF('Wk 7-12 Input'!F21="W",1,0)+IF('Wk 7-12 Input'!F36="W",1,0)+IF('Wk 7-12 Input'!F51="W",1,0)+IF('Wk 7-12 Input'!F66="W",1,0)+IF('Wk 7-12 Input'!F81="W",1,0)</f>
        <v>0</v>
      </c>
      <c r="T2">
        <f>R2+0.0001</f>
        <v>1E-4</v>
      </c>
      <c r="U2" t="str">
        <f>'Wk 13-18 Input'!F6</f>
        <v>-</v>
      </c>
      <c r="V2" t="str">
        <f>'Wk 13-18 Input'!F21</f>
        <v>-</v>
      </c>
      <c r="W2" t="str">
        <f>'Wk 13-18 Input'!F36</f>
        <v>-</v>
      </c>
      <c r="X2" t="str">
        <f>'Wk 13-18 Input'!F51</f>
        <v>-</v>
      </c>
      <c r="Y2" t="str">
        <f>'Wk 13-18 Input'!F66</f>
        <v>-</v>
      </c>
      <c r="Z2" t="str">
        <f>'Wk 13-18 Input'!F81</f>
        <v>-</v>
      </c>
      <c r="AA2">
        <f>'Wk 13-18 Input'!G6+'Wk 13-18 Input'!G21+'Wk 13-18 Input'!G36+'Wk 13-18 Input'!G51+'Wk 13-18 Input'!G66+'Wk 13-18 Input'!G81</f>
        <v>0</v>
      </c>
      <c r="AB2">
        <f>'Wk 13-18 Input'!H6+'Wk 13-18 Input'!H21+'Wk 13-18 Input'!H36+'Wk 13-18 Input'!H51+'Wk 13-18 Input'!H66+'Wk 13-18 Input'!H81</f>
        <v>0</v>
      </c>
      <c r="AC2">
        <f>'Wk 13-18 Input'!I6+'Wk 13-18 Input'!I21+'Wk 13-18 Input'!I36+'Wk 13-18 Input'!I51+'Wk 13-18 Input'!I66+'Wk 13-18 Input'!I81</f>
        <v>0</v>
      </c>
      <c r="AD2">
        <f>AA2+0.0001</f>
        <v>1E-4</v>
      </c>
      <c r="AE2">
        <f t="shared" ref="AE2:AE13" si="2">I2+R2+AC2</f>
        <v>4</v>
      </c>
      <c r="AF2">
        <f>AE2+0.0001</f>
        <v>4.0000999999999998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'Wk 1-6 Input'!I7</f>
        <v>0</v>
      </c>
      <c r="D3">
        <f>'Wk 1-6 Input'!I22</f>
        <v>0</v>
      </c>
      <c r="E3">
        <f>'Wk 1-6 Input'!I37</f>
        <v>0</v>
      </c>
      <c r="F3">
        <f>'Wk 1-6 Input'!I52</f>
        <v>0</v>
      </c>
      <c r="G3">
        <f>'Wk 1-6 Input'!I67</f>
        <v>0</v>
      </c>
      <c r="H3">
        <f>'Wk 1-6 Input'!I82</f>
        <v>0</v>
      </c>
      <c r="I3">
        <f t="shared" si="0"/>
        <v>0</v>
      </c>
      <c r="J3">
        <f>IF('Wk 1-6 Input'!F7="W",1,0)+IF('Wk 1-6 Input'!F22="W",1,0)+IF('Wk 1-6 Input'!F37="W",1,0)+IF('Wk 1-6 Input'!F52="W",1,0)+IF('Wk 1-6 Input'!F67="W",1,0)+IF('Wk 1-6 Input'!F82="W",1,0)</f>
        <v>0</v>
      </c>
      <c r="K3">
        <f>I3+0.0002</f>
        <v>2.0000000000000001E-4</v>
      </c>
      <c r="L3">
        <f>'Wk 7-12 Input'!I7</f>
        <v>0</v>
      </c>
      <c r="M3">
        <f>'Wk 7-12 Input'!I22</f>
        <v>0</v>
      </c>
      <c r="N3">
        <f>'Wk 7-12 Input'!I37</f>
        <v>0</v>
      </c>
      <c r="O3">
        <f>'Wk 7-12 Input'!I52</f>
        <v>0</v>
      </c>
      <c r="P3">
        <f>'Wk 7-12 Input'!I67</f>
        <v>0</v>
      </c>
      <c r="Q3">
        <f>'Wk 7-12 Input'!I82</f>
        <v>0</v>
      </c>
      <c r="R3">
        <f t="shared" si="1"/>
        <v>0</v>
      </c>
      <c r="S3">
        <f>IF('Wk 7-12 Input'!F7="W",1,0)+IF('Wk 7-12 Input'!F22="W",1,0)+IF('Wk 7-12 Input'!F37="W",1,0)+IF('Wk 7-12 Input'!F52="W",1,0)+IF('Wk 7-12 Input'!F67="W",1,0)+IF('Wk 7-12 Input'!F82="W",1,0)</f>
        <v>0</v>
      </c>
      <c r="T3">
        <f>R3+0.0002</f>
        <v>2.0000000000000001E-4</v>
      </c>
      <c r="U3" t="str">
        <f>'Wk 13-18 Input'!F7</f>
        <v>-</v>
      </c>
      <c r="V3" t="str">
        <f>'Wk 13-18 Input'!F22</f>
        <v>-</v>
      </c>
      <c r="W3" t="str">
        <f>'Wk 13-18 Input'!F37</f>
        <v>-</v>
      </c>
      <c r="X3" t="str">
        <f>'Wk 13-18 Input'!F52</f>
        <v>-</v>
      </c>
      <c r="Y3" t="str">
        <f>'Wk 13-18 Input'!F67</f>
        <v>-</v>
      </c>
      <c r="Z3" t="str">
        <f>'Wk 13-18 Input'!F82</f>
        <v>-</v>
      </c>
      <c r="AA3">
        <f>'Wk 13-18 Input'!G7+'Wk 13-18 Input'!G22+'Wk 13-18 Input'!G37+'Wk 13-18 Input'!G52+'Wk 13-18 Input'!G67+'Wk 13-18 Input'!G82</f>
        <v>0</v>
      </c>
      <c r="AB3">
        <f>'Wk 13-18 Input'!H7+'Wk 13-18 Input'!H22+'Wk 13-18 Input'!H37+'Wk 13-18 Input'!H52+'Wk 13-18 Input'!H67+'Wk 13-18 Input'!H82</f>
        <v>0</v>
      </c>
      <c r="AC3">
        <f>'Wk 13-18 Input'!I7+'Wk 13-18 Input'!I22+'Wk 13-18 Input'!I37+'Wk 13-18 Input'!I52+'Wk 13-18 Input'!I67+'Wk 13-18 Input'!I82</f>
        <v>0</v>
      </c>
      <c r="AD3">
        <f>AA3+0.0002</f>
        <v>2.0000000000000001E-4</v>
      </c>
      <c r="AE3">
        <f t="shared" si="2"/>
        <v>0</v>
      </c>
      <c r="AF3">
        <f>AE3+0.0002</f>
        <v>2.0000000000000001E-4</v>
      </c>
    </row>
    <row r="4" spans="1:32" ht="15" customHeight="1" x14ac:dyDescent="0.25">
      <c r="A4">
        <v>3</v>
      </c>
      <c r="B4" t="str">
        <f>Roster!B5</f>
        <v>Jack Smith</v>
      </c>
      <c r="C4">
        <f>'Wk 1-6 Input'!I8</f>
        <v>0</v>
      </c>
      <c r="D4">
        <f>'Wk 1-6 Input'!I23</f>
        <v>0</v>
      </c>
      <c r="E4">
        <f>'Wk 1-6 Input'!I38</f>
        <v>0</v>
      </c>
      <c r="F4">
        <f>'Wk 1-6 Input'!I53</f>
        <v>0</v>
      </c>
      <c r="G4">
        <f>'Wk 1-6 Input'!I68</f>
        <v>0</v>
      </c>
      <c r="H4">
        <f>'Wk 1-6 Input'!I83</f>
        <v>0</v>
      </c>
      <c r="I4">
        <f t="shared" si="0"/>
        <v>0</v>
      </c>
      <c r="J4">
        <f>IF('Wk 1-6 Input'!F8="W",1,0)+IF('Wk 1-6 Input'!F23="W",1,0)+IF('Wk 1-6 Input'!F38="W",1,0)+IF('Wk 1-6 Input'!F53="W",1,0)+IF('Wk 1-6 Input'!F68="W",1,0)+IF('Wk 1-6 Input'!F83="W",1,0)</f>
        <v>0</v>
      </c>
      <c r="K4">
        <f>I4+0.0003</f>
        <v>2.9999999999999997E-4</v>
      </c>
      <c r="L4">
        <f>'Wk 7-12 Input'!I8</f>
        <v>0</v>
      </c>
      <c r="M4">
        <f>'Wk 7-12 Input'!I23</f>
        <v>0</v>
      </c>
      <c r="N4">
        <f>'Wk 7-12 Input'!I38</f>
        <v>0</v>
      </c>
      <c r="O4">
        <f>'Wk 7-12 Input'!I53</f>
        <v>0</v>
      </c>
      <c r="P4">
        <f>'Wk 7-12 Input'!I68</f>
        <v>0</v>
      </c>
      <c r="Q4">
        <f>'Wk 7-12 Input'!I83</f>
        <v>0</v>
      </c>
      <c r="R4">
        <f t="shared" si="1"/>
        <v>0</v>
      </c>
      <c r="S4">
        <f>IF('Wk 7-12 Input'!F8="W",1,0)+IF('Wk 7-12 Input'!F23="W",1,0)+IF('Wk 7-12 Input'!F38="W",1,0)+IF('Wk 7-12 Input'!F53="W",1,0)+IF('Wk 7-12 Input'!F68="W",1,0)+IF('Wk 7-12 Input'!F83="W",1,0)</f>
        <v>0</v>
      </c>
      <c r="T4">
        <f>R4+0.0003</f>
        <v>2.9999999999999997E-4</v>
      </c>
      <c r="U4" t="str">
        <f>'Wk 13-18 Input'!F8</f>
        <v>-</v>
      </c>
      <c r="V4" t="str">
        <f>'Wk 13-18 Input'!F23</f>
        <v>-</v>
      </c>
      <c r="W4" t="str">
        <f>'Wk 13-18 Input'!F38</f>
        <v>-</v>
      </c>
      <c r="X4" t="str">
        <f>'Wk 13-18 Input'!F53</f>
        <v>-</v>
      </c>
      <c r="Y4" t="str">
        <f>'Wk 13-18 Input'!F68</f>
        <v>-</v>
      </c>
      <c r="Z4" t="str">
        <f>'Wk 13-18 Input'!F83</f>
        <v>-</v>
      </c>
      <c r="AA4">
        <f>'Wk 13-18 Input'!G8+'Wk 13-18 Input'!G23+'Wk 13-18 Input'!G38+'Wk 13-18 Input'!G53+'Wk 13-18 Input'!G68+'Wk 13-18 Input'!G83</f>
        <v>0</v>
      </c>
      <c r="AB4">
        <f>'Wk 13-18 Input'!H8+'Wk 13-18 Input'!H23+'Wk 13-18 Input'!H38+'Wk 13-18 Input'!H53+'Wk 13-18 Input'!H68+'Wk 13-18 Input'!H83</f>
        <v>0</v>
      </c>
      <c r="AC4">
        <f>'Wk 13-18 Input'!I8+'Wk 13-18 Input'!I23+'Wk 13-18 Input'!I38+'Wk 13-18 Input'!I53+'Wk 13-18 Input'!I68+'Wk 13-18 Input'!I83</f>
        <v>0</v>
      </c>
      <c r="AD4">
        <f>AA4+0.0003</f>
        <v>2.9999999999999997E-4</v>
      </c>
      <c r="AE4">
        <f t="shared" si="2"/>
        <v>0</v>
      </c>
      <c r="AF4">
        <f>AE4+0.0003</f>
        <v>2.9999999999999997E-4</v>
      </c>
    </row>
    <row r="5" spans="1:32" ht="15" customHeight="1" x14ac:dyDescent="0.25">
      <c r="A5">
        <v>4</v>
      </c>
      <c r="B5" t="str">
        <f>Roster!B6</f>
        <v>Luke Ussery</v>
      </c>
      <c r="C5">
        <f>'Wk 1-6 Input'!I9</f>
        <v>0</v>
      </c>
      <c r="D5">
        <f>'Wk 1-6 Input'!I24</f>
        <v>0</v>
      </c>
      <c r="E5">
        <f>'Wk 1-6 Input'!I39</f>
        <v>0</v>
      </c>
      <c r="F5">
        <f>'Wk 1-6 Input'!I54</f>
        <v>0</v>
      </c>
      <c r="G5">
        <f>'Wk 1-6 Input'!I69</f>
        <v>0</v>
      </c>
      <c r="H5">
        <f>'Wk 1-6 Input'!I84</f>
        <v>0</v>
      </c>
      <c r="I5">
        <f t="shared" si="0"/>
        <v>0</v>
      </c>
      <c r="J5">
        <f>IF('Wk 1-6 Input'!F9="W",1,0)+IF('Wk 1-6 Input'!F24="W",1,0)+IF('Wk 1-6 Input'!F39="W",1,0)+IF('Wk 1-6 Input'!F54="W",1,0)+IF('Wk 1-6 Input'!F69="W",1,0)+IF('Wk 1-6 Input'!F84="W",1,0)</f>
        <v>0</v>
      </c>
      <c r="K5">
        <f>I5+0.0004</f>
        <v>4.0000000000000002E-4</v>
      </c>
      <c r="L5">
        <f>'Wk 7-12 Input'!I9</f>
        <v>0</v>
      </c>
      <c r="M5">
        <f>'Wk 7-12 Input'!I24</f>
        <v>0</v>
      </c>
      <c r="N5">
        <f>'Wk 7-12 Input'!I39</f>
        <v>0</v>
      </c>
      <c r="O5">
        <f>'Wk 7-12 Input'!I54</f>
        <v>0</v>
      </c>
      <c r="P5">
        <f>'Wk 7-12 Input'!I69</f>
        <v>0</v>
      </c>
      <c r="Q5">
        <f>'Wk 7-12 Input'!I84</f>
        <v>0</v>
      </c>
      <c r="R5">
        <f t="shared" si="1"/>
        <v>0</v>
      </c>
      <c r="S5">
        <f>IF('Wk 7-12 Input'!F9="W",1,0)+IF('Wk 7-12 Input'!F24="W",1,0)+IF('Wk 7-12 Input'!F39="W",1,0)+IF('Wk 7-12 Input'!F54="W",1,0)+IF('Wk 7-12 Input'!F69="W",1,0)+IF('Wk 7-12 Input'!F84="W",1,0)</f>
        <v>0</v>
      </c>
      <c r="T5">
        <f>R5+0.0004</f>
        <v>4.0000000000000002E-4</v>
      </c>
      <c r="U5" t="str">
        <f>'Wk 13-18 Input'!F9</f>
        <v>-</v>
      </c>
      <c r="V5" t="str">
        <f>'Wk 13-18 Input'!F24</f>
        <v>-</v>
      </c>
      <c r="W5" t="str">
        <f>'Wk 13-18 Input'!F39</f>
        <v>-</v>
      </c>
      <c r="X5" t="str">
        <f>'Wk 13-18 Input'!F54</f>
        <v>-</v>
      </c>
      <c r="Y5" t="str">
        <f>'Wk 13-18 Input'!F69</f>
        <v>-</v>
      </c>
      <c r="Z5" t="str">
        <f>'Wk 13-18 Input'!F84</f>
        <v>-</v>
      </c>
      <c r="AA5">
        <f>'Wk 13-18 Input'!G9+'Wk 13-18 Input'!G24+'Wk 13-18 Input'!G39+'Wk 13-18 Input'!G54+'Wk 13-18 Input'!G69+'Wk 13-18 Input'!G84</f>
        <v>0</v>
      </c>
      <c r="AB5">
        <f>'Wk 13-18 Input'!H9+'Wk 13-18 Input'!H24+'Wk 13-18 Input'!H39+'Wk 13-18 Input'!H54+'Wk 13-18 Input'!H69+'Wk 13-18 Input'!H84</f>
        <v>0</v>
      </c>
      <c r="AC5">
        <f>'Wk 13-18 Input'!I9+'Wk 13-18 Input'!I24+'Wk 13-18 Input'!I39+'Wk 13-18 Input'!I54+'Wk 13-18 Input'!I69+'Wk 13-18 Input'!I84</f>
        <v>0</v>
      </c>
      <c r="AD5">
        <f>AA5+0.0004</f>
        <v>4.0000000000000002E-4</v>
      </c>
      <c r="AE5">
        <f t="shared" si="2"/>
        <v>0</v>
      </c>
      <c r="AF5">
        <f>AE5+0.0004</f>
        <v>4.0000000000000002E-4</v>
      </c>
    </row>
    <row r="6" spans="1:32" ht="15" customHeight="1" x14ac:dyDescent="0.25">
      <c r="A6">
        <v>5</v>
      </c>
      <c r="B6" t="str">
        <f>Roster!B7</f>
        <v>Mikayla Simmons</v>
      </c>
      <c r="C6">
        <f>'Wk 1-6 Input'!I10</f>
        <v>4</v>
      </c>
      <c r="D6">
        <f>'Wk 1-6 Input'!I25</f>
        <v>0</v>
      </c>
      <c r="E6">
        <f>'Wk 1-6 Input'!I40</f>
        <v>0</v>
      </c>
      <c r="F6">
        <f>'Wk 1-6 Input'!I55</f>
        <v>0</v>
      </c>
      <c r="G6">
        <f>'Wk 1-6 Input'!I70</f>
        <v>0</v>
      </c>
      <c r="H6">
        <f>'Wk 1-6 Input'!I85</f>
        <v>0</v>
      </c>
      <c r="I6">
        <f t="shared" si="0"/>
        <v>4</v>
      </c>
      <c r="J6">
        <f>IF('Wk 1-6 Input'!F10="W",1,0)+IF('Wk 1-6 Input'!F25="W",1,0)+IF('Wk 1-6 Input'!F40="W",1,0)+IF('Wk 1-6 Input'!F55="W",1,0)+IF('Wk 1-6 Input'!F70="W",1,0)+IF('Wk 1-6 Input'!F85="W",1,0)</f>
        <v>0</v>
      </c>
      <c r="K6">
        <f>I6+0.0005</f>
        <v>4.0004999999999997</v>
      </c>
      <c r="L6">
        <f>'Wk 7-12 Input'!I10</f>
        <v>0</v>
      </c>
      <c r="M6">
        <f>'Wk 7-12 Input'!I25</f>
        <v>0</v>
      </c>
      <c r="N6">
        <f>'Wk 7-12 Input'!I40</f>
        <v>0</v>
      </c>
      <c r="O6">
        <f>'Wk 7-12 Input'!I55</f>
        <v>0</v>
      </c>
      <c r="P6">
        <f>'Wk 7-12 Input'!I70</f>
        <v>0</v>
      </c>
      <c r="Q6">
        <f>'Wk 7-12 Input'!I85</f>
        <v>0</v>
      </c>
      <c r="R6">
        <f t="shared" si="1"/>
        <v>0</v>
      </c>
      <c r="S6">
        <f>IF('Wk 7-12 Input'!F10="W",1,0)+IF('Wk 7-12 Input'!F25="W",1,0)+IF('Wk 7-12 Input'!F40="W",1,0)+IF('Wk 7-12 Input'!F55="W",1,0)+IF('Wk 7-12 Input'!F70="W",1,0)+IF('Wk 7-12 Input'!F85="W",1,0)</f>
        <v>0</v>
      </c>
      <c r="T6">
        <f>R6+0.0005</f>
        <v>5.0000000000000001E-4</v>
      </c>
      <c r="U6" t="str">
        <f>'Wk 13-18 Input'!F10</f>
        <v>-</v>
      </c>
      <c r="V6" t="str">
        <f>'Wk 13-18 Input'!F25</f>
        <v>-</v>
      </c>
      <c r="W6" t="str">
        <f>'Wk 13-18 Input'!F40</f>
        <v>-</v>
      </c>
      <c r="X6" t="str">
        <f>'Wk 13-18 Input'!F55</f>
        <v>-</v>
      </c>
      <c r="Y6" t="str">
        <f>'Wk 13-18 Input'!F70</f>
        <v>-</v>
      </c>
      <c r="Z6" t="str">
        <f>'Wk 13-18 Input'!F85</f>
        <v>-</v>
      </c>
      <c r="AA6">
        <f>'Wk 13-18 Input'!G10+'Wk 13-18 Input'!G25+'Wk 13-18 Input'!G40+'Wk 13-18 Input'!G55+'Wk 13-18 Input'!G70+'Wk 13-18 Input'!G85</f>
        <v>0</v>
      </c>
      <c r="AB6">
        <f>'Wk 13-18 Input'!H10+'Wk 13-18 Input'!H25+'Wk 13-18 Input'!H40+'Wk 13-18 Input'!H55+'Wk 13-18 Input'!H70+'Wk 13-18 Input'!H85</f>
        <v>0</v>
      </c>
      <c r="AC6">
        <f>'Wk 13-18 Input'!I10+'Wk 13-18 Input'!I25+'Wk 13-18 Input'!I40+'Wk 13-18 Input'!I55+'Wk 13-18 Input'!I70+'Wk 13-18 Input'!I85</f>
        <v>0</v>
      </c>
      <c r="AD6">
        <f>AA6+0.0005</f>
        <v>5.0000000000000001E-4</v>
      </c>
      <c r="AE6">
        <f t="shared" si="2"/>
        <v>4</v>
      </c>
      <c r="AF6">
        <f>AE6+0.0005</f>
        <v>4.0004999999999997</v>
      </c>
    </row>
    <row r="7" spans="1:32" ht="15" customHeight="1" x14ac:dyDescent="0.25">
      <c r="A7">
        <v>6</v>
      </c>
      <c r="B7" t="str">
        <f>Roster!B8</f>
        <v>Alan Loeser</v>
      </c>
      <c r="C7">
        <f>'Wk 1-6 Input'!I11</f>
        <v>0</v>
      </c>
      <c r="D7">
        <f>'Wk 1-6 Input'!I26</f>
        <v>0</v>
      </c>
      <c r="E7">
        <f>'Wk 1-6 Input'!I41</f>
        <v>0</v>
      </c>
      <c r="F7">
        <f>'Wk 1-6 Input'!I56</f>
        <v>0</v>
      </c>
      <c r="G7">
        <f>'Wk 1-6 Input'!I71</f>
        <v>0</v>
      </c>
      <c r="H7">
        <f>'Wk 1-6 Input'!I86</f>
        <v>0</v>
      </c>
      <c r="I7">
        <f t="shared" si="0"/>
        <v>0</v>
      </c>
      <c r="J7">
        <f>IF('Wk 1-6 Input'!F11="W",1,0)+IF('Wk 1-6 Input'!F26="W",1,0)+IF('Wk 1-6 Input'!F41="W",1,0)+IF('Wk 1-6 Input'!F56="W",1,0)+IF('Wk 1-6 Input'!F71="W",1,0)+IF('Wk 1-6 Input'!F86="W",1,0)</f>
        <v>0</v>
      </c>
      <c r="K7">
        <f>I7+0.0006</f>
        <v>5.9999999999999995E-4</v>
      </c>
      <c r="L7">
        <f>'Wk 7-12 Input'!I11</f>
        <v>0</v>
      </c>
      <c r="M7">
        <f>'Wk 7-12 Input'!I26</f>
        <v>0</v>
      </c>
      <c r="N7">
        <f>'Wk 7-12 Input'!I41</f>
        <v>0</v>
      </c>
      <c r="O7">
        <f>'Wk 7-12 Input'!I56</f>
        <v>0</v>
      </c>
      <c r="P7">
        <f>'Wk 7-12 Input'!I71</f>
        <v>0</v>
      </c>
      <c r="Q7">
        <f>'Wk 7-12 Input'!I86</f>
        <v>0</v>
      </c>
      <c r="R7">
        <f t="shared" si="1"/>
        <v>0</v>
      </c>
      <c r="S7">
        <f>IF('Wk 7-12 Input'!F11="W",1,0)+IF('Wk 7-12 Input'!F26="W",1,0)+IF('Wk 7-12 Input'!F41="W",1,0)+IF('Wk 7-12 Input'!F56="W",1,0)+IF('Wk 7-12 Input'!F71="W",1,0)+IF('Wk 7-12 Input'!F86="W",1,0)</f>
        <v>0</v>
      </c>
      <c r="T7">
        <f>R7+0.0006</f>
        <v>5.9999999999999995E-4</v>
      </c>
      <c r="U7" t="str">
        <f>'Wk 13-18 Input'!F11</f>
        <v>-</v>
      </c>
      <c r="V7" t="str">
        <f>'Wk 13-18 Input'!F26</f>
        <v>-</v>
      </c>
      <c r="W7" t="str">
        <f>'Wk 13-18 Input'!F41</f>
        <v>-</v>
      </c>
      <c r="X7" t="str">
        <f>'Wk 13-18 Input'!F56</f>
        <v>-</v>
      </c>
      <c r="Y7" t="str">
        <f>'Wk 13-18 Input'!F71</f>
        <v>-</v>
      </c>
      <c r="Z7" t="str">
        <f>'Wk 13-18 Input'!F86</f>
        <v>-</v>
      </c>
      <c r="AA7">
        <f>'Wk 13-18 Input'!G11+'Wk 13-18 Input'!G26+'Wk 13-18 Input'!G41+'Wk 13-18 Input'!G56+'Wk 13-18 Input'!G71+'Wk 13-18 Input'!G86</f>
        <v>0</v>
      </c>
      <c r="AB7">
        <f>'Wk 13-18 Input'!H11+'Wk 13-18 Input'!H26+'Wk 13-18 Input'!H41+'Wk 13-18 Input'!H56+'Wk 13-18 Input'!H71+'Wk 13-18 Input'!H86</f>
        <v>0</v>
      </c>
      <c r="AC7">
        <f>'Wk 13-18 Input'!I11+'Wk 13-18 Input'!I26+'Wk 13-18 Input'!I41+'Wk 13-18 Input'!I56+'Wk 13-18 Input'!I71+'Wk 13-18 Input'!I86</f>
        <v>0</v>
      </c>
      <c r="AD7">
        <f>AA7+0.0006</f>
        <v>5.9999999999999995E-4</v>
      </c>
      <c r="AE7">
        <f t="shared" si="2"/>
        <v>0</v>
      </c>
      <c r="AF7">
        <f>AE7+0.0006</f>
        <v>5.9999999999999995E-4</v>
      </c>
    </row>
    <row r="8" spans="1:32" ht="15" customHeight="1" x14ac:dyDescent="0.25">
      <c r="A8">
        <v>7</v>
      </c>
      <c r="B8" t="str">
        <f>Roster!B9</f>
        <v>Caleb Simmons</v>
      </c>
      <c r="C8">
        <f>'Wk 1-6 Input'!I12</f>
        <v>0</v>
      </c>
      <c r="D8">
        <f>'Wk 1-6 Input'!I27</f>
        <v>0</v>
      </c>
      <c r="E8">
        <f>'Wk 1-6 Input'!I42</f>
        <v>0</v>
      </c>
      <c r="F8">
        <f>'Wk 1-6 Input'!I57</f>
        <v>0</v>
      </c>
      <c r="G8">
        <f>'Wk 1-6 Input'!I72</f>
        <v>0</v>
      </c>
      <c r="H8">
        <f>'Wk 1-6 Input'!I87</f>
        <v>0</v>
      </c>
      <c r="I8">
        <f t="shared" si="0"/>
        <v>0</v>
      </c>
      <c r="J8">
        <f>IF('Wk 1-6 Input'!F12="W",1,0)+IF('Wk 1-6 Input'!F27="W",1,0)+IF('Wk 1-6 Input'!F42="W",1,0)+IF('Wk 1-6 Input'!F57="W",1,0)+IF('Wk 1-6 Input'!F72="W",1,0)+IF('Wk 1-6 Input'!F87="W",1,0)</f>
        <v>0</v>
      </c>
      <c r="K8">
        <f>I8+0.0007</f>
        <v>6.9999999999999999E-4</v>
      </c>
      <c r="L8">
        <f>'Wk 7-12 Input'!I12</f>
        <v>0</v>
      </c>
      <c r="M8">
        <f>'Wk 7-12 Input'!I27</f>
        <v>0</v>
      </c>
      <c r="N8">
        <f>'Wk 7-12 Input'!I42</f>
        <v>0</v>
      </c>
      <c r="O8">
        <f>'Wk 7-12 Input'!I57</f>
        <v>0</v>
      </c>
      <c r="P8">
        <f>'Wk 7-12 Input'!I72</f>
        <v>0</v>
      </c>
      <c r="Q8">
        <f>'Wk 7-12 Input'!I87</f>
        <v>0</v>
      </c>
      <c r="R8">
        <f t="shared" si="1"/>
        <v>0</v>
      </c>
      <c r="S8">
        <f>IF('Wk 7-12 Input'!F12="W",1,0)+IF('Wk 7-12 Input'!F27="W",1,0)+IF('Wk 7-12 Input'!F42="W",1,0)+IF('Wk 7-12 Input'!F57="W",1,0)+IF('Wk 7-12 Input'!F72="W",1,0)+IF('Wk 7-12 Input'!F87="W",1,0)</f>
        <v>0</v>
      </c>
      <c r="T8">
        <f>R8+0.0007</f>
        <v>6.9999999999999999E-4</v>
      </c>
      <c r="U8" t="str">
        <f>'Wk 13-18 Input'!F12</f>
        <v>-</v>
      </c>
      <c r="V8" t="str">
        <f>'Wk 13-18 Input'!F27</f>
        <v>-</v>
      </c>
      <c r="W8" t="str">
        <f>'Wk 13-18 Input'!F42</f>
        <v>-</v>
      </c>
      <c r="X8" t="str">
        <f>'Wk 13-18 Input'!F57</f>
        <v>-</v>
      </c>
      <c r="Y8" t="str">
        <f>'Wk 13-18 Input'!F72</f>
        <v>-</v>
      </c>
      <c r="Z8" t="str">
        <f>'Wk 13-18 Input'!F87</f>
        <v>-</v>
      </c>
      <c r="AA8">
        <f>'Wk 13-18 Input'!G12+'Wk 13-18 Input'!G27+'Wk 13-18 Input'!G42+'Wk 13-18 Input'!G57+'Wk 13-18 Input'!G72+'Wk 13-18 Input'!G87</f>
        <v>0</v>
      </c>
      <c r="AB8">
        <f>'Wk 13-18 Input'!H12+'Wk 13-18 Input'!H27+'Wk 13-18 Input'!H42+'Wk 13-18 Input'!H57+'Wk 13-18 Input'!H72+'Wk 13-18 Input'!H87</f>
        <v>0</v>
      </c>
      <c r="AC8">
        <f>'Wk 13-18 Input'!I12+'Wk 13-18 Input'!I27+'Wk 13-18 Input'!I42+'Wk 13-18 Input'!I57+'Wk 13-18 Input'!I72+'Wk 13-18 Input'!I87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Larry Loeser</v>
      </c>
      <c r="C9">
        <f>'Wk 1-6 Input'!I13</f>
        <v>0</v>
      </c>
      <c r="D9">
        <f>'Wk 1-6 Input'!I28</f>
        <v>0</v>
      </c>
      <c r="E9">
        <f>'Wk 1-6 Input'!I43</f>
        <v>0</v>
      </c>
      <c r="F9">
        <f>'Wk 1-6 Input'!I58</f>
        <v>0</v>
      </c>
      <c r="G9">
        <f>'Wk 1-6 Input'!I73</f>
        <v>0</v>
      </c>
      <c r="H9">
        <f>'Wk 1-6 Input'!I88</f>
        <v>0</v>
      </c>
      <c r="I9">
        <f t="shared" si="0"/>
        <v>0</v>
      </c>
      <c r="J9">
        <f>IF('Wk 1-6 Input'!F13="W",1,0)+IF('Wk 1-6 Input'!F28="W",1,0)+IF('Wk 1-6 Input'!F43="W",1,0)+IF('Wk 1-6 Input'!F58="W",1,0)+IF('Wk 1-6 Input'!F73="W",1,0)+IF('Wk 1-6 Input'!F88="W",1,0)</f>
        <v>0</v>
      </c>
      <c r="K9">
        <f>I9+0.0008</f>
        <v>8.0000000000000004E-4</v>
      </c>
      <c r="L9">
        <f>'Wk 7-12 Input'!I13</f>
        <v>0</v>
      </c>
      <c r="M9">
        <f>'Wk 7-12 Input'!I28</f>
        <v>0</v>
      </c>
      <c r="N9">
        <f>'Wk 7-12 Input'!I43</f>
        <v>0</v>
      </c>
      <c r="O9">
        <f>'Wk 7-12 Input'!I58</f>
        <v>0</v>
      </c>
      <c r="P9">
        <f>'Wk 7-12 Input'!I73</f>
        <v>0</v>
      </c>
      <c r="Q9">
        <f>'Wk 7-12 Input'!I88</f>
        <v>0</v>
      </c>
      <c r="R9">
        <f t="shared" si="1"/>
        <v>0</v>
      </c>
      <c r="S9">
        <f>IF('Wk 7-12 Input'!F13="W",1,0)+IF('Wk 7-12 Input'!F28="W",1,0)+IF('Wk 7-12 Input'!F43="W",1,0)+IF('Wk 7-12 Input'!F58="W",1,0)+IF('Wk 7-12 Input'!F73="W",1,0)+IF('Wk 7-12 Input'!F88="W",1,0)</f>
        <v>0</v>
      </c>
      <c r="T9">
        <f>R9+0.0008</f>
        <v>8.0000000000000004E-4</v>
      </c>
      <c r="U9" t="str">
        <f>'Wk 13-18 Input'!F13</f>
        <v>-</v>
      </c>
      <c r="V9" t="str">
        <f>'Wk 13-18 Input'!F28</f>
        <v>-</v>
      </c>
      <c r="W9" t="str">
        <f>'Wk 13-18 Input'!F43</f>
        <v>-</v>
      </c>
      <c r="X9" t="str">
        <f>'Wk 13-18 Input'!F58</f>
        <v>-</v>
      </c>
      <c r="Y9" t="str">
        <f>'Wk 13-18 Input'!F73</f>
        <v>-</v>
      </c>
      <c r="Z9" t="str">
        <f>'Wk 13-18 Input'!F88</f>
        <v>-</v>
      </c>
      <c r="AA9">
        <f>'Wk 13-18 Input'!G13+'Wk 13-18 Input'!G28+'Wk 13-18 Input'!G43+'Wk 13-18 Input'!G58+'Wk 13-18 Input'!G73+'Wk 13-18 Input'!G88</f>
        <v>0</v>
      </c>
      <c r="AB9">
        <f>'Wk 13-18 Input'!H13+'Wk 13-18 Input'!H28+'Wk 13-18 Input'!H43+'Wk 13-18 Input'!H58+'Wk 13-18 Input'!H73+'Wk 13-18 Input'!H88</f>
        <v>0</v>
      </c>
      <c r="AC9">
        <f>'Wk 13-18 Input'!I13+'Wk 13-18 Input'!I28+'Wk 13-18 Input'!I43+'Wk 13-18 Input'!I58+'Wk 13-18 Input'!I73+'Wk 13-18 Input'!I88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Daddy Michael</v>
      </c>
      <c r="C10">
        <f>'Wk 1-6 Input'!I14</f>
        <v>7</v>
      </c>
      <c r="D10">
        <f>'Wk 1-6 Input'!I29</f>
        <v>0</v>
      </c>
      <c r="E10">
        <f>'Wk 1-6 Input'!I44</f>
        <v>0</v>
      </c>
      <c r="F10">
        <f>'Wk 1-6 Input'!I59</f>
        <v>0</v>
      </c>
      <c r="G10">
        <f>'Wk 1-6 Input'!I74</f>
        <v>0</v>
      </c>
      <c r="H10">
        <f>'Wk 1-6 Input'!I89</f>
        <v>0</v>
      </c>
      <c r="I10">
        <f t="shared" si="0"/>
        <v>7</v>
      </c>
      <c r="J10">
        <f>IF('Wk 1-6 Input'!F14="W",1,0)+IF('Wk 1-6 Input'!F29="W",1,0)+IF('Wk 1-6 Input'!F44="W",1,0)+IF('Wk 1-6 Input'!F59="W",1,0)+IF('Wk 1-6 Input'!F74="W",1,0)+IF('Wk 1-6 Input'!F89="W",1,0)</f>
        <v>1</v>
      </c>
      <c r="K10">
        <f>I10+0.0009</f>
        <v>7.0008999999999997</v>
      </c>
      <c r="L10">
        <f>'Wk 7-12 Input'!I14</f>
        <v>0</v>
      </c>
      <c r="M10">
        <f>'Wk 7-12 Input'!I29</f>
        <v>0</v>
      </c>
      <c r="N10">
        <f>'Wk 7-12 Input'!I44</f>
        <v>0</v>
      </c>
      <c r="O10">
        <f>'Wk 7-12 Input'!I59</f>
        <v>0</v>
      </c>
      <c r="P10">
        <f>'Wk 7-12 Input'!I74</f>
        <v>0</v>
      </c>
      <c r="Q10">
        <f>'Wk 7-12 Input'!I89</f>
        <v>0</v>
      </c>
      <c r="R10">
        <f t="shared" si="1"/>
        <v>0</v>
      </c>
      <c r="S10">
        <f>IF('Wk 7-12 Input'!F14="W",1,0)+IF('Wk 7-12 Input'!F29="W",1,0)+IF('Wk 7-12 Input'!F44="W",1,0)+IF('Wk 7-12 Input'!F59="W",1,0)+IF('Wk 7-12 Input'!F74="W",1,0)+IF('Wk 7-12 Input'!F89="W",1,0)</f>
        <v>0</v>
      </c>
      <c r="T10">
        <f>R10+0.0009</f>
        <v>8.9999999999999998E-4</v>
      </c>
      <c r="U10" t="str">
        <f>'Wk 13-18 Input'!F14</f>
        <v>-</v>
      </c>
      <c r="V10" t="str">
        <f>'Wk 13-18 Input'!F29</f>
        <v>-</v>
      </c>
      <c r="W10" t="str">
        <f>'Wk 13-18 Input'!F44</f>
        <v>-</v>
      </c>
      <c r="X10" t="str">
        <f>'Wk 13-18 Input'!F59</f>
        <v>-</v>
      </c>
      <c r="Y10" t="str">
        <f>'Wk 13-18 Input'!F74</f>
        <v>-</v>
      </c>
      <c r="Z10" t="str">
        <f>'Wk 13-18 Input'!F89</f>
        <v>-</v>
      </c>
      <c r="AA10">
        <f>'Wk 13-18 Input'!G14+'Wk 13-18 Input'!G29+'Wk 13-18 Input'!G44+'Wk 13-18 Input'!G59+'Wk 13-18 Input'!G74+'Wk 13-18 Input'!G89</f>
        <v>0</v>
      </c>
      <c r="AB10">
        <f>'Wk 13-18 Input'!H14+'Wk 13-18 Input'!H29+'Wk 13-18 Input'!H44+'Wk 13-18 Input'!H59+'Wk 13-18 Input'!H74+'Wk 13-18 Input'!H89</f>
        <v>0</v>
      </c>
      <c r="AC10">
        <f>'Wk 13-18 Input'!I14+'Wk 13-18 Input'!I29+'Wk 13-18 Input'!I44+'Wk 13-18 Input'!I59+'Wk 13-18 Input'!I74+'Wk 13-18 Input'!I89</f>
        <v>0</v>
      </c>
      <c r="AD10">
        <f>AA10+0.0009</f>
        <v>8.9999999999999998E-4</v>
      </c>
      <c r="AE10">
        <f t="shared" si="2"/>
        <v>7</v>
      </c>
      <c r="AF10">
        <f>AE10+0.0009</f>
        <v>7.0008999999999997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'Wk 1-6 Input'!I15</f>
        <v>7</v>
      </c>
      <c r="D11">
        <f>'Wk 1-6 Input'!I30</f>
        <v>0</v>
      </c>
      <c r="E11">
        <f>'Wk 1-6 Input'!I45</f>
        <v>0</v>
      </c>
      <c r="F11">
        <f>'Wk 1-6 Input'!I60</f>
        <v>0</v>
      </c>
      <c r="G11">
        <f>'Wk 1-6 Input'!I75</f>
        <v>0</v>
      </c>
      <c r="H11">
        <f>'Wk 1-6 Input'!I90</f>
        <v>0</v>
      </c>
      <c r="I11">
        <f t="shared" si="0"/>
        <v>7</v>
      </c>
      <c r="J11">
        <f>IF('Wk 1-6 Input'!F15="W",1,0)+IF('Wk 1-6 Input'!F30="W",1,0)+IF('Wk 1-6 Input'!F45="W",1,0)+IF('Wk 1-6 Input'!F60="W",1,0)+IF('Wk 1-6 Input'!F75="W",1,0)+IF('Wk 1-6 Input'!F90="W",1,0)</f>
        <v>1</v>
      </c>
      <c r="K11">
        <f>I11+0.001</f>
        <v>7.0010000000000003</v>
      </c>
      <c r="L11">
        <f>'Wk 7-12 Input'!I15</f>
        <v>0</v>
      </c>
      <c r="M11">
        <f>'Wk 7-12 Input'!I30</f>
        <v>0</v>
      </c>
      <c r="N11">
        <f>'Wk 7-12 Input'!I45</f>
        <v>0</v>
      </c>
      <c r="O11">
        <f>'Wk 7-12 Input'!I60</f>
        <v>0</v>
      </c>
      <c r="P11">
        <f>'Wk 7-12 Input'!I75</f>
        <v>0</v>
      </c>
      <c r="Q11">
        <f>'Wk 7-12 Input'!I90</f>
        <v>0</v>
      </c>
      <c r="R11">
        <f t="shared" si="1"/>
        <v>0</v>
      </c>
      <c r="S11">
        <f>IF('Wk 7-12 Input'!F15="W",1,0)+IF('Wk 7-12 Input'!F30="W",1,0)+IF('Wk 7-12 Input'!F45="W",1,0)+IF('Wk 7-12 Input'!F60="W",1,0)+IF('Wk 7-12 Input'!F75="W",1,0)+IF('Wk 7-12 Input'!F90="W",1,0)</f>
        <v>0</v>
      </c>
      <c r="T11">
        <f>R11+0.001</f>
        <v>1E-3</v>
      </c>
      <c r="U11" t="str">
        <f>'Wk 13-18 Input'!F15</f>
        <v>-</v>
      </c>
      <c r="V11" t="str">
        <f>'Wk 13-18 Input'!F30</f>
        <v>-</v>
      </c>
      <c r="W11" t="str">
        <f>'Wk 13-18 Input'!F45</f>
        <v>-</v>
      </c>
      <c r="X11" t="str">
        <f>'Wk 13-18 Input'!F60</f>
        <v>-</v>
      </c>
      <c r="Y11" t="str">
        <f>'Wk 13-18 Input'!F75</f>
        <v>-</v>
      </c>
      <c r="Z11" t="str">
        <f>'Wk 13-18 Input'!F90</f>
        <v>-</v>
      </c>
      <c r="AA11">
        <f>'Wk 13-18 Input'!G15+'Wk 13-18 Input'!G30+'Wk 13-18 Input'!G45+'Wk 13-18 Input'!G60+'Wk 13-18 Input'!G75+'Wk 13-18 Input'!G90</f>
        <v>0</v>
      </c>
      <c r="AB11">
        <f>'Wk 13-18 Input'!H15+'Wk 13-18 Input'!H30+'Wk 13-18 Input'!H45+'Wk 13-18 Input'!H60+'Wk 13-18 Input'!H75+'Wk 13-18 Input'!H90</f>
        <v>0</v>
      </c>
      <c r="AC11">
        <f>'Wk 13-18 Input'!I15+'Wk 13-18 Input'!I30+'Wk 13-18 Input'!I45+'Wk 13-18 Input'!I60+'Wk 13-18 Input'!I75+'Wk 13-18 Input'!I90</f>
        <v>0</v>
      </c>
      <c r="AD11">
        <f>AA11+0.001</f>
        <v>1E-3</v>
      </c>
      <c r="AE11">
        <f t="shared" si="2"/>
        <v>7</v>
      </c>
      <c r="AF11">
        <f>AE11+0.001</f>
        <v>7.0010000000000003</v>
      </c>
    </row>
    <row r="12" spans="1:32" ht="15" customHeight="1" x14ac:dyDescent="0.25">
      <c r="A12">
        <v>11</v>
      </c>
      <c r="B12" t="str">
        <f>Roster!B13</f>
        <v>Jeffrey Loeser</v>
      </c>
      <c r="C12">
        <f>'Wk 1-6 Input'!I16</f>
        <v>0</v>
      </c>
      <c r="D12">
        <f>'Wk 1-6 Input'!I31</f>
        <v>0</v>
      </c>
      <c r="E12">
        <f>'Wk 1-6 Input'!I46</f>
        <v>0</v>
      </c>
      <c r="F12">
        <f>'Wk 1-6 Input'!I61</f>
        <v>0</v>
      </c>
      <c r="G12">
        <f>'Wk 1-6 Input'!I76</f>
        <v>0</v>
      </c>
      <c r="H12">
        <f>'Wk 1-6 Input'!I91</f>
        <v>0</v>
      </c>
      <c r="I12">
        <f t="shared" si="0"/>
        <v>0</v>
      </c>
      <c r="J12">
        <f>IF('Wk 1-6 Input'!F16="W",1,0)+IF('Wk 1-6 Input'!F31="W",1,0)+IF('Wk 1-6 Input'!F46="W",1,0)+IF('Wk 1-6 Input'!F61="W",1,0)+IF('Wk 1-6 Input'!F76="W",1,0)+IF('Wk 1-6 Input'!F91="W",1,0)</f>
        <v>0</v>
      </c>
      <c r="K12">
        <f>I12+0.0011</f>
        <v>1.1000000000000001E-3</v>
      </c>
      <c r="L12">
        <f>'Wk 7-12 Input'!I16</f>
        <v>0</v>
      </c>
      <c r="M12">
        <f>'Wk 7-12 Input'!I31</f>
        <v>0</v>
      </c>
      <c r="N12">
        <f>'Wk 7-12 Input'!I46</f>
        <v>0</v>
      </c>
      <c r="O12">
        <f>'Wk 7-12 Input'!I61</f>
        <v>0</v>
      </c>
      <c r="P12">
        <f>'Wk 7-12 Input'!I76</f>
        <v>0</v>
      </c>
      <c r="Q12">
        <f>'Wk 7-12 Input'!I91</f>
        <v>0</v>
      </c>
      <c r="R12">
        <f t="shared" si="1"/>
        <v>0</v>
      </c>
      <c r="S12">
        <f>IF('Wk 7-12 Input'!F16="W",1,0)+IF('Wk 7-12 Input'!F31="W",1,0)+IF('Wk 7-12 Input'!F46="W",1,0)+IF('Wk 7-12 Input'!F61="W",1,0)+IF('Wk 7-12 Input'!F76="W",1,0)+IF('Wk 7-12 Input'!F91="W",1,0)</f>
        <v>0</v>
      </c>
      <c r="T12">
        <f>R12+0.0011</f>
        <v>1.1000000000000001E-3</v>
      </c>
      <c r="U12" t="str">
        <f>'Wk 13-18 Input'!F16</f>
        <v>-</v>
      </c>
      <c r="V12" t="str">
        <f>'Wk 13-18 Input'!F31</f>
        <v>-</v>
      </c>
      <c r="W12" t="str">
        <f>'Wk 13-18 Input'!F46</f>
        <v>-</v>
      </c>
      <c r="X12" t="str">
        <f>'Wk 13-18 Input'!F61</f>
        <v>-</v>
      </c>
      <c r="Y12" t="str">
        <f>'Wk 13-18 Input'!F76</f>
        <v>-</v>
      </c>
      <c r="Z12" t="str">
        <f>'Wk 13-18 Input'!F91</f>
        <v>-</v>
      </c>
      <c r="AA12">
        <f>'Wk 13-18 Input'!G16+'Wk 13-18 Input'!G31+'Wk 13-18 Input'!G46+'Wk 13-18 Input'!G61+'Wk 13-18 Input'!G76+'Wk 13-18 Input'!G91</f>
        <v>0</v>
      </c>
      <c r="AB12">
        <f>'Wk 13-18 Input'!H16+'Wk 13-18 Input'!H31+'Wk 13-18 Input'!H46+'Wk 13-18 Input'!H61+'Wk 13-18 Input'!H76+'Wk 13-18 Input'!H91</f>
        <v>0</v>
      </c>
      <c r="AC12">
        <f>'Wk 13-18 Input'!I16+'Wk 13-18 Input'!I31+'Wk 13-18 Input'!I46+'Wk 13-18 Input'!I61+'Wk 13-18 Input'!I76+'Wk 13-18 Input'!I91</f>
        <v>0</v>
      </c>
      <c r="AD12">
        <f>AA12+0.0011</f>
        <v>1.1000000000000001E-3</v>
      </c>
      <c r="AE12">
        <f t="shared" si="2"/>
        <v>0</v>
      </c>
      <c r="AF12">
        <f>AE12+0.0011</f>
        <v>1.1000000000000001E-3</v>
      </c>
    </row>
    <row r="13" spans="1:32" ht="15" customHeight="1" x14ac:dyDescent="0.25">
      <c r="A13">
        <v>12</v>
      </c>
      <c r="B13" t="str">
        <f>Roster!B14</f>
        <v>Jake Andrews</v>
      </c>
      <c r="C13">
        <f>'Wk 1-6 Input'!I17</f>
        <v>7</v>
      </c>
      <c r="D13">
        <f>'Wk 1-6 Input'!I32</f>
        <v>0</v>
      </c>
      <c r="E13">
        <f>'Wk 1-6 Input'!I47</f>
        <v>0</v>
      </c>
      <c r="F13">
        <f>'Wk 1-6 Input'!I62</f>
        <v>0</v>
      </c>
      <c r="G13">
        <f>'Wk 1-6 Input'!I77</f>
        <v>0</v>
      </c>
      <c r="H13">
        <f>'Wk 1-6 Input'!I92</f>
        <v>0</v>
      </c>
      <c r="I13">
        <f t="shared" si="0"/>
        <v>7</v>
      </c>
      <c r="J13">
        <f>IF('Wk 1-6 Input'!F17="W",1,0)+IF('Wk 1-6 Input'!F32="W",1,0)+IF('Wk 1-6 Input'!F47="W",1,0)+IF('Wk 1-6 Input'!F62="W",1,0)+IF('Wk 1-6 Input'!F77="W",1,0)+IF('Wk 1-6 Input'!F92="W",1,0)</f>
        <v>1</v>
      </c>
      <c r="K13">
        <f>I13+0.0012</f>
        <v>7.0011999999999999</v>
      </c>
      <c r="L13">
        <f>'Wk 7-12 Input'!I17</f>
        <v>0</v>
      </c>
      <c r="M13">
        <f>'Wk 7-12 Input'!I32</f>
        <v>0</v>
      </c>
      <c r="N13">
        <f>'Wk 7-12 Input'!I47</f>
        <v>0</v>
      </c>
      <c r="O13">
        <f>'Wk 7-12 Input'!I62</f>
        <v>0</v>
      </c>
      <c r="P13">
        <f>'Wk 7-12 Input'!I77</f>
        <v>0</v>
      </c>
      <c r="Q13">
        <f>'Wk 7-12 Input'!I92</f>
        <v>0</v>
      </c>
      <c r="R13">
        <f t="shared" si="1"/>
        <v>0</v>
      </c>
      <c r="S13">
        <f>IF('Wk 7-12 Input'!F17="W",1,0)+IF('Wk 7-12 Input'!F32="W",1,0)+IF('Wk 7-12 Input'!F47="W",1,0)+IF('Wk 7-12 Input'!F62="W",1,0)+IF('Wk 7-12 Input'!F77="W",1,0)+IF('Wk 7-12 Input'!F92="W",1,0)</f>
        <v>0</v>
      </c>
      <c r="T13">
        <f>R13+0.0012</f>
        <v>1.1999999999999999E-3</v>
      </c>
      <c r="U13" t="str">
        <f>'Wk 13-18 Input'!F17</f>
        <v>-</v>
      </c>
      <c r="V13" t="str">
        <f>'Wk 13-18 Input'!F32</f>
        <v>-</v>
      </c>
      <c r="W13" t="str">
        <f>'Wk 13-18 Input'!F47</f>
        <v>-</v>
      </c>
      <c r="X13" t="str">
        <f>'Wk 13-18 Input'!F62</f>
        <v>-</v>
      </c>
      <c r="Y13" t="str">
        <f>'Wk 13-18 Input'!F77</f>
        <v>-</v>
      </c>
      <c r="Z13" t="str">
        <f>'Wk 13-18 Input'!F92</f>
        <v>-</v>
      </c>
      <c r="AA13">
        <f>'Wk 13-18 Input'!G17+'Wk 13-18 Input'!G32+'Wk 13-18 Input'!G47+'Wk 13-18 Input'!G62+'Wk 13-18 Input'!G77+'Wk 13-18 Input'!G92</f>
        <v>0</v>
      </c>
      <c r="AB13">
        <f>'Wk 13-18 Input'!H17+'Wk 13-18 Input'!H32+'Wk 13-18 Input'!H47+'Wk 13-18 Input'!H62+'Wk 13-18 Input'!H77+'Wk 13-18 Input'!H92</f>
        <v>0</v>
      </c>
      <c r="AC13">
        <f>'Wk 13-18 Input'!I17+'Wk 13-18 Input'!I32+'Wk 13-18 Input'!I47+'Wk 13-18 Input'!I62+'Wk 13-18 Input'!I77+'Wk 13-18 Input'!I92</f>
        <v>0</v>
      </c>
      <c r="AD13">
        <f>AA13+0.0012</f>
        <v>1.1999999999999999E-3</v>
      </c>
      <c r="AE13">
        <f t="shared" si="2"/>
        <v>7</v>
      </c>
      <c r="AF13">
        <f>AE13+0.0012</f>
        <v>7.0011999999999999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2026-09-10T14:18:56Z</dcterms:modified>
  <dc:language>en-US</dc:language>
</cp:coreProperties>
</file>