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828" documentId="11_C5FB6D5EBB7DB41C9C4944A345A03722CFCA9995" xr6:coauthVersionLast="47" xr6:coauthVersionMax="47" xr10:uidLastSave="{437E1029-514C-4272-963F-E650A4A70D8A}"/>
  <bookViews>
    <workbookView xWindow="28680" yWindow="-120" windowWidth="29040" windowHeight="16440" tabRatio="857" activeTab="2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4" l="1"/>
  <c r="AC13" i="13"/>
  <c r="AB13" i="13"/>
  <c r="AA13" i="13"/>
  <c r="Z13" i="13"/>
  <c r="H51" i="8" s="1"/>
  <c r="Y13" i="13"/>
  <c r="G51" i="8" s="1"/>
  <c r="X13" i="13"/>
  <c r="F51" i="8" s="1"/>
  <c r="W13" i="13"/>
  <c r="E51" i="8" s="1"/>
  <c r="V13" i="13"/>
  <c r="D51" i="8" s="1"/>
  <c r="U13" i="13"/>
  <c r="C51" i="8" s="1"/>
  <c r="Q13" i="13"/>
  <c r="H29" i="8" s="1"/>
  <c r="P13" i="13"/>
  <c r="G29" i="8" s="1"/>
  <c r="O13" i="13"/>
  <c r="F29" i="8" s="1"/>
  <c r="N13" i="13"/>
  <c r="M13" i="13"/>
  <c r="D29" i="8" s="1"/>
  <c r="L13" i="13"/>
  <c r="C29" i="8" s="1"/>
  <c r="H13" i="13"/>
  <c r="H14" i="8" s="1"/>
  <c r="B13" i="13"/>
  <c r="AC12" i="13"/>
  <c r="K50" i="8" s="1"/>
  <c r="AB12" i="13"/>
  <c r="J50" i="8" s="1"/>
  <c r="AA12" i="13"/>
  <c r="AD12" i="13" s="1"/>
  <c r="Z12" i="13"/>
  <c r="H50" i="8" s="1"/>
  <c r="Y12" i="13"/>
  <c r="X12" i="13"/>
  <c r="F50" i="8" s="1"/>
  <c r="W12" i="13"/>
  <c r="E50" i="8" s="1"/>
  <c r="V12" i="13"/>
  <c r="D50" i="8" s="1"/>
  <c r="U12" i="13"/>
  <c r="C50" i="8" s="1"/>
  <c r="Q12" i="13"/>
  <c r="H28" i="8" s="1"/>
  <c r="P12" i="13"/>
  <c r="G28" i="8" s="1"/>
  <c r="O12" i="13"/>
  <c r="F28" i="8" s="1"/>
  <c r="N12" i="13"/>
  <c r="E28" i="8" s="1"/>
  <c r="M12" i="13"/>
  <c r="D28" i="8" s="1"/>
  <c r="L12" i="13"/>
  <c r="C28" i="8" s="1"/>
  <c r="H12" i="13"/>
  <c r="H13" i="8" s="1"/>
  <c r="B12" i="13"/>
  <c r="AC11" i="13"/>
  <c r="E66" i="8" s="1"/>
  <c r="AB11" i="13"/>
  <c r="AA11" i="13"/>
  <c r="AD11" i="13" s="1"/>
  <c r="Z11" i="13"/>
  <c r="H49" i="8" s="1"/>
  <c r="Y11" i="13"/>
  <c r="G49" i="8" s="1"/>
  <c r="X11" i="13"/>
  <c r="F49" i="8" s="1"/>
  <c r="W11" i="13"/>
  <c r="E49" i="8" s="1"/>
  <c r="V11" i="13"/>
  <c r="D49" i="8" s="1"/>
  <c r="U11" i="13"/>
  <c r="C49" i="8" s="1"/>
  <c r="Q11" i="13"/>
  <c r="H27" i="8" s="1"/>
  <c r="P11" i="13"/>
  <c r="O11" i="13"/>
  <c r="F27" i="8" s="1"/>
  <c r="N11" i="13"/>
  <c r="E27" i="8" s="1"/>
  <c r="M11" i="13"/>
  <c r="D27" i="8" s="1"/>
  <c r="L11" i="13"/>
  <c r="C27" i="8" s="1"/>
  <c r="H11" i="13"/>
  <c r="H12" i="8" s="1"/>
  <c r="B11" i="13"/>
  <c r="B49" i="8" s="1"/>
  <c r="AC10" i="13"/>
  <c r="AB10" i="13"/>
  <c r="AA10" i="13"/>
  <c r="AD10" i="13" s="1"/>
  <c r="Z10" i="13"/>
  <c r="Y10" i="13"/>
  <c r="X10" i="13"/>
  <c r="F48" i="8" s="1"/>
  <c r="W10" i="13"/>
  <c r="E48" i="8" s="1"/>
  <c r="V10" i="13"/>
  <c r="D48" i="8" s="1"/>
  <c r="U10" i="13"/>
  <c r="C48" i="8" s="1"/>
  <c r="Q10" i="13"/>
  <c r="H26" i="8" s="1"/>
  <c r="P10" i="13"/>
  <c r="G26" i="8" s="1"/>
  <c r="O10" i="13"/>
  <c r="F26" i="8" s="1"/>
  <c r="N10" i="13"/>
  <c r="E26" i="8" s="1"/>
  <c r="M10" i="13"/>
  <c r="D26" i="8" s="1"/>
  <c r="L10" i="13"/>
  <c r="H10" i="13"/>
  <c r="H11" i="8" s="1"/>
  <c r="B10" i="13"/>
  <c r="AC9" i="13"/>
  <c r="AB9" i="13"/>
  <c r="J44" i="8" s="1"/>
  <c r="AA9" i="13"/>
  <c r="I44" i="8" s="1"/>
  <c r="Z9" i="13"/>
  <c r="Y9" i="13"/>
  <c r="X9" i="13"/>
  <c r="W9" i="13"/>
  <c r="V9" i="13"/>
  <c r="U9" i="13"/>
  <c r="C44" i="8" s="1"/>
  <c r="Q9" i="13"/>
  <c r="P9" i="13"/>
  <c r="G25" i="8" s="1"/>
  <c r="O9" i="13"/>
  <c r="F25" i="8" s="1"/>
  <c r="N9" i="13"/>
  <c r="E25" i="8" s="1"/>
  <c r="M9" i="13"/>
  <c r="D25" i="8" s="1"/>
  <c r="L9" i="13"/>
  <c r="C25" i="8" s="1"/>
  <c r="H9" i="13"/>
  <c r="B9" i="13"/>
  <c r="AC8" i="13"/>
  <c r="K43" i="8" s="1"/>
  <c r="AB8" i="13"/>
  <c r="J43" i="8" s="1"/>
  <c r="AA8" i="13"/>
  <c r="I43" i="8" s="1"/>
  <c r="Z8" i="13"/>
  <c r="H43" i="8" s="1"/>
  <c r="Y8" i="13"/>
  <c r="G43" i="8" s="1"/>
  <c r="X8" i="13"/>
  <c r="F43" i="8" s="1"/>
  <c r="W8" i="13"/>
  <c r="E43" i="8" s="1"/>
  <c r="V8" i="13"/>
  <c r="U8" i="13"/>
  <c r="Q8" i="13"/>
  <c r="P8" i="13"/>
  <c r="G24" i="8" s="1"/>
  <c r="O8" i="13"/>
  <c r="F24" i="8" s="1"/>
  <c r="N8" i="13"/>
  <c r="M8" i="13"/>
  <c r="D24" i="8" s="1"/>
  <c r="L8" i="13"/>
  <c r="C24" i="8" s="1"/>
  <c r="H8" i="13"/>
  <c r="H9" i="8" s="1"/>
  <c r="B8" i="13"/>
  <c r="AC7" i="13"/>
  <c r="AB7" i="13"/>
  <c r="J42" i="8" s="1"/>
  <c r="AA7" i="13"/>
  <c r="AD7" i="13" s="1"/>
  <c r="Z7" i="13"/>
  <c r="H42" i="8" s="1"/>
  <c r="Y7" i="13"/>
  <c r="G42" i="8" s="1"/>
  <c r="X7" i="13"/>
  <c r="F42" i="8" s="1"/>
  <c r="W7" i="13"/>
  <c r="E42" i="8" s="1"/>
  <c r="V7" i="13"/>
  <c r="D42" i="8" s="1"/>
  <c r="U7" i="13"/>
  <c r="C42" i="8" s="1"/>
  <c r="Q7" i="13"/>
  <c r="H23" i="8" s="1"/>
  <c r="P7" i="13"/>
  <c r="G23" i="8" s="1"/>
  <c r="O7" i="13"/>
  <c r="F23" i="8" s="1"/>
  <c r="N7" i="13"/>
  <c r="E23" i="8" s="1"/>
  <c r="M7" i="13"/>
  <c r="L7" i="13"/>
  <c r="H7" i="13"/>
  <c r="H8" i="8" s="1"/>
  <c r="B7" i="13"/>
  <c r="AC6" i="13"/>
  <c r="E61" i="8" s="1"/>
  <c r="AB6" i="13"/>
  <c r="J41" i="8" s="1"/>
  <c r="AA6" i="13"/>
  <c r="I41" i="8" s="1"/>
  <c r="Z6" i="13"/>
  <c r="H41" i="8" s="1"/>
  <c r="Y6" i="13"/>
  <c r="G41" i="8" s="1"/>
  <c r="X6" i="13"/>
  <c r="W6" i="13"/>
  <c r="E41" i="8" s="1"/>
  <c r="V6" i="13"/>
  <c r="D41" i="8" s="1"/>
  <c r="U6" i="13"/>
  <c r="C41" i="8" s="1"/>
  <c r="Q6" i="13"/>
  <c r="H22" i="8" s="1"/>
  <c r="P6" i="13"/>
  <c r="G22" i="8" s="1"/>
  <c r="O6" i="13"/>
  <c r="F22" i="8" s="1"/>
  <c r="N6" i="13"/>
  <c r="E22" i="8" s="1"/>
  <c r="M6" i="13"/>
  <c r="D22" i="8" s="1"/>
  <c r="L6" i="13"/>
  <c r="C22" i="8" s="1"/>
  <c r="H6" i="13"/>
  <c r="H7" i="8" s="1"/>
  <c r="B6" i="13"/>
  <c r="AC5" i="13"/>
  <c r="K37" i="8" s="1"/>
  <c r="AB5" i="13"/>
  <c r="AA5" i="13"/>
  <c r="AD5" i="13" s="1"/>
  <c r="Z5" i="13"/>
  <c r="H37" i="8" s="1"/>
  <c r="Y5" i="13"/>
  <c r="G37" i="8" s="1"/>
  <c r="X5" i="13"/>
  <c r="F37" i="8" s="1"/>
  <c r="W5" i="13"/>
  <c r="E37" i="8" s="1"/>
  <c r="V5" i="13"/>
  <c r="D37" i="8" s="1"/>
  <c r="U5" i="13"/>
  <c r="C37" i="8" s="1"/>
  <c r="Q5" i="13"/>
  <c r="P5" i="13"/>
  <c r="G21" i="8" s="1"/>
  <c r="O5" i="13"/>
  <c r="N5" i="13"/>
  <c r="E21" i="8" s="1"/>
  <c r="M5" i="13"/>
  <c r="L5" i="13"/>
  <c r="C21" i="8" s="1"/>
  <c r="H5" i="13"/>
  <c r="H6" i="8" s="1"/>
  <c r="B5" i="13"/>
  <c r="AC4" i="13"/>
  <c r="K36" i="8" s="1"/>
  <c r="AB4" i="13"/>
  <c r="J36" i="8" s="1"/>
  <c r="AA4" i="13"/>
  <c r="AD4" i="13" s="1"/>
  <c r="Z4" i="13"/>
  <c r="H36" i="8" s="1"/>
  <c r="Y4" i="13"/>
  <c r="G36" i="8" s="1"/>
  <c r="X4" i="13"/>
  <c r="F36" i="8" s="1"/>
  <c r="W4" i="13"/>
  <c r="E36" i="8" s="1"/>
  <c r="V4" i="13"/>
  <c r="D36" i="8" s="1"/>
  <c r="U4" i="13"/>
  <c r="C36" i="8" s="1"/>
  <c r="Q4" i="13"/>
  <c r="H20" i="8" s="1"/>
  <c r="P4" i="13"/>
  <c r="G20" i="8" s="1"/>
  <c r="O4" i="13"/>
  <c r="N4" i="13"/>
  <c r="E20" i="8" s="1"/>
  <c r="M4" i="13"/>
  <c r="D20" i="8" s="1"/>
  <c r="L4" i="13"/>
  <c r="H4" i="13"/>
  <c r="H5" i="8" s="1"/>
  <c r="B4" i="13"/>
  <c r="AC3" i="13"/>
  <c r="K35" i="8" s="1"/>
  <c r="AB3" i="13"/>
  <c r="J35" i="8" s="1"/>
  <c r="AA3" i="13"/>
  <c r="AD3" i="13" s="1"/>
  <c r="Z3" i="13"/>
  <c r="Y3" i="13"/>
  <c r="G35" i="8" s="1"/>
  <c r="X3" i="13"/>
  <c r="F35" i="8" s="1"/>
  <c r="W3" i="13"/>
  <c r="E35" i="8" s="1"/>
  <c r="V3" i="13"/>
  <c r="D35" i="8" s="1"/>
  <c r="U3" i="13"/>
  <c r="C35" i="8" s="1"/>
  <c r="Q3" i="13"/>
  <c r="H19" i="8" s="1"/>
  <c r="P3" i="13"/>
  <c r="G19" i="8" s="1"/>
  <c r="O3" i="13"/>
  <c r="F19" i="8" s="1"/>
  <c r="N3" i="13"/>
  <c r="E19" i="8" s="1"/>
  <c r="M3" i="13"/>
  <c r="D19" i="8" s="1"/>
  <c r="L3" i="13"/>
  <c r="H3" i="13"/>
  <c r="B3" i="13"/>
  <c r="AC2" i="13"/>
  <c r="K34" i="8" s="1"/>
  <c r="AB2" i="13"/>
  <c r="J34" i="8" s="1"/>
  <c r="AA2" i="13"/>
  <c r="I34" i="8" s="1"/>
  <c r="Z2" i="13"/>
  <c r="H34" i="8" s="1"/>
  <c r="Y2" i="13"/>
  <c r="G34" i="8" s="1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N2" i="13"/>
  <c r="E18" i="8" s="1"/>
  <c r="M2" i="13"/>
  <c r="D18" i="8" s="1"/>
  <c r="L2" i="13"/>
  <c r="C18" i="8" s="1"/>
  <c r="H2" i="13"/>
  <c r="H3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E68" i="8"/>
  <c r="B67" i="8"/>
  <c r="B66" i="8"/>
  <c r="E65" i="8"/>
  <c r="B64" i="8"/>
  <c r="E62" i="8"/>
  <c r="B62" i="8"/>
  <c r="E60" i="8"/>
  <c r="B60" i="8"/>
  <c r="B59" i="8"/>
  <c r="B58" i="8"/>
  <c r="B57" i="8"/>
  <c r="K51" i="8"/>
  <c r="J51" i="8"/>
  <c r="G50" i="8"/>
  <c r="B50" i="8"/>
  <c r="K49" i="8"/>
  <c r="J49" i="8"/>
  <c r="K48" i="8"/>
  <c r="J48" i="8"/>
  <c r="I48" i="8"/>
  <c r="H48" i="8"/>
  <c r="G48" i="8"/>
  <c r="H44" i="8"/>
  <c r="G44" i="8"/>
  <c r="F44" i="8"/>
  <c r="E44" i="8"/>
  <c r="D44" i="8"/>
  <c r="B44" i="8"/>
  <c r="D43" i="8"/>
  <c r="C43" i="8"/>
  <c r="K42" i="8"/>
  <c r="I42" i="8"/>
  <c r="B42" i="8"/>
  <c r="F41" i="8"/>
  <c r="J37" i="8"/>
  <c r="I37" i="8"/>
  <c r="B37" i="8"/>
  <c r="B36" i="8"/>
  <c r="I35" i="8"/>
  <c r="H35" i="8"/>
  <c r="B35" i="8"/>
  <c r="B34" i="8"/>
  <c r="E29" i="8"/>
  <c r="B28" i="8"/>
  <c r="B25" i="8"/>
  <c r="H24" i="8"/>
  <c r="E24" i="8"/>
  <c r="D23" i="8"/>
  <c r="B23" i="8"/>
  <c r="F21" i="8"/>
  <c r="B21" i="8"/>
  <c r="F20" i="8"/>
  <c r="B20" i="8"/>
  <c r="B19" i="8"/>
  <c r="B18" i="8"/>
  <c r="B13" i="8"/>
  <c r="H10" i="8"/>
  <c r="B10" i="8"/>
  <c r="B8" i="8"/>
  <c r="B6" i="8"/>
  <c r="B5" i="8"/>
  <c r="H4" i="8"/>
  <c r="B4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E327" i="3" s="1"/>
  <c r="I324" i="4"/>
  <c r="J323" i="4"/>
  <c r="E326" i="3" s="1"/>
  <c r="I323" i="4"/>
  <c r="J322" i="4"/>
  <c r="I322" i="4"/>
  <c r="J321" i="4"/>
  <c r="I321" i="4"/>
  <c r="J320" i="4"/>
  <c r="I320" i="4"/>
  <c r="J319" i="4"/>
  <c r="I319" i="4"/>
  <c r="J318" i="4"/>
  <c r="E321" i="3" s="1"/>
  <c r="I318" i="4"/>
  <c r="J317" i="4"/>
  <c r="E320" i="3" s="1"/>
  <c r="I317" i="4"/>
  <c r="J316" i="4"/>
  <c r="I316" i="4"/>
  <c r="J315" i="4"/>
  <c r="I315" i="4"/>
  <c r="J314" i="4"/>
  <c r="I314" i="4"/>
  <c r="J313" i="4"/>
  <c r="I313" i="4"/>
  <c r="J312" i="4"/>
  <c r="E315" i="3" s="1"/>
  <c r="I312" i="4"/>
  <c r="J311" i="4"/>
  <c r="E314" i="3" s="1"/>
  <c r="I311" i="4"/>
  <c r="J310" i="4"/>
  <c r="I310" i="4"/>
  <c r="E307" i="4"/>
  <c r="J306" i="4"/>
  <c r="I306" i="4"/>
  <c r="J305" i="4"/>
  <c r="I305" i="4"/>
  <c r="J304" i="4"/>
  <c r="E307" i="3" s="1"/>
  <c r="I304" i="4"/>
  <c r="J303" i="4"/>
  <c r="I303" i="4"/>
  <c r="J302" i="4"/>
  <c r="I302" i="4"/>
  <c r="J301" i="4"/>
  <c r="I301" i="4"/>
  <c r="J300" i="4"/>
  <c r="I300" i="4"/>
  <c r="J299" i="4"/>
  <c r="I299" i="4"/>
  <c r="J298" i="4"/>
  <c r="E301" i="3" s="1"/>
  <c r="I298" i="4"/>
  <c r="J297" i="4"/>
  <c r="I297" i="4"/>
  <c r="J296" i="4"/>
  <c r="I296" i="4"/>
  <c r="J295" i="4"/>
  <c r="I295" i="4"/>
  <c r="J294" i="4"/>
  <c r="I294" i="4"/>
  <c r="J293" i="4"/>
  <c r="I293" i="4"/>
  <c r="J292" i="4"/>
  <c r="E295" i="3" s="1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I279" i="4"/>
  <c r="J278" i="4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I273" i="4"/>
  <c r="J272" i="4"/>
  <c r="I272" i="4"/>
  <c r="E269" i="4"/>
  <c r="E272" i="3" s="1"/>
  <c r="J268" i="4"/>
  <c r="I268" i="4"/>
  <c r="J267" i="4"/>
  <c r="I267" i="4"/>
  <c r="J266" i="4"/>
  <c r="I266" i="4"/>
  <c r="J265" i="4"/>
  <c r="I265" i="4"/>
  <c r="J264" i="4"/>
  <c r="I264" i="4"/>
  <c r="J263" i="4"/>
  <c r="I263" i="4"/>
  <c r="J262" i="4"/>
  <c r="I262" i="4"/>
  <c r="J261" i="4"/>
  <c r="I261" i="4"/>
  <c r="J260" i="4"/>
  <c r="I260" i="4"/>
  <c r="J259" i="4"/>
  <c r="I259" i="4"/>
  <c r="J258" i="4"/>
  <c r="I258" i="4"/>
  <c r="J257" i="4"/>
  <c r="E260" i="3" s="1"/>
  <c r="I257" i="4"/>
  <c r="J256" i="4"/>
  <c r="I256" i="4"/>
  <c r="J255" i="4"/>
  <c r="I255" i="4"/>
  <c r="J254" i="4"/>
  <c r="I254" i="4"/>
  <c r="J253" i="4"/>
  <c r="I253" i="4"/>
  <c r="E250" i="4"/>
  <c r="J249" i="4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I244" i="4"/>
  <c r="J243" i="4"/>
  <c r="I243" i="4"/>
  <c r="J242" i="4"/>
  <c r="E245" i="3" s="1"/>
  <c r="I242" i="4"/>
  <c r="J241" i="4"/>
  <c r="E244" i="3" s="1"/>
  <c r="I241" i="4"/>
  <c r="J240" i="4"/>
  <c r="I240" i="4"/>
  <c r="J239" i="4"/>
  <c r="I239" i="4"/>
  <c r="J238" i="4"/>
  <c r="I238" i="4"/>
  <c r="J237" i="4"/>
  <c r="I237" i="4"/>
  <c r="J236" i="4"/>
  <c r="E239" i="3" s="1"/>
  <c r="I236" i="4"/>
  <c r="J235" i="4"/>
  <c r="E238" i="3" s="1"/>
  <c r="I235" i="4"/>
  <c r="E232" i="4"/>
  <c r="J231" i="4"/>
  <c r="I231" i="4"/>
  <c r="J230" i="4"/>
  <c r="I230" i="4"/>
  <c r="J229" i="4"/>
  <c r="I229" i="4"/>
  <c r="J228" i="4"/>
  <c r="I228" i="4"/>
  <c r="J227" i="4"/>
  <c r="I227" i="4"/>
  <c r="J226" i="4"/>
  <c r="I226" i="4"/>
  <c r="J225" i="4"/>
  <c r="I225" i="4"/>
  <c r="J224" i="4"/>
  <c r="I224" i="4"/>
  <c r="J223" i="4"/>
  <c r="I223" i="4"/>
  <c r="J222" i="4"/>
  <c r="E225" i="3" s="1"/>
  <c r="I222" i="4"/>
  <c r="J221" i="4"/>
  <c r="I221" i="4"/>
  <c r="J220" i="4"/>
  <c r="I220" i="4"/>
  <c r="J219" i="4"/>
  <c r="I219" i="4"/>
  <c r="J218" i="4"/>
  <c r="I218" i="4"/>
  <c r="E215" i="4"/>
  <c r="J214" i="4"/>
  <c r="I214" i="4"/>
  <c r="J213" i="4"/>
  <c r="I213" i="4"/>
  <c r="J212" i="4"/>
  <c r="E215" i="3" s="1"/>
  <c r="I212" i="4"/>
  <c r="J211" i="4"/>
  <c r="I211" i="4"/>
  <c r="J210" i="4"/>
  <c r="I210" i="4"/>
  <c r="J209" i="4"/>
  <c r="I209" i="4"/>
  <c r="J208" i="4"/>
  <c r="I208" i="4"/>
  <c r="J207" i="4"/>
  <c r="E210" i="3" s="1"/>
  <c r="I207" i="4"/>
  <c r="J206" i="4"/>
  <c r="E209" i="3" s="1"/>
  <c r="I206" i="4"/>
  <c r="J205" i="4"/>
  <c r="E208" i="3" s="1"/>
  <c r="I205" i="4"/>
  <c r="J204" i="4"/>
  <c r="I204" i="4"/>
  <c r="J203" i="4"/>
  <c r="I203" i="4"/>
  <c r="J202" i="4"/>
  <c r="I202" i="4"/>
  <c r="J201" i="4"/>
  <c r="I201" i="4"/>
  <c r="J200" i="4"/>
  <c r="E203" i="3" s="1"/>
  <c r="I200" i="4"/>
  <c r="J199" i="4"/>
  <c r="I199" i="4"/>
  <c r="E196" i="4"/>
  <c r="J195" i="4"/>
  <c r="I195" i="4"/>
  <c r="J194" i="4"/>
  <c r="I194" i="4"/>
  <c r="J193" i="4"/>
  <c r="E196" i="3" s="1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E181" i="3" s="1"/>
  <c r="I178" i="4"/>
  <c r="J177" i="4"/>
  <c r="E180" i="3" s="1"/>
  <c r="I177" i="4"/>
  <c r="J176" i="4"/>
  <c r="E179" i="3" s="1"/>
  <c r="I176" i="4"/>
  <c r="J175" i="4"/>
  <c r="I175" i="4"/>
  <c r="J174" i="4"/>
  <c r="I174" i="4"/>
  <c r="J173" i="4"/>
  <c r="I173" i="4"/>
  <c r="J172" i="4"/>
  <c r="E175" i="3" s="1"/>
  <c r="I172" i="4"/>
  <c r="J171" i="4"/>
  <c r="I171" i="4"/>
  <c r="J170" i="4"/>
  <c r="E173" i="3" s="1"/>
  <c r="I170" i="4"/>
  <c r="J169" i="4"/>
  <c r="I169" i="4"/>
  <c r="J168" i="4"/>
  <c r="I168" i="4"/>
  <c r="J167" i="4"/>
  <c r="I167" i="4"/>
  <c r="J166" i="4"/>
  <c r="E169" i="3" s="1"/>
  <c r="I166" i="4"/>
  <c r="E163" i="4"/>
  <c r="E166" i="3" s="1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E155" i="3" s="1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E145" i="3" s="1"/>
  <c r="I142" i="4"/>
  <c r="J141" i="4"/>
  <c r="I141" i="4"/>
  <c r="J140" i="4"/>
  <c r="I140" i="4"/>
  <c r="J139" i="4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I134" i="4"/>
  <c r="J133" i="4"/>
  <c r="I133" i="4"/>
  <c r="J132" i="4"/>
  <c r="I132" i="4"/>
  <c r="J131" i="4"/>
  <c r="I131" i="4"/>
  <c r="E128" i="4"/>
  <c r="E131" i="3" s="1"/>
  <c r="J127" i="4"/>
  <c r="I127" i="4"/>
  <c r="J126" i="4"/>
  <c r="I126" i="4"/>
  <c r="J125" i="4"/>
  <c r="I125" i="4"/>
  <c r="J124" i="4"/>
  <c r="I124" i="4"/>
  <c r="J123" i="4"/>
  <c r="E126" i="3" s="1"/>
  <c r="I123" i="4"/>
  <c r="J122" i="4"/>
  <c r="I122" i="4"/>
  <c r="J121" i="4"/>
  <c r="I121" i="4"/>
  <c r="J120" i="4"/>
  <c r="I120" i="4"/>
  <c r="J119" i="4"/>
  <c r="I119" i="4"/>
  <c r="J118" i="4"/>
  <c r="I118" i="4"/>
  <c r="J117" i="4"/>
  <c r="I117" i="4"/>
  <c r="J116" i="4"/>
  <c r="I116" i="4"/>
  <c r="J115" i="4"/>
  <c r="I115" i="4"/>
  <c r="J114" i="4"/>
  <c r="I114" i="4"/>
  <c r="E111" i="4"/>
  <c r="J110" i="4"/>
  <c r="I110" i="4"/>
  <c r="J109" i="4"/>
  <c r="I109" i="4"/>
  <c r="J108" i="4"/>
  <c r="E111" i="3" s="1"/>
  <c r="I108" i="4"/>
  <c r="J107" i="4"/>
  <c r="E110" i="3" s="1"/>
  <c r="I107" i="4"/>
  <c r="J106" i="4"/>
  <c r="I106" i="4"/>
  <c r="J105" i="4"/>
  <c r="I105" i="4"/>
  <c r="J104" i="4"/>
  <c r="I104" i="4"/>
  <c r="J103" i="4"/>
  <c r="I103" i="4"/>
  <c r="J102" i="4"/>
  <c r="E105" i="3" s="1"/>
  <c r="I102" i="4"/>
  <c r="J101" i="4"/>
  <c r="E104" i="3" s="1"/>
  <c r="I101" i="4"/>
  <c r="J100" i="4"/>
  <c r="E103" i="3" s="1"/>
  <c r="I100" i="4"/>
  <c r="J99" i="4"/>
  <c r="I99" i="4"/>
  <c r="J98" i="4"/>
  <c r="I98" i="4"/>
  <c r="J97" i="4"/>
  <c r="I97" i="4"/>
  <c r="E94" i="4"/>
  <c r="E97" i="3" s="1"/>
  <c r="J93" i="4"/>
  <c r="I93" i="4"/>
  <c r="J92" i="4"/>
  <c r="I92" i="4"/>
  <c r="J91" i="4"/>
  <c r="I91" i="4"/>
  <c r="J90" i="4"/>
  <c r="I90" i="4"/>
  <c r="J89" i="4"/>
  <c r="I89" i="4"/>
  <c r="J88" i="4"/>
  <c r="E91" i="3" s="1"/>
  <c r="I88" i="4"/>
  <c r="J87" i="4"/>
  <c r="I87" i="4"/>
  <c r="J86" i="4"/>
  <c r="I86" i="4"/>
  <c r="J85" i="4"/>
  <c r="I85" i="4"/>
  <c r="J84" i="4"/>
  <c r="I84" i="4"/>
  <c r="J83" i="4"/>
  <c r="I83" i="4"/>
  <c r="J82" i="4"/>
  <c r="E85" i="3" s="1"/>
  <c r="I82" i="4"/>
  <c r="J81" i="4"/>
  <c r="E84" i="3" s="1"/>
  <c r="I81" i="4"/>
  <c r="J80" i="4"/>
  <c r="I80" i="4"/>
  <c r="J79" i="4"/>
  <c r="E82" i="3" s="1"/>
  <c r="C75" i="5" s="1"/>
  <c r="I79" i="4"/>
  <c r="E76" i="4"/>
  <c r="J75" i="4"/>
  <c r="I75" i="4"/>
  <c r="J74" i="4"/>
  <c r="E77" i="3" s="1"/>
  <c r="I74" i="4"/>
  <c r="J73" i="4"/>
  <c r="E76" i="3" s="1"/>
  <c r="I73" i="4"/>
  <c r="J72" i="4"/>
  <c r="E75" i="3" s="1"/>
  <c r="I72" i="4"/>
  <c r="J71" i="4"/>
  <c r="E74" i="3" s="1"/>
  <c r="I71" i="4"/>
  <c r="J70" i="4"/>
  <c r="E73" i="3" s="1"/>
  <c r="I70" i="4"/>
  <c r="J69" i="4"/>
  <c r="E72" i="3" s="1"/>
  <c r="I69" i="4"/>
  <c r="J68" i="4"/>
  <c r="E71" i="3" s="1"/>
  <c r="I68" i="4"/>
  <c r="J67" i="4"/>
  <c r="E70" i="3" s="1"/>
  <c r="I67" i="4"/>
  <c r="J66" i="4"/>
  <c r="E69" i="3" s="1"/>
  <c r="I66" i="4"/>
  <c r="J65" i="4"/>
  <c r="E68" i="3" s="1"/>
  <c r="I65" i="4"/>
  <c r="J64" i="4"/>
  <c r="E67" i="3" s="1"/>
  <c r="I64" i="4"/>
  <c r="J63" i="4"/>
  <c r="E66" i="3" s="1"/>
  <c r="I63" i="4"/>
  <c r="J62" i="4"/>
  <c r="E65" i="3" s="1"/>
  <c r="I62" i="4"/>
  <c r="J61" i="4"/>
  <c r="E64" i="3" s="1"/>
  <c r="I61" i="4"/>
  <c r="J60" i="4"/>
  <c r="E63" i="3" s="1"/>
  <c r="I60" i="4"/>
  <c r="E57" i="4"/>
  <c r="E60" i="3" s="1"/>
  <c r="J56" i="4"/>
  <c r="E59" i="3" s="1"/>
  <c r="I56" i="4"/>
  <c r="J55" i="4"/>
  <c r="E58" i="3" s="1"/>
  <c r="I55" i="4"/>
  <c r="J54" i="4"/>
  <c r="E57" i="3" s="1"/>
  <c r="I54" i="4"/>
  <c r="J53" i="4"/>
  <c r="E56" i="3" s="1"/>
  <c r="I53" i="4"/>
  <c r="J52" i="4"/>
  <c r="E55" i="3" s="1"/>
  <c r="I52" i="4"/>
  <c r="J51" i="4"/>
  <c r="E54" i="3" s="1"/>
  <c r="I51" i="4"/>
  <c r="J50" i="4"/>
  <c r="E53" i="3" s="1"/>
  <c r="I50" i="4"/>
  <c r="J49" i="4"/>
  <c r="E52" i="3" s="1"/>
  <c r="I49" i="4"/>
  <c r="J48" i="4"/>
  <c r="E51" i="3" s="1"/>
  <c r="I48" i="4"/>
  <c r="J47" i="4"/>
  <c r="I47" i="4"/>
  <c r="J46" i="4"/>
  <c r="E49" i="3" s="1"/>
  <c r="I46" i="4"/>
  <c r="J45" i="4"/>
  <c r="E48" i="3" s="1"/>
  <c r="I45" i="4"/>
  <c r="J44" i="4"/>
  <c r="I44" i="4"/>
  <c r="J43" i="4"/>
  <c r="E46" i="3" s="1"/>
  <c r="I43" i="4"/>
  <c r="J42" i="4"/>
  <c r="E45" i="3" s="1"/>
  <c r="I42" i="4"/>
  <c r="J41" i="4"/>
  <c r="E44" i="3" s="1"/>
  <c r="I41" i="4"/>
  <c r="E38" i="4"/>
  <c r="E41" i="3" s="1"/>
  <c r="J37" i="4"/>
  <c r="E40" i="3" s="1"/>
  <c r="I37" i="4"/>
  <c r="J36" i="4"/>
  <c r="E39" i="3" s="1"/>
  <c r="I36" i="4"/>
  <c r="J35" i="4"/>
  <c r="E38" i="3" s="1"/>
  <c r="I35" i="4"/>
  <c r="J34" i="4"/>
  <c r="E37" i="3" s="1"/>
  <c r="I34" i="4"/>
  <c r="J33" i="4"/>
  <c r="E36" i="3" s="1"/>
  <c r="I33" i="4"/>
  <c r="J32" i="4"/>
  <c r="E35" i="3" s="1"/>
  <c r="I32" i="4"/>
  <c r="J31" i="4"/>
  <c r="E34" i="3" s="1"/>
  <c r="I31" i="4"/>
  <c r="J30" i="4"/>
  <c r="E33" i="3" s="1"/>
  <c r="I30" i="4"/>
  <c r="J29" i="4"/>
  <c r="E32" i="3" s="1"/>
  <c r="I29" i="4"/>
  <c r="J28" i="4"/>
  <c r="E31" i="3" s="1"/>
  <c r="I28" i="4"/>
  <c r="J27" i="4"/>
  <c r="E30" i="3" s="1"/>
  <c r="I27" i="4"/>
  <c r="J26" i="4"/>
  <c r="E29" i="3" s="1"/>
  <c r="I26" i="4"/>
  <c r="J25" i="4"/>
  <c r="E28" i="3" s="1"/>
  <c r="I25" i="4"/>
  <c r="J24" i="4"/>
  <c r="E27" i="3" s="1"/>
  <c r="I24" i="4"/>
  <c r="J23" i="4"/>
  <c r="E26" i="3" s="1"/>
  <c r="I23" i="4"/>
  <c r="J22" i="4"/>
  <c r="E25" i="3" s="1"/>
  <c r="I22" i="4"/>
  <c r="E19" i="4"/>
  <c r="E22" i="3" s="1"/>
  <c r="J18" i="4"/>
  <c r="E21" i="3" s="1"/>
  <c r="J17" i="4"/>
  <c r="E20" i="3" s="1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E9" i="3" s="1"/>
  <c r="I6" i="4"/>
  <c r="J5" i="4"/>
  <c r="E8" i="3" s="1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5" i="3"/>
  <c r="E324" i="3"/>
  <c r="E323" i="3"/>
  <c r="E322" i="3"/>
  <c r="E319" i="3"/>
  <c r="E318" i="3"/>
  <c r="E317" i="3"/>
  <c r="E316" i="3"/>
  <c r="E313" i="3"/>
  <c r="E310" i="3"/>
  <c r="E309" i="3"/>
  <c r="E308" i="3"/>
  <c r="E306" i="3"/>
  <c r="E305" i="3"/>
  <c r="E304" i="3"/>
  <c r="E303" i="3"/>
  <c r="E302" i="3"/>
  <c r="E300" i="3"/>
  <c r="E299" i="3"/>
  <c r="E298" i="3"/>
  <c r="E297" i="3"/>
  <c r="E296" i="3"/>
  <c r="E294" i="3"/>
  <c r="E291" i="3"/>
  <c r="E290" i="3"/>
  <c r="E289" i="3"/>
  <c r="E288" i="3"/>
  <c r="E287" i="3"/>
  <c r="E284" i="3"/>
  <c r="E283" i="3"/>
  <c r="E282" i="3"/>
  <c r="E281" i="3"/>
  <c r="E278" i="3"/>
  <c r="E277" i="3"/>
  <c r="E276" i="3"/>
  <c r="E275" i="3"/>
  <c r="E271" i="3"/>
  <c r="E270" i="3"/>
  <c r="E269" i="3"/>
  <c r="E268" i="3"/>
  <c r="E267" i="3"/>
  <c r="E266" i="3"/>
  <c r="E265" i="3"/>
  <c r="E264" i="3"/>
  <c r="E263" i="3"/>
  <c r="E262" i="3"/>
  <c r="E261" i="3"/>
  <c r="E259" i="3"/>
  <c r="E258" i="3"/>
  <c r="E257" i="3"/>
  <c r="E256" i="3"/>
  <c r="E253" i="3"/>
  <c r="E252" i="3"/>
  <c r="E249" i="3"/>
  <c r="E248" i="3"/>
  <c r="E247" i="3"/>
  <c r="E246" i="3"/>
  <c r="E243" i="3"/>
  <c r="E242" i="3"/>
  <c r="E241" i="3"/>
  <c r="E240" i="3"/>
  <c r="E235" i="3"/>
  <c r="E234" i="3"/>
  <c r="E233" i="3"/>
  <c r="E232" i="3"/>
  <c r="E231" i="3"/>
  <c r="E230" i="3"/>
  <c r="E229" i="3"/>
  <c r="E228" i="3"/>
  <c r="E227" i="3"/>
  <c r="E226" i="3"/>
  <c r="E224" i="3"/>
  <c r="E223" i="3"/>
  <c r="E222" i="3"/>
  <c r="E221" i="3"/>
  <c r="C14" i="7" s="1"/>
  <c r="E218" i="3"/>
  <c r="E217" i="3"/>
  <c r="E216" i="3"/>
  <c r="E214" i="3"/>
  <c r="E213" i="3"/>
  <c r="E212" i="3"/>
  <c r="E211" i="3"/>
  <c r="E207" i="3"/>
  <c r="E206" i="3"/>
  <c r="E205" i="3"/>
  <c r="E204" i="3"/>
  <c r="E202" i="3"/>
  <c r="C85" i="6" s="1"/>
  <c r="E199" i="3"/>
  <c r="E198" i="3"/>
  <c r="E197" i="3"/>
  <c r="E195" i="3"/>
  <c r="E194" i="3"/>
  <c r="E193" i="3"/>
  <c r="E192" i="3"/>
  <c r="E191" i="3"/>
  <c r="E190" i="3"/>
  <c r="E189" i="3"/>
  <c r="E188" i="3"/>
  <c r="E187" i="3"/>
  <c r="E186" i="3"/>
  <c r="E183" i="3"/>
  <c r="E182" i="3"/>
  <c r="E178" i="3"/>
  <c r="E177" i="3"/>
  <c r="E176" i="3"/>
  <c r="E174" i="3"/>
  <c r="E172" i="3"/>
  <c r="E171" i="3"/>
  <c r="E170" i="3"/>
  <c r="E165" i="3"/>
  <c r="E164" i="3"/>
  <c r="E163" i="3"/>
  <c r="E162" i="3"/>
  <c r="E161" i="3"/>
  <c r="E160" i="3"/>
  <c r="E159" i="3"/>
  <c r="E158" i="3"/>
  <c r="E157" i="3"/>
  <c r="E156" i="3"/>
  <c r="E154" i="3"/>
  <c r="E153" i="3"/>
  <c r="E152" i="3"/>
  <c r="E151" i="3"/>
  <c r="C40" i="6" s="1"/>
  <c r="E148" i="3"/>
  <c r="E147" i="3"/>
  <c r="E146" i="3"/>
  <c r="E144" i="3"/>
  <c r="E143" i="3"/>
  <c r="E142" i="3"/>
  <c r="E141" i="3"/>
  <c r="E137" i="3"/>
  <c r="E136" i="3"/>
  <c r="E135" i="3"/>
  <c r="E134" i="3"/>
  <c r="E130" i="3"/>
  <c r="E129" i="3"/>
  <c r="E128" i="3"/>
  <c r="E127" i="3"/>
  <c r="E125" i="3"/>
  <c r="E124" i="3"/>
  <c r="E123" i="3"/>
  <c r="E122" i="3"/>
  <c r="E121" i="3"/>
  <c r="E120" i="3"/>
  <c r="E119" i="3"/>
  <c r="E118" i="3"/>
  <c r="E117" i="3"/>
  <c r="C17" i="6" s="1"/>
  <c r="E114" i="3"/>
  <c r="E113" i="3"/>
  <c r="E112" i="3"/>
  <c r="E109" i="3"/>
  <c r="E108" i="3"/>
  <c r="E107" i="3"/>
  <c r="E106" i="3"/>
  <c r="E102" i="3"/>
  <c r="E101" i="3"/>
  <c r="E100" i="3"/>
  <c r="C90" i="5" s="1"/>
  <c r="E96" i="3"/>
  <c r="E95" i="3"/>
  <c r="E94" i="3"/>
  <c r="E93" i="3"/>
  <c r="E92" i="3"/>
  <c r="E90" i="3"/>
  <c r="E89" i="3"/>
  <c r="E88" i="3"/>
  <c r="E87" i="3"/>
  <c r="E86" i="3"/>
  <c r="E83" i="3"/>
  <c r="E79" i="3"/>
  <c r="E78" i="3"/>
  <c r="E50" i="3"/>
  <c r="E47" i="3"/>
  <c r="E19" i="3"/>
  <c r="E18" i="3"/>
  <c r="E17" i="3"/>
  <c r="E16" i="3"/>
  <c r="E15" i="3"/>
  <c r="E14" i="3"/>
  <c r="E13" i="3"/>
  <c r="E12" i="3"/>
  <c r="E11" i="3"/>
  <c r="E10" i="3"/>
  <c r="E7" i="3"/>
  <c r="E6" i="3"/>
  <c r="I49" i="8" l="1"/>
  <c r="C32" i="5"/>
  <c r="E27" i="5" s="1"/>
  <c r="C31" i="5"/>
  <c r="H31" i="5" s="1"/>
  <c r="D12" i="13" s="1"/>
  <c r="D13" i="8" s="1"/>
  <c r="C17" i="5"/>
  <c r="E63" i="8"/>
  <c r="K26" i="8"/>
  <c r="K20" i="8"/>
  <c r="E57" i="8"/>
  <c r="R2" i="13"/>
  <c r="I18" i="8" s="1"/>
  <c r="AD2" i="13"/>
  <c r="H5" i="9" s="1"/>
  <c r="B7" i="9" s="1"/>
  <c r="C20" i="8"/>
  <c r="K41" i="8"/>
  <c r="E58" i="8"/>
  <c r="E67" i="8"/>
  <c r="AD9" i="13"/>
  <c r="K21" i="8"/>
  <c r="R7" i="13"/>
  <c r="D62" i="8" s="1"/>
  <c r="I36" i="8"/>
  <c r="K23" i="8"/>
  <c r="F27" i="9"/>
  <c r="F31" i="9"/>
  <c r="F18" i="8"/>
  <c r="K22" i="8"/>
  <c r="K28" i="8"/>
  <c r="I50" i="8"/>
  <c r="R4" i="13"/>
  <c r="D59" i="8" s="1"/>
  <c r="F34" i="9"/>
  <c r="AD8" i="13"/>
  <c r="C23" i="8"/>
  <c r="E59" i="8"/>
  <c r="F29" i="9"/>
  <c r="F32" i="9"/>
  <c r="F33" i="9"/>
  <c r="H21" i="8"/>
  <c r="R6" i="13"/>
  <c r="T6" i="13" s="1"/>
  <c r="H61" i="8" s="1"/>
  <c r="R12" i="13"/>
  <c r="F26" i="9"/>
  <c r="C38" i="9"/>
  <c r="F30" i="9"/>
  <c r="F28" i="9"/>
  <c r="F36" i="9"/>
  <c r="H75" i="5"/>
  <c r="G11" i="13" s="1"/>
  <c r="G12" i="8" s="1"/>
  <c r="E72" i="5"/>
  <c r="F75" i="5"/>
  <c r="G75" i="5" s="1"/>
  <c r="E82" i="5"/>
  <c r="H90" i="5"/>
  <c r="F90" i="5"/>
  <c r="G90" i="5" s="1"/>
  <c r="I90" i="5" s="1"/>
  <c r="E13" i="5"/>
  <c r="H17" i="5"/>
  <c r="C22" i="7"/>
  <c r="C27" i="7"/>
  <c r="C32" i="7"/>
  <c r="C30" i="7"/>
  <c r="C31" i="7"/>
  <c r="C29" i="7"/>
  <c r="C24" i="7"/>
  <c r="C21" i="7"/>
  <c r="C26" i="7"/>
  <c r="C23" i="7"/>
  <c r="C28" i="7"/>
  <c r="C25" i="7"/>
  <c r="C16" i="5"/>
  <c r="C9" i="5"/>
  <c r="C7" i="5"/>
  <c r="C62" i="5"/>
  <c r="C55" i="5"/>
  <c r="C60" i="5"/>
  <c r="C53" i="5"/>
  <c r="C54" i="5"/>
  <c r="C58" i="5"/>
  <c r="C51" i="5"/>
  <c r="C56" i="5"/>
  <c r="C61" i="5"/>
  <c r="C59" i="5"/>
  <c r="C52" i="5"/>
  <c r="C57" i="5"/>
  <c r="C51" i="6"/>
  <c r="C56" i="6"/>
  <c r="C61" i="6"/>
  <c r="C54" i="6"/>
  <c r="C59" i="6"/>
  <c r="C52" i="6"/>
  <c r="C60" i="6"/>
  <c r="C58" i="6"/>
  <c r="C53" i="6"/>
  <c r="C55" i="6"/>
  <c r="C62" i="6"/>
  <c r="C57" i="6"/>
  <c r="E11" i="6"/>
  <c r="H17" i="6"/>
  <c r="F17" i="6"/>
  <c r="H85" i="6"/>
  <c r="E82" i="6"/>
  <c r="F85" i="6"/>
  <c r="G85" i="6" s="1"/>
  <c r="C47" i="5"/>
  <c r="C40" i="5"/>
  <c r="C46" i="5"/>
  <c r="C45" i="5"/>
  <c r="C38" i="5"/>
  <c r="C43" i="5"/>
  <c r="C36" i="5"/>
  <c r="C39" i="5"/>
  <c r="C41" i="5"/>
  <c r="C44" i="5"/>
  <c r="C37" i="5"/>
  <c r="C42" i="5"/>
  <c r="H40" i="6"/>
  <c r="E36" i="6"/>
  <c r="F40" i="6"/>
  <c r="G40" i="6" s="1"/>
  <c r="I40" i="6" s="1"/>
  <c r="E17" i="7"/>
  <c r="F14" i="7"/>
  <c r="I14" i="7"/>
  <c r="C12" i="6"/>
  <c r="C23" i="6"/>
  <c r="C66" i="6"/>
  <c r="C71" i="6"/>
  <c r="C76" i="6"/>
  <c r="C69" i="6"/>
  <c r="C74" i="6"/>
  <c r="C67" i="6"/>
  <c r="C75" i="6"/>
  <c r="C73" i="6"/>
  <c r="C67" i="7"/>
  <c r="C72" i="7"/>
  <c r="C77" i="7"/>
  <c r="C75" i="7"/>
  <c r="C76" i="7"/>
  <c r="C69" i="7"/>
  <c r="C74" i="7"/>
  <c r="C71" i="7"/>
  <c r="C70" i="7"/>
  <c r="C73" i="7"/>
  <c r="C68" i="7"/>
  <c r="C12" i="5"/>
  <c r="C27" i="5"/>
  <c r="C8" i="6"/>
  <c r="C42" i="6"/>
  <c r="C72" i="6"/>
  <c r="C87" i="6"/>
  <c r="C22" i="5"/>
  <c r="C68" i="5"/>
  <c r="C83" i="5"/>
  <c r="B63" i="8"/>
  <c r="B24" i="8"/>
  <c r="B9" i="8"/>
  <c r="C14" i="5"/>
  <c r="C29" i="5"/>
  <c r="C77" i="5"/>
  <c r="C92" i="5"/>
  <c r="C25" i="6"/>
  <c r="C32" i="6"/>
  <c r="C47" i="6"/>
  <c r="C77" i="6"/>
  <c r="C92" i="6"/>
  <c r="C24" i="5"/>
  <c r="B29" i="8"/>
  <c r="B14" i="8"/>
  <c r="B68" i="8"/>
  <c r="B51" i="8"/>
  <c r="C82" i="7"/>
  <c r="C87" i="7"/>
  <c r="C92" i="7"/>
  <c r="C90" i="7"/>
  <c r="C91" i="7"/>
  <c r="C84" i="7"/>
  <c r="C89" i="7"/>
  <c r="C81" i="7"/>
  <c r="C83" i="7"/>
  <c r="C85" i="7"/>
  <c r="C88" i="7"/>
  <c r="C22" i="6"/>
  <c r="G27" i="8"/>
  <c r="K27" i="8"/>
  <c r="C11" i="5"/>
  <c r="C26" i="5"/>
  <c r="C70" i="6"/>
  <c r="C7" i="7"/>
  <c r="C12" i="7"/>
  <c r="C17" i="7"/>
  <c r="C15" i="7"/>
  <c r="C16" i="7"/>
  <c r="C8" i="7"/>
  <c r="C6" i="7"/>
  <c r="C10" i="7"/>
  <c r="C11" i="7"/>
  <c r="C9" i="7"/>
  <c r="C52" i="7"/>
  <c r="C57" i="7"/>
  <c r="C62" i="7"/>
  <c r="C60" i="7"/>
  <c r="C61" i="7"/>
  <c r="C54" i="7"/>
  <c r="C59" i="7"/>
  <c r="C51" i="7"/>
  <c r="C53" i="7"/>
  <c r="C55" i="7"/>
  <c r="C58" i="7"/>
  <c r="C6" i="5"/>
  <c r="C21" i="5"/>
  <c r="C66" i="7"/>
  <c r="B43" i="8"/>
  <c r="C21" i="6"/>
  <c r="C26" i="6"/>
  <c r="C31" i="6"/>
  <c r="C24" i="6"/>
  <c r="C29" i="6"/>
  <c r="C30" i="6"/>
  <c r="C28" i="6"/>
  <c r="C66" i="5"/>
  <c r="C71" i="5"/>
  <c r="C76" i="5"/>
  <c r="C69" i="5"/>
  <c r="C74" i="5"/>
  <c r="C73" i="5"/>
  <c r="C81" i="5"/>
  <c r="C86" i="5"/>
  <c r="C91" i="5"/>
  <c r="C84" i="5"/>
  <c r="C89" i="5"/>
  <c r="C88" i="5"/>
  <c r="C13" i="5"/>
  <c r="C28" i="5"/>
  <c r="C72" i="5"/>
  <c r="C87" i="5"/>
  <c r="C56" i="7"/>
  <c r="C81" i="6"/>
  <c r="C86" i="6"/>
  <c r="C91" i="6"/>
  <c r="C84" i="6"/>
  <c r="C89" i="6"/>
  <c r="C82" i="6"/>
  <c r="C90" i="6"/>
  <c r="C88" i="6"/>
  <c r="C36" i="6"/>
  <c r="C41" i="6"/>
  <c r="C46" i="6"/>
  <c r="C39" i="6"/>
  <c r="C44" i="6"/>
  <c r="C37" i="6"/>
  <c r="C45" i="6"/>
  <c r="C43" i="6"/>
  <c r="C8" i="5"/>
  <c r="C23" i="5"/>
  <c r="C10" i="6"/>
  <c r="H25" i="8"/>
  <c r="R9" i="13"/>
  <c r="B65" i="8"/>
  <c r="B48" i="8"/>
  <c r="B26" i="8"/>
  <c r="B11" i="8"/>
  <c r="C37" i="7"/>
  <c r="C42" i="7"/>
  <c r="C47" i="7"/>
  <c r="C45" i="7"/>
  <c r="C46" i="7"/>
  <c r="C44" i="7"/>
  <c r="C39" i="7"/>
  <c r="C36" i="7"/>
  <c r="C41" i="7"/>
  <c r="C38" i="7"/>
  <c r="C43" i="7"/>
  <c r="C40" i="7"/>
  <c r="C15" i="5"/>
  <c r="C30" i="5"/>
  <c r="C86" i="7"/>
  <c r="C6" i="6"/>
  <c r="C11" i="6"/>
  <c r="C16" i="6"/>
  <c r="C9" i="6"/>
  <c r="C14" i="6"/>
  <c r="C15" i="6"/>
  <c r="C13" i="6"/>
  <c r="C10" i="5"/>
  <c r="C25" i="5"/>
  <c r="C67" i="5"/>
  <c r="C70" i="5"/>
  <c r="C85" i="5"/>
  <c r="C7" i="6"/>
  <c r="C27" i="6"/>
  <c r="C38" i="6"/>
  <c r="C68" i="6"/>
  <c r="C83" i="6"/>
  <c r="C13" i="7"/>
  <c r="C82" i="5"/>
  <c r="B61" i="8"/>
  <c r="B41" i="8"/>
  <c r="B22" i="8"/>
  <c r="B7" i="8"/>
  <c r="K25" i="8"/>
  <c r="K44" i="8"/>
  <c r="E64" i="8"/>
  <c r="F35" i="9"/>
  <c r="C19" i="10"/>
  <c r="C15" i="10"/>
  <c r="B7" i="11" s="1"/>
  <c r="I7" i="11" s="1"/>
  <c r="J7" i="11" s="1"/>
  <c r="C18" i="10"/>
  <c r="C14" i="10"/>
  <c r="B6" i="11" s="1"/>
  <c r="I6" i="11" s="1"/>
  <c r="J6" i="11" s="1"/>
  <c r="C16" i="10"/>
  <c r="B8" i="11" s="1"/>
  <c r="I8" i="11" s="1"/>
  <c r="J8" i="11" s="1"/>
  <c r="C17" i="10"/>
  <c r="B9" i="11" s="1"/>
  <c r="I9" i="11" s="1"/>
  <c r="J9" i="11" s="1"/>
  <c r="D38" i="9"/>
  <c r="R3" i="13"/>
  <c r="K19" i="8"/>
  <c r="C19" i="8"/>
  <c r="E38" i="9"/>
  <c r="D21" i="8"/>
  <c r="R5" i="13"/>
  <c r="R11" i="13"/>
  <c r="R13" i="13"/>
  <c r="AD13" i="13"/>
  <c r="H16" i="9" s="1"/>
  <c r="I51" i="8"/>
  <c r="F37" i="9"/>
  <c r="R8" i="13"/>
  <c r="K24" i="8"/>
  <c r="R10" i="13"/>
  <c r="C26" i="8"/>
  <c r="AD6" i="13"/>
  <c r="K18" i="8"/>
  <c r="K29" i="8"/>
  <c r="B12" i="8"/>
  <c r="B27" i="8"/>
  <c r="H6" i="9" l="1"/>
  <c r="H32" i="5"/>
  <c r="D13" i="13" s="1"/>
  <c r="D14" i="8" s="1"/>
  <c r="E28" i="5"/>
  <c r="F28" i="5" s="1"/>
  <c r="G28" i="5" s="1"/>
  <c r="I20" i="8"/>
  <c r="H8" i="9"/>
  <c r="T2" i="13"/>
  <c r="H57" i="8" s="1"/>
  <c r="D57" i="8"/>
  <c r="H7" i="9"/>
  <c r="I23" i="8"/>
  <c r="I22" i="8"/>
  <c r="D61" i="8"/>
  <c r="T7" i="13"/>
  <c r="H62" i="8" s="1"/>
  <c r="I28" i="8"/>
  <c r="T12" i="13"/>
  <c r="H67" i="8" s="1"/>
  <c r="D67" i="8"/>
  <c r="T4" i="13"/>
  <c r="H59" i="8" s="1"/>
  <c r="F38" i="9"/>
  <c r="H25" i="5"/>
  <c r="D6" i="13" s="1"/>
  <c r="D7" i="8" s="1"/>
  <c r="E22" i="5"/>
  <c r="F22" i="5" s="1"/>
  <c r="G22" i="5" s="1"/>
  <c r="F74" i="7"/>
  <c r="I74" i="7"/>
  <c r="E76" i="7"/>
  <c r="E40" i="5"/>
  <c r="F40" i="5" s="1"/>
  <c r="G40" i="5" s="1"/>
  <c r="H44" i="5"/>
  <c r="E10" i="13" s="1"/>
  <c r="E11" i="8" s="1"/>
  <c r="H67" i="5"/>
  <c r="G3" i="13" s="1"/>
  <c r="G4" i="8" s="1"/>
  <c r="F67" i="5"/>
  <c r="G67" i="5" s="1"/>
  <c r="E77" i="5"/>
  <c r="E9" i="5"/>
  <c r="H15" i="5"/>
  <c r="I37" i="7"/>
  <c r="E36" i="7"/>
  <c r="F37" i="7"/>
  <c r="H45" i="6"/>
  <c r="E38" i="6"/>
  <c r="F45" i="6"/>
  <c r="G45" i="6" s="1"/>
  <c r="F91" i="6"/>
  <c r="G91" i="6" s="1"/>
  <c r="E83" i="6"/>
  <c r="H91" i="6"/>
  <c r="E91" i="5"/>
  <c r="F86" i="5"/>
  <c r="G86" i="5" s="1"/>
  <c r="H86" i="5"/>
  <c r="F31" i="6"/>
  <c r="G31" i="6" s="1"/>
  <c r="I31" i="6" s="1"/>
  <c r="E22" i="6"/>
  <c r="H31" i="6"/>
  <c r="I53" i="7"/>
  <c r="E52" i="7"/>
  <c r="F53" i="7"/>
  <c r="I6" i="7"/>
  <c r="F6" i="7"/>
  <c r="E9" i="7"/>
  <c r="F82" i="7"/>
  <c r="E81" i="7"/>
  <c r="I82" i="7"/>
  <c r="H47" i="6"/>
  <c r="F47" i="6"/>
  <c r="G47" i="6" s="1"/>
  <c r="E42" i="6"/>
  <c r="E70" i="5"/>
  <c r="H68" i="5"/>
  <c r="G4" i="13" s="1"/>
  <c r="G5" i="8" s="1"/>
  <c r="F68" i="5"/>
  <c r="G68" i="5" s="1"/>
  <c r="E73" i="7"/>
  <c r="I71" i="7"/>
  <c r="F71" i="7"/>
  <c r="E71" i="6"/>
  <c r="F69" i="6"/>
  <c r="G69" i="6" s="1"/>
  <c r="I69" i="6" s="1"/>
  <c r="H69" i="6"/>
  <c r="E36" i="5"/>
  <c r="F36" i="5" s="1"/>
  <c r="G36" i="5" s="1"/>
  <c r="H42" i="5"/>
  <c r="E8" i="13" s="1"/>
  <c r="E9" i="8" s="1"/>
  <c r="I85" i="6"/>
  <c r="H52" i="6"/>
  <c r="F52" i="6"/>
  <c r="G52" i="6" s="1"/>
  <c r="E58" i="6"/>
  <c r="H58" i="5"/>
  <c r="E51" i="5"/>
  <c r="F51" i="5" s="1"/>
  <c r="G51" i="5" s="1"/>
  <c r="F26" i="7"/>
  <c r="E28" i="7"/>
  <c r="I26" i="7"/>
  <c r="E41" i="6"/>
  <c r="H37" i="6"/>
  <c r="F37" i="6"/>
  <c r="G37" i="6" s="1"/>
  <c r="I37" i="6" s="1"/>
  <c r="E25" i="5"/>
  <c r="F25" i="5" s="1"/>
  <c r="G25" i="5" s="1"/>
  <c r="H22" i="5"/>
  <c r="D3" i="13" s="1"/>
  <c r="D4" i="8" s="1"/>
  <c r="E62" i="7"/>
  <c r="F59" i="7"/>
  <c r="I59" i="7"/>
  <c r="H82" i="5"/>
  <c r="F82" i="5"/>
  <c r="G82" i="5" s="1"/>
  <c r="E90" i="5"/>
  <c r="H26" i="6"/>
  <c r="E23" i="6"/>
  <c r="F26" i="6"/>
  <c r="G26" i="6" s="1"/>
  <c r="I26" i="6" s="1"/>
  <c r="H54" i="5"/>
  <c r="E61" i="5"/>
  <c r="F61" i="5" s="1"/>
  <c r="G61" i="5" s="1"/>
  <c r="E32" i="6"/>
  <c r="H21" i="6"/>
  <c r="F21" i="6"/>
  <c r="G21" i="6" s="1"/>
  <c r="E61" i="6"/>
  <c r="F54" i="6"/>
  <c r="G54" i="6" s="1"/>
  <c r="H54" i="6"/>
  <c r="F39" i="6"/>
  <c r="G39" i="6" s="1"/>
  <c r="E44" i="6"/>
  <c r="H39" i="6"/>
  <c r="I76" i="7"/>
  <c r="E74" i="7"/>
  <c r="F76" i="7"/>
  <c r="E55" i="5"/>
  <c r="F55" i="5" s="1"/>
  <c r="G55" i="5" s="1"/>
  <c r="H60" i="5"/>
  <c r="F29" i="7"/>
  <c r="I29" i="7"/>
  <c r="E31" i="7"/>
  <c r="T10" i="13"/>
  <c r="H65" i="8" s="1"/>
  <c r="D65" i="8"/>
  <c r="I26" i="8"/>
  <c r="T11" i="13"/>
  <c r="H66" i="8" s="1"/>
  <c r="D66" i="8"/>
  <c r="I27" i="8"/>
  <c r="I13" i="7"/>
  <c r="E10" i="7"/>
  <c r="F13" i="7"/>
  <c r="E6" i="6"/>
  <c r="H15" i="6"/>
  <c r="F15" i="6"/>
  <c r="E40" i="7"/>
  <c r="F41" i="7"/>
  <c r="I41" i="7"/>
  <c r="F46" i="6"/>
  <c r="G46" i="6" s="1"/>
  <c r="E43" i="6"/>
  <c r="H46" i="6"/>
  <c r="H87" i="5"/>
  <c r="F87" i="5"/>
  <c r="G87" i="5" s="1"/>
  <c r="I87" i="5" s="1"/>
  <c r="E83" i="5"/>
  <c r="E71" i="5"/>
  <c r="F69" i="5"/>
  <c r="G69" i="5" s="1"/>
  <c r="H69" i="5"/>
  <c r="G5" i="13" s="1"/>
  <c r="G6" i="8" s="1"/>
  <c r="I61" i="7"/>
  <c r="F61" i="7"/>
  <c r="E60" i="7"/>
  <c r="F17" i="7"/>
  <c r="I17" i="7"/>
  <c r="E14" i="7"/>
  <c r="I83" i="7"/>
  <c r="E84" i="7"/>
  <c r="F83" i="7"/>
  <c r="H77" i="5"/>
  <c r="G13" i="13" s="1"/>
  <c r="G14" i="8" s="1"/>
  <c r="E67" i="5"/>
  <c r="F77" i="5"/>
  <c r="G77" i="5" s="1"/>
  <c r="E76" i="6"/>
  <c r="H72" i="6"/>
  <c r="F72" i="6"/>
  <c r="G72" i="6" s="1"/>
  <c r="I72" i="6" s="1"/>
  <c r="E77" i="7"/>
  <c r="F75" i="7"/>
  <c r="I75" i="7"/>
  <c r="E26" i="6"/>
  <c r="H23" i="6"/>
  <c r="F23" i="6"/>
  <c r="G23" i="6" s="1"/>
  <c r="H39" i="5"/>
  <c r="E5" i="13" s="1"/>
  <c r="E6" i="8" s="1"/>
  <c r="F39" i="5"/>
  <c r="G39" i="5" s="1"/>
  <c r="E47" i="5"/>
  <c r="F47" i="5" s="1"/>
  <c r="G47" i="5" s="1"/>
  <c r="E59" i="6"/>
  <c r="H56" i="6"/>
  <c r="F56" i="6"/>
  <c r="G56" i="6" s="1"/>
  <c r="I56" i="6" s="1"/>
  <c r="E60" i="5"/>
  <c r="F60" i="5" s="1"/>
  <c r="G60" i="5" s="1"/>
  <c r="H55" i="5"/>
  <c r="I31" i="7"/>
  <c r="E29" i="7"/>
  <c r="F31" i="7"/>
  <c r="I8" i="7"/>
  <c r="F8" i="7"/>
  <c r="E7" i="7"/>
  <c r="E42" i="7"/>
  <c r="I43" i="7"/>
  <c r="F43" i="7"/>
  <c r="E67" i="7"/>
  <c r="I69" i="7"/>
  <c r="F69" i="7"/>
  <c r="I38" i="7"/>
  <c r="E39" i="7"/>
  <c r="F38" i="7"/>
  <c r="H87" i="6"/>
  <c r="E89" i="6"/>
  <c r="F87" i="6"/>
  <c r="G87" i="6" s="1"/>
  <c r="G17" i="6"/>
  <c r="I17" i="6" s="1"/>
  <c r="T5" i="13"/>
  <c r="H60" i="8" s="1"/>
  <c r="D60" i="8"/>
  <c r="I21" i="8"/>
  <c r="E91" i="6"/>
  <c r="F83" i="6"/>
  <c r="G83" i="6" s="1"/>
  <c r="I83" i="6" s="1"/>
  <c r="H83" i="6"/>
  <c r="H14" i="6"/>
  <c r="F14" i="6"/>
  <c r="E7" i="6"/>
  <c r="I36" i="7"/>
  <c r="E37" i="7"/>
  <c r="F36" i="7"/>
  <c r="T9" i="13"/>
  <c r="H64" i="8" s="1"/>
  <c r="I25" i="8"/>
  <c r="D64" i="8"/>
  <c r="E37" i="6"/>
  <c r="H41" i="6"/>
  <c r="F41" i="6"/>
  <c r="G41" i="6" s="1"/>
  <c r="H72" i="5"/>
  <c r="G8" i="13" s="1"/>
  <c r="G9" i="8" s="1"/>
  <c r="F72" i="5"/>
  <c r="G72" i="5" s="1"/>
  <c r="E75" i="5"/>
  <c r="F76" i="5"/>
  <c r="G76" i="5" s="1"/>
  <c r="E66" i="5"/>
  <c r="F66" i="5" s="1"/>
  <c r="G66" i="5" s="1"/>
  <c r="H76" i="5"/>
  <c r="G12" i="13" s="1"/>
  <c r="G13" i="8" s="1"/>
  <c r="F60" i="7"/>
  <c r="I60" i="7"/>
  <c r="E61" i="7"/>
  <c r="I12" i="7"/>
  <c r="F12" i="7"/>
  <c r="E11" i="7"/>
  <c r="I81" i="7"/>
  <c r="E82" i="7"/>
  <c r="F81" i="7"/>
  <c r="E24" i="5"/>
  <c r="F24" i="5" s="1"/>
  <c r="G24" i="5" s="1"/>
  <c r="H29" i="5"/>
  <c r="D10" i="13" s="1"/>
  <c r="D11" i="8" s="1"/>
  <c r="H42" i="6"/>
  <c r="F42" i="6"/>
  <c r="G42" i="6" s="1"/>
  <c r="E47" i="6"/>
  <c r="F77" i="7"/>
  <c r="I77" i="7"/>
  <c r="E75" i="7"/>
  <c r="H12" i="6"/>
  <c r="E9" i="6"/>
  <c r="F12" i="6"/>
  <c r="H36" i="5"/>
  <c r="E2" i="13" s="1"/>
  <c r="E3" i="8" s="1"/>
  <c r="E42" i="5"/>
  <c r="F42" i="5" s="1"/>
  <c r="G42" i="5" s="1"/>
  <c r="E57" i="6"/>
  <c r="H51" i="6"/>
  <c r="F51" i="6"/>
  <c r="G51" i="6" s="1"/>
  <c r="I51" i="6" s="1"/>
  <c r="H62" i="5"/>
  <c r="E53" i="5"/>
  <c r="F53" i="5" s="1"/>
  <c r="G53" i="5" s="1"/>
  <c r="E32" i="7"/>
  <c r="F30" i="7"/>
  <c r="I30" i="7"/>
  <c r="F40" i="7"/>
  <c r="E41" i="7"/>
  <c r="I40" i="7"/>
  <c r="H32" i="6"/>
  <c r="F32" i="6"/>
  <c r="G32" i="6" s="1"/>
  <c r="E21" i="6"/>
  <c r="I16" i="7"/>
  <c r="E15" i="7"/>
  <c r="F16" i="7"/>
  <c r="E57" i="7"/>
  <c r="I56" i="7"/>
  <c r="F56" i="7"/>
  <c r="E75" i="6"/>
  <c r="H66" i="6"/>
  <c r="F66" i="6"/>
  <c r="G66" i="6" s="1"/>
  <c r="I66" i="6" s="1"/>
  <c r="D63" i="8"/>
  <c r="I24" i="8"/>
  <c r="T8" i="13"/>
  <c r="H63" i="8" s="1"/>
  <c r="F68" i="6"/>
  <c r="G68" i="6" s="1"/>
  <c r="I68" i="6" s="1"/>
  <c r="E70" i="6"/>
  <c r="H68" i="6"/>
  <c r="F9" i="6"/>
  <c r="H9" i="6"/>
  <c r="E12" i="6"/>
  <c r="E38" i="7"/>
  <c r="F39" i="7"/>
  <c r="I39" i="7"/>
  <c r="E40" i="6"/>
  <c r="H36" i="6"/>
  <c r="F36" i="6"/>
  <c r="G36" i="6" s="1"/>
  <c r="I36" i="6" s="1"/>
  <c r="H28" i="5"/>
  <c r="D9" i="13" s="1"/>
  <c r="D10" i="8" s="1"/>
  <c r="E31" i="5"/>
  <c r="F31" i="5" s="1"/>
  <c r="G31" i="5" s="1"/>
  <c r="I31" i="5" s="1"/>
  <c r="E69" i="5"/>
  <c r="F71" i="5"/>
  <c r="G71" i="5" s="1"/>
  <c r="H71" i="5"/>
  <c r="G7" i="13" s="1"/>
  <c r="G8" i="8" s="1"/>
  <c r="F62" i="7"/>
  <c r="I62" i="7"/>
  <c r="E59" i="7"/>
  <c r="E8" i="7"/>
  <c r="I7" i="7"/>
  <c r="F7" i="7"/>
  <c r="F89" i="7"/>
  <c r="E90" i="7"/>
  <c r="I89" i="7"/>
  <c r="E8" i="5"/>
  <c r="F8" i="5" s="1"/>
  <c r="H14" i="5"/>
  <c r="E13" i="6"/>
  <c r="H8" i="6"/>
  <c r="F8" i="6"/>
  <c r="E70" i="7"/>
  <c r="F72" i="7"/>
  <c r="I72" i="7"/>
  <c r="H43" i="5"/>
  <c r="E9" i="13" s="1"/>
  <c r="E10" i="8" s="1"/>
  <c r="E37" i="5"/>
  <c r="F37" i="5" s="1"/>
  <c r="G37" i="5" s="1"/>
  <c r="H57" i="6"/>
  <c r="F57" i="6"/>
  <c r="G57" i="6" s="1"/>
  <c r="I57" i="6" s="1"/>
  <c r="E51" i="6"/>
  <c r="H57" i="5"/>
  <c r="E52" i="5"/>
  <c r="F52" i="5" s="1"/>
  <c r="G52" i="5" s="1"/>
  <c r="E11" i="5"/>
  <c r="F11" i="5" s="1"/>
  <c r="H7" i="5"/>
  <c r="F32" i="7"/>
  <c r="I32" i="7"/>
  <c r="E30" i="7"/>
  <c r="H86" i="6"/>
  <c r="F86" i="6"/>
  <c r="G86" i="6" s="1"/>
  <c r="I86" i="6" s="1"/>
  <c r="E81" i="6"/>
  <c r="F76" i="6"/>
  <c r="G76" i="6" s="1"/>
  <c r="E72" i="6"/>
  <c r="H76" i="6"/>
  <c r="E86" i="6"/>
  <c r="H81" i="6"/>
  <c r="F81" i="6"/>
  <c r="G81" i="6" s="1"/>
  <c r="I81" i="6" s="1"/>
  <c r="F24" i="7"/>
  <c r="E22" i="7"/>
  <c r="I24" i="7"/>
  <c r="H74" i="5"/>
  <c r="G10" i="13" s="1"/>
  <c r="G11" i="8" s="1"/>
  <c r="E73" i="5"/>
  <c r="E45" i="5"/>
  <c r="F45" i="5" s="1"/>
  <c r="G45" i="5" s="1"/>
  <c r="H41" i="5"/>
  <c r="E7" i="13" s="1"/>
  <c r="E8" i="8" s="1"/>
  <c r="F38" i="6"/>
  <c r="G38" i="6" s="1"/>
  <c r="E45" i="6"/>
  <c r="H38" i="6"/>
  <c r="F16" i="6"/>
  <c r="E10" i="6"/>
  <c r="H16" i="6"/>
  <c r="F44" i="7"/>
  <c r="E45" i="7"/>
  <c r="I44" i="7"/>
  <c r="F88" i="6"/>
  <c r="G88" i="6" s="1"/>
  <c r="E90" i="6"/>
  <c r="H88" i="6"/>
  <c r="H13" i="5"/>
  <c r="F13" i="5"/>
  <c r="E17" i="5"/>
  <c r="F17" i="5" s="1"/>
  <c r="E76" i="5"/>
  <c r="H66" i="5"/>
  <c r="G2" i="13" s="1"/>
  <c r="G3" i="8" s="1"/>
  <c r="I66" i="7"/>
  <c r="E68" i="7"/>
  <c r="F66" i="7"/>
  <c r="F57" i="7"/>
  <c r="I57" i="7"/>
  <c r="E56" i="7"/>
  <c r="E83" i="7"/>
  <c r="F84" i="7"/>
  <c r="I84" i="7"/>
  <c r="H27" i="5"/>
  <c r="D8" i="13" s="1"/>
  <c r="D9" i="8" s="1"/>
  <c r="F27" i="5"/>
  <c r="G27" i="5" s="1"/>
  <c r="E32" i="5"/>
  <c r="F32" i="5" s="1"/>
  <c r="G32" i="5" s="1"/>
  <c r="E69" i="7"/>
  <c r="F67" i="7"/>
  <c r="I67" i="7"/>
  <c r="H14" i="7"/>
  <c r="G14" i="7"/>
  <c r="E46" i="5"/>
  <c r="F46" i="5" s="1"/>
  <c r="G46" i="5" s="1"/>
  <c r="H38" i="5"/>
  <c r="E4" i="13" s="1"/>
  <c r="E5" i="8" s="1"/>
  <c r="H62" i="6"/>
  <c r="F62" i="6"/>
  <c r="G62" i="6" s="1"/>
  <c r="I62" i="6" s="1"/>
  <c r="E53" i="6"/>
  <c r="H52" i="5"/>
  <c r="E57" i="5"/>
  <c r="F57" i="5" s="1"/>
  <c r="G57" i="5" s="1"/>
  <c r="E15" i="5"/>
  <c r="F15" i="5" s="1"/>
  <c r="H9" i="5"/>
  <c r="F9" i="5"/>
  <c r="E25" i="7"/>
  <c r="F27" i="7"/>
  <c r="I27" i="7"/>
  <c r="E89" i="5"/>
  <c r="H81" i="5"/>
  <c r="F81" i="5"/>
  <c r="G81" i="5" s="1"/>
  <c r="I81" i="5" s="1"/>
  <c r="H59" i="6"/>
  <c r="E56" i="6"/>
  <c r="F59" i="6"/>
  <c r="G59" i="6" s="1"/>
  <c r="E74" i="5"/>
  <c r="F74" i="5" s="1"/>
  <c r="G74" i="5" s="1"/>
  <c r="F73" i="5"/>
  <c r="G73" i="5" s="1"/>
  <c r="H73" i="5"/>
  <c r="G9" i="13" s="1"/>
  <c r="G10" i="8" s="1"/>
  <c r="E62" i="5"/>
  <c r="F62" i="5" s="1"/>
  <c r="G62" i="5" s="1"/>
  <c r="H53" i="5"/>
  <c r="T13" i="13"/>
  <c r="H68" i="8" s="1"/>
  <c r="D68" i="8"/>
  <c r="I29" i="8"/>
  <c r="E51" i="7"/>
  <c r="F54" i="7"/>
  <c r="I54" i="7"/>
  <c r="F61" i="6"/>
  <c r="G61" i="6" s="1"/>
  <c r="I61" i="6" s="1"/>
  <c r="E54" i="6"/>
  <c r="H61" i="6"/>
  <c r="H27" i="6"/>
  <c r="F27" i="6"/>
  <c r="G27" i="6" s="1"/>
  <c r="E30" i="6"/>
  <c r="H11" i="6"/>
  <c r="F11" i="6"/>
  <c r="E17" i="6"/>
  <c r="E47" i="7"/>
  <c r="I46" i="7"/>
  <c r="F46" i="7"/>
  <c r="E16" i="6"/>
  <c r="H10" i="6"/>
  <c r="F10" i="6"/>
  <c r="H90" i="6"/>
  <c r="F90" i="6"/>
  <c r="G90" i="6" s="1"/>
  <c r="E88" i="6"/>
  <c r="E84" i="5"/>
  <c r="F88" i="5"/>
  <c r="G88" i="5" s="1"/>
  <c r="H88" i="5"/>
  <c r="E29" i="6"/>
  <c r="F28" i="6"/>
  <c r="G28" i="6" s="1"/>
  <c r="H28" i="6"/>
  <c r="H21" i="5"/>
  <c r="D2" i="13" s="1"/>
  <c r="D3" i="8" s="1"/>
  <c r="E26" i="5"/>
  <c r="F26" i="5" s="1"/>
  <c r="G26" i="5" s="1"/>
  <c r="E53" i="7"/>
  <c r="F52" i="7"/>
  <c r="I52" i="7"/>
  <c r="H70" i="6"/>
  <c r="E68" i="6"/>
  <c r="F70" i="6"/>
  <c r="G70" i="6" s="1"/>
  <c r="I70" i="6" s="1"/>
  <c r="E92" i="7"/>
  <c r="I91" i="7"/>
  <c r="F91" i="7"/>
  <c r="H12" i="5"/>
  <c r="E16" i="5"/>
  <c r="F16" i="5" s="1"/>
  <c r="F73" i="6"/>
  <c r="G73" i="6" s="1"/>
  <c r="I73" i="6" s="1"/>
  <c r="H73" i="6"/>
  <c r="E77" i="6"/>
  <c r="E41" i="5"/>
  <c r="F41" i="5" s="1"/>
  <c r="G41" i="5" s="1"/>
  <c r="H45" i="5"/>
  <c r="E11" i="13" s="1"/>
  <c r="E12" i="8" s="1"/>
  <c r="H55" i="6"/>
  <c r="E60" i="6"/>
  <c r="F55" i="6"/>
  <c r="G55" i="6" s="1"/>
  <c r="H59" i="5"/>
  <c r="E56" i="5"/>
  <c r="F56" i="5" s="1"/>
  <c r="G56" i="5" s="1"/>
  <c r="H16" i="5"/>
  <c r="E12" i="5"/>
  <c r="F12" i="5" s="1"/>
  <c r="E24" i="7"/>
  <c r="I22" i="7"/>
  <c r="F22" i="7"/>
  <c r="E43" i="5"/>
  <c r="F43" i="5" s="1"/>
  <c r="G43" i="5" s="1"/>
  <c r="H37" i="5"/>
  <c r="E3" i="13" s="1"/>
  <c r="E4" i="8" s="1"/>
  <c r="H44" i="6"/>
  <c r="F44" i="6"/>
  <c r="G44" i="6" s="1"/>
  <c r="E39" i="6"/>
  <c r="E69" i="6"/>
  <c r="H71" i="6"/>
  <c r="F71" i="6"/>
  <c r="G71" i="6" s="1"/>
  <c r="I71" i="6" s="1"/>
  <c r="F15" i="7"/>
  <c r="E16" i="7"/>
  <c r="I15" i="7"/>
  <c r="C16" i="11"/>
  <c r="C14" i="11"/>
  <c r="G15" i="11"/>
  <c r="G13" i="11"/>
  <c r="E15" i="11"/>
  <c r="E13" i="11"/>
  <c r="G16" i="11"/>
  <c r="F16" i="11"/>
  <c r="F14" i="11"/>
  <c r="E16" i="11"/>
  <c r="E14" i="11"/>
  <c r="D16" i="11"/>
  <c r="D14" i="11"/>
  <c r="G14" i="11"/>
  <c r="F13" i="11"/>
  <c r="D13" i="11"/>
  <c r="C13" i="11"/>
  <c r="F15" i="11"/>
  <c r="C15" i="11"/>
  <c r="D15" i="11"/>
  <c r="H7" i="6"/>
  <c r="E14" i="6"/>
  <c r="F7" i="6"/>
  <c r="H6" i="6"/>
  <c r="F6" i="6"/>
  <c r="E15" i="6"/>
  <c r="F45" i="7"/>
  <c r="I45" i="7"/>
  <c r="E44" i="7"/>
  <c r="E30" i="5"/>
  <c r="F30" i="5" s="1"/>
  <c r="G30" i="5" s="1"/>
  <c r="H23" i="5"/>
  <c r="D4" i="13" s="1"/>
  <c r="D5" i="8" s="1"/>
  <c r="H82" i="6"/>
  <c r="F82" i="6"/>
  <c r="G82" i="6" s="1"/>
  <c r="E85" i="6"/>
  <c r="H89" i="5"/>
  <c r="F89" i="5"/>
  <c r="G89" i="5" s="1"/>
  <c r="E81" i="5"/>
  <c r="E27" i="6"/>
  <c r="H30" i="6"/>
  <c r="F30" i="6"/>
  <c r="G30" i="6" s="1"/>
  <c r="I30" i="6" s="1"/>
  <c r="E10" i="5"/>
  <c r="F10" i="5" s="1"/>
  <c r="H6" i="5"/>
  <c r="E6" i="7"/>
  <c r="I9" i="7"/>
  <c r="F9" i="7"/>
  <c r="H26" i="5"/>
  <c r="D7" i="13" s="1"/>
  <c r="D8" i="8" s="1"/>
  <c r="E21" i="5"/>
  <c r="F21" i="5" s="1"/>
  <c r="G21" i="5" s="1"/>
  <c r="F90" i="7"/>
  <c r="E89" i="7"/>
  <c r="I90" i="7"/>
  <c r="H24" i="5"/>
  <c r="D5" i="13" s="1"/>
  <c r="D6" i="8" s="1"/>
  <c r="E29" i="5"/>
  <c r="F29" i="5" s="1"/>
  <c r="G29" i="5" s="1"/>
  <c r="I68" i="7"/>
  <c r="E66" i="7"/>
  <c r="F68" i="7"/>
  <c r="H75" i="6"/>
  <c r="E66" i="6"/>
  <c r="F75" i="6"/>
  <c r="G75" i="6" s="1"/>
  <c r="E38" i="5"/>
  <c r="F38" i="5" s="1"/>
  <c r="G38" i="5" s="1"/>
  <c r="H46" i="5"/>
  <c r="E12" i="13" s="1"/>
  <c r="E13" i="8" s="1"/>
  <c r="F53" i="6"/>
  <c r="G53" i="6" s="1"/>
  <c r="E62" i="6"/>
  <c r="H53" i="6"/>
  <c r="H61" i="5"/>
  <c r="E54" i="5"/>
  <c r="F54" i="5" s="1"/>
  <c r="G54" i="5" s="1"/>
  <c r="E27" i="7"/>
  <c r="F25" i="7"/>
  <c r="I25" i="7"/>
  <c r="I75" i="5"/>
  <c r="H10" i="9"/>
  <c r="H9" i="9"/>
  <c r="H12" i="9"/>
  <c r="H11" i="9"/>
  <c r="E31" i="6"/>
  <c r="H22" i="6"/>
  <c r="F22" i="6"/>
  <c r="G22" i="6" s="1"/>
  <c r="E6" i="5"/>
  <c r="F6" i="5" s="1"/>
  <c r="H10" i="5"/>
  <c r="E24" i="6"/>
  <c r="H25" i="6"/>
  <c r="F25" i="6"/>
  <c r="G25" i="6" s="1"/>
  <c r="F13" i="6"/>
  <c r="E8" i="6"/>
  <c r="H13" i="6"/>
  <c r="H92" i="5"/>
  <c r="E85" i="5"/>
  <c r="F92" i="5"/>
  <c r="G92" i="5" s="1"/>
  <c r="H85" i="5"/>
  <c r="E92" i="5"/>
  <c r="F85" i="5"/>
  <c r="G85" i="5" s="1"/>
  <c r="I85" i="5" s="1"/>
  <c r="E85" i="7"/>
  <c r="I86" i="7"/>
  <c r="F86" i="7"/>
  <c r="F47" i="7"/>
  <c r="I47" i="7"/>
  <c r="E46" i="7"/>
  <c r="E14" i="5"/>
  <c r="F14" i="5" s="1"/>
  <c r="H8" i="5"/>
  <c r="H89" i="6"/>
  <c r="F89" i="6"/>
  <c r="G89" i="6" s="1"/>
  <c r="I89" i="6" s="1"/>
  <c r="E87" i="6"/>
  <c r="F84" i="5"/>
  <c r="G84" i="5" s="1"/>
  <c r="H84" i="5"/>
  <c r="E88" i="5"/>
  <c r="H29" i="6"/>
  <c r="F29" i="6"/>
  <c r="G29" i="6" s="1"/>
  <c r="I29" i="6" s="1"/>
  <c r="E28" i="6"/>
  <c r="I58" i="7"/>
  <c r="E55" i="7"/>
  <c r="F58" i="7"/>
  <c r="E12" i="7"/>
  <c r="I11" i="7"/>
  <c r="F11" i="7"/>
  <c r="H11" i="5"/>
  <c r="E7" i="5"/>
  <c r="F7" i="5" s="1"/>
  <c r="F92" i="7"/>
  <c r="I92" i="7"/>
  <c r="E91" i="7"/>
  <c r="E84" i="6"/>
  <c r="H92" i="6"/>
  <c r="F92" i="6"/>
  <c r="G92" i="6" s="1"/>
  <c r="I73" i="7"/>
  <c r="F73" i="7"/>
  <c r="E71" i="7"/>
  <c r="H67" i="6"/>
  <c r="E74" i="6"/>
  <c r="F67" i="6"/>
  <c r="G67" i="6" s="1"/>
  <c r="I67" i="6" s="1"/>
  <c r="E44" i="5"/>
  <c r="F44" i="5" s="1"/>
  <c r="G44" i="5" s="1"/>
  <c r="H40" i="5"/>
  <c r="E6" i="13" s="1"/>
  <c r="E7" i="8" s="1"/>
  <c r="E52" i="6"/>
  <c r="F58" i="6"/>
  <c r="G58" i="6" s="1"/>
  <c r="I58" i="6" s="1"/>
  <c r="H58" i="6"/>
  <c r="H56" i="5"/>
  <c r="E59" i="5"/>
  <c r="F59" i="5" s="1"/>
  <c r="G59" i="5" s="1"/>
  <c r="I28" i="7"/>
  <c r="F28" i="7"/>
  <c r="E26" i="7"/>
  <c r="I51" i="7"/>
  <c r="E54" i="7"/>
  <c r="F51" i="7"/>
  <c r="I21" i="7"/>
  <c r="E23" i="7"/>
  <c r="F21" i="7"/>
  <c r="H15" i="9"/>
  <c r="H14" i="9"/>
  <c r="H13" i="9"/>
  <c r="E87" i="7"/>
  <c r="I88" i="7"/>
  <c r="F88" i="7"/>
  <c r="F85" i="7"/>
  <c r="I85" i="7"/>
  <c r="E86" i="7"/>
  <c r="T3" i="13"/>
  <c r="D58" i="8"/>
  <c r="I19" i="8"/>
  <c r="H70" i="5"/>
  <c r="G6" i="13" s="1"/>
  <c r="G7" i="8" s="1"/>
  <c r="E68" i="5"/>
  <c r="F70" i="5"/>
  <c r="G70" i="5" s="1"/>
  <c r="E23" i="5"/>
  <c r="F23" i="5" s="1"/>
  <c r="G23" i="5" s="1"/>
  <c r="H30" i="5"/>
  <c r="D11" i="13" s="1"/>
  <c r="D12" i="8" s="1"/>
  <c r="F42" i="7"/>
  <c r="E43" i="7"/>
  <c r="I42" i="7"/>
  <c r="E46" i="6"/>
  <c r="F43" i="6"/>
  <c r="G43" i="6" s="1"/>
  <c r="I43" i="6" s="1"/>
  <c r="H43" i="6"/>
  <c r="F84" i="6"/>
  <c r="G84" i="6" s="1"/>
  <c r="H84" i="6"/>
  <c r="E92" i="6"/>
  <c r="F91" i="5"/>
  <c r="G91" i="5" s="1"/>
  <c r="E86" i="5"/>
  <c r="H91" i="5"/>
  <c r="F24" i="6"/>
  <c r="G24" i="6" s="1"/>
  <c r="H24" i="6"/>
  <c r="E25" i="6"/>
  <c r="F55" i="7"/>
  <c r="I55" i="7"/>
  <c r="E58" i="7"/>
  <c r="F10" i="7"/>
  <c r="E13" i="7"/>
  <c r="I10" i="7"/>
  <c r="F87" i="7"/>
  <c r="I87" i="7"/>
  <c r="E88" i="7"/>
  <c r="H77" i="6"/>
  <c r="F77" i="6"/>
  <c r="G77" i="6" s="1"/>
  <c r="I77" i="6" s="1"/>
  <c r="E73" i="6"/>
  <c r="E87" i="5"/>
  <c r="H83" i="5"/>
  <c r="F83" i="5"/>
  <c r="G83" i="5" s="1"/>
  <c r="E72" i="7"/>
  <c r="F70" i="7"/>
  <c r="I70" i="7"/>
  <c r="H74" i="6"/>
  <c r="F74" i="6"/>
  <c r="G74" i="6" s="1"/>
  <c r="I74" i="6" s="1"/>
  <c r="E67" i="6"/>
  <c r="E39" i="5"/>
  <c r="H47" i="5"/>
  <c r="E13" i="13" s="1"/>
  <c r="E14" i="8" s="1"/>
  <c r="H60" i="6"/>
  <c r="F60" i="6"/>
  <c r="G60" i="6" s="1"/>
  <c r="E55" i="6"/>
  <c r="H51" i="5"/>
  <c r="E58" i="5"/>
  <c r="F58" i="5" s="1"/>
  <c r="G58" i="5" s="1"/>
  <c r="I23" i="7"/>
  <c r="E21" i="7"/>
  <c r="F23" i="7"/>
  <c r="I70" i="5" l="1"/>
  <c r="I74" i="5"/>
  <c r="I77" i="5"/>
  <c r="F7" i="13"/>
  <c r="F8" i="8" s="1"/>
  <c r="F11" i="13"/>
  <c r="F12" i="8" s="1"/>
  <c r="F3" i="13"/>
  <c r="F4" i="8" s="1"/>
  <c r="F9" i="13"/>
  <c r="F10" i="8" s="1"/>
  <c r="F10" i="13"/>
  <c r="F11" i="8" s="1"/>
  <c r="F5" i="13"/>
  <c r="F6" i="8" s="1"/>
  <c r="F6" i="13"/>
  <c r="F7" i="8" s="1"/>
  <c r="F2" i="13"/>
  <c r="F3" i="8" s="1"/>
  <c r="F8" i="13"/>
  <c r="F9" i="8" s="1"/>
  <c r="F12" i="13"/>
  <c r="F13" i="8" s="1"/>
  <c r="F4" i="13"/>
  <c r="F5" i="8" s="1"/>
  <c r="F13" i="13"/>
  <c r="F14" i="8" s="1"/>
  <c r="I55" i="5"/>
  <c r="I54" i="5"/>
  <c r="I56" i="5"/>
  <c r="I52" i="5"/>
  <c r="I57" i="5"/>
  <c r="I58" i="5"/>
  <c r="I60" i="5"/>
  <c r="I59" i="5"/>
  <c r="I51" i="5"/>
  <c r="I46" i="5"/>
  <c r="I42" i="5"/>
  <c r="I36" i="5"/>
  <c r="I40" i="5"/>
  <c r="I41" i="5"/>
  <c r="I37" i="5"/>
  <c r="I47" i="5"/>
  <c r="I44" i="5"/>
  <c r="I43" i="5"/>
  <c r="I25" i="5"/>
  <c r="I32" i="5"/>
  <c r="I24" i="5"/>
  <c r="I28" i="5"/>
  <c r="I27" i="5"/>
  <c r="I29" i="5"/>
  <c r="I67" i="5"/>
  <c r="J3" i="13"/>
  <c r="J4" i="8" s="1"/>
  <c r="G7" i="5"/>
  <c r="I7" i="5" s="1"/>
  <c r="J6" i="13"/>
  <c r="J7" i="8" s="1"/>
  <c r="G10" i="5"/>
  <c r="I10" i="5" s="1"/>
  <c r="J8" i="13"/>
  <c r="J9" i="8" s="1"/>
  <c r="G12" i="5"/>
  <c r="I12" i="5" s="1"/>
  <c r="J11" i="13"/>
  <c r="J12" i="8" s="1"/>
  <c r="G15" i="5"/>
  <c r="I15" i="5" s="1"/>
  <c r="J10" i="13"/>
  <c r="J11" i="8" s="1"/>
  <c r="G14" i="5"/>
  <c r="I14" i="5" s="1"/>
  <c r="G55" i="7"/>
  <c r="H55" i="7"/>
  <c r="H12" i="7"/>
  <c r="G12" i="7"/>
  <c r="H7" i="7"/>
  <c r="G7" i="7"/>
  <c r="H47" i="7"/>
  <c r="G47" i="7"/>
  <c r="H84" i="7"/>
  <c r="G84" i="7"/>
  <c r="J9" i="13"/>
  <c r="J10" i="8" s="1"/>
  <c r="G13" i="5"/>
  <c r="I13" i="5" s="1"/>
  <c r="H72" i="7"/>
  <c r="G72" i="7"/>
  <c r="I32" i="6"/>
  <c r="I42" i="6"/>
  <c r="H75" i="7"/>
  <c r="G75" i="7"/>
  <c r="I22" i="5"/>
  <c r="I52" i="6"/>
  <c r="I68" i="5"/>
  <c r="H53" i="7"/>
  <c r="G53" i="7"/>
  <c r="I45" i="6"/>
  <c r="I23" i="5"/>
  <c r="H15" i="7"/>
  <c r="G15" i="7"/>
  <c r="H42" i="7"/>
  <c r="G42" i="7"/>
  <c r="H23" i="7"/>
  <c r="G23" i="7"/>
  <c r="H88" i="7"/>
  <c r="G88" i="7"/>
  <c r="H86" i="7"/>
  <c r="G86" i="7"/>
  <c r="I25" i="6"/>
  <c r="J12" i="13"/>
  <c r="J13" i="8" s="1"/>
  <c r="G16" i="5"/>
  <c r="I16" i="5" s="1"/>
  <c r="G52" i="7"/>
  <c r="H52" i="7"/>
  <c r="I90" i="6"/>
  <c r="I27" i="6"/>
  <c r="H27" i="7"/>
  <c r="G27" i="7"/>
  <c r="I38" i="6"/>
  <c r="H60" i="7"/>
  <c r="G60" i="7"/>
  <c r="H43" i="7"/>
  <c r="G43" i="7"/>
  <c r="H17" i="7"/>
  <c r="G17" i="7"/>
  <c r="I46" i="6"/>
  <c r="H59" i="7"/>
  <c r="G59" i="7"/>
  <c r="H24" i="7"/>
  <c r="G24" i="7"/>
  <c r="G6" i="7"/>
  <c r="H6" i="7"/>
  <c r="H76" i="7"/>
  <c r="G76" i="7"/>
  <c r="I24" i="6"/>
  <c r="C12" i="13"/>
  <c r="H87" i="7"/>
  <c r="G87" i="7"/>
  <c r="I91" i="5"/>
  <c r="I30" i="5"/>
  <c r="C7" i="13"/>
  <c r="I84" i="5"/>
  <c r="I75" i="6"/>
  <c r="S6" i="13"/>
  <c r="J22" i="8" s="1"/>
  <c r="G10" i="6"/>
  <c r="I10" i="6" s="1"/>
  <c r="J5" i="13"/>
  <c r="J6" i="8" s="1"/>
  <c r="G9" i="5"/>
  <c r="I9" i="5" s="1"/>
  <c r="H39" i="7"/>
  <c r="G39" i="7"/>
  <c r="S13" i="13"/>
  <c r="J29" i="8" s="1"/>
  <c r="G61" i="7"/>
  <c r="H61" i="7"/>
  <c r="H41" i="7"/>
  <c r="G41" i="7"/>
  <c r="G37" i="7"/>
  <c r="H37" i="7"/>
  <c r="H58" i="8"/>
  <c r="B6" i="9"/>
  <c r="G22" i="7"/>
  <c r="H22" i="7"/>
  <c r="I88" i="5"/>
  <c r="S7" i="13"/>
  <c r="J23" i="8" s="1"/>
  <c r="G11" i="6"/>
  <c r="I11" i="6" s="1"/>
  <c r="S12" i="13"/>
  <c r="J28" i="8" s="1"/>
  <c r="G16" i="6"/>
  <c r="I16" i="6" s="1"/>
  <c r="G32" i="7"/>
  <c r="H32" i="7"/>
  <c r="J13" i="13"/>
  <c r="J14" i="8" s="1"/>
  <c r="G17" i="5"/>
  <c r="G85" i="7"/>
  <c r="H85" i="7"/>
  <c r="J7" i="13"/>
  <c r="J8" i="8" s="1"/>
  <c r="G11" i="5"/>
  <c r="I11" i="5" s="1"/>
  <c r="H90" i="7"/>
  <c r="G90" i="7"/>
  <c r="B9" i="9"/>
  <c r="H11" i="7"/>
  <c r="G11" i="7"/>
  <c r="G25" i="7"/>
  <c r="H25" i="7"/>
  <c r="I26" i="5"/>
  <c r="I89" i="5"/>
  <c r="S2" i="13"/>
  <c r="J18" i="8" s="1"/>
  <c r="G6" i="6"/>
  <c r="I6" i="6" s="1"/>
  <c r="I44" i="6"/>
  <c r="I21" i="5"/>
  <c r="I73" i="5"/>
  <c r="H57" i="7"/>
  <c r="G57" i="7"/>
  <c r="I88" i="6"/>
  <c r="I76" i="6"/>
  <c r="H62" i="7"/>
  <c r="G62" i="7"/>
  <c r="G40" i="7"/>
  <c r="H40" i="7"/>
  <c r="I76" i="5"/>
  <c r="I87" i="6"/>
  <c r="I39" i="6"/>
  <c r="I47" i="6"/>
  <c r="J4" i="13"/>
  <c r="J5" i="8" s="1"/>
  <c r="G8" i="5"/>
  <c r="I8" i="5" s="1"/>
  <c r="H89" i="7"/>
  <c r="G89" i="7"/>
  <c r="I91" i="6"/>
  <c r="I38" i="5"/>
  <c r="C6" i="13"/>
  <c r="G66" i="7"/>
  <c r="H66" i="7"/>
  <c r="H56" i="7"/>
  <c r="G56" i="7"/>
  <c r="S8" i="13"/>
  <c r="J24" i="8" s="1"/>
  <c r="G12" i="6"/>
  <c r="I12" i="6" s="1"/>
  <c r="G81" i="7"/>
  <c r="H81" i="7"/>
  <c r="G8" i="7"/>
  <c r="H8" i="7"/>
  <c r="G15" i="6"/>
  <c r="I15" i="6" s="1"/>
  <c r="S11" i="13"/>
  <c r="J27" i="8" s="1"/>
  <c r="H74" i="7"/>
  <c r="G74" i="7"/>
  <c r="H71" i="7"/>
  <c r="G71" i="7"/>
  <c r="H69" i="7"/>
  <c r="G69" i="7"/>
  <c r="I53" i="6"/>
  <c r="I45" i="5"/>
  <c r="B8" i="9"/>
  <c r="H45" i="7"/>
  <c r="G45" i="7"/>
  <c r="G70" i="7"/>
  <c r="H70" i="7"/>
  <c r="I84" i="6"/>
  <c r="I61" i="5"/>
  <c r="H68" i="7"/>
  <c r="G68" i="7"/>
  <c r="H9" i="7"/>
  <c r="G9" i="7"/>
  <c r="S3" i="13"/>
  <c r="J19" i="8" s="1"/>
  <c r="G7" i="6"/>
  <c r="I7" i="6" s="1"/>
  <c r="I55" i="6"/>
  <c r="G91" i="7"/>
  <c r="H91" i="7"/>
  <c r="H46" i="7"/>
  <c r="G46" i="7"/>
  <c r="I59" i="6"/>
  <c r="G67" i="7"/>
  <c r="H67" i="7"/>
  <c r="C10" i="13"/>
  <c r="I71" i="5"/>
  <c r="H30" i="7"/>
  <c r="G30" i="7"/>
  <c r="I72" i="5"/>
  <c r="S10" i="13"/>
  <c r="J26" i="8" s="1"/>
  <c r="G14" i="6"/>
  <c r="I14" i="6" s="1"/>
  <c r="I39" i="5"/>
  <c r="I69" i="5"/>
  <c r="I54" i="6"/>
  <c r="I82" i="5"/>
  <c r="C11" i="13"/>
  <c r="G51" i="7"/>
  <c r="H51" i="7"/>
  <c r="H28" i="7"/>
  <c r="G28" i="7"/>
  <c r="H73" i="7"/>
  <c r="G73" i="7"/>
  <c r="G10" i="7"/>
  <c r="H10" i="7"/>
  <c r="I83" i="5"/>
  <c r="G21" i="7"/>
  <c r="H21" i="7"/>
  <c r="I92" i="6"/>
  <c r="H58" i="7"/>
  <c r="G58" i="7"/>
  <c r="I92" i="5"/>
  <c r="I22" i="6"/>
  <c r="I82" i="6"/>
  <c r="I28" i="6"/>
  <c r="H54" i="7"/>
  <c r="G54" i="7"/>
  <c r="H44" i="7"/>
  <c r="G44" i="7"/>
  <c r="S5" i="13"/>
  <c r="J21" i="8" s="1"/>
  <c r="G9" i="6"/>
  <c r="I9" i="6" s="1"/>
  <c r="H38" i="7"/>
  <c r="G38" i="7"/>
  <c r="H29" i="7"/>
  <c r="G29" i="7"/>
  <c r="H26" i="7"/>
  <c r="G26" i="7"/>
  <c r="I86" i="5"/>
  <c r="G6" i="5"/>
  <c r="I6" i="5" s="1"/>
  <c r="J2" i="13"/>
  <c r="J3" i="8" s="1"/>
  <c r="H77" i="7"/>
  <c r="G77" i="7"/>
  <c r="H92" i="7"/>
  <c r="G92" i="7"/>
  <c r="S9" i="13"/>
  <c r="J25" i="8" s="1"/>
  <c r="G13" i="6"/>
  <c r="I13" i="6" s="1"/>
  <c r="I53" i="5"/>
  <c r="S4" i="13"/>
  <c r="J20" i="8" s="1"/>
  <c r="G8" i="6"/>
  <c r="I8" i="6" s="1"/>
  <c r="G36" i="7"/>
  <c r="H36" i="7"/>
  <c r="I60" i="6"/>
  <c r="I66" i="5"/>
  <c r="H16" i="7"/>
  <c r="G16" i="7"/>
  <c r="I62" i="5"/>
  <c r="I41" i="6"/>
  <c r="H31" i="7"/>
  <c r="G31" i="7"/>
  <c r="I23" i="6"/>
  <c r="H83" i="7"/>
  <c r="G83" i="7"/>
  <c r="H13" i="7"/>
  <c r="G13" i="7"/>
  <c r="I21" i="6"/>
  <c r="G82" i="7"/>
  <c r="H82" i="7"/>
  <c r="C8" i="13" l="1"/>
  <c r="I8" i="13" s="1"/>
  <c r="C4" i="13"/>
  <c r="I4" i="13" s="1"/>
  <c r="C3" i="13"/>
  <c r="K4" i="8" s="1"/>
  <c r="C5" i="13"/>
  <c r="K6" i="8" s="1"/>
  <c r="I11" i="13"/>
  <c r="C12" i="8"/>
  <c r="K12" i="8"/>
  <c r="C9" i="13"/>
  <c r="K8" i="8"/>
  <c r="I7" i="13"/>
  <c r="C8" i="8"/>
  <c r="I17" i="5"/>
  <c r="C13" i="13"/>
  <c r="C2" i="13"/>
  <c r="I6" i="13"/>
  <c r="K7" i="8"/>
  <c r="C7" i="8"/>
  <c r="K13" i="8"/>
  <c r="I12" i="13"/>
  <c r="C13" i="8"/>
  <c r="I10" i="13"/>
  <c r="C11" i="8"/>
  <c r="K11" i="8"/>
  <c r="C4" i="8" l="1"/>
  <c r="I3" i="13"/>
  <c r="C58" i="8" s="1"/>
  <c r="I5" i="13"/>
  <c r="AE5" i="13" s="1"/>
  <c r="C9" i="8"/>
  <c r="K5" i="8"/>
  <c r="C5" i="8"/>
  <c r="C6" i="8"/>
  <c r="K9" i="8"/>
  <c r="I8" i="8"/>
  <c r="C62" i="8"/>
  <c r="K7" i="13"/>
  <c r="G62" i="8" s="1"/>
  <c r="AE7" i="13"/>
  <c r="K10" i="8"/>
  <c r="C10" i="8"/>
  <c r="I9" i="13"/>
  <c r="AE8" i="13"/>
  <c r="C63" i="8"/>
  <c r="I9" i="8"/>
  <c r="K8" i="13"/>
  <c r="G63" i="8" s="1"/>
  <c r="K14" i="8"/>
  <c r="I13" i="13"/>
  <c r="C14" i="8"/>
  <c r="K4" i="13"/>
  <c r="G59" i="8" s="1"/>
  <c r="AE4" i="13"/>
  <c r="C59" i="8"/>
  <c r="I5" i="8"/>
  <c r="AE10" i="13"/>
  <c r="C65" i="8"/>
  <c r="K10" i="13"/>
  <c r="G65" i="8" s="1"/>
  <c r="I11" i="8"/>
  <c r="AE6" i="13"/>
  <c r="I7" i="8"/>
  <c r="K6" i="13"/>
  <c r="G61" i="8" s="1"/>
  <c r="C61" i="8"/>
  <c r="I2" i="13"/>
  <c r="K3" i="8"/>
  <c r="C3" i="8"/>
  <c r="K12" i="13"/>
  <c r="G67" i="8" s="1"/>
  <c r="AE12" i="13"/>
  <c r="C67" i="8"/>
  <c r="I13" i="8"/>
  <c r="C66" i="8"/>
  <c r="K11" i="13"/>
  <c r="G66" i="8" s="1"/>
  <c r="I12" i="8"/>
  <c r="AE11" i="13"/>
  <c r="K5" i="13" l="1"/>
  <c r="G60" i="8" s="1"/>
  <c r="I6" i="8"/>
  <c r="C60" i="8"/>
  <c r="I4" i="8"/>
  <c r="K3" i="13"/>
  <c r="G58" i="8" s="1"/>
  <c r="AE3" i="13"/>
  <c r="AF3" i="13" s="1"/>
  <c r="I42" i="9"/>
  <c r="F59" i="8"/>
  <c r="AF4" i="13"/>
  <c r="I46" i="9"/>
  <c r="F63" i="8"/>
  <c r="AF8" i="13"/>
  <c r="I3" i="8"/>
  <c r="K2" i="13"/>
  <c r="AE2" i="13"/>
  <c r="C57" i="8"/>
  <c r="AE13" i="13"/>
  <c r="C68" i="8"/>
  <c r="K13" i="13"/>
  <c r="G68" i="8" s="1"/>
  <c r="I14" i="8"/>
  <c r="I45" i="9"/>
  <c r="F62" i="8"/>
  <c r="AF7" i="13"/>
  <c r="K9" i="13"/>
  <c r="G64" i="8" s="1"/>
  <c r="AE9" i="13"/>
  <c r="C64" i="8"/>
  <c r="I10" i="8"/>
  <c r="I50" i="9"/>
  <c r="AF12" i="13"/>
  <c r="F67" i="8"/>
  <c r="AF5" i="13"/>
  <c r="I43" i="9"/>
  <c r="F60" i="8"/>
  <c r="I48" i="9"/>
  <c r="AF10" i="13"/>
  <c r="F65" i="8"/>
  <c r="F66" i="8"/>
  <c r="AF11" i="13"/>
  <c r="I49" i="9"/>
  <c r="F61" i="8"/>
  <c r="AF6" i="13"/>
  <c r="I44" i="9"/>
  <c r="F58" i="8" l="1"/>
  <c r="I41" i="9"/>
  <c r="AF9" i="13"/>
  <c r="I47" i="9"/>
  <c r="F64" i="8"/>
  <c r="F57" i="8"/>
  <c r="I40" i="9"/>
  <c r="AF2" i="13"/>
  <c r="B5" i="9"/>
  <c r="G57" i="8"/>
  <c r="AF13" i="13"/>
  <c r="I51" i="9"/>
  <c r="F68" i="8"/>
  <c r="F5" i="9" l="1"/>
  <c r="E5" i="9"/>
  <c r="B17" i="9" l="1"/>
  <c r="B5" i="10" s="1"/>
  <c r="B14" i="10" s="1"/>
  <c r="A6" i="11" s="1"/>
  <c r="E6" i="9"/>
  <c r="B18" i="9" l="1"/>
  <c r="B6" i="10" s="1"/>
  <c r="B15" i="10" s="1"/>
  <c r="A7" i="11" s="1"/>
  <c r="F6" i="9"/>
  <c r="E7" i="9"/>
  <c r="E8" i="9" s="1"/>
  <c r="A22" i="11"/>
  <c r="B13" i="11"/>
  <c r="B20" i="9" l="1"/>
  <c r="B8" i="10" s="1"/>
  <c r="B17" i="10" s="1"/>
  <c r="A9" i="11" s="1"/>
  <c r="F8" i="9"/>
  <c r="E9" i="9"/>
  <c r="J45" i="9" s="1"/>
  <c r="K45" i="9" s="1"/>
  <c r="F7" i="9"/>
  <c r="B19" i="9"/>
  <c r="B7" i="10" s="1"/>
  <c r="B16" i="10" s="1"/>
  <c r="A8" i="11" s="1"/>
  <c r="A23" i="11"/>
  <c r="B14" i="11"/>
  <c r="J46" i="9" l="1"/>
  <c r="K46" i="9" s="1"/>
  <c r="J49" i="9"/>
  <c r="K49" i="9" s="1"/>
  <c r="J42" i="9"/>
  <c r="K42" i="9" s="1"/>
  <c r="A24" i="11"/>
  <c r="B15" i="11"/>
  <c r="F9" i="9"/>
  <c r="B21" i="9"/>
  <c r="B9" i="10" s="1"/>
  <c r="B18" i="10" s="1"/>
  <c r="J41" i="9"/>
  <c r="K41" i="9" s="1"/>
  <c r="J47" i="9"/>
  <c r="K47" i="9" s="1"/>
  <c r="J51" i="9"/>
  <c r="K51" i="9" s="1"/>
  <c r="J50" i="9"/>
  <c r="K50" i="9" s="1"/>
  <c r="J44" i="9"/>
  <c r="K44" i="9" s="1"/>
  <c r="J48" i="9"/>
  <c r="K48" i="9" s="1"/>
  <c r="J43" i="9"/>
  <c r="K43" i="9" s="1"/>
  <c r="J40" i="9"/>
  <c r="K40" i="9" s="1"/>
  <c r="A25" i="11"/>
  <c r="B16" i="1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<sst xmlns="http://schemas.openxmlformats.org/spreadsheetml/2006/main" count="3973" uniqueCount="346">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</sst>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4" fillId="0" borderId="0" xfId="0" applyFont="1"/>
    <xf numFmtId="0" fontId="5" fillId="0" borderId="0" xfId="0" applyFont="1"/>
    <xf numFmtId="0" fontId="6" fillId="5" borderId="1" xfId="0" applyFont="1" applyFill="1" applyBorder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B16" sqref="B16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2" t="s">
        <v>0</v>
      </c>
      <c r="B1" s="22"/>
      <c r="C1" s="22"/>
      <c r="D1" s="22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5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3" t="s">
        <v>25</v>
      </c>
      <c r="B1" s="23"/>
      <c r="C1" s="23"/>
      <c r="D1" s="23"/>
      <c r="E1" s="23"/>
      <c r="F1" s="23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3" t="s">
        <v>36</v>
      </c>
      <c r="B56" s="23"/>
      <c r="C56" s="23"/>
      <c r="D56" s="23"/>
      <c r="E56" s="23"/>
      <c r="F56" s="23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3" t="s">
        <v>43</v>
      </c>
      <c r="B111" s="23"/>
      <c r="C111" s="23"/>
      <c r="D111" s="23"/>
      <c r="E111" s="23"/>
      <c r="F111" s="23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tabSelected="1" topLeftCell="A60" zoomScaleNormal="100" workbookViewId="0">
      <selection activeCell="X84" sqref="X84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24" t="s">
        <v>50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 spans="1:17" ht="15" customHeight="1" x14ac:dyDescent="0.25">
      <c r="A2" s="25" t="s">
        <v>51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</row>
    <row r="4" spans="1:17" ht="15" customHeight="1" x14ac:dyDescent="0.25">
      <c r="A4" s="26" t="s">
        <v>52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 t="s">
        <v>88</v>
      </c>
      <c r="H21" s="10" t="s">
        <v>87</v>
      </c>
      <c r="I21" s="10" t="s">
        <v>88</v>
      </c>
      <c r="J21" s="10" t="s">
        <v>87</v>
      </c>
      <c r="K21" s="10" t="s">
        <v>88</v>
      </c>
      <c r="L21" s="10" t="s">
        <v>87</v>
      </c>
      <c r="M21" s="10" t="s">
        <v>87</v>
      </c>
      <c r="N21" s="10" t="s">
        <v>87</v>
      </c>
      <c r="O21" s="10" t="s">
        <v>87</v>
      </c>
      <c r="P21" s="10" t="s">
        <v>87</v>
      </c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41</v>
      </c>
      <c r="F22" s="14">
        <v>43</v>
      </c>
      <c r="G22" s="14">
        <v>50</v>
      </c>
      <c r="H22" s="14">
        <v>39</v>
      </c>
      <c r="I22" s="14">
        <v>40</v>
      </c>
      <c r="J22" s="14">
        <v>30</v>
      </c>
      <c r="K22" s="14">
        <v>42</v>
      </c>
      <c r="L22" s="14">
        <v>52</v>
      </c>
      <c r="M22" s="14">
        <v>46</v>
      </c>
      <c r="N22" s="14">
        <v>44</v>
      </c>
      <c r="O22" s="14">
        <v>34</v>
      </c>
      <c r="P22" s="14">
        <v>41</v>
      </c>
      <c r="Q22" s="14">
        <v>51</v>
      </c>
    </row>
    <row r="23" spans="1:17" ht="15" customHeight="1" x14ac:dyDescent="0.25">
      <c r="A23" s="26" t="s">
        <v>90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>BUF</v>
      </c>
      <c r="F25" s="10" t="s">
        <v>67</v>
      </c>
      <c r="G25" s="10" t="s">
        <v>67</v>
      </c>
      <c r="H25" s="10" t="s">
        <v>66</v>
      </c>
      <c r="I25" s="10" t="s">
        <v>67</v>
      </c>
      <c r="J25" s="10" t="s">
        <v>67</v>
      </c>
      <c r="K25" s="10" t="s">
        <v>67</v>
      </c>
      <c r="L25" s="10" t="s">
        <v>67</v>
      </c>
      <c r="M25" s="10" t="s">
        <v>67</v>
      </c>
      <c r="N25" s="10" t="s">
        <v>66</v>
      </c>
      <c r="O25" s="10" t="s">
        <v>67</v>
      </c>
      <c r="P25" s="10" t="s">
        <v>66</v>
      </c>
      <c r="Q25" s="10" t="s">
        <v>67</v>
      </c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>CAR</v>
      </c>
      <c r="F26" s="10" t="s">
        <v>62</v>
      </c>
      <c r="G26" s="10" t="s">
        <v>62</v>
      </c>
      <c r="H26" s="10" t="s">
        <v>62</v>
      </c>
      <c r="I26" s="10" t="s">
        <v>62</v>
      </c>
      <c r="J26" s="10" t="s">
        <v>73</v>
      </c>
      <c r="K26" s="10" t="s">
        <v>62</v>
      </c>
      <c r="L26" s="10" t="s">
        <v>62</v>
      </c>
      <c r="M26" s="10" t="s">
        <v>62</v>
      </c>
      <c r="N26" s="10" t="s">
        <v>62</v>
      </c>
      <c r="O26" s="10" t="s">
        <v>62</v>
      </c>
      <c r="P26" s="10" t="s">
        <v>62</v>
      </c>
      <c r="Q26" s="10" t="s">
        <v>62</v>
      </c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>NO</v>
      </c>
      <c r="F27" s="10" t="s">
        <v>69</v>
      </c>
      <c r="G27" s="10" t="s">
        <v>69</v>
      </c>
      <c r="H27" s="10" t="s">
        <v>69</v>
      </c>
      <c r="I27" s="10" t="s">
        <v>69</v>
      </c>
      <c r="J27" s="10" t="s">
        <v>69</v>
      </c>
      <c r="K27" s="10" t="s">
        <v>69</v>
      </c>
      <c r="L27" s="10" t="s">
        <v>69</v>
      </c>
      <c r="M27" s="10" t="s">
        <v>69</v>
      </c>
      <c r="N27" s="10" t="s">
        <v>65</v>
      </c>
      <c r="O27" s="10" t="s">
        <v>65</v>
      </c>
      <c r="P27" s="10" t="s">
        <v>69</v>
      </c>
      <c r="Q27" s="10" t="s">
        <v>69</v>
      </c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>MIN</v>
      </c>
      <c r="F28" s="10" t="s">
        <v>82</v>
      </c>
      <c r="G28" s="10" t="s">
        <v>61</v>
      </c>
      <c r="H28" s="10" t="s">
        <v>61</v>
      </c>
      <c r="I28" s="10" t="s">
        <v>61</v>
      </c>
      <c r="J28" s="10" t="s">
        <v>61</v>
      </c>
      <c r="K28" s="10" t="s">
        <v>61</v>
      </c>
      <c r="L28" s="10" t="s">
        <v>61</v>
      </c>
      <c r="M28" s="10" t="s">
        <v>61</v>
      </c>
      <c r="N28" s="10" t="s">
        <v>82</v>
      </c>
      <c r="O28" s="10" t="s">
        <v>61</v>
      </c>
      <c r="P28" s="10" t="s">
        <v>61</v>
      </c>
      <c r="Q28" s="10" t="s">
        <v>61</v>
      </c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>CIN</v>
      </c>
      <c r="F29" s="10" t="s">
        <v>68</v>
      </c>
      <c r="G29" s="10" t="s">
        <v>64</v>
      </c>
      <c r="H29" s="10" t="s">
        <v>64</v>
      </c>
      <c r="I29" s="10" t="s">
        <v>64</v>
      </c>
      <c r="J29" s="10" t="s">
        <v>68</v>
      </c>
      <c r="K29" s="10" t="s">
        <v>68</v>
      </c>
      <c r="L29" s="10" t="s">
        <v>68</v>
      </c>
      <c r="M29" s="10" t="s">
        <v>68</v>
      </c>
      <c r="N29" s="10" t="s">
        <v>64</v>
      </c>
      <c r="O29" s="10" t="s">
        <v>64</v>
      </c>
      <c r="P29" s="10" t="s">
        <v>68</v>
      </c>
      <c r="Q29" s="10" t="s">
        <v>68</v>
      </c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>NE</v>
      </c>
      <c r="F30" s="10" t="s">
        <v>74</v>
      </c>
      <c r="G30" s="10" t="s">
        <v>57</v>
      </c>
      <c r="H30" s="10" t="s">
        <v>74</v>
      </c>
      <c r="I30" s="10" t="s">
        <v>74</v>
      </c>
      <c r="J30" s="10" t="s">
        <v>74</v>
      </c>
      <c r="K30" s="10" t="s">
        <v>57</v>
      </c>
      <c r="L30" s="10" t="s">
        <v>57</v>
      </c>
      <c r="M30" s="10" t="s">
        <v>74</v>
      </c>
      <c r="N30" s="10" t="s">
        <v>74</v>
      </c>
      <c r="O30" s="10" t="s">
        <v>57</v>
      </c>
      <c r="P30" s="10" t="s">
        <v>74</v>
      </c>
      <c r="Q30" s="10" t="s">
        <v>74</v>
      </c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>NYJ</v>
      </c>
      <c r="F31" s="10" t="s">
        <v>81</v>
      </c>
      <c r="G31" s="10" t="s">
        <v>81</v>
      </c>
      <c r="H31" s="10" t="s">
        <v>75</v>
      </c>
      <c r="I31" s="10" t="s">
        <v>75</v>
      </c>
      <c r="J31" s="10" t="s">
        <v>81</v>
      </c>
      <c r="K31" s="10" t="s">
        <v>81</v>
      </c>
      <c r="L31" s="10" t="s">
        <v>81</v>
      </c>
      <c r="M31" s="10" t="s">
        <v>81</v>
      </c>
      <c r="N31" s="10" t="s">
        <v>81</v>
      </c>
      <c r="O31" s="10" t="s">
        <v>81</v>
      </c>
      <c r="P31" s="10" t="s">
        <v>81</v>
      </c>
      <c r="Q31" s="10" t="s">
        <v>81</v>
      </c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>CLE</v>
      </c>
      <c r="F32" s="10" t="s">
        <v>71</v>
      </c>
      <c r="G32" s="10" t="s">
        <v>63</v>
      </c>
      <c r="H32" s="10" t="s">
        <v>71</v>
      </c>
      <c r="I32" s="10" t="s">
        <v>63</v>
      </c>
      <c r="J32" s="10" t="s">
        <v>63</v>
      </c>
      <c r="K32" s="10" t="s">
        <v>63</v>
      </c>
      <c r="L32" s="10" t="s">
        <v>63</v>
      </c>
      <c r="M32" s="10" t="s">
        <v>63</v>
      </c>
      <c r="N32" s="10" t="s">
        <v>71</v>
      </c>
      <c r="O32" s="10" t="s">
        <v>63</v>
      </c>
      <c r="P32" s="10" t="s">
        <v>63</v>
      </c>
      <c r="Q32" s="10" t="s">
        <v>63</v>
      </c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>TEN</v>
      </c>
      <c r="F33" s="10" t="s">
        <v>84</v>
      </c>
      <c r="G33" s="10" t="s">
        <v>84</v>
      </c>
      <c r="H33" s="10" t="s">
        <v>84</v>
      </c>
      <c r="I33" s="10" t="s">
        <v>84</v>
      </c>
      <c r="J33" s="10" t="s">
        <v>84</v>
      </c>
      <c r="K33" s="10" t="s">
        <v>84</v>
      </c>
      <c r="L33" s="10" t="s">
        <v>84</v>
      </c>
      <c r="M33" s="10" t="s">
        <v>84</v>
      </c>
      <c r="N33" s="10" t="s">
        <v>84</v>
      </c>
      <c r="O33" s="10" t="s">
        <v>84</v>
      </c>
      <c r="P33" s="10" t="s">
        <v>84</v>
      </c>
      <c r="Q33" s="10" t="s">
        <v>76</v>
      </c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>DEN</v>
      </c>
      <c r="F34" s="10" t="s">
        <v>72</v>
      </c>
      <c r="G34" s="10" t="s">
        <v>87</v>
      </c>
      <c r="H34" s="10" t="s">
        <v>72</v>
      </c>
      <c r="I34" s="10" t="s">
        <v>72</v>
      </c>
      <c r="J34" s="10" t="s">
        <v>72</v>
      </c>
      <c r="K34" s="10" t="s">
        <v>72</v>
      </c>
      <c r="L34" s="10" t="s">
        <v>72</v>
      </c>
      <c r="M34" s="10" t="s">
        <v>72</v>
      </c>
      <c r="N34" s="10" t="s">
        <v>72</v>
      </c>
      <c r="O34" s="10" t="s">
        <v>72</v>
      </c>
      <c r="P34" s="10" t="s">
        <v>72</v>
      </c>
      <c r="Q34" s="10" t="s">
        <v>72</v>
      </c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>LV</v>
      </c>
      <c r="F35" s="10" t="s">
        <v>80</v>
      </c>
      <c r="G35" s="10" t="s">
        <v>78</v>
      </c>
      <c r="H35" s="10" t="s">
        <v>78</v>
      </c>
      <c r="I35" s="10" t="s">
        <v>80</v>
      </c>
      <c r="J35" s="10" t="s">
        <v>80</v>
      </c>
      <c r="K35" s="10" t="s">
        <v>78</v>
      </c>
      <c r="L35" s="10" t="s">
        <v>78</v>
      </c>
      <c r="M35" s="10" t="s">
        <v>78</v>
      </c>
      <c r="N35" s="10" t="s">
        <v>80</v>
      </c>
      <c r="O35" s="10" t="s">
        <v>78</v>
      </c>
      <c r="P35" s="10" t="s">
        <v>80</v>
      </c>
      <c r="Q35" s="10" t="s">
        <v>78</v>
      </c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>SEA</v>
      </c>
      <c r="F36" s="10" t="s">
        <v>58</v>
      </c>
      <c r="G36" s="10" t="s">
        <v>58</v>
      </c>
      <c r="H36" s="10" t="s">
        <v>58</v>
      </c>
      <c r="I36" s="10" t="s">
        <v>58</v>
      </c>
      <c r="J36" s="10" t="s">
        <v>58</v>
      </c>
      <c r="K36" s="10" t="s">
        <v>58</v>
      </c>
      <c r="L36" s="10" t="s">
        <v>58</v>
      </c>
      <c r="M36" s="10" t="s">
        <v>58</v>
      </c>
      <c r="N36" s="10" t="s">
        <v>77</v>
      </c>
      <c r="O36" s="10" t="s">
        <v>58</v>
      </c>
      <c r="P36" s="10" t="s">
        <v>58</v>
      </c>
      <c r="Q36" s="10" t="s">
        <v>58</v>
      </c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>DAL</v>
      </c>
      <c r="F37" s="10" t="s">
        <v>85</v>
      </c>
      <c r="G37" s="10" t="s">
        <v>83</v>
      </c>
      <c r="H37" s="10" t="s">
        <v>83</v>
      </c>
      <c r="I37" s="10" t="s">
        <v>85</v>
      </c>
      <c r="J37" s="10" t="s">
        <v>85</v>
      </c>
      <c r="K37" s="10" t="s">
        <v>85</v>
      </c>
      <c r="L37" s="10" t="s">
        <v>83</v>
      </c>
      <c r="M37" s="10" t="s">
        <v>83</v>
      </c>
      <c r="N37" s="10" t="s">
        <v>83</v>
      </c>
      <c r="O37" s="10" t="s">
        <v>85</v>
      </c>
      <c r="P37" s="10" t="s">
        <v>85</v>
      </c>
      <c r="Q37" s="10" t="s">
        <v>83</v>
      </c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>SF</v>
      </c>
      <c r="F38" s="10" t="s">
        <v>59</v>
      </c>
      <c r="G38" s="10" t="s">
        <v>59</v>
      </c>
      <c r="H38" s="10" t="s">
        <v>59</v>
      </c>
      <c r="I38" s="10" t="s">
        <v>59</v>
      </c>
      <c r="J38" s="10" t="s">
        <v>59</v>
      </c>
      <c r="K38" s="10" t="s">
        <v>59</v>
      </c>
      <c r="L38" s="10" t="s">
        <v>59</v>
      </c>
      <c r="M38" s="10" t="s">
        <v>59</v>
      </c>
      <c r="N38" s="10" t="s">
        <v>79</v>
      </c>
      <c r="O38" s="10" t="s">
        <v>59</v>
      </c>
      <c r="P38" s="10" t="s">
        <v>59</v>
      </c>
      <c r="Q38" s="10" t="s">
        <v>79</v>
      </c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>IND</v>
      </c>
      <c r="F39" s="10" t="s">
        <v>88</v>
      </c>
      <c r="G39" s="10" t="s">
        <v>88</v>
      </c>
      <c r="H39" s="10" t="s">
        <v>88</v>
      </c>
      <c r="I39" s="10" t="s">
        <v>88</v>
      </c>
      <c r="J39" s="10" t="s">
        <v>70</v>
      </c>
      <c r="K39" s="10" t="s">
        <v>88</v>
      </c>
      <c r="L39" s="10" t="s">
        <v>88</v>
      </c>
      <c r="M39" s="10" t="s">
        <v>88</v>
      </c>
      <c r="N39" s="10" t="s">
        <v>70</v>
      </c>
      <c r="O39" s="10" t="s">
        <v>88</v>
      </c>
      <c r="P39" s="10" t="s">
        <v>88</v>
      </c>
      <c r="Q39" s="10" t="s">
        <v>88</v>
      </c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>LAR</v>
      </c>
      <c r="F40" s="10" t="s">
        <v>86</v>
      </c>
      <c r="G40" s="10" t="s">
        <v>60</v>
      </c>
      <c r="H40" s="10" t="s">
        <v>86</v>
      </c>
      <c r="I40" s="10" t="s">
        <v>86</v>
      </c>
      <c r="J40" s="10" t="s">
        <v>86</v>
      </c>
      <c r="K40" s="10" t="s">
        <v>60</v>
      </c>
      <c r="L40" s="10" t="s">
        <v>60</v>
      </c>
      <c r="M40" s="10" t="s">
        <v>86</v>
      </c>
      <c r="N40" s="10" t="s">
        <v>86</v>
      </c>
      <c r="O40" s="10" t="s">
        <v>86</v>
      </c>
      <c r="P40" s="10" t="s">
        <v>60</v>
      </c>
      <c r="Q40" s="10" t="s">
        <v>86</v>
      </c>
    </row>
    <row r="41" spans="1:17" x14ac:dyDescent="0.25">
      <c r="A41" s="11" t="s">
        <v>63</v>
      </c>
      <c r="B41" s="12" t="s">
        <v>89</v>
      </c>
      <c r="E41" s="13">
        <f>'NFL Schedule'!E38</f>
        <v>34</v>
      </c>
      <c r="F41" s="14">
        <v>48</v>
      </c>
      <c r="G41" s="14">
        <v>47</v>
      </c>
      <c r="H41" s="14">
        <v>42</v>
      </c>
      <c r="I41" s="14">
        <v>40</v>
      </c>
      <c r="J41" s="14">
        <v>35</v>
      </c>
      <c r="K41" s="14">
        <v>45</v>
      </c>
      <c r="L41" s="14">
        <v>52</v>
      </c>
      <c r="M41" s="14">
        <v>45</v>
      </c>
      <c r="N41" s="14">
        <v>48</v>
      </c>
      <c r="O41" s="14">
        <v>42</v>
      </c>
      <c r="P41" s="14">
        <v>48</v>
      </c>
      <c r="Q41" s="14">
        <v>51</v>
      </c>
    </row>
    <row r="42" spans="1:17" ht="15" customHeight="1" x14ac:dyDescent="0.25">
      <c r="A42" s="26" t="s">
        <v>91</v>
      </c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>ATL</v>
      </c>
      <c r="F44" s="10" t="s">
        <v>73</v>
      </c>
      <c r="G44" s="10" t="s">
        <v>81</v>
      </c>
      <c r="H44" s="10" t="s">
        <v>73</v>
      </c>
      <c r="I44" s="10"/>
      <c r="J44" s="10" t="s">
        <v>81</v>
      </c>
      <c r="K44" s="10" t="s">
        <v>81</v>
      </c>
      <c r="L44" s="10" t="s">
        <v>81</v>
      </c>
      <c r="M44" s="10" t="s">
        <v>81</v>
      </c>
      <c r="N44" s="10" t="s">
        <v>81</v>
      </c>
      <c r="O44" s="10" t="s">
        <v>81</v>
      </c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>BUF</v>
      </c>
      <c r="F45" s="10" t="s">
        <v>67</v>
      </c>
      <c r="G45" s="10" t="s">
        <v>67</v>
      </c>
      <c r="H45" s="10" t="s">
        <v>67</v>
      </c>
      <c r="I45" s="10"/>
      <c r="J45" s="10" t="s">
        <v>67</v>
      </c>
      <c r="K45" s="10" t="s">
        <v>67</v>
      </c>
      <c r="L45" s="10" t="s">
        <v>67</v>
      </c>
      <c r="M45" s="10" t="s">
        <v>67</v>
      </c>
      <c r="N45" s="10" t="s">
        <v>67</v>
      </c>
      <c r="O45" s="10" t="s">
        <v>67</v>
      </c>
      <c r="P45" s="10" t="s">
        <v>67</v>
      </c>
      <c r="Q45" s="10" t="s">
        <v>67</v>
      </c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>CLE</v>
      </c>
      <c r="F46" s="10" t="s">
        <v>62</v>
      </c>
      <c r="G46" s="10" t="s">
        <v>71</v>
      </c>
      <c r="H46" s="10" t="s">
        <v>62</v>
      </c>
      <c r="I46" s="10"/>
      <c r="J46" s="10" t="s">
        <v>62</v>
      </c>
      <c r="K46" s="10" t="s">
        <v>62</v>
      </c>
      <c r="L46" s="10" t="s">
        <v>62</v>
      </c>
      <c r="M46" s="10" t="s">
        <v>62</v>
      </c>
      <c r="N46" s="10" t="s">
        <v>71</v>
      </c>
      <c r="O46" s="10" t="s">
        <v>62</v>
      </c>
      <c r="P46" s="10" t="s">
        <v>62</v>
      </c>
      <c r="Q46" s="10" t="s">
        <v>62</v>
      </c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>DET</v>
      </c>
      <c r="F47" s="10" t="s">
        <v>66</v>
      </c>
      <c r="G47" s="10" t="s">
        <v>66</v>
      </c>
      <c r="H47" s="10" t="s">
        <v>66</v>
      </c>
      <c r="I47" s="10"/>
      <c r="J47" s="10" t="s">
        <v>66</v>
      </c>
      <c r="K47" s="10" t="s">
        <v>66</v>
      </c>
      <c r="L47" s="10" t="s">
        <v>66</v>
      </c>
      <c r="M47" s="10" t="s">
        <v>66</v>
      </c>
      <c r="N47" s="10" t="s">
        <v>66</v>
      </c>
      <c r="O47" s="10" t="s">
        <v>66</v>
      </c>
      <c r="P47" s="10" t="s">
        <v>66</v>
      </c>
      <c r="Q47" s="10" t="s">
        <v>75</v>
      </c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>IND</v>
      </c>
      <c r="F48" s="10" t="s">
        <v>70</v>
      </c>
      <c r="G48" s="10" t="s">
        <v>70</v>
      </c>
      <c r="H48" s="10" t="s">
        <v>70</v>
      </c>
      <c r="I48" s="10"/>
      <c r="J48" s="10" t="s">
        <v>70</v>
      </c>
      <c r="K48" s="10" t="s">
        <v>68</v>
      </c>
      <c r="L48" s="10" t="s">
        <v>68</v>
      </c>
      <c r="M48" s="10" t="s">
        <v>68</v>
      </c>
      <c r="N48" s="10" t="s">
        <v>70</v>
      </c>
      <c r="O48" s="10" t="s">
        <v>70</v>
      </c>
      <c r="P48" s="10" t="s">
        <v>70</v>
      </c>
      <c r="Q48" s="10" t="s">
        <v>68</v>
      </c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>KC</v>
      </c>
      <c r="F49" s="10" t="s">
        <v>88</v>
      </c>
      <c r="G49" s="10" t="s">
        <v>88</v>
      </c>
      <c r="H49" s="10" t="s">
        <v>88</v>
      </c>
      <c r="I49" s="10"/>
      <c r="J49" s="10" t="s">
        <v>88</v>
      </c>
      <c r="K49" s="10" t="s">
        <v>88</v>
      </c>
      <c r="L49" s="10" t="s">
        <v>88</v>
      </c>
      <c r="M49" s="10" t="s">
        <v>88</v>
      </c>
      <c r="N49" s="10" t="s">
        <v>88</v>
      </c>
      <c r="O49" s="10" t="s">
        <v>88</v>
      </c>
      <c r="P49" s="10" t="s">
        <v>88</v>
      </c>
      <c r="Q49" s="10" t="s">
        <v>88</v>
      </c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>NYG</v>
      </c>
      <c r="F50" s="10" t="s">
        <v>76</v>
      </c>
      <c r="G50" s="10" t="s">
        <v>86</v>
      </c>
      <c r="H50" s="10" t="s">
        <v>76</v>
      </c>
      <c r="I50" s="10"/>
      <c r="J50" s="10" t="s">
        <v>76</v>
      </c>
      <c r="K50" s="10" t="s">
        <v>76</v>
      </c>
      <c r="L50" s="10" t="s">
        <v>86</v>
      </c>
      <c r="M50" s="10" t="s">
        <v>76</v>
      </c>
      <c r="N50" s="10" t="s">
        <v>76</v>
      </c>
      <c r="O50" s="10" t="s">
        <v>76</v>
      </c>
      <c r="P50" s="10" t="s">
        <v>76</v>
      </c>
      <c r="Q50" s="10" t="s">
        <v>76</v>
      </c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>PIT</v>
      </c>
      <c r="F51" s="10" t="s">
        <v>64</v>
      </c>
      <c r="G51" s="10" t="s">
        <v>64</v>
      </c>
      <c r="H51" s="10" t="s">
        <v>64</v>
      </c>
      <c r="I51" s="10"/>
      <c r="J51" s="10" t="s">
        <v>74</v>
      </c>
      <c r="K51" s="10" t="s">
        <v>74</v>
      </c>
      <c r="L51" s="10" t="s">
        <v>64</v>
      </c>
      <c r="M51" s="10" t="s">
        <v>64</v>
      </c>
      <c r="N51" s="10" t="s">
        <v>74</v>
      </c>
      <c r="O51" s="10" t="s">
        <v>64</v>
      </c>
      <c r="P51" s="10" t="s">
        <v>64</v>
      </c>
      <c r="Q51" s="10" t="s">
        <v>64</v>
      </c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>WAS</v>
      </c>
      <c r="F52" s="10" t="s">
        <v>58</v>
      </c>
      <c r="G52" s="10" t="s">
        <v>58</v>
      </c>
      <c r="H52" s="10" t="s">
        <v>58</v>
      </c>
      <c r="I52" s="10"/>
      <c r="J52" s="10" t="s">
        <v>58</v>
      </c>
      <c r="K52" s="10" t="s">
        <v>58</v>
      </c>
      <c r="L52" s="10" t="s">
        <v>58</v>
      </c>
      <c r="M52" s="10" t="s">
        <v>58</v>
      </c>
      <c r="N52" s="10" t="s">
        <v>58</v>
      </c>
      <c r="O52" s="10" t="s">
        <v>58</v>
      </c>
      <c r="P52" s="10" t="s">
        <v>58</v>
      </c>
      <c r="Q52" s="10" t="s">
        <v>58</v>
      </c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>JAX</v>
      </c>
      <c r="F53" s="10" t="s">
        <v>72</v>
      </c>
      <c r="G53" s="10" t="s">
        <v>57</v>
      </c>
      <c r="H53" s="10" t="s">
        <v>72</v>
      </c>
      <c r="I53" s="10"/>
      <c r="J53" s="10" t="s">
        <v>72</v>
      </c>
      <c r="K53" s="10" t="s">
        <v>72</v>
      </c>
      <c r="L53" s="10" t="s">
        <v>57</v>
      </c>
      <c r="M53" s="10" t="s">
        <v>72</v>
      </c>
      <c r="N53" s="10" t="s">
        <v>57</v>
      </c>
      <c r="O53" s="10" t="s">
        <v>57</v>
      </c>
      <c r="P53" s="10" t="s">
        <v>72</v>
      </c>
      <c r="Q53" s="10" t="s">
        <v>72</v>
      </c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>ARI</v>
      </c>
      <c r="F54" s="10" t="s">
        <v>77</v>
      </c>
      <c r="G54" s="10" t="s">
        <v>59</v>
      </c>
      <c r="H54" s="10" t="s">
        <v>59</v>
      </c>
      <c r="I54" s="10"/>
      <c r="J54" s="10" t="s">
        <v>59</v>
      </c>
      <c r="K54" s="10" t="s">
        <v>59</v>
      </c>
      <c r="L54" s="10" t="s">
        <v>59</v>
      </c>
      <c r="M54" s="10" t="s">
        <v>59</v>
      </c>
      <c r="N54" s="10" t="s">
        <v>59</v>
      </c>
      <c r="O54" s="10" t="s">
        <v>59</v>
      </c>
      <c r="P54" s="10" t="s">
        <v>59</v>
      </c>
      <c r="Q54" s="10" t="s">
        <v>59</v>
      </c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>MIN</v>
      </c>
      <c r="F55" s="10" t="s">
        <v>82</v>
      </c>
      <c r="G55" s="10" t="s">
        <v>82</v>
      </c>
      <c r="H55" s="10" t="s">
        <v>82</v>
      </c>
      <c r="I55" s="10"/>
      <c r="J55" s="10" t="s">
        <v>82</v>
      </c>
      <c r="K55" s="10" t="s">
        <v>82</v>
      </c>
      <c r="L55" s="10" t="s">
        <v>82</v>
      </c>
      <c r="M55" s="10" t="s">
        <v>82</v>
      </c>
      <c r="N55" s="10" t="s">
        <v>63</v>
      </c>
      <c r="O55" s="10" t="s">
        <v>82</v>
      </c>
      <c r="P55" s="10" t="s">
        <v>82</v>
      </c>
      <c r="Q55" s="10" t="s">
        <v>82</v>
      </c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>BAL</v>
      </c>
      <c r="F56" s="10" t="s">
        <v>69</v>
      </c>
      <c r="G56" s="10" t="s">
        <v>85</v>
      </c>
      <c r="H56" s="10" t="s">
        <v>85</v>
      </c>
      <c r="I56" s="10"/>
      <c r="J56" s="10" t="s">
        <v>85</v>
      </c>
      <c r="K56" s="10" t="s">
        <v>85</v>
      </c>
      <c r="L56" s="10" t="s">
        <v>69</v>
      </c>
      <c r="M56" s="10" t="s">
        <v>69</v>
      </c>
      <c r="N56" s="10" t="s">
        <v>85</v>
      </c>
      <c r="O56" s="10" t="s">
        <v>85</v>
      </c>
      <c r="P56" s="10" t="s">
        <v>69</v>
      </c>
      <c r="Q56" s="10" t="s">
        <v>69</v>
      </c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>LV</v>
      </c>
      <c r="F57" s="10" t="s">
        <v>80</v>
      </c>
      <c r="G57" s="10" t="s">
        <v>80</v>
      </c>
      <c r="H57" s="10" t="s">
        <v>80</v>
      </c>
      <c r="I57" s="10"/>
      <c r="J57" s="10" t="s">
        <v>80</v>
      </c>
      <c r="K57" s="10" t="s">
        <v>65</v>
      </c>
      <c r="L57" s="10" t="s">
        <v>80</v>
      </c>
      <c r="M57" s="10" t="s">
        <v>80</v>
      </c>
      <c r="N57" s="10" t="s">
        <v>80</v>
      </c>
      <c r="O57" s="10" t="s">
        <v>65</v>
      </c>
      <c r="P57" s="10" t="s">
        <v>80</v>
      </c>
      <c r="Q57" s="10" t="s">
        <v>65</v>
      </c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>DEN</v>
      </c>
      <c r="F58" s="10" t="s">
        <v>87</v>
      </c>
      <c r="G58" s="10" t="s">
        <v>60</v>
      </c>
      <c r="H58" s="10" t="s">
        <v>60</v>
      </c>
      <c r="I58" s="10"/>
      <c r="J58" s="10" t="s">
        <v>87</v>
      </c>
      <c r="K58" s="10" t="s">
        <v>60</v>
      </c>
      <c r="L58" s="10" t="s">
        <v>87</v>
      </c>
      <c r="M58" s="10" t="s">
        <v>60</v>
      </c>
      <c r="N58" s="10" t="s">
        <v>87</v>
      </c>
      <c r="O58" s="10" t="s">
        <v>60</v>
      </c>
      <c r="P58" s="10" t="s">
        <v>60</v>
      </c>
      <c r="Q58" s="10" t="s">
        <v>87</v>
      </c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>CHI</v>
      </c>
      <c r="F59" s="10" t="s">
        <v>61</v>
      </c>
      <c r="G59" s="10" t="s">
        <v>84</v>
      </c>
      <c r="H59" s="10" t="s">
        <v>84</v>
      </c>
      <c r="I59" s="10"/>
      <c r="J59" s="10" t="s">
        <v>84</v>
      </c>
      <c r="K59" s="10" t="s">
        <v>61</v>
      </c>
      <c r="L59" s="10" t="s">
        <v>84</v>
      </c>
      <c r="M59" s="10" t="s">
        <v>84</v>
      </c>
      <c r="N59" s="10" t="s">
        <v>84</v>
      </c>
      <c r="O59" s="10" t="s">
        <v>84</v>
      </c>
      <c r="P59" s="10" t="s">
        <v>84</v>
      </c>
      <c r="Q59" s="10" t="s">
        <v>84</v>
      </c>
    </row>
    <row r="60" spans="1:17" x14ac:dyDescent="0.25">
      <c r="A60" s="11" t="s">
        <v>63</v>
      </c>
      <c r="B60" s="12" t="s">
        <v>89</v>
      </c>
      <c r="E60" s="13">
        <f>'NFL Schedule'!E57</f>
        <v>34</v>
      </c>
      <c r="F60" s="14">
        <v>44</v>
      </c>
      <c r="G60" s="14">
        <v>40</v>
      </c>
      <c r="H60" s="14">
        <v>48</v>
      </c>
      <c r="I60" s="14"/>
      <c r="J60" s="14">
        <v>45</v>
      </c>
      <c r="K60" s="14">
        <v>43</v>
      </c>
      <c r="L60" s="14">
        <v>42</v>
      </c>
      <c r="M60" s="14">
        <v>43</v>
      </c>
      <c r="N60" s="14">
        <v>41</v>
      </c>
      <c r="O60" s="14">
        <v>42</v>
      </c>
      <c r="P60" s="14">
        <v>53</v>
      </c>
      <c r="Q60" s="14">
        <v>42</v>
      </c>
    </row>
    <row r="61" spans="1:17" ht="15" customHeight="1" x14ac:dyDescent="0.25">
      <c r="A61" s="26" t="s">
        <v>92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>CLE</v>
      </c>
      <c r="F63" s="10" t="s">
        <v>71</v>
      </c>
      <c r="G63" s="10" t="s">
        <v>74</v>
      </c>
      <c r="H63" s="10" t="s">
        <v>71</v>
      </c>
      <c r="I63" s="10" t="s">
        <v>74</v>
      </c>
      <c r="J63" s="10" t="s">
        <v>74</v>
      </c>
      <c r="K63" s="10" t="s">
        <v>74</v>
      </c>
      <c r="L63" s="10" t="s">
        <v>74</v>
      </c>
      <c r="M63" s="10" t="s">
        <v>71</v>
      </c>
      <c r="N63" s="10" t="s">
        <v>71</v>
      </c>
      <c r="O63" s="10" t="s">
        <v>74</v>
      </c>
      <c r="P63" s="10" t="s">
        <v>71</v>
      </c>
      <c r="Q63" s="10" t="s">
        <v>74</v>
      </c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>IND</v>
      </c>
      <c r="F64" s="10" t="s">
        <v>83</v>
      </c>
      <c r="G64" s="10" t="s">
        <v>70</v>
      </c>
      <c r="H64" s="10" t="s">
        <v>70</v>
      </c>
      <c r="I64" s="10" t="s">
        <v>83</v>
      </c>
      <c r="J64" s="10" t="s">
        <v>83</v>
      </c>
      <c r="K64" s="10" t="s">
        <v>83</v>
      </c>
      <c r="L64" s="10" t="s">
        <v>70</v>
      </c>
      <c r="M64" s="10" t="s">
        <v>70</v>
      </c>
      <c r="N64" s="10" t="s">
        <v>83</v>
      </c>
      <c r="O64" s="10" t="s">
        <v>70</v>
      </c>
      <c r="P64" s="10" t="s">
        <v>70</v>
      </c>
      <c r="Q64" s="10" t="s">
        <v>70</v>
      </c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>NE</v>
      </c>
      <c r="F65" s="10" t="s">
        <v>57</v>
      </c>
      <c r="G65" s="10" t="s">
        <v>67</v>
      </c>
      <c r="H65" s="10" t="s">
        <v>67</v>
      </c>
      <c r="I65" s="10" t="s">
        <v>57</v>
      </c>
      <c r="J65" s="10" t="s">
        <v>67</v>
      </c>
      <c r="K65" s="10" t="s">
        <v>57</v>
      </c>
      <c r="L65" s="10" t="s">
        <v>67</v>
      </c>
      <c r="M65" s="10" t="s">
        <v>67</v>
      </c>
      <c r="N65" s="10" t="s">
        <v>67</v>
      </c>
      <c r="O65" s="10" t="s">
        <v>57</v>
      </c>
      <c r="P65" s="10" t="s">
        <v>67</v>
      </c>
      <c r="Q65" s="10" t="s">
        <v>57</v>
      </c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>CHI</v>
      </c>
      <c r="F66" s="10" t="s">
        <v>61</v>
      </c>
      <c r="G66" s="10" t="s">
        <v>61</v>
      </c>
      <c r="H66" s="10" t="s">
        <v>75</v>
      </c>
      <c r="I66" s="10" t="s">
        <v>61</v>
      </c>
      <c r="J66" s="10" t="s">
        <v>61</v>
      </c>
      <c r="K66" s="10" t="s">
        <v>61</v>
      </c>
      <c r="L66" s="10" t="s">
        <v>61</v>
      </c>
      <c r="M66" s="10" t="s">
        <v>61</v>
      </c>
      <c r="N66" s="10" t="s">
        <v>61</v>
      </c>
      <c r="O66" s="10" t="s">
        <v>75</v>
      </c>
      <c r="P66" s="10" t="s">
        <v>61</v>
      </c>
      <c r="Q66" s="10" t="s">
        <v>61</v>
      </c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>JAX</v>
      </c>
      <c r="F67" s="10" t="s">
        <v>72</v>
      </c>
      <c r="G67" s="10" t="s">
        <v>64</v>
      </c>
      <c r="H67" s="10" t="s">
        <v>72</v>
      </c>
      <c r="I67" s="10" t="s">
        <v>72</v>
      </c>
      <c r="J67" s="10" t="s">
        <v>72</v>
      </c>
      <c r="K67" s="10" t="s">
        <v>72</v>
      </c>
      <c r="L67" s="10" t="s">
        <v>72</v>
      </c>
      <c r="M67" s="10" t="s">
        <v>72</v>
      </c>
      <c r="N67" s="10" t="s">
        <v>72</v>
      </c>
      <c r="O67" s="10" t="s">
        <v>72</v>
      </c>
      <c r="P67" s="10" t="s">
        <v>72</v>
      </c>
      <c r="Q67" s="10" t="s">
        <v>72</v>
      </c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>NYG</v>
      </c>
      <c r="F68" s="10" t="s">
        <v>77</v>
      </c>
      <c r="G68" s="10" t="s">
        <v>86</v>
      </c>
      <c r="H68" s="10" t="s">
        <v>77</v>
      </c>
      <c r="I68" s="10" t="s">
        <v>86</v>
      </c>
      <c r="J68" s="10" t="s">
        <v>86</v>
      </c>
      <c r="K68" s="10" t="s">
        <v>86</v>
      </c>
      <c r="L68" s="10" t="s">
        <v>86</v>
      </c>
      <c r="M68" s="10" t="s">
        <v>77</v>
      </c>
      <c r="N68" s="10" t="s">
        <v>86</v>
      </c>
      <c r="O68" s="10" t="s">
        <v>77</v>
      </c>
      <c r="P68" s="10" t="s">
        <v>77</v>
      </c>
      <c r="Q68" s="10" t="s">
        <v>77</v>
      </c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>LAR</v>
      </c>
      <c r="F69" s="10" t="s">
        <v>60</v>
      </c>
      <c r="G69" s="10" t="s">
        <v>84</v>
      </c>
      <c r="H69" s="10" t="s">
        <v>60</v>
      </c>
      <c r="I69" s="10" t="s">
        <v>60</v>
      </c>
      <c r="J69" s="10" t="s">
        <v>84</v>
      </c>
      <c r="K69" s="10" t="s">
        <v>84</v>
      </c>
      <c r="L69" s="10" t="s">
        <v>84</v>
      </c>
      <c r="M69" s="10" t="s">
        <v>60</v>
      </c>
      <c r="N69" s="10" t="s">
        <v>84</v>
      </c>
      <c r="O69" s="10" t="s">
        <v>60</v>
      </c>
      <c r="P69" s="10" t="s">
        <v>60</v>
      </c>
      <c r="Q69" s="10" t="s">
        <v>60</v>
      </c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>TB</v>
      </c>
      <c r="F70" s="10" t="s">
        <v>81</v>
      </c>
      <c r="G70" s="10" t="s">
        <v>63</v>
      </c>
      <c r="H70" s="10" t="s">
        <v>81</v>
      </c>
      <c r="I70" s="10" t="s">
        <v>63</v>
      </c>
      <c r="J70" s="10" t="s">
        <v>81</v>
      </c>
      <c r="K70" s="10" t="s">
        <v>81</v>
      </c>
      <c r="L70" s="10" t="s">
        <v>81</v>
      </c>
      <c r="M70" s="10" t="s">
        <v>81</v>
      </c>
      <c r="N70" s="10" t="s">
        <v>81</v>
      </c>
      <c r="O70" s="10" t="s">
        <v>81</v>
      </c>
      <c r="P70" s="10" t="s">
        <v>63</v>
      </c>
      <c r="Q70" s="10" t="s">
        <v>81</v>
      </c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>TEN</v>
      </c>
      <c r="F71" s="10" t="s">
        <v>69</v>
      </c>
      <c r="G71" s="10" t="s">
        <v>69</v>
      </c>
      <c r="H71" s="10" t="s">
        <v>76</v>
      </c>
      <c r="I71" s="10" t="s">
        <v>76</v>
      </c>
      <c r="J71" s="10" t="s">
        <v>69</v>
      </c>
      <c r="K71" s="10" t="s">
        <v>69</v>
      </c>
      <c r="L71" s="10" t="s">
        <v>69</v>
      </c>
      <c r="M71" s="10" t="s">
        <v>69</v>
      </c>
      <c r="N71" s="10" t="s">
        <v>69</v>
      </c>
      <c r="O71" s="10" t="s">
        <v>76</v>
      </c>
      <c r="P71" s="10" t="s">
        <v>69</v>
      </c>
      <c r="Q71" s="10" t="s">
        <v>69</v>
      </c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>DAL</v>
      </c>
      <c r="F72" s="10" t="s">
        <v>68</v>
      </c>
      <c r="G72" s="10" t="s">
        <v>85</v>
      </c>
      <c r="H72" s="10" t="s">
        <v>85</v>
      </c>
      <c r="I72" s="10" t="s">
        <v>68</v>
      </c>
      <c r="J72" s="10" t="s">
        <v>85</v>
      </c>
      <c r="K72" s="10" t="s">
        <v>68</v>
      </c>
      <c r="L72" s="10" t="s">
        <v>85</v>
      </c>
      <c r="M72" s="10" t="s">
        <v>85</v>
      </c>
      <c r="N72" s="10" t="s">
        <v>85</v>
      </c>
      <c r="O72" s="10" t="s">
        <v>85</v>
      </c>
      <c r="P72" s="10" t="s">
        <v>68</v>
      </c>
      <c r="Q72" s="10" t="s">
        <v>68</v>
      </c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>MIA</v>
      </c>
      <c r="F73" s="10" t="s">
        <v>82</v>
      </c>
      <c r="G73" s="10" t="s">
        <v>82</v>
      </c>
      <c r="H73" s="10" t="s">
        <v>82</v>
      </c>
      <c r="I73" s="10" t="s">
        <v>79</v>
      </c>
      <c r="J73" s="10" t="s">
        <v>82</v>
      </c>
      <c r="K73" s="10" t="s">
        <v>82</v>
      </c>
      <c r="L73" s="10" t="s">
        <v>82</v>
      </c>
      <c r="M73" s="10" t="s">
        <v>82</v>
      </c>
      <c r="N73" s="10" t="s">
        <v>82</v>
      </c>
      <c r="O73" s="10" t="s">
        <v>82</v>
      </c>
      <c r="P73" s="10" t="s">
        <v>82</v>
      </c>
      <c r="Q73" s="10" t="s">
        <v>82</v>
      </c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>LV</v>
      </c>
      <c r="F74" s="10" t="s">
        <v>88</v>
      </c>
      <c r="G74" s="10" t="s">
        <v>88</v>
      </c>
      <c r="H74" s="10" t="s">
        <v>88</v>
      </c>
      <c r="I74" s="10" t="s">
        <v>80</v>
      </c>
      <c r="J74" s="10" t="s">
        <v>88</v>
      </c>
      <c r="K74" s="10" t="s">
        <v>88</v>
      </c>
      <c r="L74" s="10" t="s">
        <v>88</v>
      </c>
      <c r="M74" s="10" t="s">
        <v>88</v>
      </c>
      <c r="N74" s="10" t="s">
        <v>80</v>
      </c>
      <c r="O74" s="10" t="s">
        <v>88</v>
      </c>
      <c r="P74" s="10" t="s">
        <v>88</v>
      </c>
      <c r="Q74" s="10" t="s">
        <v>88</v>
      </c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>SF</v>
      </c>
      <c r="F75" s="10" t="s">
        <v>59</v>
      </c>
      <c r="G75" s="10" t="s">
        <v>59</v>
      </c>
      <c r="H75" s="10" t="s">
        <v>59</v>
      </c>
      <c r="I75" s="10" t="s">
        <v>59</v>
      </c>
      <c r="J75" s="10" t="s">
        <v>59</v>
      </c>
      <c r="K75" s="10" t="s">
        <v>59</v>
      </c>
      <c r="L75" s="10" t="s">
        <v>59</v>
      </c>
      <c r="M75" s="10" t="s">
        <v>59</v>
      </c>
      <c r="N75" s="10" t="s">
        <v>59</v>
      </c>
      <c r="O75" s="10" t="s">
        <v>59</v>
      </c>
      <c r="P75" s="10" t="s">
        <v>59</v>
      </c>
      <c r="Q75" s="10" t="s">
        <v>59</v>
      </c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>LAC</v>
      </c>
      <c r="F76" s="10" t="s">
        <v>58</v>
      </c>
      <c r="G76" s="10" t="s">
        <v>58</v>
      </c>
      <c r="H76" s="10" t="s">
        <v>58</v>
      </c>
      <c r="I76" s="10" t="s">
        <v>78</v>
      </c>
      <c r="J76" s="10" t="s">
        <v>58</v>
      </c>
      <c r="K76" s="10" t="s">
        <v>58</v>
      </c>
      <c r="L76" s="10" t="s">
        <v>58</v>
      </c>
      <c r="M76" s="10" t="s">
        <v>58</v>
      </c>
      <c r="N76" s="10" t="s">
        <v>58</v>
      </c>
      <c r="O76" s="10" t="s">
        <v>58</v>
      </c>
      <c r="P76" s="10" t="s">
        <v>58</v>
      </c>
      <c r="Q76" s="10" t="s">
        <v>58</v>
      </c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>CAR</v>
      </c>
      <c r="F77" s="10" t="s">
        <v>62</v>
      </c>
      <c r="G77" s="10" t="s">
        <v>66</v>
      </c>
      <c r="H77" s="10" t="s">
        <v>62</v>
      </c>
      <c r="I77" s="10" t="s">
        <v>66</v>
      </c>
      <c r="J77" s="10" t="s">
        <v>66</v>
      </c>
      <c r="K77" s="10" t="s">
        <v>62</v>
      </c>
      <c r="L77" s="10" t="s">
        <v>66</v>
      </c>
      <c r="M77" s="10" t="s">
        <v>66</v>
      </c>
      <c r="N77" s="10" t="s">
        <v>66</v>
      </c>
      <c r="O77" s="10" t="s">
        <v>66</v>
      </c>
      <c r="P77" s="10" t="s">
        <v>66</v>
      </c>
      <c r="Q77" s="10" t="s">
        <v>62</v>
      </c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>ATL</v>
      </c>
      <c r="F78" s="10" t="s">
        <v>73</v>
      </c>
      <c r="G78" s="10" t="s">
        <v>73</v>
      </c>
      <c r="H78" s="10" t="s">
        <v>73</v>
      </c>
      <c r="I78" s="10" t="s">
        <v>73</v>
      </c>
      <c r="J78" s="10" t="s">
        <v>73</v>
      </c>
      <c r="K78" s="10" t="s">
        <v>73</v>
      </c>
      <c r="L78" s="10" t="s">
        <v>65</v>
      </c>
      <c r="M78" s="10" t="s">
        <v>73</v>
      </c>
      <c r="N78" s="10" t="s">
        <v>73</v>
      </c>
      <c r="O78" s="10" t="s">
        <v>65</v>
      </c>
      <c r="P78" s="10" t="s">
        <v>65</v>
      </c>
      <c r="Q78" s="10" t="s">
        <v>65</v>
      </c>
    </row>
    <row r="79" spans="1:17" x14ac:dyDescent="0.25">
      <c r="A79" s="11" t="s">
        <v>63</v>
      </c>
      <c r="B79" s="12" t="s">
        <v>89</v>
      </c>
      <c r="E79" s="13">
        <f>'NFL Schedule'!E76</f>
        <v>69</v>
      </c>
      <c r="F79" s="14">
        <v>45</v>
      </c>
      <c r="G79" s="14">
        <v>45</v>
      </c>
      <c r="H79" s="14">
        <v>51</v>
      </c>
      <c r="I79" s="14">
        <v>40</v>
      </c>
      <c r="J79" s="14">
        <v>32</v>
      </c>
      <c r="K79" s="14">
        <v>42</v>
      </c>
      <c r="L79" s="14">
        <v>42</v>
      </c>
      <c r="M79" s="14">
        <v>45</v>
      </c>
      <c r="N79" s="14">
        <v>49</v>
      </c>
      <c r="O79" s="14">
        <v>42</v>
      </c>
      <c r="P79" s="14">
        <v>41</v>
      </c>
      <c r="Q79" s="14">
        <v>44</v>
      </c>
    </row>
    <row r="80" spans="1:17" ht="15" customHeight="1" x14ac:dyDescent="0.25">
      <c r="A80" s="26" t="s">
        <v>93</v>
      </c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>TB</v>
      </c>
      <c r="F82" s="10" t="s">
        <v>63</v>
      </c>
      <c r="G82" s="10" t="s">
        <v>85</v>
      </c>
      <c r="H82" s="10" t="s">
        <v>85</v>
      </c>
      <c r="I82" s="10"/>
      <c r="J82" s="10"/>
      <c r="K82" s="10" t="s">
        <v>85</v>
      </c>
      <c r="L82" s="10" t="s">
        <v>85</v>
      </c>
      <c r="M82" s="10" t="s">
        <v>85</v>
      </c>
      <c r="N82" s="10" t="s">
        <v>63</v>
      </c>
      <c r="O82" s="10"/>
      <c r="P82" s="10"/>
      <c r="Q82" s="10" t="s">
        <v>85</v>
      </c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/>
      </c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/>
      </c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/>
      </c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/>
      </c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/>
      </c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/>
      </c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/>
      </c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/>
      </c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/>
      </c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/>
      </c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/>
      </c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/>
      </c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/>
      </c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/>
      </c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</row>
    <row r="97" spans="1:17" x14ac:dyDescent="0.25">
      <c r="A97" s="11" t="s">
        <v>63</v>
      </c>
      <c r="B97" s="12" t="s">
        <v>89</v>
      </c>
      <c r="E97" s="13" t="str">
        <f>'NFL Schedule'!E94</f>
        <v/>
      </c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</row>
    <row r="98" spans="1:17" ht="15" customHeight="1" x14ac:dyDescent="0.25">
      <c r="A98" s="26" t="s">
        <v>94</v>
      </c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/>
      </c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/>
      </c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/>
      </c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/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/>
      </c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/>
      </c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/>
      </c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/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/>
      </c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78</v>
      </c>
      <c r="E109" s="9" t="str">
        <f>'NFL Schedule'!J106</f>
        <v/>
      </c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</row>
    <row r="110" spans="1:17" ht="15" customHeight="1" x14ac:dyDescent="0.25">
      <c r="A110" s="7">
        <v>11</v>
      </c>
      <c r="B110" s="7" t="s">
        <v>60</v>
      </c>
      <c r="C110" s="8" t="s">
        <v>54</v>
      </c>
      <c r="D110" s="7" t="s">
        <v>88</v>
      </c>
      <c r="E110" s="9" t="str">
        <f>'NFL Schedule'!J107</f>
        <v/>
      </c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/>
      </c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/>
      </c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</row>
    <row r="113" spans="1:17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/>
      </c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x14ac:dyDescent="0.25">
      <c r="A114" s="11" t="s">
        <v>63</v>
      </c>
      <c r="B114" s="12" t="s">
        <v>89</v>
      </c>
      <c r="E114" s="13" t="str">
        <f>'NFL Schedule'!E111</f>
        <v/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</row>
    <row r="115" spans="1:17" ht="15" customHeight="1" x14ac:dyDescent="0.25">
      <c r="A115" s="26" t="s">
        <v>95</v>
      </c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</row>
    <row r="116" spans="1:17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</row>
    <row r="117" spans="1:17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spans="1:17" ht="15" customHeight="1" x14ac:dyDescent="0.25">
      <c r="A132" s="26" t="s">
        <v>96</v>
      </c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</row>
    <row r="133" spans="1:17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</row>
    <row r="134" spans="1:17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</row>
    <row r="149" spans="1:17" ht="15" customHeight="1" x14ac:dyDescent="0.25">
      <c r="A149" s="26" t="s">
        <v>97</v>
      </c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</row>
    <row r="150" spans="1:17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</row>
    <row r="151" spans="1:17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</row>
    <row r="167" spans="1:17" ht="15" customHeight="1" x14ac:dyDescent="0.25">
      <c r="A167" s="26" t="s">
        <v>98</v>
      </c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</row>
    <row r="168" spans="1:17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</row>
    <row r="169" spans="1:17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</row>
    <row r="184" spans="1:17" ht="15" customHeight="1" x14ac:dyDescent="0.25">
      <c r="A184" s="26" t="s">
        <v>99</v>
      </c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</row>
    <row r="185" spans="1:17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</row>
    <row r="186" spans="1:17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</row>
    <row r="200" spans="1:17" ht="15" customHeight="1" x14ac:dyDescent="0.25">
      <c r="A200" s="26" t="s">
        <v>100</v>
      </c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</row>
    <row r="201" spans="1:17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</row>
    <row r="202" spans="1:17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spans="1:17" ht="15" customHeight="1" x14ac:dyDescent="0.25">
      <c r="A219" s="26" t="s">
        <v>101</v>
      </c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</row>
    <row r="220" spans="1:17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17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6" t="s">
        <v>102</v>
      </c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6" t="s">
        <v>103</v>
      </c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6" t="s">
        <v>104</v>
      </c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6" t="s">
        <v>105</v>
      </c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6" t="s">
        <v>106</v>
      </c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0">
    <mergeCell ref="A236:Q236"/>
    <mergeCell ref="A254:Q254"/>
    <mergeCell ref="A273:Q273"/>
    <mergeCell ref="A292:Q292"/>
    <mergeCell ref="A311:Q311"/>
    <mergeCell ref="A149:Q149"/>
    <mergeCell ref="A167:Q167"/>
    <mergeCell ref="A184:Q184"/>
    <mergeCell ref="A200:Q200"/>
    <mergeCell ref="A219:Q219"/>
    <mergeCell ref="A61:Q61"/>
    <mergeCell ref="A80:Q80"/>
    <mergeCell ref="A98:Q98"/>
    <mergeCell ref="A115:Q115"/>
    <mergeCell ref="A132:Q132"/>
    <mergeCell ref="A1:Q1"/>
    <mergeCell ref="A2:Q2"/>
    <mergeCell ref="A4:Q4"/>
    <mergeCell ref="A23:Q23"/>
    <mergeCell ref="A42:Q42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topLeftCell="A58" zoomScaleNormal="100" workbookViewId="0">
      <selection activeCell="H80" sqref="H80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E18">
        <v>10</v>
      </c>
      <c r="F18" t="s">
        <v>88</v>
      </c>
      <c r="G18">
        <v>31</v>
      </c>
      <c r="H18">
        <v>2.5</v>
      </c>
      <c r="I18" t="str">
        <f t="shared" si="0"/>
        <v>KC</v>
      </c>
      <c r="J18" t="str">
        <f t="shared" si="1"/>
        <v>KC</v>
      </c>
    </row>
    <row r="19" spans="1:10" x14ac:dyDescent="0.25">
      <c r="D19" s="15" t="s">
        <v>89</v>
      </c>
      <c r="E19" s="16">
        <f>IF(AND(E18&lt;&gt;"",G18&lt;&gt;""),E18+G18,"")</f>
        <v>41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E22">
        <v>31</v>
      </c>
      <c r="F22" t="s">
        <v>67</v>
      </c>
      <c r="G22">
        <v>41</v>
      </c>
      <c r="H22">
        <v>4.5</v>
      </c>
      <c r="I22" t="str">
        <f t="shared" ref="I22:I37" si="2">IF(OR(E22="",G22=""),"",IF(E22&gt;G22,D22,IF(G22&gt;E22,F22,"TIE")))</f>
        <v>BUF</v>
      </c>
      <c r="J22" t="str">
        <f t="shared" ref="J22:J37" si="3">IF(OR(E22="",G22="",H22=""),"",IF(E22+H22&gt;G22,D22,IF(E22+H22&lt;G22,F22,"PUSH")))</f>
        <v>BUF</v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E23">
        <v>34</v>
      </c>
      <c r="F23" t="s">
        <v>73</v>
      </c>
      <c r="G23">
        <v>3</v>
      </c>
      <c r="H23">
        <v>-1.5</v>
      </c>
      <c r="I23" t="str">
        <f t="shared" si="2"/>
        <v>CAR</v>
      </c>
      <c r="J23" t="str">
        <f t="shared" si="3"/>
        <v>CAR</v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E24">
        <v>24</v>
      </c>
      <c r="F24" t="s">
        <v>69</v>
      </c>
      <c r="G24">
        <v>17</v>
      </c>
      <c r="H24">
        <v>8.5</v>
      </c>
      <c r="I24" t="str">
        <f t="shared" si="2"/>
        <v>NO</v>
      </c>
      <c r="J24" t="str">
        <f t="shared" si="3"/>
        <v>NO</v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E25">
        <v>9</v>
      </c>
      <c r="F25" t="s">
        <v>61</v>
      </c>
      <c r="G25">
        <v>3</v>
      </c>
      <c r="H25">
        <v>5.5</v>
      </c>
      <c r="I25" t="str">
        <f t="shared" si="2"/>
        <v>MIN</v>
      </c>
      <c r="J25" t="str">
        <f t="shared" si="3"/>
        <v>MIN</v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E26">
        <v>20</v>
      </c>
      <c r="F26" t="s">
        <v>68</v>
      </c>
      <c r="G26">
        <v>6</v>
      </c>
      <c r="H26">
        <v>2.5</v>
      </c>
      <c r="I26" t="str">
        <f t="shared" si="2"/>
        <v>CIN</v>
      </c>
      <c r="J26" t="str">
        <f t="shared" si="3"/>
        <v>CIN</v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E27">
        <v>3</v>
      </c>
      <c r="F27" t="s">
        <v>57</v>
      </c>
      <c r="G27">
        <v>20</v>
      </c>
      <c r="H27">
        <v>5.5</v>
      </c>
      <c r="I27" t="str">
        <f t="shared" si="2"/>
        <v>NE</v>
      </c>
      <c r="J27" t="str">
        <f t="shared" si="3"/>
        <v>NE</v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E28">
        <v>20</v>
      </c>
      <c r="F28" t="s">
        <v>75</v>
      </c>
      <c r="G28">
        <v>17</v>
      </c>
      <c r="H28">
        <v>-3.5</v>
      </c>
      <c r="I28" t="str">
        <f t="shared" si="2"/>
        <v>GB</v>
      </c>
      <c r="J28" t="str">
        <f t="shared" si="3"/>
        <v>NYJ</v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E29">
        <v>23</v>
      </c>
      <c r="F29" t="s">
        <v>63</v>
      </c>
      <c r="G29">
        <v>19</v>
      </c>
      <c r="H29">
        <v>8.5</v>
      </c>
      <c r="I29" t="str">
        <f t="shared" si="2"/>
        <v>CLE</v>
      </c>
      <c r="J29" t="str">
        <f t="shared" si="3"/>
        <v>CLE</v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E30">
        <v>24</v>
      </c>
      <c r="F30" t="s">
        <v>76</v>
      </c>
      <c r="G30">
        <v>20</v>
      </c>
      <c r="H30">
        <v>-7.5</v>
      </c>
      <c r="I30" t="str">
        <f t="shared" si="2"/>
        <v>PHI</v>
      </c>
      <c r="J30" t="str">
        <f t="shared" si="3"/>
        <v>TEN</v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E31">
        <v>13</v>
      </c>
      <c r="F31" t="s">
        <v>87</v>
      </c>
      <c r="G31">
        <v>20</v>
      </c>
      <c r="H31">
        <v>2.5</v>
      </c>
      <c r="I31" t="str">
        <f t="shared" si="2"/>
        <v>DEN</v>
      </c>
      <c r="J31" t="str">
        <f t="shared" si="3"/>
        <v>DEN</v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E32">
        <v>26</v>
      </c>
      <c r="F32" t="s">
        <v>78</v>
      </c>
      <c r="G32">
        <v>14</v>
      </c>
      <c r="H32">
        <v>6.5</v>
      </c>
      <c r="I32" t="str">
        <f t="shared" si="2"/>
        <v>LV</v>
      </c>
      <c r="J32" t="str">
        <f t="shared" si="3"/>
        <v>LV</v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E33">
        <v>31</v>
      </c>
      <c r="F33" t="s">
        <v>77</v>
      </c>
      <c r="G33">
        <v>7</v>
      </c>
      <c r="H33">
        <v>-3.5</v>
      </c>
      <c r="I33" t="str">
        <f t="shared" si="2"/>
        <v>SEA</v>
      </c>
      <c r="J33" t="str">
        <f t="shared" si="3"/>
        <v>SEA</v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E34">
        <v>20</v>
      </c>
      <c r="F34" t="s">
        <v>85</v>
      </c>
      <c r="G34">
        <v>37</v>
      </c>
      <c r="H34">
        <v>3.5</v>
      </c>
      <c r="I34" t="str">
        <f t="shared" si="2"/>
        <v>DAL</v>
      </c>
      <c r="J34" t="str">
        <f t="shared" si="3"/>
        <v>DAL</v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E35">
        <v>13</v>
      </c>
      <c r="F35" t="s">
        <v>59</v>
      </c>
      <c r="G35">
        <v>35</v>
      </c>
      <c r="H35">
        <v>13.5</v>
      </c>
      <c r="I35" t="str">
        <f t="shared" si="2"/>
        <v>SF</v>
      </c>
      <c r="J35" t="str">
        <f t="shared" si="3"/>
        <v>SF</v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E36">
        <v>30</v>
      </c>
      <c r="F36" t="s">
        <v>88</v>
      </c>
      <c r="G36">
        <v>33</v>
      </c>
      <c r="H36">
        <v>6.5</v>
      </c>
      <c r="I36" t="str">
        <f t="shared" si="2"/>
        <v>KC</v>
      </c>
      <c r="J36" t="str">
        <f t="shared" si="3"/>
        <v>IND</v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E37">
        <v>6</v>
      </c>
      <c r="F37" t="s">
        <v>60</v>
      </c>
      <c r="G37">
        <v>28</v>
      </c>
      <c r="H37">
        <v>7.5</v>
      </c>
      <c r="I37" t="str">
        <f t="shared" si="2"/>
        <v>LAR</v>
      </c>
      <c r="J37" t="str">
        <f t="shared" si="3"/>
        <v>LAR</v>
      </c>
    </row>
    <row r="38" spans="1:10" x14ac:dyDescent="0.25">
      <c r="D38" s="15" t="s">
        <v>89</v>
      </c>
      <c r="E38" s="16">
        <f>IF(AND(E37&lt;&gt;"",G37&lt;&gt;""),E37+G37,"")</f>
        <v>34</v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E41">
        <v>35</v>
      </c>
      <c r="F41" t="s">
        <v>81</v>
      </c>
      <c r="G41">
        <v>14</v>
      </c>
      <c r="H41">
        <v>6.5</v>
      </c>
      <c r="I41" t="str">
        <f t="shared" ref="I41:I56" si="4">IF(OR(E41="",G41=""),"",IF(E41&gt;G41,D41,IF(G41&gt;E41,F41,"TIE")))</f>
        <v>ATL</v>
      </c>
      <c r="J41" t="str">
        <f t="shared" ref="J41:J56" si="5">IF(OR(E41="",G41="",H41=""),"",IF(E41+H41&gt;G41,D41,IF(E41+H41&lt;G41,F41,"PUSH")))</f>
        <v>ATL</v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E42">
        <v>16</v>
      </c>
      <c r="F42" t="s">
        <v>67</v>
      </c>
      <c r="G42">
        <v>24</v>
      </c>
      <c r="H42">
        <v>7.5</v>
      </c>
      <c r="I42" t="str">
        <f t="shared" si="4"/>
        <v>BUF</v>
      </c>
      <c r="J42" t="str">
        <f t="shared" si="5"/>
        <v>BUF</v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E43">
        <v>18</v>
      </c>
      <c r="F43" t="s">
        <v>71</v>
      </c>
      <c r="G43">
        <v>21</v>
      </c>
      <c r="H43">
        <v>-2.5</v>
      </c>
      <c r="I43" t="str">
        <f t="shared" si="4"/>
        <v>CLE</v>
      </c>
      <c r="J43" t="str">
        <f t="shared" si="5"/>
        <v>CLE</v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E44">
        <v>24</v>
      </c>
      <c r="F44" t="s">
        <v>66</v>
      </c>
      <c r="G44">
        <v>31</v>
      </c>
      <c r="H44">
        <v>6.5</v>
      </c>
      <c r="I44" t="str">
        <f t="shared" si="4"/>
        <v>DET</v>
      </c>
      <c r="J44" t="str">
        <f t="shared" si="5"/>
        <v>DET</v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E45">
        <v>17</v>
      </c>
      <c r="F45" t="s">
        <v>70</v>
      </c>
      <c r="G45">
        <v>19</v>
      </c>
      <c r="H45">
        <v>-2.5</v>
      </c>
      <c r="I45" t="str">
        <f t="shared" si="4"/>
        <v>IND</v>
      </c>
      <c r="J45" t="str">
        <f t="shared" si="5"/>
        <v>IND</v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E46">
        <v>24</v>
      </c>
      <c r="F46" t="s">
        <v>79</v>
      </c>
      <c r="G46">
        <v>10</v>
      </c>
      <c r="H46">
        <v>-11.5</v>
      </c>
      <c r="I46" t="str">
        <f t="shared" si="4"/>
        <v>KC</v>
      </c>
      <c r="J46" t="str">
        <f t="shared" si="5"/>
        <v>KC</v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E47">
        <v>7</v>
      </c>
      <c r="F47" t="s">
        <v>86</v>
      </c>
      <c r="G47">
        <v>12</v>
      </c>
      <c r="H47">
        <v>3.5</v>
      </c>
      <c r="I47" t="str">
        <f t="shared" si="4"/>
        <v>NYG</v>
      </c>
      <c r="J47" t="str">
        <f t="shared" si="5"/>
        <v>NYG</v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E48">
        <v>27</v>
      </c>
      <c r="F48" t="s">
        <v>74</v>
      </c>
      <c r="G48">
        <v>30</v>
      </c>
      <c r="H48">
        <v>-3.5</v>
      </c>
      <c r="I48" t="str">
        <f t="shared" si="4"/>
        <v>PIT</v>
      </c>
      <c r="J48" t="str">
        <f t="shared" si="5"/>
        <v>PIT</v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E49">
        <v>31</v>
      </c>
      <c r="F49" t="s">
        <v>83</v>
      </c>
      <c r="G49">
        <v>33</v>
      </c>
      <c r="H49">
        <v>-7.5</v>
      </c>
      <c r="I49" t="str">
        <f t="shared" si="4"/>
        <v>WAS</v>
      </c>
      <c r="J49" t="str">
        <f t="shared" si="5"/>
        <v>WAS</v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E50">
        <v>6</v>
      </c>
      <c r="F50" t="s">
        <v>72</v>
      </c>
      <c r="G50">
        <v>35</v>
      </c>
      <c r="H50">
        <v>2.5</v>
      </c>
      <c r="I50" t="str">
        <f t="shared" si="4"/>
        <v>JAX</v>
      </c>
      <c r="J50" t="str">
        <f t="shared" si="5"/>
        <v>JAX</v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E51">
        <v>30</v>
      </c>
      <c r="F51" t="s">
        <v>59</v>
      </c>
      <c r="G51">
        <v>36</v>
      </c>
      <c r="H51">
        <v>8.5</v>
      </c>
      <c r="I51" t="str">
        <f t="shared" si="4"/>
        <v>SF</v>
      </c>
      <c r="J51" t="str">
        <f t="shared" si="5"/>
        <v>ARI</v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E52">
        <v>23</v>
      </c>
      <c r="F52" t="s">
        <v>63</v>
      </c>
      <c r="G52">
        <v>16</v>
      </c>
      <c r="H52">
        <v>-1.5</v>
      </c>
      <c r="I52" t="str">
        <f t="shared" si="4"/>
        <v>MIN</v>
      </c>
      <c r="J52" t="str">
        <f t="shared" si="5"/>
        <v>MIN</v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E53">
        <v>34</v>
      </c>
      <c r="F53" t="s">
        <v>85</v>
      </c>
      <c r="G53">
        <v>31</v>
      </c>
      <c r="H53">
        <v>-2.5</v>
      </c>
      <c r="I53" t="str">
        <f t="shared" si="4"/>
        <v>BAL</v>
      </c>
      <c r="J53" t="str">
        <f t="shared" si="5"/>
        <v>BAL</v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E54">
        <v>35</v>
      </c>
      <c r="F54" t="s">
        <v>65</v>
      </c>
      <c r="G54">
        <v>27</v>
      </c>
      <c r="H54">
        <v>3.5</v>
      </c>
      <c r="I54" t="str">
        <f t="shared" si="4"/>
        <v>LV</v>
      </c>
      <c r="J54" t="str">
        <f t="shared" si="5"/>
        <v>LV</v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E55">
        <v>26</v>
      </c>
      <c r="F55" t="s">
        <v>87</v>
      </c>
      <c r="G55">
        <v>30</v>
      </c>
      <c r="H55">
        <v>-2.5</v>
      </c>
      <c r="I55" t="str">
        <f t="shared" si="4"/>
        <v>DEN</v>
      </c>
      <c r="J55" t="str">
        <f t="shared" si="5"/>
        <v>DEN</v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E56">
        <v>7</v>
      </c>
      <c r="F56" t="s">
        <v>61</v>
      </c>
      <c r="G56">
        <v>27</v>
      </c>
      <c r="H56">
        <v>-3.5</v>
      </c>
      <c r="I56" t="str">
        <f t="shared" si="4"/>
        <v>CHI</v>
      </c>
      <c r="J56" t="str">
        <f t="shared" si="5"/>
        <v>CHI</v>
      </c>
    </row>
    <row r="57" spans="1:10" x14ac:dyDescent="0.25">
      <c r="D57" s="15" t="s">
        <v>89</v>
      </c>
      <c r="E57" s="16">
        <f>IF(AND(E56&lt;&gt;"",G56&lt;&gt;""),E56+G56,"")</f>
        <v>34</v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E60">
        <v>24</v>
      </c>
      <c r="F60" t="s">
        <v>71</v>
      </c>
      <c r="G60">
        <v>27</v>
      </c>
      <c r="H60">
        <v>-2.5</v>
      </c>
      <c r="I60" t="str">
        <f t="shared" ref="I60:I75" si="6">IF(OR(E60="",G60=""),"",IF(E60&gt;G60,D60,IF(G60&gt;E60,F60,"TIE")))</f>
        <v>CLE</v>
      </c>
      <c r="J60" t="str">
        <f t="shared" ref="J60:J75" si="7">IF(OR(E60="",G60="",H60=""),"",IF(E60+H60&gt;G60,D60,IF(E60+H60&lt;G60,F60,"PUSH")))</f>
        <v>CLE</v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E61">
        <v>30</v>
      </c>
      <c r="F61" t="s">
        <v>83</v>
      </c>
      <c r="G61">
        <v>13</v>
      </c>
      <c r="H61">
        <v>-3.5</v>
      </c>
      <c r="I61" t="str">
        <f t="shared" si="6"/>
        <v>IND</v>
      </c>
      <c r="J61" t="str">
        <f t="shared" si="7"/>
        <v>IND</v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E62">
        <v>29</v>
      </c>
      <c r="F62" t="s">
        <v>67</v>
      </c>
      <c r="G62">
        <v>26</v>
      </c>
      <c r="H62">
        <v>6.5</v>
      </c>
      <c r="I62" t="str">
        <f t="shared" si="6"/>
        <v>NE</v>
      </c>
      <c r="J62" t="str">
        <f t="shared" si="7"/>
        <v>NE</v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E63">
        <v>12</v>
      </c>
      <c r="F63" t="s">
        <v>61</v>
      </c>
      <c r="G63">
        <v>23</v>
      </c>
      <c r="H63">
        <v>3.5</v>
      </c>
      <c r="I63" t="str">
        <f t="shared" si="6"/>
        <v>CHI</v>
      </c>
      <c r="J63" t="str">
        <f t="shared" si="7"/>
        <v>CHI</v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E64">
        <v>22</v>
      </c>
      <c r="F64" t="s">
        <v>64</v>
      </c>
      <c r="G64">
        <v>17</v>
      </c>
      <c r="H64">
        <v>2.5</v>
      </c>
      <c r="I64" t="str">
        <f t="shared" si="6"/>
        <v>JAX</v>
      </c>
      <c r="J64" t="str">
        <f t="shared" si="7"/>
        <v>JAX</v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E65">
        <v>24</v>
      </c>
      <c r="F65" t="s">
        <v>86</v>
      </c>
      <c r="G65">
        <v>36</v>
      </c>
      <c r="H65">
        <v>-0.5</v>
      </c>
      <c r="I65" t="str">
        <f t="shared" si="6"/>
        <v>NYG</v>
      </c>
      <c r="J65" t="str">
        <f t="shared" si="7"/>
        <v>NYG</v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E66">
        <v>24</v>
      </c>
      <c r="F66" t="s">
        <v>84</v>
      </c>
      <c r="G66">
        <v>20</v>
      </c>
      <c r="H66">
        <v>-2.5</v>
      </c>
      <c r="I66" t="str">
        <f t="shared" si="6"/>
        <v>LAR</v>
      </c>
      <c r="J66" t="str">
        <f t="shared" si="7"/>
        <v>LAR</v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E67">
        <v>17</v>
      </c>
      <c r="F67" t="s">
        <v>63</v>
      </c>
      <c r="G67">
        <v>14</v>
      </c>
      <c r="H67">
        <v>-3.5</v>
      </c>
      <c r="I67" t="str">
        <f t="shared" si="6"/>
        <v>GB</v>
      </c>
      <c r="J67" t="str">
        <f t="shared" si="7"/>
        <v>TB</v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E68">
        <v>18</v>
      </c>
      <c r="F68" t="s">
        <v>69</v>
      </c>
      <c r="G68">
        <v>24</v>
      </c>
      <c r="H68">
        <v>11.5</v>
      </c>
      <c r="I68" t="str">
        <f t="shared" si="6"/>
        <v>BAL</v>
      </c>
      <c r="J68" t="str">
        <f t="shared" si="7"/>
        <v>TEN</v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E69">
        <v>34</v>
      </c>
      <c r="F69" t="s">
        <v>68</v>
      </c>
      <c r="G69">
        <v>30</v>
      </c>
      <c r="H69">
        <v>-2.5</v>
      </c>
      <c r="I69" t="str">
        <f t="shared" si="6"/>
        <v>DAL</v>
      </c>
      <c r="J69" t="str">
        <f t="shared" si="7"/>
        <v>DAL</v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E70">
        <v>10</v>
      </c>
      <c r="F70" t="s">
        <v>82</v>
      </c>
      <c r="G70">
        <v>15</v>
      </c>
      <c r="H70">
        <v>11.5</v>
      </c>
      <c r="I70" t="str">
        <f t="shared" si="6"/>
        <v>MIN</v>
      </c>
      <c r="J70" t="str">
        <f t="shared" si="7"/>
        <v>MIA</v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E71">
        <v>30</v>
      </c>
      <c r="F71" t="s">
        <v>80</v>
      </c>
      <c r="G71">
        <v>27</v>
      </c>
      <c r="H71">
        <v>-4.5</v>
      </c>
      <c r="I71" t="str">
        <f t="shared" si="6"/>
        <v>KC</v>
      </c>
      <c r="J71" t="str">
        <f t="shared" si="7"/>
        <v>LV</v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E72">
        <v>14</v>
      </c>
      <c r="F72" t="s">
        <v>59</v>
      </c>
      <c r="G72">
        <v>24</v>
      </c>
      <c r="H72">
        <v>2.5</v>
      </c>
      <c r="I72" t="str">
        <f t="shared" si="6"/>
        <v>SF</v>
      </c>
      <c r="J72" t="str">
        <f t="shared" si="7"/>
        <v>SF</v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E73">
        <v>23</v>
      </c>
      <c r="F73" t="s">
        <v>58</v>
      </c>
      <c r="G73">
        <v>30</v>
      </c>
      <c r="H73">
        <v>7.5</v>
      </c>
      <c r="I73" t="str">
        <f t="shared" si="6"/>
        <v>SEA</v>
      </c>
      <c r="J73" t="str">
        <f t="shared" si="7"/>
        <v>LAC</v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E74">
        <v>26</v>
      </c>
      <c r="F74" t="s">
        <v>62</v>
      </c>
      <c r="G74">
        <v>32</v>
      </c>
      <c r="H74">
        <v>-3.5</v>
      </c>
      <c r="I74" t="str">
        <f t="shared" si="6"/>
        <v>CAR</v>
      </c>
      <c r="J74" t="str">
        <f t="shared" si="7"/>
        <v>CAR</v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E75">
        <v>45</v>
      </c>
      <c r="F75" t="s">
        <v>65</v>
      </c>
      <c r="G75">
        <v>24</v>
      </c>
      <c r="H75">
        <v>2.5</v>
      </c>
      <c r="I75" t="str">
        <f t="shared" si="6"/>
        <v>ATL</v>
      </c>
      <c r="J75" t="str">
        <f t="shared" si="7"/>
        <v>ATL</v>
      </c>
    </row>
    <row r="76" spans="1:10" x14ac:dyDescent="0.25">
      <c r="D76" s="15" t="s">
        <v>89</v>
      </c>
      <c r="E76" s="16">
        <f>IF(AND(E75&lt;&gt;"",G75&lt;&gt;""),E75+G75,"")</f>
        <v>69</v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E79">
        <v>24</v>
      </c>
      <c r="F79" t="s">
        <v>85</v>
      </c>
      <c r="G79">
        <v>16</v>
      </c>
      <c r="H79">
        <v>8.5</v>
      </c>
      <c r="I79" t="str">
        <f t="shared" ref="I79:I93" si="8">IF(OR(E79="",G79=""),"",IF(E79&gt;G79,D79,IF(G79&gt;E79,F79,"TIE")))</f>
        <v>TB</v>
      </c>
      <c r="J79" t="str">
        <f t="shared" ref="J79:J93" si="9">IF(OR(E79="",G79="",H79=""),"",IF(E79+H79&gt;G79,D79,IF(E79+H79&lt;G79,F79,"PUSH")))</f>
        <v>TB</v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F80" t="s">
        <v>72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F81" t="s">
        <v>76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F82" t="s">
        <v>79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F83" t="s">
        <v>57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F84" t="s">
        <v>65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F85" t="s">
        <v>75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F86" t="s">
        <v>74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F87" t="s">
        <v>83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F88" t="s">
        <v>78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F89" t="s">
        <v>81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F90" t="s">
        <v>77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F91" t="s">
        <v>58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F92" t="s">
        <v>73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F93" t="s">
        <v>60</v>
      </c>
      <c r="I93" t="str">
        <f t="shared" si="8"/>
        <v/>
      </c>
      <c r="J93" t="str">
        <f t="shared" si="9"/>
        <v/>
      </c>
    </row>
    <row r="94" spans="1:10" x14ac:dyDescent="0.25">
      <c r="D94" s="15" t="s">
        <v>89</v>
      </c>
      <c r="E94" s="16" t="str">
        <f>IF(AND(E93&lt;&gt;"",G93&lt;&gt;""),E93+G93,"")</f>
        <v/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F97" t="s">
        <v>87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F98" t="s">
        <v>72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F99" t="s">
        <v>73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F100" t="s">
        <v>71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F101" t="s">
        <v>70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F102" t="s">
        <v>57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F103" t="s">
        <v>86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F104" t="s">
        <v>84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F105" t="s">
        <v>63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F106" t="s">
        <v>78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60</v>
      </c>
      <c r="F107" t="s">
        <v>88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F108" t="s">
        <v>80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F109" t="s">
        <v>81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15" t="s">
        <v>89</v>
      </c>
      <c r="E111" s="16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5" t="s">
        <v>89</v>
      </c>
      <c r="E128" s="16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5" t="s">
        <v>89</v>
      </c>
      <c r="E145" s="16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5" t="s">
        <v>89</v>
      </c>
      <c r="E163" s="16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5" t="s">
        <v>89</v>
      </c>
      <c r="E180" s="16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5" t="s">
        <v>89</v>
      </c>
      <c r="E196" s="16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5" t="s">
        <v>89</v>
      </c>
      <c r="E215" s="16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5" t="s">
        <v>89</v>
      </c>
      <c r="E232" s="16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5" t="s">
        <v>89</v>
      </c>
      <c r="E250" s="16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5" t="s">
        <v>89</v>
      </c>
      <c r="E269" s="16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5" t="s">
        <v>89</v>
      </c>
      <c r="E288" s="16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5" t="s">
        <v>89</v>
      </c>
      <c r="E307" s="16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5" t="s">
        <v>89</v>
      </c>
      <c r="E326" s="16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opLeftCell="A39" zoomScaleNormal="100" workbookViewId="0">
      <selection activeCell="C54" sqref="C54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187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188</v>
      </c>
    </row>
    <row r="4" spans="1:9" ht="15" customHeight="1" x14ac:dyDescent="0.25">
      <c r="A4" s="17" t="s">
        <v>52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7</v>
      </c>
      <c r="D7">
        <v>6</v>
      </c>
      <c r="E7">
        <f>IFERROR(INDEX(C$6:C$17,MATCH(6,A$6:A$17,0)),0)</f>
        <v>7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L</v>
      </c>
      <c r="G7">
        <f t="shared" si="0"/>
        <v>0</v>
      </c>
      <c r="H7">
        <f t="shared" si="1"/>
        <v>7</v>
      </c>
      <c r="I7">
        <f t="shared" si="2"/>
        <v>7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W</v>
      </c>
      <c r="G8">
        <f t="shared" si="0"/>
        <v>6</v>
      </c>
      <c r="H8">
        <f t="shared" si="1"/>
        <v>8</v>
      </c>
      <c r="I8">
        <f t="shared" si="2"/>
        <v>14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6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6</v>
      </c>
      <c r="I9">
        <f t="shared" si="2"/>
        <v>6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7</v>
      </c>
      <c r="D11">
        <v>2</v>
      </c>
      <c r="E11">
        <f>IFERROR(INDEX(C$6:C$17,MATCH(2,A$6:A$17,0)),0)</f>
        <v>7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W</v>
      </c>
      <c r="G11">
        <f t="shared" si="0"/>
        <v>6</v>
      </c>
      <c r="H11">
        <f t="shared" si="1"/>
        <v>7</v>
      </c>
      <c r="I11">
        <f t="shared" si="2"/>
        <v>13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9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L</v>
      </c>
      <c r="G13">
        <f t="shared" si="0"/>
        <v>0</v>
      </c>
      <c r="H13">
        <f t="shared" si="1"/>
        <v>8</v>
      </c>
      <c r="I13">
        <f t="shared" si="2"/>
        <v>8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L</v>
      </c>
      <c r="G14">
        <f t="shared" si="0"/>
        <v>0</v>
      </c>
      <c r="H14">
        <f t="shared" si="1"/>
        <v>8</v>
      </c>
      <c r="I14">
        <f t="shared" si="2"/>
        <v>8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6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W</v>
      </c>
      <c r="G17">
        <f t="shared" si="0"/>
        <v>6</v>
      </c>
      <c r="H17">
        <f t="shared" si="1"/>
        <v>9</v>
      </c>
      <c r="I17">
        <f t="shared" si="2"/>
        <v>15</v>
      </c>
    </row>
    <row r="19" spans="1:9" ht="15" customHeight="1" x14ac:dyDescent="0.25">
      <c r="A19" s="17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8</v>
      </c>
      <c r="D21">
        <v>6</v>
      </c>
      <c r="E21">
        <f>IFERROR(INDEX(C$21:C$32,MATCH(6,A$21:A$32,0)),0)</f>
        <v>7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W</v>
      </c>
      <c r="G21">
        <f t="shared" ref="G21:G32" si="3">IF(F21="W",6,IF(F21="T",3,0))</f>
        <v>6</v>
      </c>
      <c r="H21">
        <f t="shared" ref="H21:H32" si="4">IF(C21="",0,C21)</f>
        <v>8</v>
      </c>
      <c r="I21">
        <f t="shared" ref="I21:I32" si="5">G21+H21</f>
        <v>14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8</v>
      </c>
      <c r="D22">
        <v>5</v>
      </c>
      <c r="E22">
        <f>IFERROR(INDEX(C$21:C$32,MATCH(5,A$21:A$32,0)),0)</f>
        <v>6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W</v>
      </c>
      <c r="G22">
        <f t="shared" si="3"/>
        <v>6</v>
      </c>
      <c r="H22">
        <f t="shared" si="4"/>
        <v>8</v>
      </c>
      <c r="I22">
        <f t="shared" si="5"/>
        <v>14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6</v>
      </c>
      <c r="D23">
        <v>10</v>
      </c>
      <c r="E23">
        <f>IFERROR(INDEX(C$21:C$32,MATCH(10,A$21:A$32,0)),0)</f>
        <v>8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L</v>
      </c>
      <c r="G23">
        <f t="shared" si="3"/>
        <v>0</v>
      </c>
      <c r="H23">
        <f t="shared" si="4"/>
        <v>6</v>
      </c>
      <c r="I23">
        <f t="shared" si="5"/>
        <v>6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8</v>
      </c>
      <c r="D24">
        <v>9</v>
      </c>
      <c r="E24">
        <f>IFERROR(INDEX(C$21:C$32,MATCH(9,A$21:A$32,0)),0)</f>
        <v>7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W</v>
      </c>
      <c r="G24">
        <f t="shared" si="3"/>
        <v>6</v>
      </c>
      <c r="H24">
        <f t="shared" si="4"/>
        <v>8</v>
      </c>
      <c r="I24">
        <f t="shared" si="5"/>
        <v>14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6</v>
      </c>
      <c r="D25">
        <v>2</v>
      </c>
      <c r="E25">
        <f>IFERROR(INDEX(C$21:C$32,MATCH(2,A$21:A$32,0)),0)</f>
        <v>8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L</v>
      </c>
      <c r="G25">
        <f t="shared" si="3"/>
        <v>0</v>
      </c>
      <c r="H25">
        <f t="shared" si="4"/>
        <v>6</v>
      </c>
      <c r="I25">
        <f t="shared" si="5"/>
        <v>6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7</v>
      </c>
      <c r="D26">
        <v>1</v>
      </c>
      <c r="E26">
        <f>IFERROR(INDEX(C$21:C$32,MATCH(1,A$21:A$32,0)),0)</f>
        <v>8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L</v>
      </c>
      <c r="G26">
        <f t="shared" si="3"/>
        <v>0</v>
      </c>
      <c r="H26">
        <f t="shared" si="4"/>
        <v>7</v>
      </c>
      <c r="I26">
        <f t="shared" si="5"/>
        <v>7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6</v>
      </c>
      <c r="D27">
        <v>12</v>
      </c>
      <c r="E27">
        <f>IFERROR(INDEX(C$21:C$32,MATCH(12,A$21:A$32,0)),0)</f>
        <v>4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W</v>
      </c>
      <c r="G27">
        <f t="shared" si="3"/>
        <v>6</v>
      </c>
      <c r="H27">
        <f t="shared" si="4"/>
        <v>6</v>
      </c>
      <c r="I27">
        <f t="shared" si="5"/>
        <v>12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4</v>
      </c>
      <c r="D28">
        <v>11</v>
      </c>
      <c r="E28">
        <f>IFERROR(INDEX(C$21:C$32,MATCH(11,A$21:A$32,0)),0)</f>
        <v>6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L</v>
      </c>
      <c r="G28">
        <f t="shared" si="3"/>
        <v>0</v>
      </c>
      <c r="H28">
        <f t="shared" si="4"/>
        <v>4</v>
      </c>
      <c r="I28">
        <f t="shared" si="5"/>
        <v>4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7</v>
      </c>
      <c r="D29">
        <v>4</v>
      </c>
      <c r="E29">
        <f>IFERROR(INDEX(C$21:C$32,MATCH(4,A$21:A$32,0)),0)</f>
        <v>8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L</v>
      </c>
      <c r="G29">
        <f t="shared" si="3"/>
        <v>0</v>
      </c>
      <c r="H29">
        <f t="shared" si="4"/>
        <v>7</v>
      </c>
      <c r="I29">
        <f t="shared" si="5"/>
        <v>7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8</v>
      </c>
      <c r="D30">
        <v>3</v>
      </c>
      <c r="E30">
        <f>IFERROR(INDEX(C$21:C$32,MATCH(3,A$21:A$32,0)),0)</f>
        <v>6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W</v>
      </c>
      <c r="G30">
        <f t="shared" si="3"/>
        <v>6</v>
      </c>
      <c r="H30">
        <f t="shared" si="4"/>
        <v>8</v>
      </c>
      <c r="I30">
        <f t="shared" si="5"/>
        <v>14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6</v>
      </c>
      <c r="D31">
        <v>8</v>
      </c>
      <c r="E31">
        <f>IFERROR(INDEX(C$21:C$32,MATCH(8,A$21:A$32,0)),0)</f>
        <v>4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W</v>
      </c>
      <c r="G31">
        <f t="shared" si="3"/>
        <v>6</v>
      </c>
      <c r="H31">
        <f t="shared" si="4"/>
        <v>6</v>
      </c>
      <c r="I31">
        <f t="shared" si="5"/>
        <v>12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4</v>
      </c>
      <c r="D32">
        <v>7</v>
      </c>
      <c r="E32">
        <f>IFERROR(INDEX(C$21:C$32,MATCH(7,A$21:A$32,0)),0)</f>
        <v>6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L</v>
      </c>
      <c r="G32">
        <f t="shared" si="3"/>
        <v>0</v>
      </c>
      <c r="H32">
        <f t="shared" si="4"/>
        <v>4</v>
      </c>
      <c r="I32">
        <f t="shared" si="5"/>
        <v>4</v>
      </c>
    </row>
    <row r="34" spans="1:9" ht="15" customHeight="1" x14ac:dyDescent="0.25">
      <c r="A34" s="17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12</v>
      </c>
      <c r="D36">
        <v>7</v>
      </c>
      <c r="E36">
        <f>IFERROR(INDEX(C$36:C$47,MATCH(7,A$36:A$47,0)),0)</f>
        <v>8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W</v>
      </c>
      <c r="G36">
        <f t="shared" ref="G36:G47" si="6">IF(F36="W",6,IF(F36="T",3,0))</f>
        <v>6</v>
      </c>
      <c r="H36">
        <f t="shared" ref="H36:H47" si="7">IF(C36="",0,C36)</f>
        <v>12</v>
      </c>
      <c r="I36">
        <f t="shared" ref="I36:I47" si="8">G36+H36</f>
        <v>18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8</v>
      </c>
      <c r="D37">
        <v>8</v>
      </c>
      <c r="E37">
        <f>IFERROR(INDEX(C$36:C$47,MATCH(8,A$36:A$47,0)),0)</f>
        <v>7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W</v>
      </c>
      <c r="G37">
        <f t="shared" si="6"/>
        <v>6</v>
      </c>
      <c r="H37">
        <f t="shared" si="7"/>
        <v>8</v>
      </c>
      <c r="I37">
        <f t="shared" si="8"/>
        <v>14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8</v>
      </c>
      <c r="D38">
        <v>11</v>
      </c>
      <c r="E38">
        <f>IFERROR(INDEX(C$36:C$47,MATCH(11,A$36:A$47,0)),0)</f>
        <v>8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W</v>
      </c>
      <c r="G38">
        <f t="shared" si="6"/>
        <v>6</v>
      </c>
      <c r="H38">
        <f t="shared" si="7"/>
        <v>8</v>
      </c>
      <c r="I38">
        <f t="shared" si="8"/>
        <v>14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6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9</v>
      </c>
      <c r="D40">
        <v>9</v>
      </c>
      <c r="E40">
        <f>IFERROR(INDEX(C$36:C$47,MATCH(9,A$36:A$47,0)),0)</f>
        <v>8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W</v>
      </c>
      <c r="G40">
        <f t="shared" si="6"/>
        <v>6</v>
      </c>
      <c r="H40">
        <f t="shared" si="7"/>
        <v>9</v>
      </c>
      <c r="I40">
        <f t="shared" si="8"/>
        <v>15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7</v>
      </c>
      <c r="D41">
        <v>10</v>
      </c>
      <c r="E41">
        <f>IFERROR(INDEX(C$36:C$47,MATCH(10,A$36:A$47,0)),0)</f>
        <v>5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W</v>
      </c>
      <c r="G41">
        <f t="shared" si="6"/>
        <v>6</v>
      </c>
      <c r="H41">
        <f t="shared" si="7"/>
        <v>7</v>
      </c>
      <c r="I41">
        <f t="shared" si="8"/>
        <v>13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8</v>
      </c>
      <c r="D42">
        <v>1</v>
      </c>
      <c r="E42">
        <f>IFERROR(INDEX(C$36:C$47,MATCH(1,A$36:A$47,0)),0)</f>
        <v>12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L</v>
      </c>
      <c r="G42">
        <f t="shared" si="6"/>
        <v>0</v>
      </c>
      <c r="H42">
        <f t="shared" si="7"/>
        <v>8</v>
      </c>
      <c r="I42">
        <f t="shared" si="8"/>
        <v>8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7</v>
      </c>
      <c r="D43">
        <v>2</v>
      </c>
      <c r="E43">
        <f>IFERROR(INDEX(C$36:C$47,MATCH(2,A$36:A$47,0)),0)</f>
        <v>8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L</v>
      </c>
      <c r="G43">
        <f t="shared" si="6"/>
        <v>0</v>
      </c>
      <c r="H43">
        <f t="shared" si="7"/>
        <v>7</v>
      </c>
      <c r="I43">
        <f t="shared" si="8"/>
        <v>7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8</v>
      </c>
      <c r="D44">
        <v>5</v>
      </c>
      <c r="E44">
        <f>IFERROR(INDEX(C$36:C$47,MATCH(5,A$36:A$47,0)),0)</f>
        <v>9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L</v>
      </c>
      <c r="G44">
        <f t="shared" si="6"/>
        <v>0</v>
      </c>
      <c r="H44">
        <f t="shared" si="7"/>
        <v>8</v>
      </c>
      <c r="I44">
        <f t="shared" si="8"/>
        <v>8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5</v>
      </c>
      <c r="D45">
        <v>6</v>
      </c>
      <c r="E45">
        <f>IFERROR(INDEX(C$36:C$47,MATCH(6,A$36:A$47,0)),0)</f>
        <v>7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L</v>
      </c>
      <c r="G45">
        <f t="shared" si="6"/>
        <v>0</v>
      </c>
      <c r="H45">
        <f t="shared" si="7"/>
        <v>5</v>
      </c>
      <c r="I45">
        <f t="shared" si="8"/>
        <v>5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8</v>
      </c>
      <c r="D46">
        <v>3</v>
      </c>
      <c r="E46">
        <f>IFERROR(INDEX(C$36:C$47,MATCH(3,A$36:A$47,0)),0)</f>
        <v>8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L</v>
      </c>
      <c r="G46">
        <f t="shared" si="6"/>
        <v>0</v>
      </c>
      <c r="H46">
        <f t="shared" si="7"/>
        <v>8</v>
      </c>
      <c r="I46">
        <f t="shared" si="8"/>
        <v>8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6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W</v>
      </c>
      <c r="G47">
        <f t="shared" si="6"/>
        <v>6</v>
      </c>
      <c r="H47">
        <f t="shared" si="7"/>
        <v>6</v>
      </c>
      <c r="I47">
        <f t="shared" si="8"/>
        <v>12</v>
      </c>
    </row>
    <row r="49" spans="1:9" ht="15" customHeight="1" x14ac:dyDescent="0.25">
      <c r="A49" s="17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8</v>
      </c>
      <c r="D51">
        <v>8</v>
      </c>
      <c r="E51">
        <f>IFERROR(INDEX(C$51:C$62,MATCH(8,A$51:A$62,0)),0)</f>
        <v>8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T</v>
      </c>
      <c r="G51">
        <f t="shared" ref="G51:G62" si="9">IF(F51="W",6,IF(F51="T",3,0))</f>
        <v>3</v>
      </c>
      <c r="H51">
        <f t="shared" ref="H51:H62" si="10">IF(C51="",0,C51)</f>
        <v>8</v>
      </c>
      <c r="I51">
        <f t="shared" ref="I51:I62" si="11">G51+H51</f>
        <v>11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7</v>
      </c>
      <c r="D52">
        <v>7</v>
      </c>
      <c r="E52">
        <f>IFERROR(INDEX(C$51:C$62,MATCH(7,A$51:A$62,0)),0)</f>
        <v>6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W</v>
      </c>
      <c r="G52">
        <f t="shared" si="9"/>
        <v>6</v>
      </c>
      <c r="H52">
        <f t="shared" si="10"/>
        <v>7</v>
      </c>
      <c r="I52">
        <f t="shared" si="11"/>
        <v>13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9</v>
      </c>
      <c r="D53">
        <v>12</v>
      </c>
      <c r="E53">
        <f>IFERROR(INDEX(C$51:C$62,MATCH(12,A$51:A$62,0)),0)</f>
        <v>7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W</v>
      </c>
      <c r="G53">
        <f t="shared" si="9"/>
        <v>6</v>
      </c>
      <c r="H53">
        <f t="shared" si="10"/>
        <v>9</v>
      </c>
      <c r="I53">
        <f t="shared" si="11"/>
        <v>15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12</v>
      </c>
      <c r="D54">
        <v>11</v>
      </c>
      <c r="E54">
        <f>IFERROR(INDEX(C$51:C$62,MATCH(11,A$51:A$62,0)),0)</f>
        <v>7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W</v>
      </c>
      <c r="G54">
        <f t="shared" si="9"/>
        <v>6</v>
      </c>
      <c r="H54">
        <f t="shared" si="10"/>
        <v>12</v>
      </c>
      <c r="I54">
        <f t="shared" si="11"/>
        <v>18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6</v>
      </c>
      <c r="D55">
        <v>10</v>
      </c>
      <c r="E55">
        <f>IFERROR(INDEX(C$51:C$62,MATCH(10,A$51:A$62,0)),0)</f>
        <v>7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L</v>
      </c>
      <c r="G55">
        <f t="shared" si="9"/>
        <v>0</v>
      </c>
      <c r="H55">
        <f t="shared" si="10"/>
        <v>6</v>
      </c>
      <c r="I55">
        <f t="shared" si="11"/>
        <v>6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7</v>
      </c>
      <c r="D56">
        <v>9</v>
      </c>
      <c r="E56">
        <f>IFERROR(INDEX(C$51:C$62,MATCH(9,A$51:A$62,0)),0)</f>
        <v>8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L</v>
      </c>
      <c r="G56">
        <f t="shared" si="9"/>
        <v>0</v>
      </c>
      <c r="H56">
        <f t="shared" si="10"/>
        <v>7</v>
      </c>
      <c r="I56">
        <f t="shared" si="11"/>
        <v>7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6</v>
      </c>
      <c r="D57">
        <v>2</v>
      </c>
      <c r="E57">
        <f>IFERROR(INDEX(C$51:C$62,MATCH(2,A$51:A$62,0)),0)</f>
        <v>7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L</v>
      </c>
      <c r="G57">
        <f t="shared" si="9"/>
        <v>0</v>
      </c>
      <c r="H57">
        <f t="shared" si="10"/>
        <v>6</v>
      </c>
      <c r="I57">
        <f t="shared" si="11"/>
        <v>6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8</v>
      </c>
      <c r="D58">
        <v>1</v>
      </c>
      <c r="E58">
        <f>IFERROR(INDEX(C$51:C$62,MATCH(1,A$51:A$62,0)),0)</f>
        <v>8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T</v>
      </c>
      <c r="G58">
        <f t="shared" si="9"/>
        <v>3</v>
      </c>
      <c r="H58">
        <f t="shared" si="10"/>
        <v>8</v>
      </c>
      <c r="I58">
        <f t="shared" si="11"/>
        <v>11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8</v>
      </c>
      <c r="D59">
        <v>6</v>
      </c>
      <c r="E59">
        <f>IFERROR(INDEX(C$51:C$62,MATCH(6,A$51:A$62,0)),0)</f>
        <v>7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W</v>
      </c>
      <c r="G59">
        <f t="shared" si="9"/>
        <v>6</v>
      </c>
      <c r="H59">
        <f t="shared" si="10"/>
        <v>8</v>
      </c>
      <c r="I59">
        <f t="shared" si="11"/>
        <v>14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7</v>
      </c>
      <c r="D60">
        <v>5</v>
      </c>
      <c r="E60">
        <f>IFERROR(INDEX(C$51:C$62,MATCH(5,A$51:A$62,0)),0)</f>
        <v>6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W</v>
      </c>
      <c r="G60">
        <f t="shared" si="9"/>
        <v>6</v>
      </c>
      <c r="H60">
        <f t="shared" si="10"/>
        <v>7</v>
      </c>
      <c r="I60">
        <f t="shared" si="11"/>
        <v>13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7</v>
      </c>
      <c r="D61">
        <v>4</v>
      </c>
      <c r="E61">
        <f>IFERROR(INDEX(C$51:C$62,MATCH(4,A$51:A$62,0)),0)</f>
        <v>12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L</v>
      </c>
      <c r="G61">
        <f t="shared" si="9"/>
        <v>0</v>
      </c>
      <c r="H61">
        <f t="shared" si="10"/>
        <v>7</v>
      </c>
      <c r="I61">
        <f t="shared" si="11"/>
        <v>7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7</v>
      </c>
      <c r="D62">
        <v>3</v>
      </c>
      <c r="E62">
        <f>IFERROR(INDEX(C$51:C$62,MATCH(3,A$51:A$62,0)),0)</f>
        <v>9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L</v>
      </c>
      <c r="G62">
        <f t="shared" si="9"/>
        <v>0</v>
      </c>
      <c r="H62">
        <f t="shared" si="10"/>
        <v>7</v>
      </c>
      <c r="I62">
        <f t="shared" si="11"/>
        <v>7</v>
      </c>
    </row>
    <row r="64" spans="1:9" ht="15" customHeight="1" x14ac:dyDescent="0.25">
      <c r="A64" s="17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1</v>
      </c>
      <c r="D66">
        <v>11</v>
      </c>
      <c r="E66">
        <f>IFERROR(INDEX(C$66:C$77,MATCH(11,A$66:A$77,0)),0)</f>
        <v>0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W</v>
      </c>
      <c r="G66">
        <f t="shared" ref="G66:G77" si="12">IF(F66="W",6,IF(F66="T",3,0))</f>
        <v>6</v>
      </c>
      <c r="H66">
        <f t="shared" ref="H66:H77" si="13">IF(C66="",0,C66)</f>
        <v>1</v>
      </c>
      <c r="I66">
        <f t="shared" ref="I66:I77" si="14">G66+H66</f>
        <v>7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0</v>
      </c>
      <c r="D67">
        <v>12</v>
      </c>
      <c r="E67">
        <f>IFERROR(INDEX(C$66:C$77,MATCH(12,A$66:A$77,0)),0)</f>
        <v>0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0</v>
      </c>
      <c r="D72">
        <v>10</v>
      </c>
      <c r="E72">
        <f>IFERROR(INDEX(C$66:C$77,MATCH(10,A$66:A$77,0)),0)</f>
        <v>0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0</v>
      </c>
      <c r="D73">
        <v>9</v>
      </c>
      <c r="E73">
        <f>IFERROR(INDEX(C$66:C$77,MATCH(9,A$66:A$77,0)),0)</f>
        <v>1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1</v>
      </c>
      <c r="D74">
        <v>8</v>
      </c>
      <c r="E74">
        <f>IFERROR(INDEX(C$66:C$77,MATCH(8,A$66:A$77,0)),0)</f>
        <v>0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W</v>
      </c>
      <c r="G74">
        <f t="shared" si="12"/>
        <v>6</v>
      </c>
      <c r="H74">
        <f t="shared" si="13"/>
        <v>1</v>
      </c>
      <c r="I74">
        <f t="shared" si="14"/>
        <v>7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0</v>
      </c>
      <c r="D75">
        <v>7</v>
      </c>
      <c r="E75">
        <f>IFERROR(INDEX(C$66:C$77,MATCH(7,A$66:A$77,0)),0)</f>
        <v>0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0</v>
      </c>
      <c r="D76">
        <v>1</v>
      </c>
      <c r="E76">
        <f>IFERROR(INDEX(C$66:C$77,MATCH(1,A$66:A$77,0)),0)</f>
        <v>1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0</v>
      </c>
      <c r="D77">
        <v>2</v>
      </c>
      <c r="E77">
        <f>IFERROR(INDEX(C$66:C$77,MATCH(2,A$66:A$77,0)),0)</f>
        <v>0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0</v>
      </c>
      <c r="D81">
        <v>9</v>
      </c>
      <c r="E81">
        <f>IFERROR(INDEX(C$81:C$92,MATCH(9,A$81:A$92,0)),0)</f>
        <v>0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-</v>
      </c>
      <c r="G81">
        <f t="shared" ref="G81:G92" si="15">IF(F81="W",6,IF(F81="T",3,0))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0</v>
      </c>
      <c r="D82">
        <v>10</v>
      </c>
      <c r="E82">
        <f>IFERROR(INDEX(C$81:C$92,MATCH(10,A$81:A$92,0)),0)</f>
        <v>0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0</v>
      </c>
      <c r="D83">
        <v>7</v>
      </c>
      <c r="E83">
        <f>IFERROR(INDEX(C$81:C$92,MATCH(7,A$81:A$92,0)),0)</f>
        <v>0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0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0</v>
      </c>
      <c r="D85">
        <v>12</v>
      </c>
      <c r="E85">
        <f>IFERROR(INDEX(C$81:C$92,MATCH(12,A$81:A$92,0)),0)</f>
        <v>0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0</v>
      </c>
      <c r="D86">
        <v>11</v>
      </c>
      <c r="E86">
        <f>IFERROR(INDEX(C$81:C$92,MATCH(11,A$81:A$92,0)),0)</f>
        <v>0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0</v>
      </c>
      <c r="D87">
        <v>3</v>
      </c>
      <c r="E87">
        <f>IFERROR(INDEX(C$81:C$92,MATCH(3,A$81:A$92,0)),0)</f>
        <v>0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0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0</v>
      </c>
      <c r="D89">
        <v>1</v>
      </c>
      <c r="E89">
        <f>IFERROR(INDEX(C$81:C$92,MATCH(1,A$81:A$92,0)),0)</f>
        <v>0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0</v>
      </c>
      <c r="D90">
        <v>2</v>
      </c>
      <c r="E90">
        <f>IFERROR(INDEX(C$81:C$92,MATCH(2,A$81:A$92,0)),0)</f>
        <v>0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0</v>
      </c>
      <c r="D91">
        <v>6</v>
      </c>
      <c r="E91">
        <f>IFERROR(INDEX(C$81:C$92,MATCH(6,A$81:A$92,0)),0)</f>
        <v>0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0</v>
      </c>
      <c r="D92">
        <v>5</v>
      </c>
      <c r="E92">
        <f>IFERROR(INDEX(C$81:C$92,MATCH(5,A$81:A$92,0)),0)</f>
        <v>0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196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197</v>
      </c>
    </row>
    <row r="4" spans="1:9" ht="15" customHeight="1" x14ac:dyDescent="0.25">
      <c r="A4" s="17" t="s">
        <v>95</v>
      </c>
    </row>
    <row r="5" spans="1:9" ht="15" customHeight="1" x14ac:dyDescent="0.25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>
        <f t="shared" ref="G6:G17" si="0">IF(F6="W",10,IF(F6="T",5,0))</f>
        <v>0</v>
      </c>
      <c r="H6">
        <f t="shared" ref="H6:H17" si="1">IF(C6="",0,C6)</f>
        <v>0</v>
      </c>
      <c r="I6">
        <f t="shared" ref="I6:I17" si="2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96</v>
      </c>
    </row>
    <row r="20" spans="1:9" ht="15" customHeight="1" x14ac:dyDescent="0.25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97</v>
      </c>
    </row>
    <row r="35" spans="1:9" ht="15" customHeight="1" x14ac:dyDescent="0.25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98</v>
      </c>
    </row>
    <row r="50" spans="1:9" ht="15" customHeight="1" x14ac:dyDescent="0.25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99</v>
      </c>
    </row>
    <row r="65" spans="1:9" ht="15" customHeight="1" x14ac:dyDescent="0.25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100</v>
      </c>
    </row>
    <row r="80" spans="1:9" ht="15" customHeight="1" x14ac:dyDescent="0.25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200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201</v>
      </c>
    </row>
    <row r="4" spans="1:9" ht="15" customHeight="1" x14ac:dyDescent="0.25">
      <c r="A4" s="17" t="s">
        <v>101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103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104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105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106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39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3" t="s">
        <v>205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2" spans="1:11" ht="15" customHeight="1" x14ac:dyDescent="0.25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14</v>
      </c>
      <c r="E3">
        <f>Helper!E2</f>
        <v>18</v>
      </c>
      <c r="F3">
        <f>Helper!F2</f>
        <v>11</v>
      </c>
      <c r="G3">
        <f>Helper!G2</f>
        <v>1</v>
      </c>
      <c r="H3">
        <f>Helper!H2</f>
        <v>0</v>
      </c>
      <c r="I3">
        <f>Helper!I2</f>
        <v>49</v>
      </c>
      <c r="J3">
        <f>Helper!J2</f>
        <v>2</v>
      </c>
      <c r="K3">
        <f>MAX(Helper!C2:H2)</f>
        <v>18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7</v>
      </c>
      <c r="D4">
        <f>Helper!D3</f>
        <v>14</v>
      </c>
      <c r="E4">
        <f>Helper!E3</f>
        <v>14</v>
      </c>
      <c r="F4">
        <f>Helper!F3</f>
        <v>13</v>
      </c>
      <c r="G4">
        <f>Helper!G3</f>
        <v>0</v>
      </c>
      <c r="H4">
        <f>Helper!H3</f>
        <v>0</v>
      </c>
      <c r="I4">
        <f>Helper!I3</f>
        <v>48</v>
      </c>
      <c r="J4">
        <f>Helper!J3</f>
        <v>3</v>
      </c>
      <c r="K4">
        <f>MAX(Helper!C3:H3)</f>
        <v>14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14</v>
      </c>
      <c r="D5">
        <f>Helper!D4</f>
        <v>6</v>
      </c>
      <c r="E5">
        <f>Helper!E4</f>
        <v>14</v>
      </c>
      <c r="F5">
        <f>Helper!F4</f>
        <v>15</v>
      </c>
      <c r="G5">
        <f>Helper!G4</f>
        <v>0</v>
      </c>
      <c r="H5">
        <f>Helper!H4</f>
        <v>0</v>
      </c>
      <c r="I5">
        <f>Helper!I4</f>
        <v>49</v>
      </c>
      <c r="J5">
        <f>Helper!J4</f>
        <v>3</v>
      </c>
      <c r="K5">
        <f>MAX(Helper!C4:H4)</f>
        <v>15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6</v>
      </c>
      <c r="D6">
        <f>Helper!D5</f>
        <v>14</v>
      </c>
      <c r="E6">
        <f>Helper!E5</f>
        <v>0</v>
      </c>
      <c r="F6">
        <f>Helper!F5</f>
        <v>18</v>
      </c>
      <c r="G6">
        <f>Helper!G5</f>
        <v>0</v>
      </c>
      <c r="H6">
        <f>Helper!H5</f>
        <v>0</v>
      </c>
      <c r="I6">
        <f>Helper!I5</f>
        <v>38</v>
      </c>
      <c r="J6">
        <f>Helper!J5</f>
        <v>2</v>
      </c>
      <c r="K6">
        <f>MAX(Helper!C5:H5)</f>
        <v>18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6</v>
      </c>
      <c r="E7">
        <f>Helper!E6</f>
        <v>15</v>
      </c>
      <c r="F7">
        <f>Helper!F6</f>
        <v>6</v>
      </c>
      <c r="G7">
        <f>Helper!G6</f>
        <v>0</v>
      </c>
      <c r="H7">
        <f>Helper!H6</f>
        <v>0</v>
      </c>
      <c r="I7">
        <f>Helper!I6</f>
        <v>43</v>
      </c>
      <c r="J7">
        <f>Helper!J6</f>
        <v>2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13</v>
      </c>
      <c r="D8">
        <f>Helper!D7</f>
        <v>7</v>
      </c>
      <c r="E8">
        <f>Helper!E7</f>
        <v>13</v>
      </c>
      <c r="F8">
        <f>Helper!F7</f>
        <v>7</v>
      </c>
      <c r="G8">
        <f>Helper!G7</f>
        <v>0</v>
      </c>
      <c r="H8">
        <f>Helper!H7</f>
        <v>0</v>
      </c>
      <c r="I8">
        <f>Helper!I7</f>
        <v>40</v>
      </c>
      <c r="J8">
        <f>Helper!J7</f>
        <v>2</v>
      </c>
      <c r="K8">
        <f>MAX(Helper!C7:H7)</f>
        <v>13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12</v>
      </c>
      <c r="E9">
        <f>Helper!E8</f>
        <v>8</v>
      </c>
      <c r="F9">
        <f>Helper!F8</f>
        <v>6</v>
      </c>
      <c r="G9">
        <f>Helper!G8</f>
        <v>0</v>
      </c>
      <c r="H9">
        <f>Helper!H8</f>
        <v>0</v>
      </c>
      <c r="I9">
        <f>Helper!I8</f>
        <v>33</v>
      </c>
      <c r="J9">
        <f>Helper!J8</f>
        <v>1</v>
      </c>
      <c r="K9">
        <f>MAX(Helper!C8:H8)</f>
        <v>12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4</v>
      </c>
      <c r="E10">
        <f>Helper!E9</f>
        <v>7</v>
      </c>
      <c r="F10">
        <f>Helper!F9</f>
        <v>11</v>
      </c>
      <c r="G10">
        <f>Helper!G9</f>
        <v>0</v>
      </c>
      <c r="H10">
        <f>Helper!H9</f>
        <v>0</v>
      </c>
      <c r="I10">
        <f>Helper!I9</f>
        <v>30</v>
      </c>
      <c r="J10">
        <f>Helper!J9</f>
        <v>0</v>
      </c>
      <c r="K10">
        <f>MAX(Helper!C9:H9)</f>
        <v>11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7</v>
      </c>
      <c r="E11">
        <f>Helper!E10</f>
        <v>8</v>
      </c>
      <c r="F11">
        <f>Helper!F10</f>
        <v>14</v>
      </c>
      <c r="G11">
        <f>Helper!G10</f>
        <v>1</v>
      </c>
      <c r="H11">
        <f>Helper!H10</f>
        <v>0</v>
      </c>
      <c r="I11">
        <f>Helper!I10</f>
        <v>38</v>
      </c>
      <c r="J11">
        <f>Helper!J10</f>
        <v>1</v>
      </c>
      <c r="K11">
        <f>MAX(Helper!C10:H10)</f>
        <v>14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14</v>
      </c>
      <c r="E12">
        <f>Helper!E11</f>
        <v>5</v>
      </c>
      <c r="F12">
        <f>Helper!F11</f>
        <v>13</v>
      </c>
      <c r="G12">
        <f>Helper!G11</f>
        <v>0</v>
      </c>
      <c r="H12">
        <f>Helper!H11</f>
        <v>0</v>
      </c>
      <c r="I12">
        <f>Helper!I11</f>
        <v>49</v>
      </c>
      <c r="J12">
        <f>Helper!J11</f>
        <v>3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12</v>
      </c>
      <c r="E13">
        <f>Helper!E12</f>
        <v>8</v>
      </c>
      <c r="F13">
        <f>Helper!F12</f>
        <v>7</v>
      </c>
      <c r="G13">
        <f>Helper!G12</f>
        <v>0</v>
      </c>
      <c r="H13">
        <f>Helper!H12</f>
        <v>0</v>
      </c>
      <c r="I13">
        <f>Helper!I12</f>
        <v>43</v>
      </c>
      <c r="J13">
        <f>Helper!J12</f>
        <v>2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15</v>
      </c>
      <c r="D14">
        <f>Helper!D13</f>
        <v>4</v>
      </c>
      <c r="E14">
        <f>Helper!E13</f>
        <v>12</v>
      </c>
      <c r="F14">
        <f>Helper!F13</f>
        <v>7</v>
      </c>
      <c r="G14">
        <f>Helper!G13</f>
        <v>0</v>
      </c>
      <c r="H14">
        <f>Helper!H13</f>
        <v>0</v>
      </c>
      <c r="I14">
        <f>Helper!I13</f>
        <v>38</v>
      </c>
      <c r="J14">
        <f>Helper!J13</f>
        <v>2</v>
      </c>
      <c r="K14">
        <f>MAX(Helper!C13:H13)</f>
        <v>15</v>
      </c>
    </row>
    <row r="16" spans="1:11" ht="17.25" customHeight="1" x14ac:dyDescent="0.25">
      <c r="A16" s="27" t="s">
        <v>217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5" customHeight="1" x14ac:dyDescent="0.25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8" t="s">
        <v>224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spans="1:11" ht="15" customHeight="1" x14ac:dyDescent="0.25">
      <c r="A32" s="18" t="s">
        <v>225</v>
      </c>
    </row>
    <row r="33" spans="1:11" ht="15" customHeight="1" x14ac:dyDescent="0.25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8" t="s">
        <v>233</v>
      </c>
    </row>
    <row r="40" spans="1:11" ht="15" customHeight="1" x14ac:dyDescent="0.25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8" t="s">
        <v>234</v>
      </c>
    </row>
    <row r="47" spans="1:11" ht="15" customHeight="1" x14ac:dyDescent="0.25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29" t="s">
        <v>235</v>
      </c>
      <c r="B55" s="29"/>
      <c r="C55" s="29"/>
      <c r="D55" s="29"/>
      <c r="E55" s="29"/>
      <c r="F55" s="29"/>
      <c r="G55" s="29"/>
      <c r="H55" s="29"/>
    </row>
    <row r="56" spans="1:11" ht="15" customHeight="1" x14ac:dyDescent="0.25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49</v>
      </c>
      <c r="D57">
        <f>Helper!R2</f>
        <v>0</v>
      </c>
      <c r="E57">
        <f>Helper!AC2</f>
        <v>0</v>
      </c>
      <c r="F57">
        <f>Helper!AE2</f>
        <v>49</v>
      </c>
      <c r="G57">
        <f>Helper!K2</f>
        <v>49.000100000000003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48</v>
      </c>
      <c r="D58">
        <f>Helper!R3</f>
        <v>0</v>
      </c>
      <c r="E58">
        <f>Helper!AC3</f>
        <v>0</v>
      </c>
      <c r="F58">
        <f>Helper!AE3</f>
        <v>48</v>
      </c>
      <c r="G58">
        <f>Helper!K3</f>
        <v>48.0002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49</v>
      </c>
      <c r="D59">
        <f>Helper!R4</f>
        <v>0</v>
      </c>
      <c r="E59">
        <f>Helper!AC4</f>
        <v>0</v>
      </c>
      <c r="F59">
        <f>Helper!AE4</f>
        <v>49</v>
      </c>
      <c r="G59">
        <f>Helper!K4</f>
        <v>49.000300000000003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38</v>
      </c>
      <c r="D60">
        <f>Helper!R5</f>
        <v>0</v>
      </c>
      <c r="E60">
        <f>Helper!AC5</f>
        <v>0</v>
      </c>
      <c r="F60">
        <f>Helper!AE5</f>
        <v>38</v>
      </c>
      <c r="G60">
        <f>Helper!K5</f>
        <v>38.000399999999999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43</v>
      </c>
      <c r="D61">
        <f>Helper!R6</f>
        <v>0</v>
      </c>
      <c r="E61">
        <f>Helper!AC6</f>
        <v>0</v>
      </c>
      <c r="F61">
        <f>Helper!AE6</f>
        <v>43</v>
      </c>
      <c r="G61">
        <f>Helper!K6</f>
        <v>43.000500000000002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40</v>
      </c>
      <c r="D62">
        <f>Helper!R7</f>
        <v>0</v>
      </c>
      <c r="E62">
        <f>Helper!AC7</f>
        <v>0</v>
      </c>
      <c r="F62">
        <f>Helper!AE7</f>
        <v>40</v>
      </c>
      <c r="G62">
        <f>Helper!K7</f>
        <v>40.000599999999999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33</v>
      </c>
      <c r="D63">
        <f>Helper!R8</f>
        <v>0</v>
      </c>
      <c r="E63">
        <f>Helper!AC8</f>
        <v>0</v>
      </c>
      <c r="F63">
        <f>Helper!AE8</f>
        <v>33</v>
      </c>
      <c r="G63">
        <f>Helper!K8</f>
        <v>33.000700000000002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30</v>
      </c>
      <c r="D64">
        <f>Helper!R9</f>
        <v>0</v>
      </c>
      <c r="E64">
        <f>Helper!AC9</f>
        <v>0</v>
      </c>
      <c r="F64">
        <f>Helper!AE9</f>
        <v>30</v>
      </c>
      <c r="G64">
        <f>Helper!K9</f>
        <v>30.000800000000002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38</v>
      </c>
      <c r="D65">
        <f>Helper!R10</f>
        <v>0</v>
      </c>
      <c r="E65">
        <f>Helper!AC10</f>
        <v>0</v>
      </c>
      <c r="F65">
        <f>Helper!AE10</f>
        <v>38</v>
      </c>
      <c r="G65">
        <f>Helper!K10</f>
        <v>38.000900000000001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49</v>
      </c>
      <c r="D66">
        <f>Helper!R11</f>
        <v>0</v>
      </c>
      <c r="E66">
        <f>Helper!AC11</f>
        <v>0</v>
      </c>
      <c r="F66">
        <f>Helper!AE11</f>
        <v>49</v>
      </c>
      <c r="G66">
        <f>Helper!K11</f>
        <v>49.000999999999998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43</v>
      </c>
      <c r="D67">
        <f>Helper!R12</f>
        <v>0</v>
      </c>
      <c r="E67">
        <f>Helper!AC12</f>
        <v>0</v>
      </c>
      <c r="F67">
        <f>Helper!AE12</f>
        <v>43</v>
      </c>
      <c r="G67">
        <f>Helper!K12</f>
        <v>43.001100000000001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38</v>
      </c>
      <c r="D68">
        <f>Helper!R13</f>
        <v>0</v>
      </c>
      <c r="E68">
        <f>Helper!AC13</f>
        <v>0</v>
      </c>
      <c r="F68">
        <f>Helper!AE13</f>
        <v>38</v>
      </c>
      <c r="G68">
        <f>Helper!K13</f>
        <v>38.001199999999997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242</v>
      </c>
    </row>
    <row r="3" spans="1:8" ht="15" customHeight="1" x14ac:dyDescent="0.25">
      <c r="A3" s="19" t="s">
        <v>243</v>
      </c>
    </row>
    <row r="4" spans="1:8" ht="15" customHeight="1" x14ac:dyDescent="0.25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0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Zach Zarra</v>
      </c>
      <c r="C5" t="s">
        <v>252</v>
      </c>
      <c r="D5" t="s">
        <v>253</v>
      </c>
      <c r="E5" t="str">
        <f>B5</f>
        <v>Zach Zarra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9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244</v>
      </c>
      <c r="B12" s="2" t="s">
        <v>207</v>
      </c>
      <c r="C12" s="2" t="s">
        <v>261</v>
      </c>
      <c r="D12" s="2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Jack Smith</v>
      </c>
      <c r="C13">
        <f>INDEX(I$40:I$51,MATCH(MAX(K$40:K$51),K$40:K$51,0))</f>
        <v>49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9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207</v>
      </c>
      <c r="C16" s="2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Zach Zarra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Jack Smith</v>
      </c>
      <c r="C22" t="str">
        <f>"Wild Card 1"</f>
        <v>Wild Card 1</v>
      </c>
    </row>
    <row r="24" spans="1:6" ht="15" customHeight="1" x14ac:dyDescent="0.25">
      <c r="A24" s="19" t="s">
        <v>266</v>
      </c>
    </row>
    <row r="25" spans="1:6" ht="15" customHeight="1" x14ac:dyDescent="0.25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0" t="s">
        <v>272</v>
      </c>
    </row>
    <row r="40" spans="1:11" ht="15" customHeight="1" x14ac:dyDescent="0.25">
      <c r="H40" t="str">
        <f>Roster!B3</f>
        <v>Evan Loeser</v>
      </c>
      <c r="I40">
        <f>Helper!AE2</f>
        <v>49</v>
      </c>
      <c r="J40" t="b">
        <f t="shared" ref="J40:J51" si="1">OR(H40=$E$5,H40=$E$6,H40=$E$7,H40=$E$8,H40=$E$9)</f>
        <v>0</v>
      </c>
      <c r="K40">
        <f>IF(J40,-1,I40+0.00001)</f>
        <v>49.000010000000003</v>
      </c>
    </row>
    <row r="41" spans="1:11" ht="15" customHeight="1" x14ac:dyDescent="0.25">
      <c r="H41" t="str">
        <f>Roster!B4</f>
        <v>Chris Simmons</v>
      </c>
      <c r="I41">
        <f>Helper!AE3</f>
        <v>48</v>
      </c>
      <c r="J41" t="b">
        <f t="shared" si="1"/>
        <v>0</v>
      </c>
      <c r="K41">
        <f>IF(J41,-1,I41+0.00002)</f>
        <v>48.000019999999999</v>
      </c>
    </row>
    <row r="42" spans="1:11" ht="15" customHeight="1" x14ac:dyDescent="0.25">
      <c r="H42" t="str">
        <f>Roster!B5</f>
        <v>Jack Smith</v>
      </c>
      <c r="I42">
        <f>Helper!AE4</f>
        <v>49</v>
      </c>
      <c r="J42" t="b">
        <f t="shared" si="1"/>
        <v>0</v>
      </c>
      <c r="K42">
        <f>IF(J42,-1,I42+0.00003)</f>
        <v>49.000030000000002</v>
      </c>
    </row>
    <row r="43" spans="1:11" ht="15" customHeight="1" x14ac:dyDescent="0.25">
      <c r="H43" t="str">
        <f>Roster!B6</f>
        <v>Luke Ussery</v>
      </c>
      <c r="I43">
        <f>Helper!AE5</f>
        <v>38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43</v>
      </c>
      <c r="J44" t="b">
        <f t="shared" si="1"/>
        <v>0</v>
      </c>
      <c r="K44">
        <f>IF(J44,-1,I44+0.00005)</f>
        <v>43.000050000000002</v>
      </c>
    </row>
    <row r="45" spans="1:11" ht="15" customHeight="1" x14ac:dyDescent="0.25">
      <c r="H45" t="str">
        <f>Roster!B8</f>
        <v>Alan Loeser</v>
      </c>
      <c r="I45">
        <f>Helper!AE7</f>
        <v>40</v>
      </c>
      <c r="J45" t="b">
        <f t="shared" si="1"/>
        <v>0</v>
      </c>
      <c r="K45">
        <f>IF(J45,-1,I45+0.00006)</f>
        <v>40.000059999999998</v>
      </c>
    </row>
    <row r="46" spans="1:11" ht="15" customHeight="1" x14ac:dyDescent="0.25">
      <c r="H46" t="str">
        <f>Roster!B9</f>
        <v>Caleb Simmons</v>
      </c>
      <c r="I46">
        <f>Helper!AE8</f>
        <v>33</v>
      </c>
      <c r="J46" t="b">
        <f t="shared" si="1"/>
        <v>0</v>
      </c>
      <c r="K46">
        <f>IF(J46,-1,I46+0.00007)</f>
        <v>33.000070000000001</v>
      </c>
    </row>
    <row r="47" spans="1:11" ht="15" customHeight="1" x14ac:dyDescent="0.25">
      <c r="H47" t="str">
        <f>Roster!B10</f>
        <v>Larry Loeser</v>
      </c>
      <c r="I47">
        <f>Helper!AE9</f>
        <v>30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38</v>
      </c>
      <c r="J48" t="b">
        <f t="shared" si="1"/>
        <v>0</v>
      </c>
      <c r="K48">
        <f>IF(J48,-1,I48+0.00009)</f>
        <v>38.00009</v>
      </c>
    </row>
    <row r="49" spans="8:11" ht="15" customHeight="1" x14ac:dyDescent="0.25">
      <c r="H49" t="str">
        <f>Roster!B12</f>
        <v>Zach Zarra</v>
      </c>
      <c r="I49">
        <f>Helper!AE11</f>
        <v>49</v>
      </c>
      <c r="J49" t="b">
        <f t="shared" si="1"/>
        <v>1</v>
      </c>
      <c r="K49">
        <f>IF(J49,-1,I49+0.0001)</f>
        <v>-1</v>
      </c>
    </row>
    <row r="50" spans="8:11" ht="15" customHeight="1" x14ac:dyDescent="0.25">
      <c r="H50" t="str">
        <f>Roster!B13</f>
        <v>Jeffrey Loeser</v>
      </c>
      <c r="I50">
        <f>Helper!AE12</f>
        <v>43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38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spans="1:8" ht="15" customHeight="1" x14ac:dyDescent="0.25">
      <c r="A5">
        <v>1</v>
      </c>
      <c r="B5" t="str">
        <f>'Playoff Picture'!B17</f>
        <v>Zach Zarra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Jack Smith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19" t="s">
        <v>280</v>
      </c>
    </row>
    <row r="13" spans="1:8" ht="15" customHeight="1" x14ac:dyDescent="0.25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Zach Zarra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Jack Smith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19" t="s">
        <v>283</v>
      </c>
    </row>
    <row r="5" spans="1:11" ht="15" customHeight="1" x14ac:dyDescent="0.25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spans="1:11" ht="15" customHeight="1" x14ac:dyDescent="0.25">
      <c r="A6" t="str">
        <f>'Playoff Wild Card'!B14</f>
        <v>Zach Zarra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19" t="s">
        <v>293</v>
      </c>
    </row>
    <row r="12" spans="1:11" ht="15" customHeight="1" x14ac:dyDescent="0.25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Zach Zarra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1" t="s">
        <v>307</v>
      </c>
    </row>
    <row r="20" spans="1:4" ht="15" customHeight="1" x14ac:dyDescent="0.25">
      <c r="A20" s="19" t="s">
        <v>308</v>
      </c>
    </row>
    <row r="21" spans="1:4" ht="15" customHeight="1" x14ac:dyDescent="0.25">
      <c r="A21" s="2" t="s">
        <v>207</v>
      </c>
      <c r="B21" s="2" t="s">
        <v>309</v>
      </c>
      <c r="C21" s="2" t="s">
        <v>310</v>
      </c>
      <c r="D21" s="2" t="s">
        <v>311</v>
      </c>
    </row>
    <row r="22" spans="1:4" ht="15" customHeight="1" x14ac:dyDescent="0.25">
      <c r="A22" t="str">
        <f>A6</f>
        <v>Zach Zarra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M8" sqref="M8"/>
    </sheetView>
  </sheetViews>
  <sheetFormatPr defaultColWidth="8.7109375" defaultRowHeight="15" x14ac:dyDescent="0.25"/>
  <cols>
    <col min="1" max="1" width="27" bestFit="1" customWidth="1"/>
    <col min="2" max="2" width="24" customWidth="1"/>
    <col min="3" max="3" width="60" customWidth="1"/>
  </cols>
  <sheetData>
    <row r="1" spans="1:3" ht="17.25" customHeight="1" x14ac:dyDescent="0.25">
      <c r="A1" s="1" t="s">
        <v>312</v>
      </c>
    </row>
    <row r="6" spans="1:3" ht="15" customHeight="1" x14ac:dyDescent="0.25">
      <c r="A6" s="2" t="s">
        <v>313</v>
      </c>
      <c r="B6" s="2" t="s">
        <v>314</v>
      </c>
      <c r="C6" s="2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316</v>
      </c>
      <c r="D1" s="4" t="s">
        <v>317</v>
      </c>
      <c r="E1" s="4" t="s">
        <v>318</v>
      </c>
      <c r="F1" s="4" t="s">
        <v>319</v>
      </c>
      <c r="G1" s="4" t="s">
        <v>320</v>
      </c>
      <c r="H1" s="4" t="s">
        <v>321</v>
      </c>
      <c r="I1" s="4" t="s">
        <v>322</v>
      </c>
      <c r="J1" s="4" t="s">
        <v>323</v>
      </c>
      <c r="K1" s="4" t="s">
        <v>324</v>
      </c>
      <c r="L1" s="4" t="s">
        <v>325</v>
      </c>
      <c r="M1" s="4" t="s">
        <v>326</v>
      </c>
      <c r="N1" s="4" t="s">
        <v>327</v>
      </c>
      <c r="O1" s="4" t="s">
        <v>328</v>
      </c>
      <c r="P1" s="4" t="s">
        <v>329</v>
      </c>
      <c r="Q1" s="4" t="s">
        <v>330</v>
      </c>
      <c r="R1" s="4" t="s">
        <v>331</v>
      </c>
      <c r="S1" s="4" t="s">
        <v>332</v>
      </c>
      <c r="T1" s="4" t="s">
        <v>333</v>
      </c>
      <c r="U1" s="4" t="s">
        <v>334</v>
      </c>
      <c r="V1" s="4" t="s">
        <v>335</v>
      </c>
      <c r="W1" s="4" t="s">
        <v>336</v>
      </c>
      <c r="X1" s="4" t="s">
        <v>337</v>
      </c>
      <c r="Y1" s="4" t="s">
        <v>338</v>
      </c>
      <c r="Z1" s="4" t="s">
        <v>339</v>
      </c>
      <c r="AA1" s="4" t="s">
        <v>340</v>
      </c>
      <c r="AB1" s="4" t="s">
        <v>341</v>
      </c>
      <c r="AC1" s="4" t="s">
        <v>342</v>
      </c>
      <c r="AD1" s="4" t="s">
        <v>343</v>
      </c>
      <c r="AE1" s="4" t="s">
        <v>344</v>
      </c>
      <c r="AF1" s="4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14</v>
      </c>
      <c r="E2">
        <f>IF(Roster!$B$16&gt;=3,'Wk 1-6 Input'!H36,0)+IF(Roster!$B$16&gt;3,'Wk 1-6 Input'!G36,0)</f>
        <v>18</v>
      </c>
      <c r="F2">
        <f>IF(Roster!$B$16&gt;=4,'Wk 1-6 Input'!H51,0)+IF(Roster!$B$16&gt;4,'Wk 1-6 Input'!G51,0)</f>
        <v>11</v>
      </c>
      <c r="G2">
        <f>IF(Roster!$B$16&gt;=5,'Wk 1-6 Input'!H66,0)+IF(Roster!$B$16&gt;5,'Wk 1-6 Input'!G66,0)</f>
        <v>1</v>
      </c>
      <c r="H2">
        <f>IF(Roster!$B$16&gt;=6,'Wk 1-6 Input'!H81,0)+IF(Roster!$B$16&gt;6,'Wk 1-6 Input'!G81,0)</f>
        <v>0</v>
      </c>
      <c r="I2">
        <f t="shared" ref="I2:I13" si="0">SUM(C2:H2)</f>
        <v>49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2</v>
      </c>
      <c r="K2">
        <f>I2+0.0001</f>
        <v>49.000100000000003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49</v>
      </c>
      <c r="AF2">
        <f>AE2+0.0001</f>
        <v>49.000100000000003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7</v>
      </c>
      <c r="D3">
        <f>IF(Roster!$B$16&gt;=2,'Wk 1-6 Input'!H22,0)+IF(Roster!$B$16&gt;2,'Wk 1-6 Input'!G22,0)</f>
        <v>14</v>
      </c>
      <c r="E3">
        <f>IF(Roster!$B$16&gt;=3,'Wk 1-6 Input'!H37,0)+IF(Roster!$B$16&gt;3,'Wk 1-6 Input'!G37,0)</f>
        <v>14</v>
      </c>
      <c r="F3">
        <f>IF(Roster!$B$16&gt;=4,'Wk 1-6 Input'!H52,0)+IF(Roster!$B$16&gt;4,'Wk 1-6 Input'!G52,0)</f>
        <v>13</v>
      </c>
      <c r="G3">
        <f>IF(Roster!$B$16&gt;=5,'Wk 1-6 Input'!H67,0)+IF(Roster!$B$16&gt;5,'Wk 1-6 Input'!G67,0)</f>
        <v>0</v>
      </c>
      <c r="H3">
        <f>IF(Roster!$B$16&gt;=6,'Wk 1-6 Input'!H82,0)+IF(Roster!$B$16&gt;6,'Wk 1-6 Input'!G82,0)</f>
        <v>0</v>
      </c>
      <c r="I3">
        <f t="shared" si="0"/>
        <v>48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3</v>
      </c>
      <c r="K3">
        <f>I3+0.0002</f>
        <v>48.0002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48</v>
      </c>
      <c r="AF3">
        <f>AE3+0.0002</f>
        <v>48.0002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14</v>
      </c>
      <c r="D4">
        <f>IF(Roster!$B$16&gt;=2,'Wk 1-6 Input'!H23,0)+IF(Roster!$B$16&gt;2,'Wk 1-6 Input'!G23,0)</f>
        <v>6</v>
      </c>
      <c r="E4">
        <f>IF(Roster!$B$16&gt;=3,'Wk 1-6 Input'!H38,0)+IF(Roster!$B$16&gt;3,'Wk 1-6 Input'!G38,0)</f>
        <v>14</v>
      </c>
      <c r="F4">
        <f>IF(Roster!$B$16&gt;=4,'Wk 1-6 Input'!H53,0)+IF(Roster!$B$16&gt;4,'Wk 1-6 Input'!G53,0)</f>
        <v>15</v>
      </c>
      <c r="G4">
        <f>IF(Roster!$B$16&gt;=5,'Wk 1-6 Input'!H68,0)+IF(Roster!$B$16&gt;5,'Wk 1-6 Input'!G68,0)</f>
        <v>0</v>
      </c>
      <c r="H4">
        <f>IF(Roster!$B$16&gt;=6,'Wk 1-6 Input'!H83,0)+IF(Roster!$B$16&gt;6,'Wk 1-6 Input'!G83,0)</f>
        <v>0</v>
      </c>
      <c r="I4">
        <f t="shared" si="0"/>
        <v>49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3</v>
      </c>
      <c r="K4">
        <f>I4+0.0003</f>
        <v>49.000300000000003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49</v>
      </c>
      <c r="AF4">
        <f>AE4+0.0003</f>
        <v>49.000300000000003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6</v>
      </c>
      <c r="D5">
        <f>IF(Roster!$B$16&gt;=2,'Wk 1-6 Input'!H24,0)+IF(Roster!$B$16&gt;2,'Wk 1-6 Input'!G24,0)</f>
        <v>14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18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38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2</v>
      </c>
      <c r="K5">
        <f>I5+0.0004</f>
        <v>38.000399999999999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38</v>
      </c>
      <c r="AF5">
        <f>AE5+0.0004</f>
        <v>38.000399999999999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6</v>
      </c>
      <c r="E6">
        <f>IF(Roster!$B$16&gt;=3,'Wk 1-6 Input'!H40,0)+IF(Roster!$B$16&gt;3,'Wk 1-6 Input'!G40,0)</f>
        <v>15</v>
      </c>
      <c r="F6">
        <f>IF(Roster!$B$16&gt;=4,'Wk 1-6 Input'!H55,0)+IF(Roster!$B$16&gt;4,'Wk 1-6 Input'!G55,0)</f>
        <v>6</v>
      </c>
      <c r="G6">
        <f>IF(Roster!$B$16&gt;=5,'Wk 1-6 Input'!H70,0)+IF(Roster!$B$16&gt;5,'Wk 1-6 Input'!G70,0)</f>
        <v>0</v>
      </c>
      <c r="H6">
        <f>IF(Roster!$B$16&gt;=6,'Wk 1-6 Input'!H85,0)+IF(Roster!$B$16&gt;6,'Wk 1-6 Input'!G85,0)</f>
        <v>0</v>
      </c>
      <c r="I6">
        <f t="shared" si="0"/>
        <v>43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2</v>
      </c>
      <c r="K6">
        <f>I6+0.0005</f>
        <v>43.000500000000002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43</v>
      </c>
      <c r="AF6">
        <f>AE6+0.0005</f>
        <v>43.000500000000002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13</v>
      </c>
      <c r="D7">
        <f>IF(Roster!$B$16&gt;=2,'Wk 1-6 Input'!H26,0)+IF(Roster!$B$16&gt;2,'Wk 1-6 Input'!G26,0)</f>
        <v>7</v>
      </c>
      <c r="E7">
        <f>IF(Roster!$B$16&gt;=3,'Wk 1-6 Input'!H41,0)+IF(Roster!$B$16&gt;3,'Wk 1-6 Input'!G41,0)</f>
        <v>13</v>
      </c>
      <c r="F7">
        <f>IF(Roster!$B$16&gt;=4,'Wk 1-6 Input'!H56,0)+IF(Roster!$B$16&gt;4,'Wk 1-6 Input'!G56,0)</f>
        <v>7</v>
      </c>
      <c r="G7">
        <f>IF(Roster!$B$16&gt;=5,'Wk 1-6 Input'!H71,0)+IF(Roster!$B$16&gt;5,'Wk 1-6 Input'!G71,0)</f>
        <v>0</v>
      </c>
      <c r="H7">
        <f>IF(Roster!$B$16&gt;=6,'Wk 1-6 Input'!H86,0)+IF(Roster!$B$16&gt;6,'Wk 1-6 Input'!G86,0)</f>
        <v>0</v>
      </c>
      <c r="I7">
        <f t="shared" si="0"/>
        <v>40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2</v>
      </c>
      <c r="K7">
        <f>I7+0.0006</f>
        <v>40.000599999999999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40</v>
      </c>
      <c r="AF7">
        <f>AE7+0.0006</f>
        <v>40.000599999999999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12</v>
      </c>
      <c r="E8">
        <f>IF(Roster!$B$16&gt;=3,'Wk 1-6 Input'!H42,0)+IF(Roster!$B$16&gt;3,'Wk 1-6 Input'!G42,0)</f>
        <v>8</v>
      </c>
      <c r="F8">
        <f>IF(Roster!$B$16&gt;=4,'Wk 1-6 Input'!H57,0)+IF(Roster!$B$16&gt;4,'Wk 1-6 Input'!G57,0)</f>
        <v>6</v>
      </c>
      <c r="G8">
        <f>IF(Roster!$B$16&gt;=5,'Wk 1-6 Input'!H72,0)+IF(Roster!$B$16&gt;5,'Wk 1-6 Input'!G72,0)</f>
        <v>0</v>
      </c>
      <c r="H8">
        <f>IF(Roster!$B$16&gt;=6,'Wk 1-6 Input'!H87,0)+IF(Roster!$B$16&gt;6,'Wk 1-6 Input'!G87,0)</f>
        <v>0</v>
      </c>
      <c r="I8">
        <f t="shared" si="0"/>
        <v>33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1</v>
      </c>
      <c r="K8">
        <f>I8+0.0007</f>
        <v>33.000700000000002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33</v>
      </c>
      <c r="AF8">
        <f>AE8+0.0007</f>
        <v>33.000700000000002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4</v>
      </c>
      <c r="E9">
        <f>IF(Roster!$B$16&gt;=3,'Wk 1-6 Input'!H43,0)+IF(Roster!$B$16&gt;3,'Wk 1-6 Input'!G43,0)</f>
        <v>7</v>
      </c>
      <c r="F9">
        <f>IF(Roster!$B$16&gt;=4,'Wk 1-6 Input'!H58,0)+IF(Roster!$B$16&gt;4,'Wk 1-6 Input'!G58,0)</f>
        <v>11</v>
      </c>
      <c r="G9">
        <f>IF(Roster!$B$16&gt;=5,'Wk 1-6 Input'!H73,0)+IF(Roster!$B$16&gt;5,'Wk 1-6 Input'!G73,0)</f>
        <v>0</v>
      </c>
      <c r="H9">
        <f>IF(Roster!$B$16&gt;=6,'Wk 1-6 Input'!H88,0)+IF(Roster!$B$16&gt;6,'Wk 1-6 Input'!G88,0)</f>
        <v>0</v>
      </c>
      <c r="I9">
        <f t="shared" si="0"/>
        <v>30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30.000800000000002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30</v>
      </c>
      <c r="AF9">
        <f>AE9+0.0008</f>
        <v>30.000800000000002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7</v>
      </c>
      <c r="E10">
        <f>IF(Roster!$B$16&gt;=3,'Wk 1-6 Input'!H44,0)+IF(Roster!$B$16&gt;3,'Wk 1-6 Input'!G44,0)</f>
        <v>8</v>
      </c>
      <c r="F10">
        <f>IF(Roster!$B$16&gt;=4,'Wk 1-6 Input'!H59,0)+IF(Roster!$B$16&gt;4,'Wk 1-6 Input'!G59,0)</f>
        <v>14</v>
      </c>
      <c r="G10">
        <f>IF(Roster!$B$16&gt;=5,'Wk 1-6 Input'!H74,0)+IF(Roster!$B$16&gt;5,'Wk 1-6 Input'!G74,0)</f>
        <v>1</v>
      </c>
      <c r="H10">
        <f>IF(Roster!$B$16&gt;=6,'Wk 1-6 Input'!H89,0)+IF(Roster!$B$16&gt;6,'Wk 1-6 Input'!G89,0)</f>
        <v>0</v>
      </c>
      <c r="I10">
        <f t="shared" si="0"/>
        <v>38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1</v>
      </c>
      <c r="K10">
        <f>I10+0.0009</f>
        <v>38.000900000000001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38</v>
      </c>
      <c r="AF10">
        <f>AE10+0.0009</f>
        <v>38.000900000000001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14</v>
      </c>
      <c r="E11">
        <f>IF(Roster!$B$16&gt;=3,'Wk 1-6 Input'!H45,0)+IF(Roster!$B$16&gt;3,'Wk 1-6 Input'!G45,0)</f>
        <v>5</v>
      </c>
      <c r="F11">
        <f>IF(Roster!$B$16&gt;=4,'Wk 1-6 Input'!H60,0)+IF(Roster!$B$16&gt;4,'Wk 1-6 Input'!G60,0)</f>
        <v>13</v>
      </c>
      <c r="G11">
        <f>IF(Roster!$B$16&gt;=5,'Wk 1-6 Input'!H75,0)+IF(Roster!$B$16&gt;5,'Wk 1-6 Input'!G75,0)</f>
        <v>0</v>
      </c>
      <c r="H11">
        <f>IF(Roster!$B$16&gt;=6,'Wk 1-6 Input'!H90,0)+IF(Roster!$B$16&gt;6,'Wk 1-6 Input'!G90,0)</f>
        <v>0</v>
      </c>
      <c r="I11">
        <f t="shared" si="0"/>
        <v>49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3</v>
      </c>
      <c r="K11">
        <f>I11+0.001</f>
        <v>49.000999999999998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49</v>
      </c>
      <c r="AF11">
        <f>AE11+0.001</f>
        <v>49.000999999999998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12</v>
      </c>
      <c r="E12">
        <f>IF(Roster!$B$16&gt;=3,'Wk 1-6 Input'!H46,0)+IF(Roster!$B$16&gt;3,'Wk 1-6 Input'!G46,0)</f>
        <v>8</v>
      </c>
      <c r="F12">
        <f>IF(Roster!$B$16&gt;=4,'Wk 1-6 Input'!H61,0)+IF(Roster!$B$16&gt;4,'Wk 1-6 Input'!G61,0)</f>
        <v>7</v>
      </c>
      <c r="G12">
        <f>IF(Roster!$B$16&gt;=5,'Wk 1-6 Input'!H76,0)+IF(Roster!$B$16&gt;5,'Wk 1-6 Input'!G76,0)</f>
        <v>0</v>
      </c>
      <c r="H12">
        <f>IF(Roster!$B$16&gt;=6,'Wk 1-6 Input'!H91,0)+IF(Roster!$B$16&gt;6,'Wk 1-6 Input'!G91,0)</f>
        <v>0</v>
      </c>
      <c r="I12">
        <f t="shared" si="0"/>
        <v>43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2</v>
      </c>
      <c r="K12">
        <f>I12+0.0011</f>
        <v>43.001100000000001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43</v>
      </c>
      <c r="AF12">
        <f>AE12+0.0011</f>
        <v>43.001100000000001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15</v>
      </c>
      <c r="D13">
        <f>IF(Roster!$B$16&gt;=2,'Wk 1-6 Input'!H32,0)+IF(Roster!$B$16&gt;2,'Wk 1-6 Input'!G32,0)</f>
        <v>4</v>
      </c>
      <c r="E13">
        <f>IF(Roster!$B$16&gt;=3,'Wk 1-6 Input'!H47,0)+IF(Roster!$B$16&gt;3,'Wk 1-6 Input'!G47,0)</f>
        <v>12</v>
      </c>
      <c r="F13">
        <f>IF(Roster!$B$16&gt;=4,'Wk 1-6 Input'!H62,0)+IF(Roster!$B$16&gt;4,'Wk 1-6 Input'!G62,0)</f>
        <v>7</v>
      </c>
      <c r="G13">
        <f>IF(Roster!$B$16&gt;=5,'Wk 1-6 Input'!H77,0)+IF(Roster!$B$16&gt;5,'Wk 1-6 Input'!G77,0)</f>
        <v>0</v>
      </c>
      <c r="H13">
        <f>IF(Roster!$B$16&gt;=6,'Wk 1-6 Input'!H92,0)+IF(Roster!$B$16&gt;6,'Wk 1-6 Input'!G92,0)</f>
        <v>0</v>
      </c>
      <c r="I13">
        <f t="shared" si="0"/>
        <v>38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2</v>
      </c>
      <c r="K13">
        <f>I13+0.0012</f>
        <v>38.001199999999997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38</v>
      </c>
      <c r="AF13">
        <f>AE13+0.0012</f>
        <v>38.001199999999997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2026-10-09T21:08:39Z</dcterms:modified>
  <dc:language>en-US</dc:language>
</cp:coreProperties>
</file>