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57" documentId="11_6034A8D24D14BF460B0C50849224F53B42431133" xr6:coauthVersionLast="47" xr6:coauthVersionMax="47" xr10:uidLastSave="{1FD589CD-39AD-467E-98BF-1CD0AE6B09FB}"/>
  <bookViews>
    <workbookView xWindow="-28920" yWindow="-120" windowWidth="23280" windowHeight="13200" tabRatio="1000" activeTab="7" xr2:uid="{00000000-000D-0000-FFFF-FFFF00000000}"/>
  </bookViews>
  <sheets>
    <sheet name="Roster" sheetId="1" r:id="rId1"/>
    <sheet name="Schedule" sheetId="2" state="hidden" r:id="rId2"/>
    <sheet name="Wk 1-6 Input" sheetId="3" r:id="rId3"/>
    <sheet name="Wk 7-12 Input" sheetId="4" r:id="rId4"/>
    <sheet name="Wk 13-18 Input" sheetId="5" r:id="rId5"/>
    <sheet name="Playoff Picture" sheetId="8" r:id="rId6"/>
    <sheet name="Playoff Wild Card" sheetId="9" r:id="rId7"/>
    <sheet name="Playoff Finals" sheetId="10" r:id="rId8"/>
    <sheet name="NFL Playoff Games" sheetId="6"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H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G11" i="3"/>
  <c r="I11" i="3" s="1"/>
  <c r="F11" i="3"/>
  <c r="E11" i="3"/>
  <c r="B11" i="3"/>
  <c r="H10" i="3"/>
  <c r="E10" i="3"/>
  <c r="F10" i="3" s="1"/>
  <c r="G10" i="3" s="1"/>
  <c r="I10" i="3" s="1"/>
  <c r="B10" i="3"/>
  <c r="H9" i="3"/>
  <c r="G9" i="3"/>
  <c r="I9" i="3" s="1"/>
  <c r="F9" i="3"/>
  <c r="E9" i="3"/>
  <c r="B9" i="3"/>
  <c r="H8" i="3"/>
  <c r="E8" i="3"/>
  <c r="F8" i="3" s="1"/>
  <c r="G8" i="3" s="1"/>
  <c r="I8" i="3" s="1"/>
  <c r="B8" i="3"/>
  <c r="H7" i="3"/>
  <c r="G7" i="3"/>
  <c r="I7" i="3" s="1"/>
  <c r="F7" i="3"/>
  <c r="E7" i="3"/>
  <c r="B7" i="3"/>
  <c r="H6" i="3"/>
  <c r="E6" i="3"/>
  <c r="F6" i="3" s="1"/>
  <c r="G6" i="3" s="1"/>
  <c r="I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I11" i="11"/>
  <c r="AC11" i="11"/>
  <c r="Z11" i="11"/>
  <c r="Y11" i="11"/>
  <c r="X11" i="11"/>
  <c r="W11" i="11"/>
  <c r="V11" i="11"/>
  <c r="AB11" i="11" s="1"/>
  <c r="U11" i="11"/>
  <c r="S11" i="11"/>
  <c r="Q11" i="11"/>
  <c r="P11" i="11"/>
  <c r="O11" i="11"/>
  <c r="N11" i="11"/>
  <c r="L11" i="11"/>
  <c r="R11" i="11" s="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I7" i="11" s="1"/>
  <c r="G7" i="11"/>
  <c r="F7" i="11"/>
  <c r="D7" i="11"/>
  <c r="C7" i="11"/>
  <c r="B7" i="11"/>
  <c r="AK6" i="11"/>
  <c r="AI6" i="11"/>
  <c r="AC6" i="11"/>
  <c r="Z6" i="11"/>
  <c r="Y6" i="11"/>
  <c r="X6" i="11"/>
  <c r="W6" i="11"/>
  <c r="V6" i="11"/>
  <c r="AA6" i="11" s="1"/>
  <c r="U6" i="11"/>
  <c r="T6" i="11"/>
  <c r="S6" i="11"/>
  <c r="R6" i="11"/>
  <c r="AJ6" i="11" s="1"/>
  <c r="P6" i="11"/>
  <c r="O6" i="11"/>
  <c r="N6" i="11"/>
  <c r="M6" i="11"/>
  <c r="L6" i="11"/>
  <c r="J6" i="11"/>
  <c r="H6" i="11"/>
  <c r="G6" i="11"/>
  <c r="F6" i="11"/>
  <c r="D6" i="11"/>
  <c r="C6" i="11"/>
  <c r="B6" i="11"/>
  <c r="AK5" i="11"/>
  <c r="AI5" i="11"/>
  <c r="AC5" i="11"/>
  <c r="Z5" i="11"/>
  <c r="Y5" i="11"/>
  <c r="X5" i="11"/>
  <c r="W5" i="11"/>
  <c r="V5" i="11"/>
  <c r="AA5" i="11" s="1"/>
  <c r="U5" i="11"/>
  <c r="S5" i="11"/>
  <c r="Q5" i="11"/>
  <c r="P5" i="11"/>
  <c r="R5" i="11" s="1"/>
  <c r="O5" i="11"/>
  <c r="N5" i="11"/>
  <c r="L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J3" i="11"/>
  <c r="H3" i="11"/>
  <c r="G3" i="11"/>
  <c r="F3" i="11"/>
  <c r="D3" i="11"/>
  <c r="C3" i="11"/>
  <c r="B3" i="11"/>
  <c r="AK2" i="11"/>
  <c r="AI2" i="11"/>
  <c r="AC2" i="11"/>
  <c r="Z2" i="11"/>
  <c r="Y2" i="11"/>
  <c r="X2" i="11"/>
  <c r="W2" i="11"/>
  <c r="V2" i="11"/>
  <c r="AA2" i="11" s="1"/>
  <c r="U2" i="11"/>
  <c r="S2" i="11"/>
  <c r="R2" i="11"/>
  <c r="AJ2" i="11" s="1"/>
  <c r="Q2" i="11"/>
  <c r="P2" i="11"/>
  <c r="O2" i="11"/>
  <c r="N2" i="11"/>
  <c r="L2" i="11"/>
  <c r="J2" i="11"/>
  <c r="H2" i="11"/>
  <c r="G2" i="11"/>
  <c r="F2" i="11"/>
  <c r="E2" i="11"/>
  <c r="D2" i="11"/>
  <c r="C2" i="11"/>
  <c r="B2" i="11"/>
  <c r="K7" i="11" l="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2" i="11"/>
  <c r="I2"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AL17" i="11" l="1"/>
  <c r="AD17" i="11"/>
  <c r="AH2" i="11"/>
  <c r="K2" i="11"/>
  <c r="AE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B43" i="7"/>
  <c r="G45"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9" i="7" l="1"/>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J3"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K6" i="7" s="1"/>
  <c r="J4" i="7"/>
  <c r="G3" i="7"/>
  <c r="B18" i="7"/>
  <c r="G16" i="7"/>
  <c r="C15" i="7"/>
  <c r="E16" i="7"/>
  <c r="B15" i="7"/>
  <c r="I13" i="7"/>
  <c r="F12" i="7"/>
  <c r="C11" i="7"/>
  <c r="J9" i="7"/>
  <c r="G8" i="7"/>
  <c r="D7" i="7"/>
  <c r="G4" i="7"/>
  <c r="D3" i="7"/>
  <c r="B5" i="8"/>
  <c r="I17" i="7"/>
  <c r="D16" i="7"/>
  <c r="H13" i="7"/>
  <c r="E12" i="7"/>
  <c r="B11" i="7"/>
  <c r="I9" i="7"/>
  <c r="F8" i="7"/>
  <c r="C7" i="7"/>
  <c r="I5" i="7"/>
  <c r="F4" i="7"/>
  <c r="C3"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K13" i="7" s="1"/>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K26" i="7" s="1"/>
  <c r="D34" i="7"/>
  <c r="C34" i="7"/>
  <c r="D29" i="7"/>
  <c r="E30" i="7"/>
  <c r="F25" i="7"/>
  <c r="J36" i="7"/>
  <c r="D27" i="7"/>
  <c r="C24" i="7"/>
  <c r="H34" i="7"/>
  <c r="D31" i="7"/>
  <c r="G26" i="7"/>
  <c r="H23" i="7"/>
  <c r="F29" i="7"/>
  <c r="J24" i="7"/>
  <c r="B28" i="7"/>
  <c r="C29" i="7"/>
  <c r="K29" i="7" s="1"/>
  <c r="D24" i="7"/>
  <c r="E35" i="7"/>
  <c r="J25" i="7"/>
  <c r="I22" i="7"/>
  <c r="C33" i="7"/>
  <c r="I29" i="7"/>
  <c r="C25" i="7"/>
  <c r="K25" i="7" s="1"/>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22" i="7" l="1"/>
  <c r="K8" i="7"/>
  <c r="K7" i="7"/>
  <c r="K34" i="7"/>
  <c r="K12" i="7"/>
  <c r="K10" i="7"/>
  <c r="K37" i="7"/>
  <c r="K11" i="7"/>
  <c r="L42" i="7"/>
  <c r="K14" i="7"/>
  <c r="D36" i="8"/>
  <c r="D33" i="8"/>
  <c r="D38" i="8"/>
  <c r="D37" i="8"/>
  <c r="D34" i="8"/>
  <c r="D35" i="8"/>
  <c r="D44" i="8"/>
  <c r="D31" i="8"/>
  <c r="D32" i="8"/>
  <c r="D43" i="8"/>
  <c r="D30" i="8"/>
  <c r="D42" i="8"/>
  <c r="D40" i="8"/>
  <c r="D41" i="8"/>
  <c r="D45" i="8"/>
  <c r="D39" i="8"/>
  <c r="E6" i="8"/>
  <c r="B20" i="8" s="1"/>
  <c r="B6" i="9" s="1"/>
  <c r="B22" i="9" s="1"/>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G83" i="7" s="1"/>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H71" i="7" s="1"/>
  <c r="F86" i="7"/>
  <c r="C71" i="7"/>
  <c r="B84" i="7"/>
  <c r="F81" i="7"/>
  <c r="E81" i="7"/>
  <c r="K28" i="7"/>
  <c r="K27" i="7"/>
  <c r="C40" i="8"/>
  <c r="C33" i="8"/>
  <c r="C36" i="8"/>
  <c r="C39" i="8"/>
  <c r="E5" i="8"/>
  <c r="C38" i="8"/>
  <c r="C37" i="8"/>
  <c r="C31" i="8"/>
  <c r="C42" i="8"/>
  <c r="C43" i="8"/>
  <c r="C32" i="8"/>
  <c r="C44" i="8"/>
  <c r="C41" i="8"/>
  <c r="C35" i="8"/>
  <c r="C34" i="8"/>
  <c r="C30" i="8"/>
  <c r="C45" i="8"/>
  <c r="K18" i="7"/>
  <c r="K30" i="7"/>
  <c r="K32" i="7"/>
  <c r="L63" i="7"/>
  <c r="K3" i="7"/>
  <c r="L49" i="7"/>
  <c r="L43" i="7"/>
  <c r="L65" i="7"/>
  <c r="K9" i="7"/>
  <c r="K16" i="7"/>
  <c r="K4" i="7"/>
  <c r="L52" i="7"/>
  <c r="H84" i="7" l="1"/>
  <c r="F6" i="8"/>
  <c r="H76" i="7"/>
  <c r="H85" i="7"/>
  <c r="H79" i="7"/>
  <c r="G85" i="7"/>
  <c r="H72" i="7"/>
  <c r="C46" i="8"/>
  <c r="G82" i="7"/>
  <c r="G75" i="7"/>
  <c r="G78" i="7"/>
  <c r="H83" i="7"/>
  <c r="H73" i="7"/>
  <c r="H74" i="7"/>
  <c r="D46" i="8"/>
  <c r="B19" i="8"/>
  <c r="B5" i="9" s="1"/>
  <c r="B23" i="9" s="1"/>
  <c r="G80" i="7"/>
  <c r="E7" i="8"/>
  <c r="H80" i="7"/>
  <c r="H82" i="7"/>
  <c r="G84" i="7"/>
  <c r="H75" i="7"/>
  <c r="G71" i="7"/>
  <c r="B75" i="7"/>
  <c r="B78" i="7"/>
  <c r="F83" i="7"/>
  <c r="C81" i="7"/>
  <c r="G81" i="7" s="1"/>
  <c r="H81" i="7"/>
  <c r="G77" i="7"/>
  <c r="G79" i="7"/>
  <c r="H77" i="7"/>
  <c r="H78" i="7"/>
  <c r="G74" i="7" l="1"/>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AN4" i="11"/>
  <c r="AO4" i="11" s="1"/>
  <c r="AN10" i="11"/>
  <c r="AO10" i="11" s="1"/>
  <c r="AN7" i="11"/>
  <c r="AO7" i="11" s="1"/>
  <c r="AN6" i="11"/>
  <c r="AO6" i="11" s="1"/>
  <c r="AN2" i="11"/>
  <c r="AO2" i="11" s="1"/>
  <c r="AN8" i="11"/>
  <c r="AO8" i="11" s="1"/>
  <c r="AN3" i="11"/>
  <c r="AO3" i="11" s="1"/>
  <c r="C15" i="8" l="1"/>
  <c r="B15" i="8"/>
  <c r="B26" i="8" s="1"/>
  <c r="B12" i="9" s="1"/>
  <c r="B16" i="9" s="1"/>
  <c r="A6" i="10" s="1"/>
  <c r="B13" i="10" s="1"/>
  <c r="C14" i="8"/>
  <c r="B14" i="8"/>
  <c r="B25" i="8" s="1"/>
  <c r="B11" i="9" s="1"/>
  <c r="B17" i="9" s="1"/>
  <c r="A7" i="10" s="1"/>
  <c r="A24" i="10"/>
  <c r="B14" i="10"/>
  <c r="A23" i="10" l="1"/>
  <c r="B15" i="10"/>
  <c r="E40" i="8" s="1"/>
  <c r="F40" i="8" s="1"/>
  <c r="A22" i="10"/>
  <c r="B16" i="10"/>
  <c r="E44" i="8" l="1"/>
  <c r="F44" i="8" s="1"/>
  <c r="E41" i="8"/>
  <c r="F41" i="8" s="1"/>
  <c r="E37" i="8"/>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<sst xmlns="http://schemas.openxmlformats.org/spreadsheetml/2006/main" count="816" uniqueCount="289">
  <si>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</si>
  <si>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</si>
  <si>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</si>
  <si>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</si>
  <si>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</si>
  <si>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</si>
  <si>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</si>
  <si>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</si>
  <si>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</si>
  <si>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</si>
  <si>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</si>
  <si>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</si>
  <si>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</si>
  <si>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</si>
  <si>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</si>
  <si>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</si>
  <si>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</si>
  <si>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</si>
  <si>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</si>
  <si>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</si>
  <si>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</si>
  <si>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</si>
  <si>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</si>
  <si>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</si>
  <si>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</si>
  <si>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</si>
  <si>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</si>
  <si>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</si>
  <si>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</si>
  <si>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</si>
  <si>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Update this number each week (1-19)</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</si>
  <si>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</si>
  <si>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</si>
  <si>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</si>
  <si>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</si>
  <si>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</si>
  <si>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</si>
  <si>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</si>
  <si>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</si>
  <si>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</si>
  <si>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</si>
  <si>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</si>
  <si>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</si>
  <si>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</si>
  <si>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</si>
  <si>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</si>
  <si>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</si>
  <si>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</si>
  <si>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</si>
  <si>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</si>
  <si>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</si>
  <si>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</si>
  <si>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</si>
  <si>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</si>
  <si>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</si>
  <si>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</si>
  <si>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</si>
  <si>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</si>
  <si>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</si>
  <si>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</si>
  <si>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</si>
  <si>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</si>
  <si>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</si>
  <si>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</si>
  <si>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</si>
  <si>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</si>
  <si>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</si>
  <si>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</si>
  <si>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</si>
  <si>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</si>
  <si>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</si>
  <si>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</si>
  <si>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</si>
  <si>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</si>
  <si>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</si>
  <si>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</si>
  <si>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</si>
  <si>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</si>
  <si>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</si>
  <si>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</si>
  <si>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</si>
  <si>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</si>
  <si>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</si>
  <si>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</si>
  <si>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</si>
  <si>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</si>
  <si>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</si>
  <si>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</si>
  <si>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</si>
  <si>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</si>
  <si>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</si>
  <si>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</si>
  <si>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</si>
  <si>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</si>
  <si>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</si>
  <si>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</si>
  <si>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</si>
  <si>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</si>
  <si>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</si>
  <si>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</si>
  <si>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</si>
  <si>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</si>
  <si>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</si>
  <si>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</si>
  <si>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</si>
  <si>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</si>
  <si>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</si>
  <si>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</si>
  <si>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</si>
  <si>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</si>
  <si>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</si>
  <si>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</si>
  <si>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</si>
  <si>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</si>
  <si>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</si>
  <si>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</si>
  <si>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</si>
  <si>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</si>
  <si>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</si>
  <si>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</si>
  <si>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</si>
  <si>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</si>
  <si>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</si>
  <si>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</si>
  <si>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</si>
  <si>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</si>
  <si>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</si>
  <si>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</si>
  <si>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</si>
  <si>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</si>
  <si>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</si>
  <si>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</si>
  <si>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</si>
  <si>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</si>
  <si>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</si>
  <si>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</si>
  <si>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</si>
  <si>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</si>
  <si>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</si>
  <si>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</si>
  <si>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</si>
  <si>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</si>
  <si>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</si>
  <si>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</si>
  <si>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</si>
  <si>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</si>
  <si>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</si>
  <si>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</si>
  <si>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</si>
  <si>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</si>
  <si>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</si>
  <si>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</si>
  <si>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</si>
  <si>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</si>
  <si>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</si>
  <si>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</si>
  <si>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</si>
  <si>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</si>
  <si>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</si>
  <si>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</si>
  <si>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</si>
  <si>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</si>
  <si>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</si>
  <si>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</si>
  <si>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</si>
  <si>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</si>
  <si>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</si>
  <si>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</si>
  <si>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</si>
  <si>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</si>
  <si>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</si>
  <si>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</si>
  <si>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</si>
  <si>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</si>
  <si>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</si>
  <si>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</si>
  <si>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</si>
  <si>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</si>
  <si>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</si>
  <si>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</si>
  <si>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</si>
  <si>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</si>
  <si>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</si>
  <si>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</si>
  <si>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</si>
  <si>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</si>
  <si>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</si>
  <si>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</si>
  <si>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</si>
  <si>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</si>
  <si>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</si>
  <si>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</si>
  <si>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</si>
  <si>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</si>
  <si>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</si>
  <si>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</si>
  <si>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</si>
  <si>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</si>
  <si>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</si>
  <si>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</si>
  <si>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</si>
  <si>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</si>
  <si>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</si>
  <si>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</si>
  <si>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</si>
  <si>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</si>
  <si>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</si>
  <si>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</si>
  <si>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</si>
  <si>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</si>
  <si>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</si>
  <si>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</si>
  <si>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</si>
  <si>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</si>
  <si>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</si>
  <si>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</si>
  <si>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</si>
  <si>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</si>
  <si>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</si>
  <si>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</si>
  <si>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</si>
  <si>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</si>
  <si>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</si>
  <si>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</si>
  <si>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</si>
  <si>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</si>
  <si>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</si>
  <si>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</si>
  <si>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</si>
  <si>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</si>
  <si>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</si>
  <si>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</si>
  <si>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</si>
  <si>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</si>
  <si>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</si>
  <si>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</si>
  <si>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</si>
  <si>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</si>
  <si>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</si>
  <si>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</si>
  <si>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</si>
  <si>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</si>
  <si>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</si>
  <si>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</si>
  <si>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</si>
  <si>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</si>
  <si>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</si>
  <si>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</si>
  <si>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</si>
  <si>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</si>
  <si>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</si>
  <si>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</si>
  <si>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</si>
  <si>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</si>
  <si>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</si>
  <si>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</si>
  <si>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</si>
  <si>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</si>
  <si>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</si>
  <si>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</si>
  <si>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</si>
  <si>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</si>
  <si>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</si>
  <si>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</si>
  <si>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</si>
  <si>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</si>
  <si>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</si>
  <si>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</si>
  <si>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</si>
  <si>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</si>
  <si>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</si>
  <si>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</si>
  <si>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</si>
  <si>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</si>
  <si>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</si>
  <si>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</si>
  <si>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</si>
  <si>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</si>
  <si>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</si>
  <si>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BUF</t>
  </si>
  <si>
    <t>JAX</t>
  </si>
  <si>
    <t>DAL</t>
  </si>
  <si>
    <t>PHI</t>
  </si>
  <si>
    <t>KC</t>
  </si>
  <si>
    <t>HOU</t>
  </si>
  <si>
    <t>LAR</t>
  </si>
  <si>
    <t>SF</t>
  </si>
  <si>
    <t xml:space="preserve">Playoffs </t>
  </si>
  <si>
    <t>Congrats on the 8 players to reach playoffs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</si>
</sst>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 fillId="2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8" fillId="5"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10" fillId="11" borderId="1" xfId="0" applyFont="1" applyFill="1" applyBorder="1" applyAlignment="1">
      <alignment horizontal="center" vertical="center" wrapText="1"/>
    </xf>
    <xf numFmtId="0" fontId="10" fillId="23"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zoomScaleNormal="100" workbookViewId="0">
      <selection activeCell="E23" sqref="E23"/>
    </sheetView>
  </sheetViews>
  <sheetFormatPr defaultColWidth="8.7109375" defaultRowHeight="15" x14ac:dyDescent="0.25"/>
  <cols>
    <col min="1" max="4" width="18" customWidth="1"/>
  </cols>
  <sheetData>
    <row r="1" spans="1:4" ht="17.25" customHeight="1" x14ac:dyDescent="0.25">
      <c r="A1" s="72" t="s">
        <v>0</v>
      </c>
      <c r="B1" s="72"/>
      <c r="C1" s="72"/>
      <c r="D1" s="72"/>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22</v>
      </c>
    </row>
    <row r="21" spans="1:4" ht="15" customHeight="1" x14ac:dyDescent="0.25">
      <c r="A21" s="6" t="s">
        <v>30</v>
      </c>
    </row>
    <row r="23" spans="1:4" ht="15" customHeight="1" x14ac:dyDescent="0.25">
      <c r="A23" s="7" t="s">
        <v>31</v>
      </c>
    </row>
    <row r="24" spans="1:4" ht="15" customHeight="1" x14ac:dyDescent="0.25">
      <c r="A24" s="7" t="s">
        <v>32</v>
      </c>
    </row>
    <row r="25" spans="1:4" ht="15" customHeight="1" x14ac:dyDescent="0.25">
      <c r="A25" s="7" t="s">
        <v>33</v>
      </c>
    </row>
    <row r="26" spans="1:4" ht="15" customHeight="1" x14ac:dyDescent="0.25">
      <c r="A26" s="7" t="s">
        <v>34</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3" t="s">
        <v>35</v>
      </c>
      <c r="B1" s="73"/>
      <c r="C1" s="73"/>
      <c r="D1" s="73"/>
      <c r="E1" s="73"/>
      <c r="F1" s="73"/>
    </row>
    <row r="2" spans="1:6" ht="15" customHeight="1" x14ac:dyDescent="0.25">
      <c r="A2" s="74" t="s">
        <v>36</v>
      </c>
      <c r="B2" s="74"/>
      <c r="C2" s="74"/>
      <c r="D2" s="74"/>
      <c r="E2" s="74"/>
      <c r="F2" s="74"/>
    </row>
    <row r="3" spans="1:6" ht="15" customHeight="1" x14ac:dyDescent="0.25">
      <c r="A3" s="8" t="s">
        <v>37</v>
      </c>
      <c r="B3" s="8" t="s">
        <v>38</v>
      </c>
      <c r="C3" s="8" t="s">
        <v>39</v>
      </c>
      <c r="D3" s="8" t="s">
        <v>40</v>
      </c>
      <c r="E3" s="8" t="s">
        <v>38</v>
      </c>
      <c r="F3" s="8" t="s">
        <v>39</v>
      </c>
    </row>
    <row r="4" spans="1:6" ht="15" customHeight="1" x14ac:dyDescent="0.25">
      <c r="A4" s="9">
        <v>1</v>
      </c>
      <c r="B4" s="9">
        <v>1</v>
      </c>
      <c r="C4" s="9" t="str">
        <f>VLOOKUP(B4,Roster!$A$3:$B$18,2,FALSE())</f>
        <v>Player 1</v>
      </c>
      <c r="D4" s="10" t="s">
        <v>40</v>
      </c>
      <c r="E4" s="9">
        <v>5</v>
      </c>
      <c r="F4" s="9" t="str">
        <f>VLOOKUP(E4,Roster!$A$3:$B$18,2,FALSE())</f>
        <v>Player 5</v>
      </c>
    </row>
    <row r="5" spans="1:6" ht="15" customHeight="1" x14ac:dyDescent="0.25">
      <c r="A5" s="9">
        <v>2</v>
      </c>
      <c r="B5" s="9">
        <v>2</v>
      </c>
      <c r="C5" s="9" t="str">
        <f>VLOOKUP(B5,Roster!$A$3:$B$18,2,FALSE())</f>
        <v>Player 2</v>
      </c>
      <c r="D5" s="10" t="s">
        <v>40</v>
      </c>
      <c r="E5" s="9">
        <v>6</v>
      </c>
      <c r="F5" s="9" t="str">
        <f>VLOOKUP(E5,Roster!$A$3:$B$18,2,FALSE())</f>
        <v>Player 6</v>
      </c>
    </row>
    <row r="6" spans="1:6" ht="15" customHeight="1" x14ac:dyDescent="0.25">
      <c r="A6" s="9">
        <v>3</v>
      </c>
      <c r="B6" s="9">
        <v>3</v>
      </c>
      <c r="C6" s="9" t="str">
        <f>VLOOKUP(B6,Roster!$A$3:$B$18,2,FALSE())</f>
        <v>Player 3</v>
      </c>
      <c r="D6" s="10" t="s">
        <v>40</v>
      </c>
      <c r="E6" s="9">
        <v>7</v>
      </c>
      <c r="F6" s="9" t="str">
        <f>VLOOKUP(E6,Roster!$A$3:$B$18,2,FALSE())</f>
        <v>Player 7</v>
      </c>
    </row>
    <row r="7" spans="1:6" ht="15" customHeight="1" x14ac:dyDescent="0.25">
      <c r="A7" s="9">
        <v>4</v>
      </c>
      <c r="B7" s="9">
        <v>4</v>
      </c>
      <c r="C7" s="9" t="str">
        <f>VLOOKUP(B7,Roster!$A$3:$B$18,2,FALSE())</f>
        <v>Player 4</v>
      </c>
      <c r="D7" s="10" t="s">
        <v>40</v>
      </c>
      <c r="E7" s="9">
        <v>8</v>
      </c>
      <c r="F7" s="9" t="str">
        <f>VLOOKUP(E7,Roster!$A$3:$B$18,2,FALSE())</f>
        <v>Player 8</v>
      </c>
    </row>
    <row r="8" spans="1:6" ht="15" customHeight="1" x14ac:dyDescent="0.25">
      <c r="A8" s="9">
        <v>5</v>
      </c>
      <c r="B8" s="9">
        <v>9</v>
      </c>
      <c r="C8" s="9" t="str">
        <f>VLOOKUP(B8,Roster!$A$3:$B$18,2,FALSE())</f>
        <v>Player 9</v>
      </c>
      <c r="D8" s="10" t="s">
        <v>40</v>
      </c>
      <c r="E8" s="9">
        <v>13</v>
      </c>
      <c r="F8" s="9" t="str">
        <f>VLOOKUP(E8,Roster!$A$3:$B$18,2,FALSE())</f>
        <v>Player 13</v>
      </c>
    </row>
    <row r="9" spans="1:6" ht="15" customHeight="1" x14ac:dyDescent="0.25">
      <c r="A9" s="9">
        <v>6</v>
      </c>
      <c r="B9" s="9">
        <v>10</v>
      </c>
      <c r="C9" s="9" t="str">
        <f>VLOOKUP(B9,Roster!$A$3:$B$18,2,FALSE())</f>
        <v>Player 10</v>
      </c>
      <c r="D9" s="10" t="s">
        <v>40</v>
      </c>
      <c r="E9" s="9">
        <v>14</v>
      </c>
      <c r="F9" s="9" t="str">
        <f>VLOOKUP(E9,Roster!$A$3:$B$18,2,FALSE())</f>
        <v>Player 14</v>
      </c>
    </row>
    <row r="10" spans="1:6" ht="15" customHeight="1" x14ac:dyDescent="0.25">
      <c r="A10" s="9">
        <v>7</v>
      </c>
      <c r="B10" s="9">
        <v>11</v>
      </c>
      <c r="C10" s="9" t="str">
        <f>VLOOKUP(B10,Roster!$A$3:$B$18,2,FALSE())</f>
        <v>Player 11</v>
      </c>
      <c r="D10" s="10" t="s">
        <v>40</v>
      </c>
      <c r="E10" s="9">
        <v>15</v>
      </c>
      <c r="F10" s="9" t="str">
        <f>VLOOKUP(E10,Roster!$A$3:$B$18,2,FALSE())</f>
        <v>Player 15</v>
      </c>
    </row>
    <row r="11" spans="1:6" ht="15" customHeight="1" x14ac:dyDescent="0.25">
      <c r="A11" s="9">
        <v>8</v>
      </c>
      <c r="B11" s="9">
        <v>12</v>
      </c>
      <c r="C11" s="9" t="str">
        <f>VLOOKUP(B11,Roster!$A$3:$B$18,2,FALSE())</f>
        <v>Player 12</v>
      </c>
      <c r="D11" s="10" t="s">
        <v>40</v>
      </c>
      <c r="E11" s="9">
        <v>16</v>
      </c>
      <c r="F11" s="9" t="str">
        <f>VLOOKUP(E11,Roster!$A$3:$B$18,2,FALSE())</f>
        <v>Player 16</v>
      </c>
    </row>
    <row r="13" spans="1:6" ht="15" customHeight="1" x14ac:dyDescent="0.25">
      <c r="A13" s="74" t="s">
        <v>41</v>
      </c>
      <c r="B13" s="74"/>
      <c r="C13" s="74"/>
      <c r="D13" s="74"/>
      <c r="E13" s="74"/>
      <c r="F13" s="74"/>
    </row>
    <row r="14" spans="1:6" ht="15" customHeight="1" x14ac:dyDescent="0.25">
      <c r="A14" s="8" t="s">
        <v>37</v>
      </c>
      <c r="B14" s="8" t="s">
        <v>38</v>
      </c>
      <c r="C14" s="8" t="s">
        <v>39</v>
      </c>
      <c r="D14" s="8" t="s">
        <v>40</v>
      </c>
      <c r="E14" s="8" t="s">
        <v>38</v>
      </c>
      <c r="F14" s="8" t="s">
        <v>39</v>
      </c>
    </row>
    <row r="15" spans="1:6" ht="15" customHeight="1" x14ac:dyDescent="0.25">
      <c r="A15" s="9">
        <v>1</v>
      </c>
      <c r="B15" s="9">
        <v>1</v>
      </c>
      <c r="C15" s="9" t="str">
        <f>VLOOKUP(B15,Roster!$A$3:$B$18,2,FALSE())</f>
        <v>Player 1</v>
      </c>
      <c r="D15" s="10" t="s">
        <v>40</v>
      </c>
      <c r="E15" s="9">
        <v>6</v>
      </c>
      <c r="F15" s="9" t="str">
        <f>VLOOKUP(E15,Roster!$A$3:$B$18,2,FALSE())</f>
        <v>Player 6</v>
      </c>
    </row>
    <row r="16" spans="1:6" ht="15" customHeight="1" x14ac:dyDescent="0.25">
      <c r="A16" s="9">
        <v>2</v>
      </c>
      <c r="B16" s="9">
        <v>2</v>
      </c>
      <c r="C16" s="9" t="str">
        <f>VLOOKUP(B16,Roster!$A$3:$B$18,2,FALSE())</f>
        <v>Player 2</v>
      </c>
      <c r="D16" s="10" t="s">
        <v>40</v>
      </c>
      <c r="E16" s="9">
        <v>5</v>
      </c>
      <c r="F16" s="9" t="str">
        <f>VLOOKUP(E16,Roster!$A$3:$B$18,2,FALSE())</f>
        <v>Player 5</v>
      </c>
    </row>
    <row r="17" spans="1:6" ht="15" customHeight="1" x14ac:dyDescent="0.25">
      <c r="A17" s="9">
        <v>3</v>
      </c>
      <c r="B17" s="9">
        <v>3</v>
      </c>
      <c r="C17" s="9" t="str">
        <f>VLOOKUP(B17,Roster!$A$3:$B$18,2,FALSE())</f>
        <v>Player 3</v>
      </c>
      <c r="D17" s="10" t="s">
        <v>40</v>
      </c>
      <c r="E17" s="9">
        <v>8</v>
      </c>
      <c r="F17" s="9" t="str">
        <f>VLOOKUP(E17,Roster!$A$3:$B$18,2,FALSE())</f>
        <v>Player 8</v>
      </c>
    </row>
    <row r="18" spans="1:6" ht="15" customHeight="1" x14ac:dyDescent="0.25">
      <c r="A18" s="9">
        <v>4</v>
      </c>
      <c r="B18" s="9">
        <v>4</v>
      </c>
      <c r="C18" s="9" t="str">
        <f>VLOOKUP(B18,Roster!$A$3:$B$18,2,FALSE())</f>
        <v>Player 4</v>
      </c>
      <c r="D18" s="10" t="s">
        <v>40</v>
      </c>
      <c r="E18" s="9">
        <v>7</v>
      </c>
      <c r="F18" s="9" t="str">
        <f>VLOOKUP(E18,Roster!$A$3:$B$18,2,FALSE())</f>
        <v>Player 7</v>
      </c>
    </row>
    <row r="19" spans="1:6" ht="15" customHeight="1" x14ac:dyDescent="0.25">
      <c r="A19" s="9">
        <v>5</v>
      </c>
      <c r="B19" s="9">
        <v>9</v>
      </c>
      <c r="C19" s="9" t="str">
        <f>VLOOKUP(B19,Roster!$A$3:$B$18,2,FALSE())</f>
        <v>Player 9</v>
      </c>
      <c r="D19" s="10" t="s">
        <v>40</v>
      </c>
      <c r="E19" s="9">
        <v>14</v>
      </c>
      <c r="F19" s="9" t="str">
        <f>VLOOKUP(E19,Roster!$A$3:$B$18,2,FALSE())</f>
        <v>Player 14</v>
      </c>
    </row>
    <row r="20" spans="1:6" ht="15" customHeight="1" x14ac:dyDescent="0.25">
      <c r="A20" s="9">
        <v>6</v>
      </c>
      <c r="B20" s="9">
        <v>10</v>
      </c>
      <c r="C20" s="9" t="str">
        <f>VLOOKUP(B20,Roster!$A$3:$B$18,2,FALSE())</f>
        <v>Player 10</v>
      </c>
      <c r="D20" s="10" t="s">
        <v>40</v>
      </c>
      <c r="E20" s="9">
        <v>13</v>
      </c>
      <c r="F20" s="9" t="str">
        <f>VLOOKUP(E20,Roster!$A$3:$B$18,2,FALSE())</f>
        <v>Player 13</v>
      </c>
    </row>
    <row r="21" spans="1:6" ht="15" customHeight="1" x14ac:dyDescent="0.25">
      <c r="A21" s="9">
        <v>7</v>
      </c>
      <c r="B21" s="9">
        <v>11</v>
      </c>
      <c r="C21" s="9" t="str">
        <f>VLOOKUP(B21,Roster!$A$3:$B$18,2,FALSE())</f>
        <v>Player 11</v>
      </c>
      <c r="D21" s="10" t="s">
        <v>40</v>
      </c>
      <c r="E21" s="9">
        <v>16</v>
      </c>
      <c r="F21" s="9" t="str">
        <f>VLOOKUP(E21,Roster!$A$3:$B$18,2,FALSE())</f>
        <v>Player 16</v>
      </c>
    </row>
    <row r="22" spans="1:6" ht="15" customHeight="1" x14ac:dyDescent="0.25">
      <c r="A22" s="9">
        <v>8</v>
      </c>
      <c r="B22" s="9">
        <v>12</v>
      </c>
      <c r="C22" s="9" t="str">
        <f>VLOOKUP(B22,Roster!$A$3:$B$18,2,FALSE())</f>
        <v>Player 12</v>
      </c>
      <c r="D22" s="10" t="s">
        <v>40</v>
      </c>
      <c r="E22" s="9">
        <v>15</v>
      </c>
      <c r="F22" s="9" t="str">
        <f>VLOOKUP(E22,Roster!$A$3:$B$18,2,FALSE())</f>
        <v>Player 15</v>
      </c>
    </row>
    <row r="24" spans="1:6" ht="15" customHeight="1" x14ac:dyDescent="0.25">
      <c r="A24" s="74" t="s">
        <v>42</v>
      </c>
      <c r="B24" s="74"/>
      <c r="C24" s="74"/>
      <c r="D24" s="74"/>
      <c r="E24" s="74"/>
      <c r="F24" s="74"/>
    </row>
    <row r="25" spans="1:6" ht="15" customHeight="1" x14ac:dyDescent="0.25">
      <c r="A25" s="8" t="s">
        <v>37</v>
      </c>
      <c r="B25" s="8" t="s">
        <v>38</v>
      </c>
      <c r="C25" s="8" t="s">
        <v>39</v>
      </c>
      <c r="D25" s="8" t="s">
        <v>40</v>
      </c>
      <c r="E25" s="8" t="s">
        <v>38</v>
      </c>
      <c r="F25" s="8" t="s">
        <v>39</v>
      </c>
    </row>
    <row r="26" spans="1:6" ht="15" customHeight="1" x14ac:dyDescent="0.25">
      <c r="A26" s="9">
        <v>1</v>
      </c>
      <c r="B26" s="9">
        <v>1</v>
      </c>
      <c r="C26" s="9" t="str">
        <f>VLOOKUP(B26,Roster!$A$3:$B$18,2,FALSE())</f>
        <v>Player 1</v>
      </c>
      <c r="D26" s="10" t="s">
        <v>40</v>
      </c>
      <c r="E26" s="9">
        <v>7</v>
      </c>
      <c r="F26" s="9" t="str">
        <f>VLOOKUP(E26,Roster!$A$3:$B$18,2,FALSE())</f>
        <v>Player 7</v>
      </c>
    </row>
    <row r="27" spans="1:6" ht="15" customHeight="1" x14ac:dyDescent="0.25">
      <c r="A27" s="9">
        <v>2</v>
      </c>
      <c r="B27" s="9">
        <v>2</v>
      </c>
      <c r="C27" s="9" t="str">
        <f>VLOOKUP(B27,Roster!$A$3:$B$18,2,FALSE())</f>
        <v>Player 2</v>
      </c>
      <c r="D27" s="10" t="s">
        <v>40</v>
      </c>
      <c r="E27" s="9">
        <v>8</v>
      </c>
      <c r="F27" s="9" t="str">
        <f>VLOOKUP(E27,Roster!$A$3:$B$18,2,FALSE())</f>
        <v>Player 8</v>
      </c>
    </row>
    <row r="28" spans="1:6" ht="15" customHeight="1" x14ac:dyDescent="0.25">
      <c r="A28" s="9">
        <v>3</v>
      </c>
      <c r="B28" s="9">
        <v>3</v>
      </c>
      <c r="C28" s="9" t="str">
        <f>VLOOKUP(B28,Roster!$A$3:$B$18,2,FALSE())</f>
        <v>Player 3</v>
      </c>
      <c r="D28" s="10" t="s">
        <v>40</v>
      </c>
      <c r="E28" s="9">
        <v>5</v>
      </c>
      <c r="F28" s="9" t="str">
        <f>VLOOKUP(E28,Roster!$A$3:$B$18,2,FALSE())</f>
        <v>Player 5</v>
      </c>
    </row>
    <row r="29" spans="1:6" ht="15" customHeight="1" x14ac:dyDescent="0.25">
      <c r="A29" s="9">
        <v>4</v>
      </c>
      <c r="B29" s="9">
        <v>4</v>
      </c>
      <c r="C29" s="9" t="str">
        <f>VLOOKUP(B29,Roster!$A$3:$B$18,2,FALSE())</f>
        <v>Player 4</v>
      </c>
      <c r="D29" s="10" t="s">
        <v>40</v>
      </c>
      <c r="E29" s="9">
        <v>6</v>
      </c>
      <c r="F29" s="9" t="str">
        <f>VLOOKUP(E29,Roster!$A$3:$B$18,2,FALSE())</f>
        <v>Player 6</v>
      </c>
    </row>
    <row r="30" spans="1:6" ht="15" customHeight="1" x14ac:dyDescent="0.25">
      <c r="A30" s="9">
        <v>5</v>
      </c>
      <c r="B30" s="9">
        <v>9</v>
      </c>
      <c r="C30" s="9" t="str">
        <f>VLOOKUP(B30,Roster!$A$3:$B$18,2,FALSE())</f>
        <v>Player 9</v>
      </c>
      <c r="D30" s="10" t="s">
        <v>40</v>
      </c>
      <c r="E30" s="9">
        <v>15</v>
      </c>
      <c r="F30" s="9" t="str">
        <f>VLOOKUP(E30,Roster!$A$3:$B$18,2,FALSE())</f>
        <v>Player 15</v>
      </c>
    </row>
    <row r="31" spans="1:6" ht="15" customHeight="1" x14ac:dyDescent="0.25">
      <c r="A31" s="9">
        <v>6</v>
      </c>
      <c r="B31" s="9">
        <v>10</v>
      </c>
      <c r="C31" s="9" t="str">
        <f>VLOOKUP(B31,Roster!$A$3:$B$18,2,FALSE())</f>
        <v>Player 10</v>
      </c>
      <c r="D31" s="10" t="s">
        <v>40</v>
      </c>
      <c r="E31" s="9">
        <v>16</v>
      </c>
      <c r="F31" s="9" t="str">
        <f>VLOOKUP(E31,Roster!$A$3:$B$18,2,FALSE())</f>
        <v>Player 16</v>
      </c>
    </row>
    <row r="32" spans="1:6" ht="15" customHeight="1" x14ac:dyDescent="0.25">
      <c r="A32" s="9">
        <v>7</v>
      </c>
      <c r="B32" s="9">
        <v>11</v>
      </c>
      <c r="C32" s="9" t="str">
        <f>VLOOKUP(B32,Roster!$A$3:$B$18,2,FALSE())</f>
        <v>Player 11</v>
      </c>
      <c r="D32" s="10" t="s">
        <v>40</v>
      </c>
      <c r="E32" s="9">
        <v>13</v>
      </c>
      <c r="F32" s="9" t="str">
        <f>VLOOKUP(E32,Roster!$A$3:$B$18,2,FALSE())</f>
        <v>Player 13</v>
      </c>
    </row>
    <row r="33" spans="1:6" ht="15" customHeight="1" x14ac:dyDescent="0.25">
      <c r="A33" s="9">
        <v>8</v>
      </c>
      <c r="B33" s="9">
        <v>12</v>
      </c>
      <c r="C33" s="9" t="str">
        <f>VLOOKUP(B33,Roster!$A$3:$B$18,2,FALSE())</f>
        <v>Player 12</v>
      </c>
      <c r="D33" s="10" t="s">
        <v>40</v>
      </c>
      <c r="E33" s="9">
        <v>14</v>
      </c>
      <c r="F33" s="9" t="str">
        <f>VLOOKUP(E33,Roster!$A$3:$B$18,2,FALSE())</f>
        <v>Player 14</v>
      </c>
    </row>
    <row r="35" spans="1:6" ht="15" customHeight="1" x14ac:dyDescent="0.25">
      <c r="A35" s="74" t="s">
        <v>43</v>
      </c>
      <c r="B35" s="74"/>
      <c r="C35" s="74"/>
      <c r="D35" s="74"/>
      <c r="E35" s="74"/>
      <c r="F35" s="74"/>
    </row>
    <row r="36" spans="1:6" ht="15" customHeight="1" x14ac:dyDescent="0.25">
      <c r="A36" s="8" t="s">
        <v>37</v>
      </c>
      <c r="B36" s="8" t="s">
        <v>38</v>
      </c>
      <c r="C36" s="8" t="s">
        <v>39</v>
      </c>
      <c r="D36" s="8" t="s">
        <v>40</v>
      </c>
      <c r="E36" s="8" t="s">
        <v>38</v>
      </c>
      <c r="F36" s="8" t="s">
        <v>39</v>
      </c>
    </row>
    <row r="37" spans="1:6" ht="15" customHeight="1" x14ac:dyDescent="0.25">
      <c r="A37" s="9">
        <v>1</v>
      </c>
      <c r="B37" s="9">
        <v>1</v>
      </c>
      <c r="C37" s="9" t="str">
        <f>VLOOKUP(B37,Roster!$A$3:$B$18,2,FALSE())</f>
        <v>Player 1</v>
      </c>
      <c r="D37" s="10" t="s">
        <v>40</v>
      </c>
      <c r="E37" s="9">
        <v>8</v>
      </c>
      <c r="F37" s="9" t="str">
        <f>VLOOKUP(E37,Roster!$A$3:$B$18,2,FALSE())</f>
        <v>Player 8</v>
      </c>
    </row>
    <row r="38" spans="1:6" ht="15" customHeight="1" x14ac:dyDescent="0.25">
      <c r="A38" s="9">
        <v>2</v>
      </c>
      <c r="B38" s="9">
        <v>2</v>
      </c>
      <c r="C38" s="9" t="str">
        <f>VLOOKUP(B38,Roster!$A$3:$B$18,2,FALSE())</f>
        <v>Player 2</v>
      </c>
      <c r="D38" s="10" t="s">
        <v>40</v>
      </c>
      <c r="E38" s="9">
        <v>7</v>
      </c>
      <c r="F38" s="9" t="str">
        <f>VLOOKUP(E38,Roster!$A$3:$B$18,2,FALSE())</f>
        <v>Player 7</v>
      </c>
    </row>
    <row r="39" spans="1:6" ht="15" customHeight="1" x14ac:dyDescent="0.25">
      <c r="A39" s="9">
        <v>3</v>
      </c>
      <c r="B39" s="9">
        <v>3</v>
      </c>
      <c r="C39" s="9" t="str">
        <f>VLOOKUP(B39,Roster!$A$3:$B$18,2,FALSE())</f>
        <v>Player 3</v>
      </c>
      <c r="D39" s="10" t="s">
        <v>40</v>
      </c>
      <c r="E39" s="9">
        <v>6</v>
      </c>
      <c r="F39" s="9" t="str">
        <f>VLOOKUP(E39,Roster!$A$3:$B$18,2,FALSE())</f>
        <v>Player 6</v>
      </c>
    </row>
    <row r="40" spans="1:6" ht="15" customHeight="1" x14ac:dyDescent="0.25">
      <c r="A40" s="9">
        <v>4</v>
      </c>
      <c r="B40" s="9">
        <v>4</v>
      </c>
      <c r="C40" s="9" t="str">
        <f>VLOOKUP(B40,Roster!$A$3:$B$18,2,FALSE())</f>
        <v>Player 4</v>
      </c>
      <c r="D40" s="10" t="s">
        <v>40</v>
      </c>
      <c r="E40" s="9">
        <v>5</v>
      </c>
      <c r="F40" s="9" t="str">
        <f>VLOOKUP(E40,Roster!$A$3:$B$18,2,FALSE())</f>
        <v>Player 5</v>
      </c>
    </row>
    <row r="41" spans="1:6" ht="15" customHeight="1" x14ac:dyDescent="0.25">
      <c r="A41" s="9">
        <v>5</v>
      </c>
      <c r="B41" s="9">
        <v>9</v>
      </c>
      <c r="C41" s="9" t="str">
        <f>VLOOKUP(B41,Roster!$A$3:$B$18,2,FALSE())</f>
        <v>Player 9</v>
      </c>
      <c r="D41" s="10" t="s">
        <v>40</v>
      </c>
      <c r="E41" s="9">
        <v>16</v>
      </c>
      <c r="F41" s="9" t="str">
        <f>VLOOKUP(E41,Roster!$A$3:$B$18,2,FALSE())</f>
        <v>Player 16</v>
      </c>
    </row>
    <row r="42" spans="1:6" ht="15" customHeight="1" x14ac:dyDescent="0.25">
      <c r="A42" s="9">
        <v>6</v>
      </c>
      <c r="B42" s="9">
        <v>10</v>
      </c>
      <c r="C42" s="9" t="str">
        <f>VLOOKUP(B42,Roster!$A$3:$B$18,2,FALSE())</f>
        <v>Player 10</v>
      </c>
      <c r="D42" s="10" t="s">
        <v>40</v>
      </c>
      <c r="E42" s="9">
        <v>15</v>
      </c>
      <c r="F42" s="9" t="str">
        <f>VLOOKUP(E42,Roster!$A$3:$B$18,2,FALSE())</f>
        <v>Player 15</v>
      </c>
    </row>
    <row r="43" spans="1:6" ht="15" customHeight="1" x14ac:dyDescent="0.25">
      <c r="A43" s="9">
        <v>7</v>
      </c>
      <c r="B43" s="9">
        <v>11</v>
      </c>
      <c r="C43" s="9" t="str">
        <f>VLOOKUP(B43,Roster!$A$3:$B$18,2,FALSE())</f>
        <v>Player 11</v>
      </c>
      <c r="D43" s="10" t="s">
        <v>40</v>
      </c>
      <c r="E43" s="9">
        <v>14</v>
      </c>
      <c r="F43" s="9" t="str">
        <f>VLOOKUP(E43,Roster!$A$3:$B$18,2,FALSE())</f>
        <v>Player 14</v>
      </c>
    </row>
    <row r="44" spans="1:6" ht="15" customHeight="1" x14ac:dyDescent="0.25">
      <c r="A44" s="9">
        <v>8</v>
      </c>
      <c r="B44" s="9">
        <v>12</v>
      </c>
      <c r="C44" s="9" t="str">
        <f>VLOOKUP(B44,Roster!$A$3:$B$18,2,FALSE())</f>
        <v>Player 12</v>
      </c>
      <c r="D44" s="10" t="s">
        <v>40</v>
      </c>
      <c r="E44" s="9">
        <v>13</v>
      </c>
      <c r="F44" s="9" t="str">
        <f>VLOOKUP(E44,Roster!$A$3:$B$18,2,FALSE())</f>
        <v>Player 13</v>
      </c>
    </row>
    <row r="46" spans="1:6" ht="15" customHeight="1" x14ac:dyDescent="0.25">
      <c r="A46" s="74" t="s">
        <v>44</v>
      </c>
      <c r="B46" s="74"/>
      <c r="C46" s="74"/>
      <c r="D46" s="74"/>
      <c r="E46" s="74"/>
      <c r="F46" s="74"/>
    </row>
    <row r="47" spans="1:6" ht="15" customHeight="1" x14ac:dyDescent="0.25">
      <c r="A47" s="8" t="s">
        <v>37</v>
      </c>
      <c r="B47" s="8" t="s">
        <v>38</v>
      </c>
      <c r="C47" s="8" t="s">
        <v>39</v>
      </c>
      <c r="D47" s="8" t="s">
        <v>40</v>
      </c>
      <c r="E47" s="8" t="s">
        <v>38</v>
      </c>
      <c r="F47" s="8" t="s">
        <v>39</v>
      </c>
    </row>
    <row r="48" spans="1:6" ht="15" customHeight="1" x14ac:dyDescent="0.25">
      <c r="A48" s="9">
        <v>1</v>
      </c>
      <c r="B48" s="9">
        <v>1</v>
      </c>
      <c r="C48" s="9" t="str">
        <f>VLOOKUP(B48,Roster!$A$3:$B$18,2,FALSE())</f>
        <v>Player 1</v>
      </c>
      <c r="D48" s="10" t="s">
        <v>40</v>
      </c>
      <c r="E48" s="9">
        <v>9</v>
      </c>
      <c r="F48" s="9" t="str">
        <f>VLOOKUP(E48,Roster!$A$3:$B$18,2,FALSE())</f>
        <v>Player 9</v>
      </c>
    </row>
    <row r="49" spans="1:6" ht="15" customHeight="1" x14ac:dyDescent="0.25">
      <c r="A49" s="9">
        <v>2</v>
      </c>
      <c r="B49" s="9">
        <v>2</v>
      </c>
      <c r="C49" s="9" t="str">
        <f>VLOOKUP(B49,Roster!$A$3:$B$18,2,FALSE())</f>
        <v>Player 2</v>
      </c>
      <c r="D49" s="10" t="s">
        <v>40</v>
      </c>
      <c r="E49" s="9">
        <v>10</v>
      </c>
      <c r="F49" s="9" t="str">
        <f>VLOOKUP(E49,Roster!$A$3:$B$18,2,FALSE())</f>
        <v>Player 10</v>
      </c>
    </row>
    <row r="50" spans="1:6" ht="15" customHeight="1" x14ac:dyDescent="0.25">
      <c r="A50" s="9">
        <v>3</v>
      </c>
      <c r="B50" s="9">
        <v>3</v>
      </c>
      <c r="C50" s="9" t="str">
        <f>VLOOKUP(B50,Roster!$A$3:$B$18,2,FALSE())</f>
        <v>Player 3</v>
      </c>
      <c r="D50" s="10" t="s">
        <v>40</v>
      </c>
      <c r="E50" s="9">
        <v>11</v>
      </c>
      <c r="F50" s="9" t="str">
        <f>VLOOKUP(E50,Roster!$A$3:$B$18,2,FALSE())</f>
        <v>Player 11</v>
      </c>
    </row>
    <row r="51" spans="1:6" ht="15" customHeight="1" x14ac:dyDescent="0.25">
      <c r="A51" s="9">
        <v>4</v>
      </c>
      <c r="B51" s="9">
        <v>4</v>
      </c>
      <c r="C51" s="9" t="str">
        <f>VLOOKUP(B51,Roster!$A$3:$B$18,2,FALSE())</f>
        <v>Player 4</v>
      </c>
      <c r="D51" s="10" t="s">
        <v>40</v>
      </c>
      <c r="E51" s="9">
        <v>12</v>
      </c>
      <c r="F51" s="9" t="str">
        <f>VLOOKUP(E51,Roster!$A$3:$B$18,2,FALSE())</f>
        <v>Player 12</v>
      </c>
    </row>
    <row r="52" spans="1:6" ht="15" customHeight="1" x14ac:dyDescent="0.25">
      <c r="A52" s="9">
        <v>5</v>
      </c>
      <c r="B52" s="9">
        <v>5</v>
      </c>
      <c r="C52" s="9" t="str">
        <f>VLOOKUP(B52,Roster!$A$3:$B$18,2,FALSE())</f>
        <v>Player 5</v>
      </c>
      <c r="D52" s="10" t="s">
        <v>40</v>
      </c>
      <c r="E52" s="9">
        <v>13</v>
      </c>
      <c r="F52" s="9" t="str">
        <f>VLOOKUP(E52,Roster!$A$3:$B$18,2,FALSE())</f>
        <v>Player 13</v>
      </c>
    </row>
    <row r="53" spans="1:6" ht="15" customHeight="1" x14ac:dyDescent="0.25">
      <c r="A53" s="9">
        <v>6</v>
      </c>
      <c r="B53" s="9">
        <v>6</v>
      </c>
      <c r="C53" s="9" t="str">
        <f>VLOOKUP(B53,Roster!$A$3:$B$18,2,FALSE())</f>
        <v>Player 6</v>
      </c>
      <c r="D53" s="10" t="s">
        <v>40</v>
      </c>
      <c r="E53" s="9">
        <v>14</v>
      </c>
      <c r="F53" s="9" t="str">
        <f>VLOOKUP(E53,Roster!$A$3:$B$18,2,FALSE())</f>
        <v>Player 14</v>
      </c>
    </row>
    <row r="54" spans="1:6" ht="15" customHeight="1" x14ac:dyDescent="0.25">
      <c r="A54" s="9">
        <v>7</v>
      </c>
      <c r="B54" s="9">
        <v>7</v>
      </c>
      <c r="C54" s="9" t="str">
        <f>VLOOKUP(B54,Roster!$A$3:$B$18,2,FALSE())</f>
        <v>Player 7</v>
      </c>
      <c r="D54" s="10" t="s">
        <v>40</v>
      </c>
      <c r="E54" s="9">
        <v>15</v>
      </c>
      <c r="F54" s="9" t="str">
        <f>VLOOKUP(E54,Roster!$A$3:$B$18,2,FALSE())</f>
        <v>Player 15</v>
      </c>
    </row>
    <row r="55" spans="1:6" ht="15" customHeight="1" x14ac:dyDescent="0.25">
      <c r="A55" s="9">
        <v>8</v>
      </c>
      <c r="B55" s="9">
        <v>8</v>
      </c>
      <c r="C55" s="9" t="str">
        <f>VLOOKUP(B55,Roster!$A$3:$B$18,2,FALSE())</f>
        <v>Player 8</v>
      </c>
      <c r="D55" s="10" t="s">
        <v>40</v>
      </c>
      <c r="E55" s="9">
        <v>16</v>
      </c>
      <c r="F55" s="9" t="str">
        <f>VLOOKUP(E55,Roster!$A$3:$B$18,2,FALSE())</f>
        <v>Player 16</v>
      </c>
    </row>
    <row r="57" spans="1:6" ht="15" customHeight="1" x14ac:dyDescent="0.25">
      <c r="A57" s="74" t="s">
        <v>45</v>
      </c>
      <c r="B57" s="74"/>
      <c r="C57" s="74"/>
      <c r="D57" s="74"/>
      <c r="E57" s="74"/>
      <c r="F57" s="74"/>
    </row>
    <row r="58" spans="1:6" ht="15" customHeight="1" x14ac:dyDescent="0.25">
      <c r="A58" s="8" t="s">
        <v>37</v>
      </c>
      <c r="B58" s="8" t="s">
        <v>38</v>
      </c>
      <c r="C58" s="8" t="s">
        <v>39</v>
      </c>
      <c r="D58" s="8" t="s">
        <v>40</v>
      </c>
      <c r="E58" s="8" t="s">
        <v>38</v>
      </c>
      <c r="F58" s="8" t="s">
        <v>39</v>
      </c>
    </row>
    <row r="59" spans="1:6" ht="15" customHeight="1" x14ac:dyDescent="0.25">
      <c r="A59" s="9">
        <v>1</v>
      </c>
      <c r="B59" s="9">
        <v>1</v>
      </c>
      <c r="C59" s="9" t="str">
        <f>VLOOKUP(B59,Roster!$A$3:$B$18,2,FALSE())</f>
        <v>Player 1</v>
      </c>
      <c r="D59" s="10" t="s">
        <v>40</v>
      </c>
      <c r="E59" s="9">
        <v>10</v>
      </c>
      <c r="F59" s="9" t="str">
        <f>VLOOKUP(E59,Roster!$A$3:$B$18,2,FALSE())</f>
        <v>Player 10</v>
      </c>
    </row>
    <row r="60" spans="1:6" ht="15" customHeight="1" x14ac:dyDescent="0.25">
      <c r="A60" s="9">
        <v>2</v>
      </c>
      <c r="B60" s="9">
        <v>2</v>
      </c>
      <c r="C60" s="9" t="str">
        <f>VLOOKUP(B60,Roster!$A$3:$B$18,2,FALSE())</f>
        <v>Player 2</v>
      </c>
      <c r="D60" s="10" t="s">
        <v>40</v>
      </c>
      <c r="E60" s="9">
        <v>9</v>
      </c>
      <c r="F60" s="9" t="str">
        <f>VLOOKUP(E60,Roster!$A$3:$B$18,2,FALSE())</f>
        <v>Player 9</v>
      </c>
    </row>
    <row r="61" spans="1:6" ht="15" customHeight="1" x14ac:dyDescent="0.25">
      <c r="A61" s="9">
        <v>3</v>
      </c>
      <c r="B61" s="9">
        <v>3</v>
      </c>
      <c r="C61" s="9" t="str">
        <f>VLOOKUP(B61,Roster!$A$3:$B$18,2,FALSE())</f>
        <v>Player 3</v>
      </c>
      <c r="D61" s="10" t="s">
        <v>40</v>
      </c>
      <c r="E61" s="9">
        <v>12</v>
      </c>
      <c r="F61" s="9" t="str">
        <f>VLOOKUP(E61,Roster!$A$3:$B$18,2,FALSE())</f>
        <v>Player 12</v>
      </c>
    </row>
    <row r="62" spans="1:6" ht="15" customHeight="1" x14ac:dyDescent="0.25">
      <c r="A62" s="9">
        <v>4</v>
      </c>
      <c r="B62" s="9">
        <v>4</v>
      </c>
      <c r="C62" s="9" t="str">
        <f>VLOOKUP(B62,Roster!$A$3:$B$18,2,FALSE())</f>
        <v>Player 4</v>
      </c>
      <c r="D62" s="10" t="s">
        <v>40</v>
      </c>
      <c r="E62" s="9">
        <v>11</v>
      </c>
      <c r="F62" s="9" t="str">
        <f>VLOOKUP(E62,Roster!$A$3:$B$18,2,FALSE())</f>
        <v>Player 11</v>
      </c>
    </row>
    <row r="63" spans="1:6" ht="15" customHeight="1" x14ac:dyDescent="0.25">
      <c r="A63" s="9">
        <v>5</v>
      </c>
      <c r="B63" s="9">
        <v>5</v>
      </c>
      <c r="C63" s="9" t="str">
        <f>VLOOKUP(B63,Roster!$A$3:$B$18,2,FALSE())</f>
        <v>Player 5</v>
      </c>
      <c r="D63" s="10" t="s">
        <v>40</v>
      </c>
      <c r="E63" s="9">
        <v>14</v>
      </c>
      <c r="F63" s="9" t="str">
        <f>VLOOKUP(E63,Roster!$A$3:$B$18,2,FALSE())</f>
        <v>Player 14</v>
      </c>
    </row>
    <row r="64" spans="1:6" ht="15" customHeight="1" x14ac:dyDescent="0.25">
      <c r="A64" s="9">
        <v>6</v>
      </c>
      <c r="B64" s="9">
        <v>6</v>
      </c>
      <c r="C64" s="9" t="str">
        <f>VLOOKUP(B64,Roster!$A$3:$B$18,2,FALSE())</f>
        <v>Player 6</v>
      </c>
      <c r="D64" s="10" t="s">
        <v>40</v>
      </c>
      <c r="E64" s="9">
        <v>13</v>
      </c>
      <c r="F64" s="9" t="str">
        <f>VLOOKUP(E64,Roster!$A$3:$B$18,2,FALSE())</f>
        <v>Player 13</v>
      </c>
    </row>
    <row r="65" spans="1:6" ht="15" customHeight="1" x14ac:dyDescent="0.25">
      <c r="A65" s="9">
        <v>7</v>
      </c>
      <c r="B65" s="9">
        <v>7</v>
      </c>
      <c r="C65" s="9" t="str">
        <f>VLOOKUP(B65,Roster!$A$3:$B$18,2,FALSE())</f>
        <v>Player 7</v>
      </c>
      <c r="D65" s="10" t="s">
        <v>40</v>
      </c>
      <c r="E65" s="9">
        <v>16</v>
      </c>
      <c r="F65" s="9" t="str">
        <f>VLOOKUP(E65,Roster!$A$3:$B$18,2,FALSE())</f>
        <v>Player 16</v>
      </c>
    </row>
    <row r="66" spans="1:6" ht="15" customHeight="1" x14ac:dyDescent="0.25">
      <c r="A66" s="9">
        <v>8</v>
      </c>
      <c r="B66" s="9">
        <v>8</v>
      </c>
      <c r="C66" s="9" t="str">
        <f>VLOOKUP(B66,Roster!$A$3:$B$18,2,FALSE())</f>
        <v>Player 8</v>
      </c>
      <c r="D66" s="10" t="s">
        <v>40</v>
      </c>
      <c r="E66" s="9">
        <v>15</v>
      </c>
      <c r="F66" s="9" t="str">
        <f>VLOOKUP(E66,Roster!$A$3:$B$18,2,FALSE())</f>
        <v>Player 15</v>
      </c>
    </row>
    <row r="68" spans="1:6" ht="17.25" customHeight="1" x14ac:dyDescent="0.25">
      <c r="A68" s="73" t="s">
        <v>46</v>
      </c>
      <c r="B68" s="73"/>
      <c r="C68" s="73"/>
      <c r="D68" s="73"/>
      <c r="E68" s="73"/>
      <c r="F68" s="73"/>
    </row>
    <row r="69" spans="1:6" ht="15" customHeight="1" x14ac:dyDescent="0.25">
      <c r="A69" s="74" t="s">
        <v>47</v>
      </c>
      <c r="B69" s="74"/>
      <c r="C69" s="74"/>
      <c r="D69" s="74"/>
      <c r="E69" s="74"/>
      <c r="F69" s="74"/>
    </row>
    <row r="70" spans="1:6" ht="15" customHeight="1" x14ac:dyDescent="0.25">
      <c r="A70" s="8" t="s">
        <v>37</v>
      </c>
      <c r="B70" s="8" t="s">
        <v>38</v>
      </c>
      <c r="C70" s="8" t="s">
        <v>39</v>
      </c>
      <c r="D70" s="8" t="s">
        <v>40</v>
      </c>
      <c r="E70" s="8" t="s">
        <v>38</v>
      </c>
      <c r="F70" s="8" t="s">
        <v>39</v>
      </c>
    </row>
    <row r="71" spans="1:6" ht="15" customHeight="1" x14ac:dyDescent="0.25">
      <c r="A71" s="9">
        <v>1</v>
      </c>
      <c r="B71" s="9">
        <v>1</v>
      </c>
      <c r="C71" s="9" t="str">
        <f>VLOOKUP(B71,Roster!$A$3:$B$18,2,FALSE())</f>
        <v>Player 1</v>
      </c>
      <c r="D71" s="10" t="s">
        <v>40</v>
      </c>
      <c r="E71" s="9">
        <v>11</v>
      </c>
      <c r="F71" s="9" t="str">
        <f>VLOOKUP(E71,Roster!$A$3:$B$18,2,FALSE())</f>
        <v>Player 11</v>
      </c>
    </row>
    <row r="72" spans="1:6" ht="15" customHeight="1" x14ac:dyDescent="0.25">
      <c r="A72" s="9">
        <v>2</v>
      </c>
      <c r="B72" s="9">
        <v>2</v>
      </c>
      <c r="C72" s="9" t="str">
        <f>VLOOKUP(B72,Roster!$A$3:$B$18,2,FALSE())</f>
        <v>Player 2</v>
      </c>
      <c r="D72" s="10" t="s">
        <v>40</v>
      </c>
      <c r="E72" s="9">
        <v>12</v>
      </c>
      <c r="F72" s="9" t="str">
        <f>VLOOKUP(E72,Roster!$A$3:$B$18,2,FALSE())</f>
        <v>Player 12</v>
      </c>
    </row>
    <row r="73" spans="1:6" ht="15" customHeight="1" x14ac:dyDescent="0.25">
      <c r="A73" s="9">
        <v>3</v>
      </c>
      <c r="B73" s="9">
        <v>3</v>
      </c>
      <c r="C73" s="9" t="str">
        <f>VLOOKUP(B73,Roster!$A$3:$B$18,2,FALSE())</f>
        <v>Player 3</v>
      </c>
      <c r="D73" s="10" t="s">
        <v>40</v>
      </c>
      <c r="E73" s="9">
        <v>9</v>
      </c>
      <c r="F73" s="9" t="str">
        <f>VLOOKUP(E73,Roster!$A$3:$B$18,2,FALSE())</f>
        <v>Player 9</v>
      </c>
    </row>
    <row r="74" spans="1:6" ht="15" customHeight="1" x14ac:dyDescent="0.25">
      <c r="A74" s="9">
        <v>4</v>
      </c>
      <c r="B74" s="9">
        <v>4</v>
      </c>
      <c r="C74" s="9" t="str">
        <f>VLOOKUP(B74,Roster!$A$3:$B$18,2,FALSE())</f>
        <v>Player 4</v>
      </c>
      <c r="D74" s="10" t="s">
        <v>40</v>
      </c>
      <c r="E74" s="9">
        <v>10</v>
      </c>
      <c r="F74" s="9" t="str">
        <f>VLOOKUP(E74,Roster!$A$3:$B$18,2,FALSE())</f>
        <v>Player 10</v>
      </c>
    </row>
    <row r="75" spans="1:6" ht="15" customHeight="1" x14ac:dyDescent="0.25">
      <c r="A75" s="9">
        <v>5</v>
      </c>
      <c r="B75" s="9">
        <v>5</v>
      </c>
      <c r="C75" s="9" t="str">
        <f>VLOOKUP(B75,Roster!$A$3:$B$18,2,FALSE())</f>
        <v>Player 5</v>
      </c>
      <c r="D75" s="10" t="s">
        <v>40</v>
      </c>
      <c r="E75" s="9">
        <v>15</v>
      </c>
      <c r="F75" s="9" t="str">
        <f>VLOOKUP(E75,Roster!$A$3:$B$18,2,FALSE())</f>
        <v>Player 15</v>
      </c>
    </row>
    <row r="76" spans="1:6" ht="15" customHeight="1" x14ac:dyDescent="0.25">
      <c r="A76" s="9">
        <v>6</v>
      </c>
      <c r="B76" s="9">
        <v>6</v>
      </c>
      <c r="C76" s="9" t="str">
        <f>VLOOKUP(B76,Roster!$A$3:$B$18,2,FALSE())</f>
        <v>Player 6</v>
      </c>
      <c r="D76" s="10" t="s">
        <v>40</v>
      </c>
      <c r="E76" s="9">
        <v>16</v>
      </c>
      <c r="F76" s="9" t="str">
        <f>VLOOKUP(E76,Roster!$A$3:$B$18,2,FALSE())</f>
        <v>Player 16</v>
      </c>
    </row>
    <row r="77" spans="1:6" ht="15" customHeight="1" x14ac:dyDescent="0.25">
      <c r="A77" s="9">
        <v>7</v>
      </c>
      <c r="B77" s="9">
        <v>7</v>
      </c>
      <c r="C77" s="9" t="str">
        <f>VLOOKUP(B77,Roster!$A$3:$B$18,2,FALSE())</f>
        <v>Player 7</v>
      </c>
      <c r="D77" s="10" t="s">
        <v>40</v>
      </c>
      <c r="E77" s="9">
        <v>13</v>
      </c>
      <c r="F77" s="9" t="str">
        <f>VLOOKUP(E77,Roster!$A$3:$B$18,2,FALSE())</f>
        <v>Player 13</v>
      </c>
    </row>
    <row r="78" spans="1:6" ht="15" customHeight="1" x14ac:dyDescent="0.25">
      <c r="A78" s="9">
        <v>8</v>
      </c>
      <c r="B78" s="9">
        <v>8</v>
      </c>
      <c r="C78" s="9" t="str">
        <f>VLOOKUP(B78,Roster!$A$3:$B$18,2,FALSE())</f>
        <v>Player 8</v>
      </c>
      <c r="D78" s="10" t="s">
        <v>40</v>
      </c>
      <c r="E78" s="9">
        <v>14</v>
      </c>
      <c r="F78" s="9" t="str">
        <f>VLOOKUP(E78,Roster!$A$3:$B$18,2,FALSE())</f>
        <v>Player 14</v>
      </c>
    </row>
    <row r="80" spans="1:6" ht="15" customHeight="1" x14ac:dyDescent="0.25">
      <c r="A80" s="74" t="s">
        <v>48</v>
      </c>
      <c r="B80" s="74"/>
      <c r="C80" s="74"/>
      <c r="D80" s="74"/>
      <c r="E80" s="74"/>
      <c r="F80" s="74"/>
    </row>
    <row r="81" spans="1:6" ht="15" customHeight="1" x14ac:dyDescent="0.25">
      <c r="A81" s="8" t="s">
        <v>37</v>
      </c>
      <c r="B81" s="8" t="s">
        <v>38</v>
      </c>
      <c r="C81" s="8" t="s">
        <v>39</v>
      </c>
      <c r="D81" s="8" t="s">
        <v>40</v>
      </c>
      <c r="E81" s="8" t="s">
        <v>38</v>
      </c>
      <c r="F81" s="8" t="s">
        <v>39</v>
      </c>
    </row>
    <row r="82" spans="1:6" ht="15" customHeight="1" x14ac:dyDescent="0.25">
      <c r="A82" s="9">
        <v>1</v>
      </c>
      <c r="B82" s="9">
        <v>1</v>
      </c>
      <c r="C82" s="9" t="str">
        <f>VLOOKUP(B82,Roster!$A$3:$B$18,2,FALSE())</f>
        <v>Player 1</v>
      </c>
      <c r="D82" s="10" t="s">
        <v>40</v>
      </c>
      <c r="E82" s="9">
        <v>12</v>
      </c>
      <c r="F82" s="9" t="str">
        <f>VLOOKUP(E82,Roster!$A$3:$B$18,2,FALSE())</f>
        <v>Player 12</v>
      </c>
    </row>
    <row r="83" spans="1:6" ht="15" customHeight="1" x14ac:dyDescent="0.25">
      <c r="A83" s="9">
        <v>2</v>
      </c>
      <c r="B83" s="9">
        <v>2</v>
      </c>
      <c r="C83" s="9" t="str">
        <f>VLOOKUP(B83,Roster!$A$3:$B$18,2,FALSE())</f>
        <v>Player 2</v>
      </c>
      <c r="D83" s="10" t="s">
        <v>40</v>
      </c>
      <c r="E83" s="9">
        <v>11</v>
      </c>
      <c r="F83" s="9" t="str">
        <f>VLOOKUP(E83,Roster!$A$3:$B$18,2,FALSE())</f>
        <v>Player 11</v>
      </c>
    </row>
    <row r="84" spans="1:6" ht="15" customHeight="1" x14ac:dyDescent="0.25">
      <c r="A84" s="9">
        <v>3</v>
      </c>
      <c r="B84" s="9">
        <v>3</v>
      </c>
      <c r="C84" s="9" t="str">
        <f>VLOOKUP(B84,Roster!$A$3:$B$18,2,FALSE())</f>
        <v>Player 3</v>
      </c>
      <c r="D84" s="10" t="s">
        <v>40</v>
      </c>
      <c r="E84" s="9">
        <v>10</v>
      </c>
      <c r="F84" s="9" t="str">
        <f>VLOOKUP(E84,Roster!$A$3:$B$18,2,FALSE())</f>
        <v>Player 10</v>
      </c>
    </row>
    <row r="85" spans="1:6" ht="15" customHeight="1" x14ac:dyDescent="0.25">
      <c r="A85" s="9">
        <v>4</v>
      </c>
      <c r="B85" s="9">
        <v>4</v>
      </c>
      <c r="C85" s="9" t="str">
        <f>VLOOKUP(B85,Roster!$A$3:$B$18,2,FALSE())</f>
        <v>Player 4</v>
      </c>
      <c r="D85" s="10" t="s">
        <v>40</v>
      </c>
      <c r="E85" s="9">
        <v>9</v>
      </c>
      <c r="F85" s="9" t="str">
        <f>VLOOKUP(E85,Roster!$A$3:$B$18,2,FALSE())</f>
        <v>Player 9</v>
      </c>
    </row>
    <row r="86" spans="1:6" ht="15" customHeight="1" x14ac:dyDescent="0.25">
      <c r="A86" s="9">
        <v>5</v>
      </c>
      <c r="B86" s="9">
        <v>5</v>
      </c>
      <c r="C86" s="9" t="str">
        <f>VLOOKUP(B86,Roster!$A$3:$B$18,2,FALSE())</f>
        <v>Player 5</v>
      </c>
      <c r="D86" s="10" t="s">
        <v>40</v>
      </c>
      <c r="E86" s="9">
        <v>16</v>
      </c>
      <c r="F86" s="9" t="str">
        <f>VLOOKUP(E86,Roster!$A$3:$B$18,2,FALSE())</f>
        <v>Player 16</v>
      </c>
    </row>
    <row r="87" spans="1:6" ht="15" customHeight="1" x14ac:dyDescent="0.25">
      <c r="A87" s="9">
        <v>6</v>
      </c>
      <c r="B87" s="9">
        <v>6</v>
      </c>
      <c r="C87" s="9" t="str">
        <f>VLOOKUP(B87,Roster!$A$3:$B$18,2,FALSE())</f>
        <v>Player 6</v>
      </c>
      <c r="D87" s="10" t="s">
        <v>40</v>
      </c>
      <c r="E87" s="9">
        <v>15</v>
      </c>
      <c r="F87" s="9" t="str">
        <f>VLOOKUP(E87,Roster!$A$3:$B$18,2,FALSE())</f>
        <v>Player 15</v>
      </c>
    </row>
    <row r="88" spans="1:6" ht="15" customHeight="1" x14ac:dyDescent="0.25">
      <c r="A88" s="9">
        <v>7</v>
      </c>
      <c r="B88" s="9">
        <v>7</v>
      </c>
      <c r="C88" s="9" t="str">
        <f>VLOOKUP(B88,Roster!$A$3:$B$18,2,FALSE())</f>
        <v>Player 7</v>
      </c>
      <c r="D88" s="10" t="s">
        <v>40</v>
      </c>
      <c r="E88" s="9">
        <v>14</v>
      </c>
      <c r="F88" s="9" t="str">
        <f>VLOOKUP(E88,Roster!$A$3:$B$18,2,FALSE())</f>
        <v>Player 14</v>
      </c>
    </row>
    <row r="89" spans="1:6" ht="15" customHeight="1" x14ac:dyDescent="0.25">
      <c r="A89" s="9">
        <v>8</v>
      </c>
      <c r="B89" s="9">
        <v>8</v>
      </c>
      <c r="C89" s="9" t="str">
        <f>VLOOKUP(B89,Roster!$A$3:$B$18,2,FALSE())</f>
        <v>Player 8</v>
      </c>
      <c r="D89" s="10" t="s">
        <v>40</v>
      </c>
      <c r="E89" s="9">
        <v>13</v>
      </c>
      <c r="F89" s="9" t="str">
        <f>VLOOKUP(E89,Roster!$A$3:$B$18,2,FALSE())</f>
        <v>Player 13</v>
      </c>
    </row>
    <row r="91" spans="1:6" ht="15" customHeight="1" x14ac:dyDescent="0.25">
      <c r="A91" s="74" t="s">
        <v>49</v>
      </c>
      <c r="B91" s="74"/>
      <c r="C91" s="74"/>
      <c r="D91" s="74"/>
      <c r="E91" s="74"/>
      <c r="F91" s="74"/>
    </row>
    <row r="92" spans="1:6" ht="15" customHeight="1" x14ac:dyDescent="0.25">
      <c r="A92" s="8" t="s">
        <v>37</v>
      </c>
      <c r="B92" s="8" t="s">
        <v>38</v>
      </c>
      <c r="C92" s="8" t="s">
        <v>39</v>
      </c>
      <c r="D92" s="8" t="s">
        <v>40</v>
      </c>
      <c r="E92" s="8" t="s">
        <v>38</v>
      </c>
      <c r="F92" s="8" t="s">
        <v>39</v>
      </c>
    </row>
    <row r="93" spans="1:6" ht="15" customHeight="1" x14ac:dyDescent="0.25">
      <c r="A93" s="9">
        <v>1</v>
      </c>
      <c r="B93" s="9">
        <v>1</v>
      </c>
      <c r="C93" s="9" t="str">
        <f>VLOOKUP(B93,Roster!$A$3:$B$18,2,FALSE())</f>
        <v>Player 1</v>
      </c>
      <c r="D93" s="10" t="s">
        <v>40</v>
      </c>
      <c r="E93" s="9">
        <v>13</v>
      </c>
      <c r="F93" s="9" t="str">
        <f>VLOOKUP(E93,Roster!$A$3:$B$18,2,FALSE())</f>
        <v>Player 13</v>
      </c>
    </row>
    <row r="94" spans="1:6" ht="15" customHeight="1" x14ac:dyDescent="0.25">
      <c r="A94" s="9">
        <v>2</v>
      </c>
      <c r="B94" s="9">
        <v>2</v>
      </c>
      <c r="C94" s="9" t="str">
        <f>VLOOKUP(B94,Roster!$A$3:$B$18,2,FALSE())</f>
        <v>Player 2</v>
      </c>
      <c r="D94" s="10" t="s">
        <v>40</v>
      </c>
      <c r="E94" s="9">
        <v>14</v>
      </c>
      <c r="F94" s="9" t="str">
        <f>VLOOKUP(E94,Roster!$A$3:$B$18,2,FALSE())</f>
        <v>Player 14</v>
      </c>
    </row>
    <row r="95" spans="1:6" ht="15" customHeight="1" x14ac:dyDescent="0.25">
      <c r="A95" s="9">
        <v>3</v>
      </c>
      <c r="B95" s="9">
        <v>3</v>
      </c>
      <c r="C95" s="9" t="str">
        <f>VLOOKUP(B95,Roster!$A$3:$B$18,2,FALSE())</f>
        <v>Player 3</v>
      </c>
      <c r="D95" s="10" t="s">
        <v>40</v>
      </c>
      <c r="E95" s="9">
        <v>15</v>
      </c>
      <c r="F95" s="9" t="str">
        <f>VLOOKUP(E95,Roster!$A$3:$B$18,2,FALSE())</f>
        <v>Player 15</v>
      </c>
    </row>
    <row r="96" spans="1:6" ht="15" customHeight="1" x14ac:dyDescent="0.25">
      <c r="A96" s="9">
        <v>4</v>
      </c>
      <c r="B96" s="9">
        <v>4</v>
      </c>
      <c r="C96" s="9" t="str">
        <f>VLOOKUP(B96,Roster!$A$3:$B$18,2,FALSE())</f>
        <v>Player 4</v>
      </c>
      <c r="D96" s="10" t="s">
        <v>40</v>
      </c>
      <c r="E96" s="9">
        <v>16</v>
      </c>
      <c r="F96" s="9" t="str">
        <f>VLOOKUP(E96,Roster!$A$3:$B$18,2,FALSE())</f>
        <v>Player 16</v>
      </c>
    </row>
    <row r="97" spans="1:6" ht="15" customHeight="1" x14ac:dyDescent="0.25">
      <c r="A97" s="9">
        <v>5</v>
      </c>
      <c r="B97" s="9">
        <v>5</v>
      </c>
      <c r="C97" s="9" t="str">
        <f>VLOOKUP(B97,Roster!$A$3:$B$18,2,FALSE())</f>
        <v>Player 5</v>
      </c>
      <c r="D97" s="10" t="s">
        <v>40</v>
      </c>
      <c r="E97" s="9">
        <v>9</v>
      </c>
      <c r="F97" s="9" t="str">
        <f>VLOOKUP(E97,Roster!$A$3:$B$18,2,FALSE())</f>
        <v>Player 9</v>
      </c>
    </row>
    <row r="98" spans="1:6" ht="15" customHeight="1" x14ac:dyDescent="0.25">
      <c r="A98" s="9">
        <v>6</v>
      </c>
      <c r="B98" s="9">
        <v>6</v>
      </c>
      <c r="C98" s="9" t="str">
        <f>VLOOKUP(B98,Roster!$A$3:$B$18,2,FALSE())</f>
        <v>Player 6</v>
      </c>
      <c r="D98" s="10" t="s">
        <v>40</v>
      </c>
      <c r="E98" s="9">
        <v>10</v>
      </c>
      <c r="F98" s="9" t="str">
        <f>VLOOKUP(E98,Roster!$A$3:$B$18,2,FALSE())</f>
        <v>Player 10</v>
      </c>
    </row>
    <row r="99" spans="1:6" ht="15" customHeight="1" x14ac:dyDescent="0.25">
      <c r="A99" s="9">
        <v>7</v>
      </c>
      <c r="B99" s="9">
        <v>7</v>
      </c>
      <c r="C99" s="9" t="str">
        <f>VLOOKUP(B99,Roster!$A$3:$B$18,2,FALSE())</f>
        <v>Player 7</v>
      </c>
      <c r="D99" s="10" t="s">
        <v>40</v>
      </c>
      <c r="E99" s="9">
        <v>11</v>
      </c>
      <c r="F99" s="9" t="str">
        <f>VLOOKUP(E99,Roster!$A$3:$B$18,2,FALSE())</f>
        <v>Player 11</v>
      </c>
    </row>
    <row r="100" spans="1:6" ht="15" customHeight="1" x14ac:dyDescent="0.25">
      <c r="A100" s="9">
        <v>8</v>
      </c>
      <c r="B100" s="9">
        <v>8</v>
      </c>
      <c r="C100" s="9" t="str">
        <f>VLOOKUP(B100,Roster!$A$3:$B$18,2,FALSE())</f>
        <v>Player 8</v>
      </c>
      <c r="D100" s="10" t="s">
        <v>40</v>
      </c>
      <c r="E100" s="9">
        <v>12</v>
      </c>
      <c r="F100" s="9" t="str">
        <f>VLOOKUP(E100,Roster!$A$3:$B$18,2,FALSE())</f>
        <v>Player 12</v>
      </c>
    </row>
    <row r="102" spans="1:6" ht="15" customHeight="1" x14ac:dyDescent="0.25">
      <c r="A102" s="74" t="s">
        <v>50</v>
      </c>
      <c r="B102" s="74"/>
      <c r="C102" s="74"/>
      <c r="D102" s="74"/>
      <c r="E102" s="74"/>
      <c r="F102" s="74"/>
    </row>
    <row r="103" spans="1:6" ht="15" customHeight="1" x14ac:dyDescent="0.25">
      <c r="A103" s="8" t="s">
        <v>37</v>
      </c>
      <c r="B103" s="8" t="s">
        <v>38</v>
      </c>
      <c r="C103" s="8" t="s">
        <v>39</v>
      </c>
      <c r="D103" s="8" t="s">
        <v>40</v>
      </c>
      <c r="E103" s="8" t="s">
        <v>38</v>
      </c>
      <c r="F103" s="8" t="s">
        <v>39</v>
      </c>
    </row>
    <row r="104" spans="1:6" ht="15" customHeight="1" x14ac:dyDescent="0.25">
      <c r="A104" s="9">
        <v>1</v>
      </c>
      <c r="B104" s="9">
        <v>1</v>
      </c>
      <c r="C104" s="9" t="str">
        <f>VLOOKUP(B104,Roster!$A$3:$B$18,2,FALSE())</f>
        <v>Player 1</v>
      </c>
      <c r="D104" s="10" t="s">
        <v>40</v>
      </c>
      <c r="E104" s="9">
        <v>14</v>
      </c>
      <c r="F104" s="9" t="str">
        <f>VLOOKUP(E104,Roster!$A$3:$B$18,2,FALSE())</f>
        <v>Player 14</v>
      </c>
    </row>
    <row r="105" spans="1:6" ht="15" customHeight="1" x14ac:dyDescent="0.25">
      <c r="A105" s="9">
        <v>2</v>
      </c>
      <c r="B105" s="9">
        <v>2</v>
      </c>
      <c r="C105" s="9" t="str">
        <f>VLOOKUP(B105,Roster!$A$3:$B$18,2,FALSE())</f>
        <v>Player 2</v>
      </c>
      <c r="D105" s="10" t="s">
        <v>40</v>
      </c>
      <c r="E105" s="9">
        <v>13</v>
      </c>
      <c r="F105" s="9" t="str">
        <f>VLOOKUP(E105,Roster!$A$3:$B$18,2,FALSE())</f>
        <v>Player 13</v>
      </c>
    </row>
    <row r="106" spans="1:6" ht="15" customHeight="1" x14ac:dyDescent="0.25">
      <c r="A106" s="9">
        <v>3</v>
      </c>
      <c r="B106" s="9">
        <v>3</v>
      </c>
      <c r="C106" s="9" t="str">
        <f>VLOOKUP(B106,Roster!$A$3:$B$18,2,FALSE())</f>
        <v>Player 3</v>
      </c>
      <c r="D106" s="10" t="s">
        <v>40</v>
      </c>
      <c r="E106" s="9">
        <v>16</v>
      </c>
      <c r="F106" s="9" t="str">
        <f>VLOOKUP(E106,Roster!$A$3:$B$18,2,FALSE())</f>
        <v>Player 16</v>
      </c>
    </row>
    <row r="107" spans="1:6" ht="15" customHeight="1" x14ac:dyDescent="0.25">
      <c r="A107" s="9">
        <v>4</v>
      </c>
      <c r="B107" s="9">
        <v>4</v>
      </c>
      <c r="C107" s="9" t="str">
        <f>VLOOKUP(B107,Roster!$A$3:$B$18,2,FALSE())</f>
        <v>Player 4</v>
      </c>
      <c r="D107" s="10" t="s">
        <v>40</v>
      </c>
      <c r="E107" s="9">
        <v>15</v>
      </c>
      <c r="F107" s="9" t="str">
        <f>VLOOKUP(E107,Roster!$A$3:$B$18,2,FALSE())</f>
        <v>Player 15</v>
      </c>
    </row>
    <row r="108" spans="1:6" ht="15" customHeight="1" x14ac:dyDescent="0.25">
      <c r="A108" s="9">
        <v>5</v>
      </c>
      <c r="B108" s="9">
        <v>5</v>
      </c>
      <c r="C108" s="9" t="str">
        <f>VLOOKUP(B108,Roster!$A$3:$B$18,2,FALSE())</f>
        <v>Player 5</v>
      </c>
      <c r="D108" s="10" t="s">
        <v>40</v>
      </c>
      <c r="E108" s="9">
        <v>10</v>
      </c>
      <c r="F108" s="9" t="str">
        <f>VLOOKUP(E108,Roster!$A$3:$B$18,2,FALSE())</f>
        <v>Player 10</v>
      </c>
    </row>
    <row r="109" spans="1:6" ht="15" customHeight="1" x14ac:dyDescent="0.25">
      <c r="A109" s="9">
        <v>6</v>
      </c>
      <c r="B109" s="9">
        <v>6</v>
      </c>
      <c r="C109" s="9" t="str">
        <f>VLOOKUP(B109,Roster!$A$3:$B$18,2,FALSE())</f>
        <v>Player 6</v>
      </c>
      <c r="D109" s="10" t="s">
        <v>40</v>
      </c>
      <c r="E109" s="9">
        <v>9</v>
      </c>
      <c r="F109" s="9" t="str">
        <f>VLOOKUP(E109,Roster!$A$3:$B$18,2,FALSE())</f>
        <v>Player 9</v>
      </c>
    </row>
    <row r="110" spans="1:6" ht="15" customHeight="1" x14ac:dyDescent="0.25">
      <c r="A110" s="9">
        <v>7</v>
      </c>
      <c r="B110" s="9">
        <v>7</v>
      </c>
      <c r="C110" s="9" t="str">
        <f>VLOOKUP(B110,Roster!$A$3:$B$18,2,FALSE())</f>
        <v>Player 7</v>
      </c>
      <c r="D110" s="10" t="s">
        <v>40</v>
      </c>
      <c r="E110" s="9">
        <v>12</v>
      </c>
      <c r="F110" s="9" t="str">
        <f>VLOOKUP(E110,Roster!$A$3:$B$18,2,FALSE())</f>
        <v>Player 12</v>
      </c>
    </row>
    <row r="111" spans="1:6" ht="15" customHeight="1" x14ac:dyDescent="0.25">
      <c r="A111" s="9">
        <v>8</v>
      </c>
      <c r="B111" s="9">
        <v>8</v>
      </c>
      <c r="C111" s="9" t="str">
        <f>VLOOKUP(B111,Roster!$A$3:$B$18,2,FALSE())</f>
        <v>Player 8</v>
      </c>
      <c r="D111" s="10" t="s">
        <v>40</v>
      </c>
      <c r="E111" s="9">
        <v>11</v>
      </c>
      <c r="F111" s="9" t="str">
        <f>VLOOKUP(E111,Roster!$A$3:$B$18,2,FALSE())</f>
        <v>Player 11</v>
      </c>
    </row>
    <row r="113" spans="1:6" ht="15" customHeight="1" x14ac:dyDescent="0.25">
      <c r="A113" s="74" t="s">
        <v>51</v>
      </c>
      <c r="B113" s="74"/>
      <c r="C113" s="74"/>
      <c r="D113" s="74"/>
      <c r="E113" s="74"/>
      <c r="F113" s="74"/>
    </row>
    <row r="114" spans="1:6" ht="15" customHeight="1" x14ac:dyDescent="0.25">
      <c r="A114" s="8" t="s">
        <v>37</v>
      </c>
      <c r="B114" s="8" t="s">
        <v>38</v>
      </c>
      <c r="C114" s="8" t="s">
        <v>39</v>
      </c>
      <c r="D114" s="8" t="s">
        <v>40</v>
      </c>
      <c r="E114" s="8" t="s">
        <v>38</v>
      </c>
      <c r="F114" s="8" t="s">
        <v>39</v>
      </c>
    </row>
    <row r="115" spans="1:6" ht="15" customHeight="1" x14ac:dyDescent="0.25">
      <c r="A115" s="9">
        <v>1</v>
      </c>
      <c r="B115" s="9">
        <v>1</v>
      </c>
      <c r="C115" s="9" t="str">
        <f>VLOOKUP(B115,Roster!$A$3:$B$18,2,FALSE())</f>
        <v>Player 1</v>
      </c>
      <c r="D115" s="10" t="s">
        <v>40</v>
      </c>
      <c r="E115" s="9">
        <v>15</v>
      </c>
      <c r="F115" s="9" t="str">
        <f>VLOOKUP(E115,Roster!$A$3:$B$18,2,FALSE())</f>
        <v>Player 15</v>
      </c>
    </row>
    <row r="116" spans="1:6" ht="15" customHeight="1" x14ac:dyDescent="0.25">
      <c r="A116" s="9">
        <v>2</v>
      </c>
      <c r="B116" s="9">
        <v>2</v>
      </c>
      <c r="C116" s="9" t="str">
        <f>VLOOKUP(B116,Roster!$A$3:$B$18,2,FALSE())</f>
        <v>Player 2</v>
      </c>
      <c r="D116" s="10" t="s">
        <v>40</v>
      </c>
      <c r="E116" s="9">
        <v>16</v>
      </c>
      <c r="F116" s="9" t="str">
        <f>VLOOKUP(E116,Roster!$A$3:$B$18,2,FALSE())</f>
        <v>Player 16</v>
      </c>
    </row>
    <row r="117" spans="1:6" ht="15" customHeight="1" x14ac:dyDescent="0.25">
      <c r="A117" s="9">
        <v>3</v>
      </c>
      <c r="B117" s="9">
        <v>3</v>
      </c>
      <c r="C117" s="9" t="str">
        <f>VLOOKUP(B117,Roster!$A$3:$B$18,2,FALSE())</f>
        <v>Player 3</v>
      </c>
      <c r="D117" s="10" t="s">
        <v>40</v>
      </c>
      <c r="E117" s="9">
        <v>13</v>
      </c>
      <c r="F117" s="9" t="str">
        <f>VLOOKUP(E117,Roster!$A$3:$B$18,2,FALSE())</f>
        <v>Player 13</v>
      </c>
    </row>
    <row r="118" spans="1:6" ht="15" customHeight="1" x14ac:dyDescent="0.25">
      <c r="A118" s="9">
        <v>4</v>
      </c>
      <c r="B118" s="9">
        <v>4</v>
      </c>
      <c r="C118" s="9" t="str">
        <f>VLOOKUP(B118,Roster!$A$3:$B$18,2,FALSE())</f>
        <v>Player 4</v>
      </c>
      <c r="D118" s="10" t="s">
        <v>40</v>
      </c>
      <c r="E118" s="9">
        <v>14</v>
      </c>
      <c r="F118" s="9" t="str">
        <f>VLOOKUP(E118,Roster!$A$3:$B$18,2,FALSE())</f>
        <v>Player 14</v>
      </c>
    </row>
    <row r="119" spans="1:6" ht="15" customHeight="1" x14ac:dyDescent="0.25">
      <c r="A119" s="9">
        <v>5</v>
      </c>
      <c r="B119" s="9">
        <v>5</v>
      </c>
      <c r="C119" s="9" t="str">
        <f>VLOOKUP(B119,Roster!$A$3:$B$18,2,FALSE())</f>
        <v>Player 5</v>
      </c>
      <c r="D119" s="10" t="s">
        <v>40</v>
      </c>
      <c r="E119" s="9">
        <v>11</v>
      </c>
      <c r="F119" s="9" t="str">
        <f>VLOOKUP(E119,Roster!$A$3:$B$18,2,FALSE())</f>
        <v>Player 11</v>
      </c>
    </row>
    <row r="120" spans="1:6" ht="15" customHeight="1" x14ac:dyDescent="0.25">
      <c r="A120" s="9">
        <v>6</v>
      </c>
      <c r="B120" s="9">
        <v>6</v>
      </c>
      <c r="C120" s="9" t="str">
        <f>VLOOKUP(B120,Roster!$A$3:$B$18,2,FALSE())</f>
        <v>Player 6</v>
      </c>
      <c r="D120" s="10" t="s">
        <v>40</v>
      </c>
      <c r="E120" s="9">
        <v>12</v>
      </c>
      <c r="F120" s="9" t="str">
        <f>VLOOKUP(E120,Roster!$A$3:$B$18,2,FALSE())</f>
        <v>Player 12</v>
      </c>
    </row>
    <row r="121" spans="1:6" ht="15" customHeight="1" x14ac:dyDescent="0.25">
      <c r="A121" s="9">
        <v>7</v>
      </c>
      <c r="B121" s="9">
        <v>7</v>
      </c>
      <c r="C121" s="9" t="str">
        <f>VLOOKUP(B121,Roster!$A$3:$B$18,2,FALSE())</f>
        <v>Player 7</v>
      </c>
      <c r="D121" s="10" t="s">
        <v>40</v>
      </c>
      <c r="E121" s="9">
        <v>9</v>
      </c>
      <c r="F121" s="9" t="str">
        <f>VLOOKUP(E121,Roster!$A$3:$B$18,2,FALSE())</f>
        <v>Player 9</v>
      </c>
    </row>
    <row r="122" spans="1:6" ht="15" customHeight="1" x14ac:dyDescent="0.25">
      <c r="A122" s="9">
        <v>8</v>
      </c>
      <c r="B122" s="9">
        <v>8</v>
      </c>
      <c r="C122" s="9" t="str">
        <f>VLOOKUP(B122,Roster!$A$3:$B$18,2,FALSE())</f>
        <v>Player 8</v>
      </c>
      <c r="D122" s="10" t="s">
        <v>40</v>
      </c>
      <c r="E122" s="9">
        <v>10</v>
      </c>
      <c r="F122" s="9" t="str">
        <f>VLOOKUP(E122,Roster!$A$3:$B$18,2,FALSE())</f>
        <v>Player 10</v>
      </c>
    </row>
    <row r="124" spans="1:6" ht="15" customHeight="1" x14ac:dyDescent="0.25">
      <c r="A124" s="74" t="s">
        <v>52</v>
      </c>
      <c r="B124" s="74"/>
      <c r="C124" s="74"/>
      <c r="D124" s="74"/>
      <c r="E124" s="74"/>
      <c r="F124" s="74"/>
    </row>
    <row r="125" spans="1:6" ht="15" customHeight="1" x14ac:dyDescent="0.25">
      <c r="A125" s="8" t="s">
        <v>37</v>
      </c>
      <c r="B125" s="8" t="s">
        <v>38</v>
      </c>
      <c r="C125" s="8" t="s">
        <v>39</v>
      </c>
      <c r="D125" s="8" t="s">
        <v>40</v>
      </c>
      <c r="E125" s="8" t="s">
        <v>38</v>
      </c>
      <c r="F125" s="8" t="s">
        <v>39</v>
      </c>
    </row>
    <row r="126" spans="1:6" ht="15" customHeight="1" x14ac:dyDescent="0.25">
      <c r="A126" s="9">
        <v>1</v>
      </c>
      <c r="B126" s="9">
        <v>1</v>
      </c>
      <c r="C126" s="9" t="str">
        <f>VLOOKUP(B126,Roster!$A$3:$B$18,2,FALSE())</f>
        <v>Player 1</v>
      </c>
      <c r="D126" s="10" t="s">
        <v>40</v>
      </c>
      <c r="E126" s="9">
        <v>16</v>
      </c>
      <c r="F126" s="9" t="str">
        <f>VLOOKUP(E126,Roster!$A$3:$B$18,2,FALSE())</f>
        <v>Player 16</v>
      </c>
    </row>
    <row r="127" spans="1:6" ht="15" customHeight="1" x14ac:dyDescent="0.25">
      <c r="A127" s="9">
        <v>2</v>
      </c>
      <c r="B127" s="9">
        <v>2</v>
      </c>
      <c r="C127" s="9" t="str">
        <f>VLOOKUP(B127,Roster!$A$3:$B$18,2,FALSE())</f>
        <v>Player 2</v>
      </c>
      <c r="D127" s="10" t="s">
        <v>40</v>
      </c>
      <c r="E127" s="9">
        <v>15</v>
      </c>
      <c r="F127" s="9" t="str">
        <f>VLOOKUP(E127,Roster!$A$3:$B$18,2,FALSE())</f>
        <v>Player 15</v>
      </c>
    </row>
    <row r="128" spans="1:6" ht="15" customHeight="1" x14ac:dyDescent="0.25">
      <c r="A128" s="9">
        <v>3</v>
      </c>
      <c r="B128" s="9">
        <v>3</v>
      </c>
      <c r="C128" s="9" t="str">
        <f>VLOOKUP(B128,Roster!$A$3:$B$18,2,FALSE())</f>
        <v>Player 3</v>
      </c>
      <c r="D128" s="10" t="s">
        <v>40</v>
      </c>
      <c r="E128" s="9">
        <v>14</v>
      </c>
      <c r="F128" s="9" t="str">
        <f>VLOOKUP(E128,Roster!$A$3:$B$18,2,FALSE())</f>
        <v>Player 14</v>
      </c>
    </row>
    <row r="129" spans="1:6" ht="15" customHeight="1" x14ac:dyDescent="0.25">
      <c r="A129" s="9">
        <v>4</v>
      </c>
      <c r="B129" s="9">
        <v>4</v>
      </c>
      <c r="C129" s="9" t="str">
        <f>VLOOKUP(B129,Roster!$A$3:$B$18,2,FALSE())</f>
        <v>Player 4</v>
      </c>
      <c r="D129" s="10" t="s">
        <v>40</v>
      </c>
      <c r="E129" s="9">
        <v>13</v>
      </c>
      <c r="F129" s="9" t="str">
        <f>VLOOKUP(E129,Roster!$A$3:$B$18,2,FALSE())</f>
        <v>Player 13</v>
      </c>
    </row>
    <row r="130" spans="1:6" ht="15" customHeight="1" x14ac:dyDescent="0.25">
      <c r="A130" s="9">
        <v>5</v>
      </c>
      <c r="B130" s="9">
        <v>5</v>
      </c>
      <c r="C130" s="9" t="str">
        <f>VLOOKUP(B130,Roster!$A$3:$B$18,2,FALSE())</f>
        <v>Player 5</v>
      </c>
      <c r="D130" s="10" t="s">
        <v>40</v>
      </c>
      <c r="E130" s="9">
        <v>12</v>
      </c>
      <c r="F130" s="9" t="str">
        <f>VLOOKUP(E130,Roster!$A$3:$B$18,2,FALSE())</f>
        <v>Player 12</v>
      </c>
    </row>
    <row r="131" spans="1:6" ht="15" customHeight="1" x14ac:dyDescent="0.25">
      <c r="A131" s="9">
        <v>6</v>
      </c>
      <c r="B131" s="9">
        <v>6</v>
      </c>
      <c r="C131" s="9" t="str">
        <f>VLOOKUP(B131,Roster!$A$3:$B$18,2,FALSE())</f>
        <v>Player 6</v>
      </c>
      <c r="D131" s="10" t="s">
        <v>40</v>
      </c>
      <c r="E131" s="9">
        <v>11</v>
      </c>
      <c r="F131" s="9" t="str">
        <f>VLOOKUP(E131,Roster!$A$3:$B$18,2,FALSE())</f>
        <v>Player 11</v>
      </c>
    </row>
    <row r="132" spans="1:6" ht="15" customHeight="1" x14ac:dyDescent="0.25">
      <c r="A132" s="9">
        <v>7</v>
      </c>
      <c r="B132" s="9">
        <v>7</v>
      </c>
      <c r="C132" s="9" t="str">
        <f>VLOOKUP(B132,Roster!$A$3:$B$18,2,FALSE())</f>
        <v>Player 7</v>
      </c>
      <c r="D132" s="10" t="s">
        <v>40</v>
      </c>
      <c r="E132" s="9">
        <v>10</v>
      </c>
      <c r="F132" s="9" t="str">
        <f>VLOOKUP(E132,Roster!$A$3:$B$18,2,FALSE())</f>
        <v>Player 10</v>
      </c>
    </row>
    <row r="133" spans="1:6" ht="15" customHeight="1" x14ac:dyDescent="0.25">
      <c r="A133" s="9">
        <v>8</v>
      </c>
      <c r="B133" s="9">
        <v>8</v>
      </c>
      <c r="C133" s="9" t="str">
        <f>VLOOKUP(B133,Roster!$A$3:$B$18,2,FALSE())</f>
        <v>Player 8</v>
      </c>
      <c r="D133" s="10" t="s">
        <v>40</v>
      </c>
      <c r="E133" s="9">
        <v>9</v>
      </c>
      <c r="F133" s="9" t="str">
        <f>VLOOKUP(E133,Roster!$A$3:$B$18,2,FALSE())</f>
        <v>Player 9</v>
      </c>
    </row>
    <row r="135" spans="1:6" ht="17.25" customHeight="1" x14ac:dyDescent="0.25">
      <c r="A135" s="73" t="s">
        <v>53</v>
      </c>
      <c r="B135" s="73"/>
      <c r="C135" s="73"/>
      <c r="D135" s="73"/>
      <c r="E135" s="73"/>
      <c r="F135" s="73"/>
    </row>
    <row r="136" spans="1:6" ht="15" customHeight="1" x14ac:dyDescent="0.25">
      <c r="A136" s="74" t="s">
        <v>54</v>
      </c>
      <c r="B136" s="74"/>
      <c r="C136" s="74"/>
      <c r="D136" s="74"/>
      <c r="E136" s="74"/>
      <c r="F136" s="74"/>
    </row>
    <row r="137" spans="1:6" ht="15" customHeight="1" x14ac:dyDescent="0.25">
      <c r="A137" s="8" t="s">
        <v>37</v>
      </c>
      <c r="B137" s="8" t="s">
        <v>38</v>
      </c>
      <c r="C137" s="8" t="s">
        <v>39</v>
      </c>
      <c r="D137" s="8" t="s">
        <v>40</v>
      </c>
      <c r="E137" s="8" t="s">
        <v>38</v>
      </c>
      <c r="F137" s="8" t="s">
        <v>39</v>
      </c>
    </row>
    <row r="138" spans="1:6" ht="15" customHeight="1" x14ac:dyDescent="0.25">
      <c r="A138" s="9">
        <v>1</v>
      </c>
      <c r="B138" s="9">
        <v>1</v>
      </c>
      <c r="C138" s="9" t="str">
        <f>VLOOKUP(B138,Roster!$A$3:$B$18,2,FALSE())</f>
        <v>Player 1</v>
      </c>
      <c r="D138" s="10" t="s">
        <v>40</v>
      </c>
      <c r="E138" s="9">
        <v>4</v>
      </c>
      <c r="F138" s="9" t="str">
        <f>VLOOKUP(E138,Roster!$A$3:$B$18,2,FALSE())</f>
        <v>Player 4</v>
      </c>
    </row>
    <row r="139" spans="1:6" ht="15" customHeight="1" x14ac:dyDescent="0.25">
      <c r="A139" s="9">
        <v>2</v>
      </c>
      <c r="B139" s="9">
        <v>2</v>
      </c>
      <c r="C139" s="9" t="str">
        <f>VLOOKUP(B139,Roster!$A$3:$B$18,2,FALSE())</f>
        <v>Player 2</v>
      </c>
      <c r="D139" s="10" t="s">
        <v>40</v>
      </c>
      <c r="E139" s="9">
        <v>3</v>
      </c>
      <c r="F139" s="9" t="str">
        <f>VLOOKUP(E139,Roster!$A$3:$B$18,2,FALSE())</f>
        <v>Player 3</v>
      </c>
    </row>
    <row r="140" spans="1:6" ht="15" customHeight="1" x14ac:dyDescent="0.25">
      <c r="A140" s="9">
        <v>3</v>
      </c>
      <c r="B140" s="9">
        <v>5</v>
      </c>
      <c r="C140" s="9" t="str">
        <f>VLOOKUP(B140,Roster!$A$3:$B$18,2,FALSE())</f>
        <v>Player 5</v>
      </c>
      <c r="D140" s="10" t="s">
        <v>40</v>
      </c>
      <c r="E140" s="9">
        <v>8</v>
      </c>
      <c r="F140" s="9" t="str">
        <f>VLOOKUP(E140,Roster!$A$3:$B$18,2,FALSE())</f>
        <v>Player 8</v>
      </c>
    </row>
    <row r="141" spans="1:6" ht="15" customHeight="1" x14ac:dyDescent="0.25">
      <c r="A141" s="9">
        <v>4</v>
      </c>
      <c r="B141" s="9">
        <v>6</v>
      </c>
      <c r="C141" s="9" t="str">
        <f>VLOOKUP(B141,Roster!$A$3:$B$18,2,FALSE())</f>
        <v>Player 6</v>
      </c>
      <c r="D141" s="10" t="s">
        <v>40</v>
      </c>
      <c r="E141" s="9">
        <v>7</v>
      </c>
      <c r="F141" s="9" t="str">
        <f>VLOOKUP(E141,Roster!$A$3:$B$18,2,FALSE())</f>
        <v>Player 7</v>
      </c>
    </row>
    <row r="142" spans="1:6" ht="15" customHeight="1" x14ac:dyDescent="0.25">
      <c r="A142" s="9">
        <v>5</v>
      </c>
      <c r="B142" s="9">
        <v>9</v>
      </c>
      <c r="C142" s="9" t="str">
        <f>VLOOKUP(B142,Roster!$A$3:$B$18,2,FALSE())</f>
        <v>Player 9</v>
      </c>
      <c r="D142" s="10" t="s">
        <v>40</v>
      </c>
      <c r="E142" s="9">
        <v>12</v>
      </c>
      <c r="F142" s="9" t="str">
        <f>VLOOKUP(E142,Roster!$A$3:$B$18,2,FALSE())</f>
        <v>Player 12</v>
      </c>
    </row>
    <row r="143" spans="1:6" ht="15" customHeight="1" x14ac:dyDescent="0.25">
      <c r="A143" s="9">
        <v>6</v>
      </c>
      <c r="B143" s="9">
        <v>10</v>
      </c>
      <c r="C143" s="9" t="str">
        <f>VLOOKUP(B143,Roster!$A$3:$B$18,2,FALSE())</f>
        <v>Player 10</v>
      </c>
      <c r="D143" s="10" t="s">
        <v>40</v>
      </c>
      <c r="E143" s="9">
        <v>11</v>
      </c>
      <c r="F143" s="9" t="str">
        <f>VLOOKUP(E143,Roster!$A$3:$B$18,2,FALSE())</f>
        <v>Player 11</v>
      </c>
    </row>
    <row r="144" spans="1:6" ht="15" customHeight="1" x14ac:dyDescent="0.25">
      <c r="A144" s="9">
        <v>7</v>
      </c>
      <c r="B144" s="9">
        <v>13</v>
      </c>
      <c r="C144" s="9" t="str">
        <f>VLOOKUP(B144,Roster!$A$3:$B$18,2,FALSE())</f>
        <v>Player 13</v>
      </c>
      <c r="D144" s="10" t="s">
        <v>40</v>
      </c>
      <c r="E144" s="9">
        <v>16</v>
      </c>
      <c r="F144" s="9" t="str">
        <f>VLOOKUP(E144,Roster!$A$3:$B$18,2,FALSE())</f>
        <v>Player 16</v>
      </c>
    </row>
    <row r="145" spans="1:6" ht="15" customHeight="1" x14ac:dyDescent="0.25">
      <c r="A145" s="9">
        <v>8</v>
      </c>
      <c r="B145" s="9">
        <v>14</v>
      </c>
      <c r="C145" s="9" t="str">
        <f>VLOOKUP(B145,Roster!$A$3:$B$18,2,FALSE())</f>
        <v>Player 14</v>
      </c>
      <c r="D145" s="10" t="s">
        <v>40</v>
      </c>
      <c r="E145" s="9">
        <v>15</v>
      </c>
      <c r="F145" s="9" t="str">
        <f>VLOOKUP(E145,Roster!$A$3:$B$18,2,FALSE())</f>
        <v>Player 15</v>
      </c>
    </row>
    <row r="147" spans="1:6" ht="15" customHeight="1" x14ac:dyDescent="0.25">
      <c r="A147" s="74" t="s">
        <v>55</v>
      </c>
      <c r="B147" s="74"/>
      <c r="C147" s="74"/>
      <c r="D147" s="74"/>
      <c r="E147" s="74"/>
      <c r="F147" s="74"/>
    </row>
    <row r="148" spans="1:6" ht="15" customHeight="1" x14ac:dyDescent="0.25">
      <c r="A148" s="8" t="s">
        <v>37</v>
      </c>
      <c r="B148" s="8" t="s">
        <v>38</v>
      </c>
      <c r="C148" s="8" t="s">
        <v>39</v>
      </c>
      <c r="D148" s="8" t="s">
        <v>40</v>
      </c>
      <c r="E148" s="8" t="s">
        <v>38</v>
      </c>
      <c r="F148" s="8" t="s">
        <v>39</v>
      </c>
    </row>
    <row r="149" spans="1:6" ht="15" customHeight="1" x14ac:dyDescent="0.25">
      <c r="A149" s="9">
        <v>1</v>
      </c>
      <c r="B149" s="9">
        <v>1</v>
      </c>
      <c r="C149" s="9" t="str">
        <f>VLOOKUP(B149,Roster!$A$3:$B$18,2,FALSE())</f>
        <v>Player 1</v>
      </c>
      <c r="D149" s="10" t="s">
        <v>40</v>
      </c>
      <c r="E149" s="9">
        <v>3</v>
      </c>
      <c r="F149" s="9" t="str">
        <f>VLOOKUP(E149,Roster!$A$3:$B$18,2,FALSE())</f>
        <v>Player 3</v>
      </c>
    </row>
    <row r="150" spans="1:6" ht="15" customHeight="1" x14ac:dyDescent="0.25">
      <c r="A150" s="9">
        <v>2</v>
      </c>
      <c r="B150" s="9">
        <v>4</v>
      </c>
      <c r="C150" s="9" t="str">
        <f>VLOOKUP(B150,Roster!$A$3:$B$18,2,FALSE())</f>
        <v>Player 4</v>
      </c>
      <c r="D150" s="10" t="s">
        <v>40</v>
      </c>
      <c r="E150" s="9">
        <v>2</v>
      </c>
      <c r="F150" s="9" t="str">
        <f>VLOOKUP(E150,Roster!$A$3:$B$18,2,FALSE())</f>
        <v>Player 2</v>
      </c>
    </row>
    <row r="151" spans="1:6" ht="15" customHeight="1" x14ac:dyDescent="0.25">
      <c r="A151" s="9">
        <v>3</v>
      </c>
      <c r="B151" s="9">
        <v>5</v>
      </c>
      <c r="C151" s="9" t="str">
        <f>VLOOKUP(B151,Roster!$A$3:$B$18,2,FALSE())</f>
        <v>Player 5</v>
      </c>
      <c r="D151" s="10" t="s">
        <v>40</v>
      </c>
      <c r="E151" s="9">
        <v>7</v>
      </c>
      <c r="F151" s="9" t="str">
        <f>VLOOKUP(E151,Roster!$A$3:$B$18,2,FALSE())</f>
        <v>Player 7</v>
      </c>
    </row>
    <row r="152" spans="1:6" ht="15" customHeight="1" x14ac:dyDescent="0.25">
      <c r="A152" s="9">
        <v>4</v>
      </c>
      <c r="B152" s="9">
        <v>8</v>
      </c>
      <c r="C152" s="9" t="str">
        <f>VLOOKUP(B152,Roster!$A$3:$B$18,2,FALSE())</f>
        <v>Player 8</v>
      </c>
      <c r="D152" s="10" t="s">
        <v>40</v>
      </c>
      <c r="E152" s="9">
        <v>6</v>
      </c>
      <c r="F152" s="9" t="str">
        <f>VLOOKUP(E152,Roster!$A$3:$B$18,2,FALSE())</f>
        <v>Player 6</v>
      </c>
    </row>
    <row r="153" spans="1:6" ht="15" customHeight="1" x14ac:dyDescent="0.25">
      <c r="A153" s="9">
        <v>5</v>
      </c>
      <c r="B153" s="9">
        <v>9</v>
      </c>
      <c r="C153" s="9" t="str">
        <f>VLOOKUP(B153,Roster!$A$3:$B$18,2,FALSE())</f>
        <v>Player 9</v>
      </c>
      <c r="D153" s="10" t="s">
        <v>40</v>
      </c>
      <c r="E153" s="9">
        <v>11</v>
      </c>
      <c r="F153" s="9" t="str">
        <f>VLOOKUP(E153,Roster!$A$3:$B$18,2,FALSE())</f>
        <v>Player 11</v>
      </c>
    </row>
    <row r="154" spans="1:6" ht="15" customHeight="1" x14ac:dyDescent="0.25">
      <c r="A154" s="9">
        <v>6</v>
      </c>
      <c r="B154" s="9">
        <v>12</v>
      </c>
      <c r="C154" s="9" t="str">
        <f>VLOOKUP(B154,Roster!$A$3:$B$18,2,FALSE())</f>
        <v>Player 12</v>
      </c>
      <c r="D154" s="10" t="s">
        <v>40</v>
      </c>
      <c r="E154" s="9">
        <v>10</v>
      </c>
      <c r="F154" s="9" t="str">
        <f>VLOOKUP(E154,Roster!$A$3:$B$18,2,FALSE())</f>
        <v>Player 10</v>
      </c>
    </row>
    <row r="155" spans="1:6" ht="15" customHeight="1" x14ac:dyDescent="0.25">
      <c r="A155" s="9">
        <v>7</v>
      </c>
      <c r="B155" s="9">
        <v>13</v>
      </c>
      <c r="C155" s="9" t="str">
        <f>VLOOKUP(B155,Roster!$A$3:$B$18,2,FALSE())</f>
        <v>Player 13</v>
      </c>
      <c r="D155" s="10" t="s">
        <v>40</v>
      </c>
      <c r="E155" s="9">
        <v>15</v>
      </c>
      <c r="F155" s="9" t="str">
        <f>VLOOKUP(E155,Roster!$A$3:$B$18,2,FALSE())</f>
        <v>Player 15</v>
      </c>
    </row>
    <row r="156" spans="1:6" ht="15" customHeight="1" x14ac:dyDescent="0.25">
      <c r="A156" s="9">
        <v>8</v>
      </c>
      <c r="B156" s="9">
        <v>16</v>
      </c>
      <c r="C156" s="9" t="str">
        <f>VLOOKUP(B156,Roster!$A$3:$B$18,2,FALSE())</f>
        <v>Player 16</v>
      </c>
      <c r="D156" s="10" t="s">
        <v>40</v>
      </c>
      <c r="E156" s="9">
        <v>14</v>
      </c>
      <c r="F156" s="9" t="str">
        <f>VLOOKUP(E156,Roster!$A$3:$B$18,2,FALSE())</f>
        <v>Player 14</v>
      </c>
    </row>
    <row r="158" spans="1:6" ht="15" customHeight="1" x14ac:dyDescent="0.25">
      <c r="A158" s="74" t="s">
        <v>56</v>
      </c>
      <c r="B158" s="74"/>
      <c r="C158" s="74"/>
      <c r="D158" s="74"/>
      <c r="E158" s="74"/>
      <c r="F158" s="74"/>
    </row>
    <row r="159" spans="1:6" ht="15" customHeight="1" x14ac:dyDescent="0.25">
      <c r="A159" s="8" t="s">
        <v>37</v>
      </c>
      <c r="B159" s="8" t="s">
        <v>38</v>
      </c>
      <c r="C159" s="8" t="s">
        <v>39</v>
      </c>
      <c r="D159" s="8" t="s">
        <v>40</v>
      </c>
      <c r="E159" s="8" t="s">
        <v>38</v>
      </c>
      <c r="F159" s="8" t="s">
        <v>39</v>
      </c>
    </row>
    <row r="160" spans="1:6" ht="15" customHeight="1" x14ac:dyDescent="0.25">
      <c r="A160" s="9">
        <v>1</v>
      </c>
      <c r="B160" s="9">
        <v>1</v>
      </c>
      <c r="C160" s="9" t="str">
        <f>VLOOKUP(B160,Roster!$A$3:$B$18,2,FALSE())</f>
        <v>Player 1</v>
      </c>
      <c r="D160" s="10" t="s">
        <v>40</v>
      </c>
      <c r="E160" s="9">
        <v>2</v>
      </c>
      <c r="F160" s="9" t="str">
        <f>VLOOKUP(E160,Roster!$A$3:$B$18,2,FALSE())</f>
        <v>Player 2</v>
      </c>
    </row>
    <row r="161" spans="1:6" ht="15" customHeight="1" x14ac:dyDescent="0.25">
      <c r="A161" s="9">
        <v>2</v>
      </c>
      <c r="B161" s="9">
        <v>3</v>
      </c>
      <c r="C161" s="9" t="str">
        <f>VLOOKUP(B161,Roster!$A$3:$B$18,2,FALSE())</f>
        <v>Player 3</v>
      </c>
      <c r="D161" s="10" t="s">
        <v>40</v>
      </c>
      <c r="E161" s="9">
        <v>4</v>
      </c>
      <c r="F161" s="9" t="str">
        <f>VLOOKUP(E161,Roster!$A$3:$B$18,2,FALSE())</f>
        <v>Player 4</v>
      </c>
    </row>
    <row r="162" spans="1:6" ht="15" customHeight="1" x14ac:dyDescent="0.25">
      <c r="A162" s="9">
        <v>3</v>
      </c>
      <c r="B162" s="9">
        <v>5</v>
      </c>
      <c r="C162" s="9" t="str">
        <f>VLOOKUP(B162,Roster!$A$3:$B$18,2,FALSE())</f>
        <v>Player 5</v>
      </c>
      <c r="D162" s="10" t="s">
        <v>40</v>
      </c>
      <c r="E162" s="9">
        <v>6</v>
      </c>
      <c r="F162" s="9" t="str">
        <f>VLOOKUP(E162,Roster!$A$3:$B$18,2,FALSE())</f>
        <v>Player 6</v>
      </c>
    </row>
    <row r="163" spans="1:6" ht="15" customHeight="1" x14ac:dyDescent="0.25">
      <c r="A163" s="9">
        <v>4</v>
      </c>
      <c r="B163" s="9">
        <v>7</v>
      </c>
      <c r="C163" s="9" t="str">
        <f>VLOOKUP(B163,Roster!$A$3:$B$18,2,FALSE())</f>
        <v>Player 7</v>
      </c>
      <c r="D163" s="10" t="s">
        <v>40</v>
      </c>
      <c r="E163" s="9">
        <v>8</v>
      </c>
      <c r="F163" s="9" t="str">
        <f>VLOOKUP(E163,Roster!$A$3:$B$18,2,FALSE())</f>
        <v>Player 8</v>
      </c>
    </row>
    <row r="164" spans="1:6" ht="15" customHeight="1" x14ac:dyDescent="0.25">
      <c r="A164" s="9">
        <v>5</v>
      </c>
      <c r="B164" s="9">
        <v>9</v>
      </c>
      <c r="C164" s="9" t="str">
        <f>VLOOKUP(B164,Roster!$A$3:$B$18,2,FALSE())</f>
        <v>Player 9</v>
      </c>
      <c r="D164" s="10" t="s">
        <v>40</v>
      </c>
      <c r="E164" s="9">
        <v>10</v>
      </c>
      <c r="F164" s="9" t="str">
        <f>VLOOKUP(E164,Roster!$A$3:$B$18,2,FALSE())</f>
        <v>Player 10</v>
      </c>
    </row>
    <row r="165" spans="1:6" ht="15" customHeight="1" x14ac:dyDescent="0.25">
      <c r="A165" s="9">
        <v>6</v>
      </c>
      <c r="B165" s="9">
        <v>11</v>
      </c>
      <c r="C165" s="9" t="str">
        <f>VLOOKUP(B165,Roster!$A$3:$B$18,2,FALSE())</f>
        <v>Player 11</v>
      </c>
      <c r="D165" s="10" t="s">
        <v>40</v>
      </c>
      <c r="E165" s="9">
        <v>12</v>
      </c>
      <c r="F165" s="9" t="str">
        <f>VLOOKUP(E165,Roster!$A$3:$B$18,2,FALSE())</f>
        <v>Player 12</v>
      </c>
    </row>
    <row r="166" spans="1:6" ht="15" customHeight="1" x14ac:dyDescent="0.25">
      <c r="A166" s="9">
        <v>7</v>
      </c>
      <c r="B166" s="9">
        <v>13</v>
      </c>
      <c r="C166" s="9" t="str">
        <f>VLOOKUP(B166,Roster!$A$3:$B$18,2,FALSE())</f>
        <v>Player 13</v>
      </c>
      <c r="D166" s="10" t="s">
        <v>40</v>
      </c>
      <c r="E166" s="9">
        <v>14</v>
      </c>
      <c r="F166" s="9" t="str">
        <f>VLOOKUP(E166,Roster!$A$3:$B$18,2,FALSE())</f>
        <v>Player 14</v>
      </c>
    </row>
    <row r="167" spans="1:6" ht="15" customHeight="1" x14ac:dyDescent="0.25">
      <c r="A167" s="9">
        <v>8</v>
      </c>
      <c r="B167" s="9">
        <v>15</v>
      </c>
      <c r="C167" s="9" t="str">
        <f>VLOOKUP(B167,Roster!$A$3:$B$18,2,FALSE())</f>
        <v>Player 15</v>
      </c>
      <c r="D167" s="10" t="s">
        <v>40</v>
      </c>
      <c r="E167" s="9">
        <v>16</v>
      </c>
      <c r="F167" s="9" t="str">
        <f>VLOOKUP(E167,Roster!$A$3:$B$18,2,FALSE())</f>
        <v>Player 16</v>
      </c>
    </row>
    <row r="169" spans="1:6" ht="15" customHeight="1" x14ac:dyDescent="0.25">
      <c r="A169" s="74" t="s">
        <v>57</v>
      </c>
      <c r="B169" s="74"/>
      <c r="C169" s="74"/>
      <c r="D169" s="74"/>
      <c r="E169" s="74"/>
      <c r="F169" s="74"/>
    </row>
    <row r="170" spans="1:6" ht="15" customHeight="1" x14ac:dyDescent="0.25">
      <c r="A170" s="8" t="s">
        <v>37</v>
      </c>
      <c r="B170" s="8" t="s">
        <v>38</v>
      </c>
      <c r="C170" s="8" t="s">
        <v>39</v>
      </c>
      <c r="D170" s="8" t="s">
        <v>40</v>
      </c>
      <c r="E170" s="8" t="s">
        <v>38</v>
      </c>
      <c r="F170" s="8" t="s">
        <v>39</v>
      </c>
    </row>
    <row r="171" spans="1:6" ht="15" customHeight="1" x14ac:dyDescent="0.25">
      <c r="A171" s="9">
        <v>1</v>
      </c>
      <c r="B171" s="9">
        <v>1</v>
      </c>
      <c r="C171" s="9" t="str">
        <f>VLOOKUP(B171,Roster!$A$3:$B$18,2,FALSE())</f>
        <v>Player 1</v>
      </c>
      <c r="D171" s="10" t="s">
        <v>40</v>
      </c>
      <c r="E171" s="9">
        <v>4</v>
      </c>
      <c r="F171" s="9" t="str">
        <f>VLOOKUP(E171,Roster!$A$3:$B$18,2,FALSE())</f>
        <v>Player 4</v>
      </c>
    </row>
    <row r="172" spans="1:6" ht="15" customHeight="1" x14ac:dyDescent="0.25">
      <c r="A172" s="9">
        <v>2</v>
      </c>
      <c r="B172" s="9">
        <v>2</v>
      </c>
      <c r="C172" s="9" t="str">
        <f>VLOOKUP(B172,Roster!$A$3:$B$18,2,FALSE())</f>
        <v>Player 2</v>
      </c>
      <c r="D172" s="10" t="s">
        <v>40</v>
      </c>
      <c r="E172" s="9">
        <v>3</v>
      </c>
      <c r="F172" s="9" t="str">
        <f>VLOOKUP(E172,Roster!$A$3:$B$18,2,FALSE())</f>
        <v>Player 3</v>
      </c>
    </row>
    <row r="173" spans="1:6" ht="15" customHeight="1" x14ac:dyDescent="0.25">
      <c r="A173" s="9">
        <v>3</v>
      </c>
      <c r="B173" s="9">
        <v>5</v>
      </c>
      <c r="C173" s="9" t="str">
        <f>VLOOKUP(B173,Roster!$A$3:$B$18,2,FALSE())</f>
        <v>Player 5</v>
      </c>
      <c r="D173" s="10" t="s">
        <v>40</v>
      </c>
      <c r="E173" s="9">
        <v>8</v>
      </c>
      <c r="F173" s="9" t="str">
        <f>VLOOKUP(E173,Roster!$A$3:$B$18,2,FALSE())</f>
        <v>Player 8</v>
      </c>
    </row>
    <row r="174" spans="1:6" ht="15" customHeight="1" x14ac:dyDescent="0.25">
      <c r="A174" s="9">
        <v>4</v>
      </c>
      <c r="B174" s="9">
        <v>6</v>
      </c>
      <c r="C174" s="9" t="str">
        <f>VLOOKUP(B174,Roster!$A$3:$B$18,2,FALSE())</f>
        <v>Player 6</v>
      </c>
      <c r="D174" s="10" t="s">
        <v>40</v>
      </c>
      <c r="E174" s="9">
        <v>7</v>
      </c>
      <c r="F174" s="9" t="str">
        <f>VLOOKUP(E174,Roster!$A$3:$B$18,2,FALSE())</f>
        <v>Player 7</v>
      </c>
    </row>
    <row r="175" spans="1:6" ht="15" customHeight="1" x14ac:dyDescent="0.25">
      <c r="A175" s="9">
        <v>5</v>
      </c>
      <c r="B175" s="9">
        <v>9</v>
      </c>
      <c r="C175" s="9" t="str">
        <f>VLOOKUP(B175,Roster!$A$3:$B$18,2,FALSE())</f>
        <v>Player 9</v>
      </c>
      <c r="D175" s="10" t="s">
        <v>40</v>
      </c>
      <c r="E175" s="9">
        <v>12</v>
      </c>
      <c r="F175" s="9" t="str">
        <f>VLOOKUP(E175,Roster!$A$3:$B$18,2,FALSE())</f>
        <v>Player 12</v>
      </c>
    </row>
    <row r="176" spans="1:6" ht="15" customHeight="1" x14ac:dyDescent="0.25">
      <c r="A176" s="9">
        <v>6</v>
      </c>
      <c r="B176" s="9">
        <v>10</v>
      </c>
      <c r="C176" s="9" t="str">
        <f>VLOOKUP(B176,Roster!$A$3:$B$18,2,FALSE())</f>
        <v>Player 10</v>
      </c>
      <c r="D176" s="10" t="s">
        <v>40</v>
      </c>
      <c r="E176" s="9">
        <v>11</v>
      </c>
      <c r="F176" s="9" t="str">
        <f>VLOOKUP(E176,Roster!$A$3:$B$18,2,FALSE())</f>
        <v>Player 11</v>
      </c>
    </row>
    <row r="177" spans="1:6" ht="15" customHeight="1" x14ac:dyDescent="0.25">
      <c r="A177" s="9">
        <v>7</v>
      </c>
      <c r="B177" s="9">
        <v>13</v>
      </c>
      <c r="C177" s="9" t="str">
        <f>VLOOKUP(B177,Roster!$A$3:$B$18,2,FALSE())</f>
        <v>Player 13</v>
      </c>
      <c r="D177" s="10" t="s">
        <v>40</v>
      </c>
      <c r="E177" s="9">
        <v>16</v>
      </c>
      <c r="F177" s="9" t="str">
        <f>VLOOKUP(E177,Roster!$A$3:$B$18,2,FALSE())</f>
        <v>Player 16</v>
      </c>
    </row>
    <row r="178" spans="1:6" ht="15" customHeight="1" x14ac:dyDescent="0.25">
      <c r="A178" s="9">
        <v>8</v>
      </c>
      <c r="B178" s="9">
        <v>14</v>
      </c>
      <c r="C178" s="9" t="str">
        <f>VLOOKUP(B178,Roster!$A$3:$B$18,2,FALSE())</f>
        <v>Player 14</v>
      </c>
      <c r="D178" s="10" t="s">
        <v>40</v>
      </c>
      <c r="E178" s="9">
        <v>15</v>
      </c>
      <c r="F178" s="9" t="str">
        <f>VLOOKUP(E178,Roster!$A$3:$B$18,2,FALSE())</f>
        <v>Player 15</v>
      </c>
    </row>
    <row r="180" spans="1:6" ht="15" customHeight="1" x14ac:dyDescent="0.25">
      <c r="A180" s="74" t="s">
        <v>58</v>
      </c>
      <c r="B180" s="74"/>
      <c r="C180" s="74"/>
      <c r="D180" s="74"/>
      <c r="E180" s="74"/>
      <c r="F180" s="74"/>
    </row>
    <row r="181" spans="1:6" ht="15" customHeight="1" x14ac:dyDescent="0.25">
      <c r="A181" s="8" t="s">
        <v>37</v>
      </c>
      <c r="B181" s="8" t="s">
        <v>38</v>
      </c>
      <c r="C181" s="8" t="s">
        <v>39</v>
      </c>
      <c r="D181" s="8" t="s">
        <v>40</v>
      </c>
      <c r="E181" s="8" t="s">
        <v>38</v>
      </c>
      <c r="F181" s="8" t="s">
        <v>39</v>
      </c>
    </row>
    <row r="182" spans="1:6" ht="15" customHeight="1" x14ac:dyDescent="0.25">
      <c r="A182" s="9">
        <v>1</v>
      </c>
      <c r="B182" s="9">
        <v>1</v>
      </c>
      <c r="C182" s="9" t="str">
        <f>VLOOKUP(B182,Roster!$A$3:$B$18,2,FALSE())</f>
        <v>Player 1</v>
      </c>
      <c r="D182" s="10" t="s">
        <v>40</v>
      </c>
      <c r="E182" s="9">
        <v>3</v>
      </c>
      <c r="F182" s="9" t="str">
        <f>VLOOKUP(E182,Roster!$A$3:$B$18,2,FALSE())</f>
        <v>Player 3</v>
      </c>
    </row>
    <row r="183" spans="1:6" ht="15" customHeight="1" x14ac:dyDescent="0.25">
      <c r="A183" s="9">
        <v>2</v>
      </c>
      <c r="B183" s="9">
        <v>4</v>
      </c>
      <c r="C183" s="9" t="str">
        <f>VLOOKUP(B183,Roster!$A$3:$B$18,2,FALSE())</f>
        <v>Player 4</v>
      </c>
      <c r="D183" s="10" t="s">
        <v>40</v>
      </c>
      <c r="E183" s="9">
        <v>2</v>
      </c>
      <c r="F183" s="9" t="str">
        <f>VLOOKUP(E183,Roster!$A$3:$B$18,2,FALSE())</f>
        <v>Player 2</v>
      </c>
    </row>
    <row r="184" spans="1:6" ht="15" customHeight="1" x14ac:dyDescent="0.25">
      <c r="A184" s="9">
        <v>3</v>
      </c>
      <c r="B184" s="9">
        <v>5</v>
      </c>
      <c r="C184" s="9" t="str">
        <f>VLOOKUP(B184,Roster!$A$3:$B$18,2,FALSE())</f>
        <v>Player 5</v>
      </c>
      <c r="D184" s="10" t="s">
        <v>40</v>
      </c>
      <c r="E184" s="9">
        <v>7</v>
      </c>
      <c r="F184" s="9" t="str">
        <f>VLOOKUP(E184,Roster!$A$3:$B$18,2,FALSE())</f>
        <v>Player 7</v>
      </c>
    </row>
    <row r="185" spans="1:6" ht="15" customHeight="1" x14ac:dyDescent="0.25">
      <c r="A185" s="9">
        <v>4</v>
      </c>
      <c r="B185" s="9">
        <v>8</v>
      </c>
      <c r="C185" s="9" t="str">
        <f>VLOOKUP(B185,Roster!$A$3:$B$18,2,FALSE())</f>
        <v>Player 8</v>
      </c>
      <c r="D185" s="10" t="s">
        <v>40</v>
      </c>
      <c r="E185" s="9">
        <v>6</v>
      </c>
      <c r="F185" s="9" t="str">
        <f>VLOOKUP(E185,Roster!$A$3:$B$18,2,FALSE())</f>
        <v>Player 6</v>
      </c>
    </row>
    <row r="186" spans="1:6" ht="15" customHeight="1" x14ac:dyDescent="0.25">
      <c r="A186" s="9">
        <v>5</v>
      </c>
      <c r="B186" s="9">
        <v>9</v>
      </c>
      <c r="C186" s="9" t="str">
        <f>VLOOKUP(B186,Roster!$A$3:$B$18,2,FALSE())</f>
        <v>Player 9</v>
      </c>
      <c r="D186" s="10" t="s">
        <v>40</v>
      </c>
      <c r="E186" s="9">
        <v>11</v>
      </c>
      <c r="F186" s="9" t="str">
        <f>VLOOKUP(E186,Roster!$A$3:$B$18,2,FALSE())</f>
        <v>Player 11</v>
      </c>
    </row>
    <row r="187" spans="1:6" ht="15" customHeight="1" x14ac:dyDescent="0.25">
      <c r="A187" s="9">
        <v>6</v>
      </c>
      <c r="B187" s="9">
        <v>12</v>
      </c>
      <c r="C187" s="9" t="str">
        <f>VLOOKUP(B187,Roster!$A$3:$B$18,2,FALSE())</f>
        <v>Player 12</v>
      </c>
      <c r="D187" s="10" t="s">
        <v>40</v>
      </c>
      <c r="E187" s="9">
        <v>10</v>
      </c>
      <c r="F187" s="9" t="str">
        <f>VLOOKUP(E187,Roster!$A$3:$B$18,2,FALSE())</f>
        <v>Player 10</v>
      </c>
    </row>
    <row r="188" spans="1:6" ht="15" customHeight="1" x14ac:dyDescent="0.25">
      <c r="A188" s="9">
        <v>7</v>
      </c>
      <c r="B188" s="9">
        <v>13</v>
      </c>
      <c r="C188" s="9" t="str">
        <f>VLOOKUP(B188,Roster!$A$3:$B$18,2,FALSE())</f>
        <v>Player 13</v>
      </c>
      <c r="D188" s="10" t="s">
        <v>40</v>
      </c>
      <c r="E188" s="9">
        <v>15</v>
      </c>
      <c r="F188" s="9" t="str">
        <f>VLOOKUP(E188,Roster!$A$3:$B$18,2,FALSE())</f>
        <v>Player 15</v>
      </c>
    </row>
    <row r="189" spans="1:6" ht="15" customHeight="1" x14ac:dyDescent="0.25">
      <c r="A189" s="9">
        <v>8</v>
      </c>
      <c r="B189" s="9">
        <v>16</v>
      </c>
      <c r="C189" s="9" t="str">
        <f>VLOOKUP(B189,Roster!$A$3:$B$18,2,FALSE())</f>
        <v>Player 16</v>
      </c>
      <c r="D189" s="10" t="s">
        <v>40</v>
      </c>
      <c r="E189" s="9">
        <v>14</v>
      </c>
      <c r="F189" s="9" t="str">
        <f>VLOOKUP(E189,Roster!$A$3:$B$18,2,FALSE())</f>
        <v>Player 14</v>
      </c>
    </row>
    <row r="191" spans="1:6" ht="15" customHeight="1" x14ac:dyDescent="0.25">
      <c r="A191" s="74" t="s">
        <v>59</v>
      </c>
      <c r="B191" s="74"/>
      <c r="C191" s="74"/>
      <c r="D191" s="74"/>
      <c r="E191" s="74"/>
      <c r="F191" s="74"/>
    </row>
    <row r="192" spans="1:6" ht="15" customHeight="1" x14ac:dyDescent="0.25">
      <c r="A192" s="8" t="s">
        <v>37</v>
      </c>
      <c r="B192" s="8" t="s">
        <v>38</v>
      </c>
      <c r="C192" s="8" t="s">
        <v>39</v>
      </c>
      <c r="D192" s="8" t="s">
        <v>40</v>
      </c>
      <c r="E192" s="8" t="s">
        <v>38</v>
      </c>
      <c r="F192" s="8" t="s">
        <v>39</v>
      </c>
    </row>
    <row r="193" spans="1:6" ht="15" customHeight="1" x14ac:dyDescent="0.25">
      <c r="A193" s="9">
        <v>1</v>
      </c>
      <c r="B193" s="9">
        <v>1</v>
      </c>
      <c r="C193" s="9" t="str">
        <f>VLOOKUP(B193,Roster!$A$3:$B$18,2,FALSE())</f>
        <v>Player 1</v>
      </c>
      <c r="D193" s="10" t="s">
        <v>40</v>
      </c>
      <c r="E193" s="9">
        <v>2</v>
      </c>
      <c r="F193" s="9" t="str">
        <f>VLOOKUP(E193,Roster!$A$3:$B$18,2,FALSE())</f>
        <v>Player 2</v>
      </c>
    </row>
    <row r="194" spans="1:6" ht="15" customHeight="1" x14ac:dyDescent="0.25">
      <c r="A194" s="9">
        <v>2</v>
      </c>
      <c r="B194" s="9">
        <v>3</v>
      </c>
      <c r="C194" s="9" t="str">
        <f>VLOOKUP(B194,Roster!$A$3:$B$18,2,FALSE())</f>
        <v>Player 3</v>
      </c>
      <c r="D194" s="10" t="s">
        <v>40</v>
      </c>
      <c r="E194" s="9">
        <v>4</v>
      </c>
      <c r="F194" s="9" t="str">
        <f>VLOOKUP(E194,Roster!$A$3:$B$18,2,FALSE())</f>
        <v>Player 4</v>
      </c>
    </row>
    <row r="195" spans="1:6" ht="15" customHeight="1" x14ac:dyDescent="0.25">
      <c r="A195" s="9">
        <v>3</v>
      </c>
      <c r="B195" s="9">
        <v>5</v>
      </c>
      <c r="C195" s="9" t="str">
        <f>VLOOKUP(B195,Roster!$A$3:$B$18,2,FALSE())</f>
        <v>Player 5</v>
      </c>
      <c r="D195" s="10" t="s">
        <v>40</v>
      </c>
      <c r="E195" s="9">
        <v>6</v>
      </c>
      <c r="F195" s="9" t="str">
        <f>VLOOKUP(E195,Roster!$A$3:$B$18,2,FALSE())</f>
        <v>Player 6</v>
      </c>
    </row>
    <row r="196" spans="1:6" ht="15" customHeight="1" x14ac:dyDescent="0.25">
      <c r="A196" s="9">
        <v>4</v>
      </c>
      <c r="B196" s="9">
        <v>7</v>
      </c>
      <c r="C196" s="9" t="str">
        <f>VLOOKUP(B196,Roster!$A$3:$B$18,2,FALSE())</f>
        <v>Player 7</v>
      </c>
      <c r="D196" s="10" t="s">
        <v>40</v>
      </c>
      <c r="E196" s="9">
        <v>8</v>
      </c>
      <c r="F196" s="9" t="str">
        <f>VLOOKUP(E196,Roster!$A$3:$B$18,2,FALSE())</f>
        <v>Player 8</v>
      </c>
    </row>
    <row r="197" spans="1:6" ht="15" customHeight="1" x14ac:dyDescent="0.25">
      <c r="A197" s="9">
        <v>5</v>
      </c>
      <c r="B197" s="9">
        <v>9</v>
      </c>
      <c r="C197" s="9" t="str">
        <f>VLOOKUP(B197,Roster!$A$3:$B$18,2,FALSE())</f>
        <v>Player 9</v>
      </c>
      <c r="D197" s="10" t="s">
        <v>40</v>
      </c>
      <c r="E197" s="9">
        <v>10</v>
      </c>
      <c r="F197" s="9" t="str">
        <f>VLOOKUP(E197,Roster!$A$3:$B$18,2,FALSE())</f>
        <v>Player 10</v>
      </c>
    </row>
    <row r="198" spans="1:6" ht="15" customHeight="1" x14ac:dyDescent="0.25">
      <c r="A198" s="9">
        <v>6</v>
      </c>
      <c r="B198" s="9">
        <v>11</v>
      </c>
      <c r="C198" s="9" t="str">
        <f>VLOOKUP(B198,Roster!$A$3:$B$18,2,FALSE())</f>
        <v>Player 11</v>
      </c>
      <c r="D198" s="10" t="s">
        <v>40</v>
      </c>
      <c r="E198" s="9">
        <v>12</v>
      </c>
      <c r="F198" s="9" t="str">
        <f>VLOOKUP(E198,Roster!$A$3:$B$18,2,FALSE())</f>
        <v>Player 12</v>
      </c>
    </row>
    <row r="199" spans="1:6" ht="15" customHeight="1" x14ac:dyDescent="0.25">
      <c r="A199" s="9">
        <v>7</v>
      </c>
      <c r="B199" s="9">
        <v>13</v>
      </c>
      <c r="C199" s="9" t="str">
        <f>VLOOKUP(B199,Roster!$A$3:$B$18,2,FALSE())</f>
        <v>Player 13</v>
      </c>
      <c r="D199" s="10" t="s">
        <v>40</v>
      </c>
      <c r="E199" s="9">
        <v>14</v>
      </c>
      <c r="F199" s="9" t="str">
        <f>VLOOKUP(E199,Roster!$A$3:$B$18,2,FALSE())</f>
        <v>Player 14</v>
      </c>
    </row>
    <row r="200" spans="1:6" ht="15" customHeight="1" x14ac:dyDescent="0.25">
      <c r="A200" s="9">
        <v>8</v>
      </c>
      <c r="B200" s="9">
        <v>15</v>
      </c>
      <c r="C200" s="9" t="str">
        <f>VLOOKUP(B200,Roster!$A$3:$B$18,2,FALSE())</f>
        <v>Player 15</v>
      </c>
      <c r="D200" s="10" t="s">
        <v>40</v>
      </c>
      <c r="E200" s="9">
        <v>16</v>
      </c>
      <c r="F200" s="9" t="str">
        <f>VLOOKUP(E200,Roster!$A$3:$B$18,2,FALSE())</f>
        <v>Player 16</v>
      </c>
    </row>
  </sheetData>
  <mergeCells count="21">
    <mergeCell ref="A191:F191"/>
    <mergeCell ref="A136:F136"/>
    <mergeCell ref="A147:F147"/>
    <mergeCell ref="A158:F158"/>
    <mergeCell ref="A169:F169"/>
    <mergeCell ref="A180:F180"/>
    <mergeCell ref="A91:F91"/>
    <mergeCell ref="A102:F102"/>
    <mergeCell ref="A113:F113"/>
    <mergeCell ref="A124:F124"/>
    <mergeCell ref="A135:F135"/>
    <mergeCell ref="A46:F46"/>
    <mergeCell ref="A57:F57"/>
    <mergeCell ref="A68:F68"/>
    <mergeCell ref="A69:F69"/>
    <mergeCell ref="A80:F80"/>
    <mergeCell ref="A1:F1"/>
    <mergeCell ref="A2:F2"/>
    <mergeCell ref="A13:F13"/>
    <mergeCell ref="A24:F24"/>
    <mergeCell ref="A35:F3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O12" sqref="O12"/>
    </sheetView>
  </sheetViews>
  <sheetFormatPr defaultColWidth="8.7109375" defaultRowHeight="15" x14ac:dyDescent="0.25"/>
  <cols>
    <col min="1" max="9" width="15" customWidth="1"/>
  </cols>
  <sheetData>
    <row r="1" spans="1:9" ht="17.25" customHeight="1" x14ac:dyDescent="0.25">
      <c r="A1" s="72" t="s">
        <v>60</v>
      </c>
      <c r="B1" s="72"/>
      <c r="C1" s="72"/>
      <c r="D1" s="72"/>
      <c r="E1" s="72"/>
      <c r="F1" s="72"/>
      <c r="G1" s="72"/>
      <c r="H1" s="72"/>
      <c r="I1" s="72"/>
    </row>
    <row r="2" spans="1:9" ht="15" customHeight="1" x14ac:dyDescent="0.25">
      <c r="A2" s="11" t="s">
        <v>61</v>
      </c>
    </row>
    <row r="4" spans="1:9" ht="15" customHeight="1" x14ac:dyDescent="0.25">
      <c r="A4" s="75" t="s">
        <v>62</v>
      </c>
      <c r="B4" s="75"/>
      <c r="C4" s="75"/>
      <c r="D4" s="75"/>
      <c r="E4" s="75"/>
      <c r="F4" s="75"/>
      <c r="G4" s="75"/>
      <c r="H4" s="75"/>
      <c r="I4" s="75"/>
    </row>
    <row r="5" spans="1:9" ht="15" customHeight="1" x14ac:dyDescent="0.25">
      <c r="A5" s="12" t="s">
        <v>1</v>
      </c>
      <c r="B5" s="12" t="s">
        <v>2</v>
      </c>
      <c r="C5" s="12" t="s">
        <v>63</v>
      </c>
      <c r="D5" s="12" t="s">
        <v>64</v>
      </c>
      <c r="E5" s="12" t="s">
        <v>65</v>
      </c>
      <c r="F5" s="12" t="s">
        <v>66</v>
      </c>
      <c r="G5" s="12" t="s">
        <v>67</v>
      </c>
      <c r="H5" s="12" t="s">
        <v>68</v>
      </c>
      <c r="I5" s="12" t="s">
        <v>69</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0</v>
      </c>
      <c r="F7" s="2" t="str">
        <f t="shared" si="0"/>
        <v>-</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c r="D11" s="9">
        <v>2</v>
      </c>
      <c r="E11" s="9">
        <f>C7</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5" t="s">
        <v>70</v>
      </c>
      <c r="B23" s="75"/>
      <c r="C23" s="75"/>
      <c r="D23" s="75"/>
      <c r="E23" s="75"/>
      <c r="F23" s="75"/>
      <c r="G23" s="75"/>
      <c r="H23" s="75"/>
      <c r="I23" s="75"/>
    </row>
    <row r="24" spans="1:9" ht="15" customHeight="1" x14ac:dyDescent="0.25">
      <c r="A24" s="12" t="s">
        <v>1</v>
      </c>
      <c r="B24" s="12" t="s">
        <v>2</v>
      </c>
      <c r="C24" s="12" t="s">
        <v>63</v>
      </c>
      <c r="D24" s="12" t="s">
        <v>64</v>
      </c>
      <c r="E24" s="12" t="s">
        <v>65</v>
      </c>
      <c r="F24" s="12" t="s">
        <v>66</v>
      </c>
      <c r="G24" s="12" t="s">
        <v>67</v>
      </c>
      <c r="H24" s="12" t="s">
        <v>68</v>
      </c>
      <c r="I24" s="12" t="s">
        <v>69</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5" t="s">
        <v>71</v>
      </c>
      <c r="B42" s="75"/>
      <c r="C42" s="75"/>
      <c r="D42" s="75"/>
      <c r="E42" s="75"/>
      <c r="F42" s="75"/>
      <c r="G42" s="75"/>
      <c r="H42" s="75"/>
      <c r="I42" s="75"/>
    </row>
    <row r="43" spans="1:9" ht="15" customHeight="1" x14ac:dyDescent="0.25">
      <c r="A43" s="12" t="s">
        <v>1</v>
      </c>
      <c r="B43" s="12" t="s">
        <v>2</v>
      </c>
      <c r="C43" s="12" t="s">
        <v>63</v>
      </c>
      <c r="D43" s="12" t="s">
        <v>64</v>
      </c>
      <c r="E43" s="12" t="s">
        <v>65</v>
      </c>
      <c r="F43" s="12" t="s">
        <v>66</v>
      </c>
      <c r="G43" s="12" t="s">
        <v>67</v>
      </c>
      <c r="H43" s="12" t="s">
        <v>68</v>
      </c>
      <c r="I43" s="12" t="s">
        <v>69</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5" t="s">
        <v>72</v>
      </c>
      <c r="B61" s="75"/>
      <c r="C61" s="75"/>
      <c r="D61" s="75"/>
      <c r="E61" s="75"/>
      <c r="F61" s="75"/>
      <c r="G61" s="75"/>
      <c r="H61" s="75"/>
      <c r="I61" s="75"/>
    </row>
    <row r="62" spans="1:9" ht="15" customHeight="1" x14ac:dyDescent="0.25">
      <c r="A62" s="12" t="s">
        <v>1</v>
      </c>
      <c r="B62" s="12" t="s">
        <v>2</v>
      </c>
      <c r="C62" s="12" t="s">
        <v>63</v>
      </c>
      <c r="D62" s="12" t="s">
        <v>64</v>
      </c>
      <c r="E62" s="12" t="s">
        <v>65</v>
      </c>
      <c r="F62" s="12" t="s">
        <v>66</v>
      </c>
      <c r="G62" s="12" t="s">
        <v>67</v>
      </c>
      <c r="H62" s="12" t="s">
        <v>68</v>
      </c>
      <c r="I62" s="12" t="s">
        <v>69</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5" t="s">
        <v>73</v>
      </c>
      <c r="B80" s="75"/>
      <c r="C80" s="75"/>
      <c r="D80" s="75"/>
      <c r="E80" s="75"/>
      <c r="F80" s="75"/>
      <c r="G80" s="75"/>
      <c r="H80" s="75"/>
      <c r="I80" s="75"/>
    </row>
    <row r="81" spans="1:9" ht="15" customHeight="1" x14ac:dyDescent="0.25">
      <c r="A81" s="12" t="s">
        <v>1</v>
      </c>
      <c r="B81" s="12" t="s">
        <v>2</v>
      </c>
      <c r="C81" s="12" t="s">
        <v>63</v>
      </c>
      <c r="D81" s="12" t="s">
        <v>64</v>
      </c>
      <c r="E81" s="12" t="s">
        <v>65</v>
      </c>
      <c r="F81" s="12" t="s">
        <v>66</v>
      </c>
      <c r="G81" s="12" t="s">
        <v>67</v>
      </c>
      <c r="H81" s="12" t="s">
        <v>68</v>
      </c>
      <c r="I81" s="12" t="s">
        <v>69</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5" t="s">
        <v>74</v>
      </c>
      <c r="B99" s="75"/>
      <c r="C99" s="75"/>
      <c r="D99" s="75"/>
      <c r="E99" s="75"/>
      <c r="F99" s="75"/>
      <c r="G99" s="75"/>
      <c r="H99" s="75"/>
      <c r="I99" s="75"/>
    </row>
    <row r="100" spans="1:9" ht="15" customHeight="1" x14ac:dyDescent="0.25">
      <c r="A100" s="12" t="s">
        <v>1</v>
      </c>
      <c r="B100" s="12" t="s">
        <v>2</v>
      </c>
      <c r="C100" s="12" t="s">
        <v>63</v>
      </c>
      <c r="D100" s="12" t="s">
        <v>64</v>
      </c>
      <c r="E100" s="12" t="s">
        <v>65</v>
      </c>
      <c r="F100" s="12" t="s">
        <v>66</v>
      </c>
      <c r="G100" s="12" t="s">
        <v>67</v>
      </c>
      <c r="H100" s="12" t="s">
        <v>68</v>
      </c>
      <c r="I100" s="12" t="s">
        <v>69</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topLeftCell="A99" zoomScaleNormal="100" workbookViewId="0">
      <selection activeCell="O128" sqref="O128"/>
    </sheetView>
  </sheetViews>
  <sheetFormatPr defaultColWidth="8.7109375" defaultRowHeight="15" x14ac:dyDescent="0.25"/>
  <cols>
    <col min="1" max="9" width="15" customWidth="1"/>
  </cols>
  <sheetData>
    <row r="1" spans="1:9" ht="17.25" customHeight="1" x14ac:dyDescent="0.25">
      <c r="A1" s="72" t="s">
        <v>75</v>
      </c>
      <c r="B1" s="72"/>
      <c r="C1" s="72"/>
      <c r="D1" s="72"/>
      <c r="E1" s="72"/>
      <c r="F1" s="72"/>
      <c r="G1" s="72"/>
      <c r="H1" s="72"/>
      <c r="I1" s="72"/>
    </row>
    <row r="2" spans="1:9" ht="15" customHeight="1" x14ac:dyDescent="0.25">
      <c r="A2" s="11" t="s">
        <v>76</v>
      </c>
    </row>
    <row r="4" spans="1:9" ht="15" customHeight="1" x14ac:dyDescent="0.25">
      <c r="A4" s="75" t="s">
        <v>77</v>
      </c>
      <c r="B4" s="75"/>
      <c r="C4" s="75"/>
      <c r="D4" s="75"/>
      <c r="E4" s="75"/>
      <c r="F4" s="75"/>
      <c r="G4" s="75"/>
      <c r="H4" s="75"/>
      <c r="I4" s="75"/>
    </row>
    <row r="5" spans="1:9" ht="15" customHeight="1" x14ac:dyDescent="0.25">
      <c r="A5" s="12" t="s">
        <v>1</v>
      </c>
      <c r="B5" s="12" t="s">
        <v>2</v>
      </c>
      <c r="C5" s="12" t="s">
        <v>78</v>
      </c>
      <c r="D5" s="12" t="s">
        <v>64</v>
      </c>
      <c r="E5" s="12" t="s">
        <v>79</v>
      </c>
      <c r="F5" s="12" t="s">
        <v>66</v>
      </c>
      <c r="G5" s="12" t="s">
        <v>67</v>
      </c>
      <c r="H5" s="12" t="s">
        <v>68</v>
      </c>
      <c r="I5" s="12" t="s">
        <v>69</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5" t="s">
        <v>80</v>
      </c>
      <c r="B23" s="75"/>
      <c r="C23" s="75"/>
      <c r="D23" s="75"/>
      <c r="E23" s="75"/>
      <c r="F23" s="75"/>
      <c r="G23" s="75"/>
      <c r="H23" s="75"/>
      <c r="I23" s="75"/>
    </row>
    <row r="24" spans="1:9" ht="15" customHeight="1" x14ac:dyDescent="0.25">
      <c r="A24" s="12" t="s">
        <v>1</v>
      </c>
      <c r="B24" s="12" t="s">
        <v>2</v>
      </c>
      <c r="C24" s="12" t="s">
        <v>78</v>
      </c>
      <c r="D24" s="12" t="s">
        <v>64</v>
      </c>
      <c r="E24" s="12" t="s">
        <v>79</v>
      </c>
      <c r="F24" s="12" t="s">
        <v>66</v>
      </c>
      <c r="G24" s="12" t="s">
        <v>67</v>
      </c>
      <c r="H24" s="12" t="s">
        <v>68</v>
      </c>
      <c r="I24" s="12" t="s">
        <v>69</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5" t="s">
        <v>81</v>
      </c>
      <c r="B42" s="75"/>
      <c r="C42" s="75"/>
      <c r="D42" s="75"/>
      <c r="E42" s="75"/>
      <c r="F42" s="75"/>
      <c r="G42" s="75"/>
      <c r="H42" s="75"/>
      <c r="I42" s="75"/>
    </row>
    <row r="43" spans="1:9" ht="15" customHeight="1" x14ac:dyDescent="0.25">
      <c r="A43" s="12" t="s">
        <v>1</v>
      </c>
      <c r="B43" s="12" t="s">
        <v>2</v>
      </c>
      <c r="C43" s="12" t="s">
        <v>78</v>
      </c>
      <c r="D43" s="12" t="s">
        <v>64</v>
      </c>
      <c r="E43" s="12" t="s">
        <v>79</v>
      </c>
      <c r="F43" s="12" t="s">
        <v>66</v>
      </c>
      <c r="G43" s="12" t="s">
        <v>67</v>
      </c>
      <c r="H43" s="12" t="s">
        <v>68</v>
      </c>
      <c r="I43" s="12" t="s">
        <v>69</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5" t="s">
        <v>82</v>
      </c>
      <c r="B61" s="75"/>
      <c r="C61" s="75"/>
      <c r="D61" s="75"/>
      <c r="E61" s="75"/>
      <c r="F61" s="75"/>
      <c r="G61" s="75"/>
      <c r="H61" s="75"/>
      <c r="I61" s="75"/>
    </row>
    <row r="62" spans="1:9" ht="15" customHeight="1" x14ac:dyDescent="0.25">
      <c r="A62" s="12" t="s">
        <v>1</v>
      </c>
      <c r="B62" s="12" t="s">
        <v>2</v>
      </c>
      <c r="C62" s="12" t="s">
        <v>78</v>
      </c>
      <c r="D62" s="12" t="s">
        <v>64</v>
      </c>
      <c r="E62" s="12" t="s">
        <v>79</v>
      </c>
      <c r="F62" s="12" t="s">
        <v>66</v>
      </c>
      <c r="G62" s="12" t="s">
        <v>67</v>
      </c>
      <c r="H62" s="12" t="s">
        <v>68</v>
      </c>
      <c r="I62" s="12" t="s">
        <v>69</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5" t="s">
        <v>83</v>
      </c>
      <c r="B80" s="75"/>
      <c r="C80" s="75"/>
      <c r="D80" s="75"/>
      <c r="E80" s="75"/>
      <c r="F80" s="75"/>
      <c r="G80" s="75"/>
      <c r="H80" s="75"/>
      <c r="I80" s="75"/>
    </row>
    <row r="81" spans="1:9" ht="15" customHeight="1" x14ac:dyDescent="0.25">
      <c r="A81" s="12" t="s">
        <v>1</v>
      </c>
      <c r="B81" s="12" t="s">
        <v>2</v>
      </c>
      <c r="C81" s="12" t="s">
        <v>78</v>
      </c>
      <c r="D81" s="12" t="s">
        <v>64</v>
      </c>
      <c r="E81" s="12" t="s">
        <v>79</v>
      </c>
      <c r="F81" s="12" t="s">
        <v>66</v>
      </c>
      <c r="G81" s="12" t="s">
        <v>67</v>
      </c>
      <c r="H81" s="12" t="s">
        <v>68</v>
      </c>
      <c r="I81" s="12" t="s">
        <v>69</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5" t="s">
        <v>84</v>
      </c>
      <c r="B99" s="75"/>
      <c r="C99" s="75"/>
      <c r="D99" s="75"/>
      <c r="E99" s="75"/>
      <c r="F99" s="75"/>
      <c r="G99" s="75"/>
      <c r="H99" s="75"/>
      <c r="I99" s="75"/>
    </row>
    <row r="100" spans="1:9" ht="15" customHeight="1" x14ac:dyDescent="0.25">
      <c r="A100" s="12" t="s">
        <v>1</v>
      </c>
      <c r="B100" s="12" t="s">
        <v>2</v>
      </c>
      <c r="C100" s="12" t="s">
        <v>78</v>
      </c>
      <c r="D100" s="12" t="s">
        <v>64</v>
      </c>
      <c r="E100" s="12" t="s">
        <v>79</v>
      </c>
      <c r="F100" s="12" t="s">
        <v>66</v>
      </c>
      <c r="G100" s="12" t="s">
        <v>67</v>
      </c>
      <c r="H100" s="12" t="s">
        <v>68</v>
      </c>
      <c r="I100" s="12" t="s">
        <v>69</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zoomScaleNormal="100" workbookViewId="0">
      <selection activeCell="K27" sqref="K27"/>
    </sheetView>
  </sheetViews>
  <sheetFormatPr defaultColWidth="8.7109375" defaultRowHeight="15" x14ac:dyDescent="0.25"/>
  <cols>
    <col min="1" max="9" width="15" customWidth="1"/>
  </cols>
  <sheetData>
    <row r="1" spans="1:9" ht="17.25" customHeight="1" x14ac:dyDescent="0.25">
      <c r="A1" s="72" t="s">
        <v>85</v>
      </c>
      <c r="B1" s="72"/>
      <c r="C1" s="72"/>
      <c r="D1" s="72"/>
      <c r="E1" s="72"/>
      <c r="F1" s="72"/>
      <c r="G1" s="72"/>
      <c r="H1" s="72"/>
      <c r="I1" s="72"/>
    </row>
    <row r="2" spans="1:9" ht="15" customHeight="1" x14ac:dyDescent="0.25">
      <c r="A2" s="11" t="s">
        <v>86</v>
      </c>
    </row>
    <row r="4" spans="1:9" ht="15" customHeight="1" x14ac:dyDescent="0.25">
      <c r="A4" s="76" t="s">
        <v>87</v>
      </c>
      <c r="B4" s="76"/>
      <c r="C4" s="76"/>
      <c r="D4" s="76"/>
      <c r="E4" s="76"/>
      <c r="F4" s="76"/>
      <c r="G4" s="76"/>
      <c r="H4" s="76"/>
      <c r="I4" s="76"/>
    </row>
    <row r="5" spans="1:9" ht="15" customHeight="1" x14ac:dyDescent="0.25">
      <c r="A5" s="12" t="s">
        <v>1</v>
      </c>
      <c r="B5" s="12" t="s">
        <v>2</v>
      </c>
      <c r="C5" s="12" t="s">
        <v>63</v>
      </c>
      <c r="D5" s="12" t="s">
        <v>64</v>
      </c>
      <c r="E5" s="12" t="s">
        <v>65</v>
      </c>
      <c r="F5" s="12" t="s">
        <v>66</v>
      </c>
      <c r="G5" s="12" t="s">
        <v>88</v>
      </c>
      <c r="H5" s="12" t="s">
        <v>89</v>
      </c>
      <c r="I5" s="12" t="s">
        <v>90</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6" t="s">
        <v>91</v>
      </c>
      <c r="B23" s="76"/>
      <c r="C23" s="76"/>
      <c r="D23" s="76"/>
      <c r="E23" s="76"/>
      <c r="F23" s="76"/>
      <c r="G23" s="76"/>
      <c r="H23" s="76"/>
      <c r="I23" s="76"/>
    </row>
    <row r="24" spans="1:9" ht="15" customHeight="1" x14ac:dyDescent="0.25">
      <c r="A24" s="12" t="s">
        <v>1</v>
      </c>
      <c r="B24" s="12" t="s">
        <v>2</v>
      </c>
      <c r="C24" s="12" t="s">
        <v>63</v>
      </c>
      <c r="D24" s="12" t="s">
        <v>64</v>
      </c>
      <c r="E24" s="12" t="s">
        <v>65</v>
      </c>
      <c r="F24" s="12" t="s">
        <v>66</v>
      </c>
      <c r="G24" s="12" t="s">
        <v>88</v>
      </c>
      <c r="H24" s="12" t="s">
        <v>89</v>
      </c>
      <c r="I24" s="12" t="s">
        <v>90</v>
      </c>
    </row>
    <row r="25" spans="1:9" ht="15" customHeight="1" x14ac:dyDescent="0.25">
      <c r="A25" s="2">
        <v>1</v>
      </c>
      <c r="B25" s="13" t="str">
        <f>VLOOKUP(A25,Roster!$A$3:$B$18,2,FALSE())</f>
        <v>Player 1</v>
      </c>
      <c r="C25" s="14">
        <v>5</v>
      </c>
      <c r="D25" s="9">
        <v>3</v>
      </c>
      <c r="E25" s="9">
        <f>C27</f>
        <v>0</v>
      </c>
      <c r="F25" s="2" t="str">
        <f t="shared" ref="F25:F40" si="4">IF(AND(C25=0,E25=0),"-",IF(C25&gt;E25,"W",IF(C25&lt;E25,"L","T")))</f>
        <v>W</v>
      </c>
      <c r="G25" s="2">
        <f t="shared" ref="G25:G40" si="5">IF(F25="W",1,IF(F25="T",0.5,0))</f>
        <v>1</v>
      </c>
      <c r="H25" s="2">
        <f t="shared" ref="H25:H40" si="6">IF(F25="L",1,IF(F25="T",0.5,0))</f>
        <v>0</v>
      </c>
      <c r="I25" s="2">
        <f t="shared" ref="I25:I40" si="7">C25</f>
        <v>5</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5</v>
      </c>
      <c r="F27" s="2" t="str">
        <f t="shared" si="4"/>
        <v>L</v>
      </c>
      <c r="G27" s="2">
        <f t="shared" si="5"/>
        <v>0</v>
      </c>
      <c r="H27" s="2">
        <f t="shared" si="6"/>
        <v>1</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6" t="s">
        <v>92</v>
      </c>
      <c r="B42" s="76"/>
      <c r="C42" s="76"/>
      <c r="D42" s="76"/>
      <c r="E42" s="76"/>
      <c r="F42" s="76"/>
      <c r="G42" s="76"/>
      <c r="H42" s="76"/>
      <c r="I42" s="76"/>
    </row>
    <row r="43" spans="1:9" ht="15" customHeight="1" x14ac:dyDescent="0.25">
      <c r="A43" s="12" t="s">
        <v>1</v>
      </c>
      <c r="B43" s="12" t="s">
        <v>2</v>
      </c>
      <c r="C43" s="12" t="s">
        <v>63</v>
      </c>
      <c r="D43" s="12" t="s">
        <v>64</v>
      </c>
      <c r="E43" s="12" t="s">
        <v>65</v>
      </c>
      <c r="F43" s="12" t="s">
        <v>66</v>
      </c>
      <c r="G43" s="12" t="s">
        <v>88</v>
      </c>
      <c r="H43" s="12" t="s">
        <v>89</v>
      </c>
      <c r="I43" s="12" t="s">
        <v>90</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6" t="s">
        <v>93</v>
      </c>
      <c r="B61" s="76"/>
      <c r="C61" s="76"/>
      <c r="D61" s="76"/>
      <c r="E61" s="76"/>
      <c r="F61" s="76"/>
      <c r="G61" s="76"/>
      <c r="H61" s="76"/>
      <c r="I61" s="76"/>
    </row>
    <row r="62" spans="1:9" ht="15" customHeight="1" x14ac:dyDescent="0.25">
      <c r="A62" s="12" t="s">
        <v>1</v>
      </c>
      <c r="B62" s="12" t="s">
        <v>2</v>
      </c>
      <c r="C62" s="12" t="s">
        <v>63</v>
      </c>
      <c r="D62" s="12" t="s">
        <v>64</v>
      </c>
      <c r="E62" s="12" t="s">
        <v>65</v>
      </c>
      <c r="F62" s="12" t="s">
        <v>66</v>
      </c>
      <c r="G62" s="12" t="s">
        <v>88</v>
      </c>
      <c r="H62" s="12" t="s">
        <v>89</v>
      </c>
      <c r="I62" s="12" t="s">
        <v>90</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6" t="s">
        <v>94</v>
      </c>
      <c r="B80" s="76"/>
      <c r="C80" s="76"/>
      <c r="D80" s="76"/>
      <c r="E80" s="76"/>
      <c r="F80" s="76"/>
      <c r="G80" s="76"/>
      <c r="H80" s="76"/>
      <c r="I80" s="76"/>
    </row>
    <row r="81" spans="1:9" ht="15" customHeight="1" x14ac:dyDescent="0.25">
      <c r="A81" s="12" t="s">
        <v>1</v>
      </c>
      <c r="B81" s="12" t="s">
        <v>2</v>
      </c>
      <c r="C81" s="12" t="s">
        <v>63</v>
      </c>
      <c r="D81" s="12" t="s">
        <v>64</v>
      </c>
      <c r="E81" s="12" t="s">
        <v>65</v>
      </c>
      <c r="F81" s="12" t="s">
        <v>66</v>
      </c>
      <c r="G81" s="12" t="s">
        <v>88</v>
      </c>
      <c r="H81" s="12" t="s">
        <v>89</v>
      </c>
      <c r="I81" s="12" t="s">
        <v>90</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6" t="s">
        <v>95</v>
      </c>
      <c r="B99" s="76"/>
      <c r="C99" s="76"/>
      <c r="D99" s="76"/>
      <c r="E99" s="76"/>
      <c r="F99" s="76"/>
      <c r="G99" s="76"/>
      <c r="H99" s="76"/>
      <c r="I99" s="76"/>
    </row>
    <row r="100" spans="1:9" ht="15" customHeight="1" x14ac:dyDescent="0.25">
      <c r="A100" s="12" t="s">
        <v>1</v>
      </c>
      <c r="B100" s="12" t="s">
        <v>2</v>
      </c>
      <c r="C100" s="12" t="s">
        <v>63</v>
      </c>
      <c r="D100" s="12" t="s">
        <v>64</v>
      </c>
      <c r="E100" s="12" t="s">
        <v>65</v>
      </c>
      <c r="F100" s="12" t="s">
        <v>66</v>
      </c>
      <c r="G100" s="12" t="s">
        <v>88</v>
      </c>
      <c r="H100" s="12" t="s">
        <v>89</v>
      </c>
      <c r="I100" s="12" t="s">
        <v>90</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2" t="s">
        <v>158</v>
      </c>
      <c r="B1" s="72"/>
      <c r="C1" s="72"/>
      <c r="D1" s="72"/>
      <c r="E1" s="72"/>
      <c r="F1" s="72"/>
      <c r="G1" s="72"/>
      <c r="H1" s="32"/>
      <c r="I1" s="32"/>
      <c r="J1" s="32"/>
    </row>
    <row r="2" spans="1:10" ht="15" customHeight="1" x14ac:dyDescent="0.25">
      <c r="A2" s="32"/>
      <c r="B2" s="32"/>
      <c r="C2" s="32"/>
      <c r="D2" s="32"/>
      <c r="E2" s="32"/>
      <c r="F2" s="32"/>
      <c r="G2" s="32"/>
      <c r="H2" s="32"/>
      <c r="I2" s="32"/>
      <c r="J2" s="32"/>
    </row>
    <row r="3" spans="1:10" ht="15" customHeight="1" x14ac:dyDescent="0.25">
      <c r="A3" s="78" t="s">
        <v>159</v>
      </c>
      <c r="B3" s="78"/>
      <c r="C3" s="78"/>
      <c r="D3" s="78"/>
      <c r="E3" s="78"/>
      <c r="F3" s="78"/>
      <c r="G3" s="78"/>
      <c r="H3" s="32"/>
      <c r="I3" s="32"/>
      <c r="J3" s="32"/>
    </row>
    <row r="4" spans="1:10" ht="24" customHeight="1" x14ac:dyDescent="0.25">
      <c r="A4" s="19" t="s">
        <v>160</v>
      </c>
      <c r="B4" s="19" t="s">
        <v>161</v>
      </c>
      <c r="C4" s="19" t="s">
        <v>162</v>
      </c>
      <c r="D4" s="19" t="s">
        <v>163</v>
      </c>
      <c r="E4" s="19" t="s">
        <v>164</v>
      </c>
      <c r="F4" s="19" t="s">
        <v>165</v>
      </c>
      <c r="G4" s="19"/>
      <c r="H4" s="32"/>
      <c r="I4" s="32"/>
      <c r="J4" s="32"/>
    </row>
    <row r="5" spans="1:10" ht="15" customHeight="1" x14ac:dyDescent="0.25">
      <c r="A5" s="33" t="s">
        <v>166</v>
      </c>
      <c r="B5" s="34" t="str">
        <f>INDEX(Helper!$B$2:$B$17,MATCH(LARGE(Helper!$AH$2:$AH$17,1),Helper!$AH$2:$AH$17,0))</f>
        <v>Player 1</v>
      </c>
      <c r="C5" s="35" t="s">
        <v>146</v>
      </c>
      <c r="D5" s="2" t="s">
        <v>167</v>
      </c>
      <c r="E5" s="36" t="str">
        <f>B5</f>
        <v>Player 1</v>
      </c>
      <c r="F5" s="37" t="s">
        <v>168</v>
      </c>
      <c r="G5" s="32"/>
      <c r="H5" s="32"/>
      <c r="I5" s="32"/>
      <c r="J5" s="32"/>
    </row>
    <row r="6" spans="1:10" ht="15" customHeight="1" x14ac:dyDescent="0.25">
      <c r="A6" s="33" t="s">
        <v>169</v>
      </c>
      <c r="B6" s="34" t="str">
        <f>INDEX(Helper!$B$2:$B$17,MATCH(LARGE(Helper!$AJ$2:$AJ$17,1),Helper!$AJ$2:$AJ$17,0))</f>
        <v>Player 16</v>
      </c>
      <c r="C6" s="35" t="s">
        <v>146</v>
      </c>
      <c r="D6" s="2" t="s">
        <v>170</v>
      </c>
      <c r="E6" s="36" t="str">
        <f>IF(COUNTIF($E$5:$E$5,B6)&gt;0,IF(COUNTIF($E$5:$E$5,INDEX(Helper!$B$2:$B$17,MATCH(LARGE(Helper!$AJ$2:$AJ$17,2),Helper!$AJ$2:$AJ$17,0)))&gt;0,INDEX(Helper!$B$2:$B$17,MATCH(LARGE(Helper!$AJ$2:$AJ$17,3),Helper!$AJ$2:$AJ$17,0)),INDEX(Helper!$B$2:$B$17,MATCH(LARGE(Helper!$AJ$2:$AJ$17,2),Helper!$AJ$2:$AJ$17,0))),B6)</f>
        <v>Player 16</v>
      </c>
      <c r="F6" s="37" t="str">
        <f>IF(B6=E6,"QUALIFIED","PASS → "&amp;E6)</f>
        <v>QUALIFIED</v>
      </c>
      <c r="G6" s="32"/>
      <c r="H6" s="32"/>
      <c r="I6" s="32"/>
      <c r="J6" s="32"/>
    </row>
    <row r="7" spans="1:10" ht="15" customHeight="1" x14ac:dyDescent="0.25">
      <c r="A7" s="38" t="s">
        <v>171</v>
      </c>
      <c r="B7" s="34" t="str">
        <f>INDEX(Helper!$B$2:$B$5,MATCH(LARGE(Helper!$AL$2:$AL$5,1),Helper!$AL$2:$AL$5,0))</f>
        <v>Player 1</v>
      </c>
      <c r="C7" s="35" t="s">
        <v>172</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PASS → Player 4</v>
      </c>
      <c r="G7" s="32"/>
      <c r="H7" s="32"/>
      <c r="I7" s="32"/>
      <c r="J7" s="32"/>
    </row>
    <row r="8" spans="1:10" ht="15" customHeight="1" x14ac:dyDescent="0.25">
      <c r="A8" s="38" t="s">
        <v>173</v>
      </c>
      <c r="B8" s="34" t="str">
        <f>INDEX(Helper!$B$6:$B$9,MATCH(LARGE(Helper!$AL$6:$AL$9,1),Helper!$AL$6:$AL$9,0))</f>
        <v>Player 8</v>
      </c>
      <c r="C8" s="35" t="s">
        <v>172</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174</v>
      </c>
      <c r="B9" s="34" t="str">
        <f>INDEX(Helper!$B$10:$B$13,MATCH(LARGE(Helper!$AL$10:$AL$13,1),Helper!$AL$10:$AL$13,0))</f>
        <v>Player 12</v>
      </c>
      <c r="C9" s="35" t="s">
        <v>172</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175</v>
      </c>
      <c r="B10" s="34" t="str">
        <f>INDEX(Helper!$B$14:$B$17,MATCH(LARGE(Helper!$AL$14:$AL$17,1),Helper!$AL$14:$AL$17,0))</f>
        <v>Player 16</v>
      </c>
      <c r="C10" s="35" t="s">
        <v>172</v>
      </c>
      <c r="D10" s="2" t="s">
        <v>25</v>
      </c>
      <c r="E10" s="36" t="str">
        <f>IF(COUNTIF($E$5:$E$9,B10)&gt;0,IF(COUNTIF($E$5:$E$9,INDEX(Helper!$B$14:$B$17,MATCH(LARGE(Helper!$AL$14:$AL$17,2),Helper!$AL$14:$AL$17,0)))&gt;0,INDEX(Helper!$B$14:$B$17,MATCH(LARGE(Helper!$AL$14:$AL$17,3),Helper!$AL$14:$AL$17,0)),INDEX(Helper!$B$14:$B$17,MATCH(LARGE(Helper!$AL$14:$AL$17,2),Helper!$AL$14:$AL$17,0))),B10)</f>
        <v>Player 15</v>
      </c>
      <c r="F10" s="37" t="str">
        <f>IF(B10=E10,"QUALIFIED","PASS → "&amp;E10)</f>
        <v>PASS → Player 15</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79" t="s">
        <v>176</v>
      </c>
      <c r="B12" s="79"/>
      <c r="C12" s="79"/>
      <c r="D12" s="79"/>
      <c r="E12" s="79"/>
      <c r="F12" s="79"/>
      <c r="G12" s="79"/>
      <c r="H12" s="32"/>
      <c r="I12" s="32"/>
      <c r="J12" s="32"/>
    </row>
    <row r="13" spans="1:10" ht="15" customHeight="1" x14ac:dyDescent="0.25">
      <c r="A13" s="41" t="s">
        <v>160</v>
      </c>
      <c r="B13" s="41" t="s">
        <v>107</v>
      </c>
      <c r="C13" s="41" t="s">
        <v>177</v>
      </c>
      <c r="D13" s="41" t="s">
        <v>163</v>
      </c>
      <c r="E13" s="41"/>
      <c r="F13" s="41"/>
      <c r="G13" s="41"/>
      <c r="H13" s="32"/>
      <c r="I13" s="32"/>
      <c r="J13" s="32"/>
    </row>
    <row r="14" spans="1:10" ht="25.5" customHeight="1" x14ac:dyDescent="0.25">
      <c r="A14" s="1" t="s">
        <v>178</v>
      </c>
      <c r="B14" s="42" t="str">
        <f>INDEX(Helper!$B$2:$B$17,MATCH(LARGE(Helper!$AO$2:$AO$17,1),Helper!$AO$2:$AO$17,0))</f>
        <v>Player 14</v>
      </c>
      <c r="C14" s="2">
        <f>INDEX(Helper!$AE$2:$AE$17,MATCH(LARGE(Helper!$AO$2:$AO$17,1),Helper!$AO$2:$AO$17,0))</f>
        <v>0</v>
      </c>
      <c r="D14" s="2" t="s">
        <v>179</v>
      </c>
      <c r="E14" s="40"/>
      <c r="F14" s="32"/>
      <c r="G14" s="32"/>
      <c r="H14" s="32"/>
      <c r="I14" s="32"/>
      <c r="J14" s="32"/>
    </row>
    <row r="15" spans="1:10" ht="25.5" customHeight="1" x14ac:dyDescent="0.25">
      <c r="A15" s="1" t="s">
        <v>180</v>
      </c>
      <c r="B15" s="42" t="str">
        <f>INDEX(Helper!$B$2:$B$17,MATCH(LARGE(Helper!$AO$2:$AO$17,2),Helper!$AO$2:$AO$17,0))</f>
        <v>Player 13</v>
      </c>
      <c r="C15" s="2">
        <f>INDEX(Helper!$AE$2:$AE$17,MATCH(LARGE(Helper!$AO$2:$AO$17,2),Helper!$AO$2:$AO$17,0))</f>
        <v>0</v>
      </c>
      <c r="D15" s="2" t="s">
        <v>179</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1" t="s">
        <v>181</v>
      </c>
      <c r="B17" s="71"/>
      <c r="C17" s="71"/>
      <c r="D17" s="71"/>
      <c r="E17" s="71"/>
      <c r="F17" s="32"/>
      <c r="G17" s="32"/>
      <c r="H17" s="32"/>
      <c r="I17" s="32"/>
      <c r="J17" s="32"/>
    </row>
    <row r="18" spans="1:10" ht="15" customHeight="1" x14ac:dyDescent="0.25">
      <c r="A18" s="43" t="s">
        <v>37</v>
      </c>
      <c r="B18" s="29" t="s">
        <v>107</v>
      </c>
      <c r="C18" s="29" t="s">
        <v>182</v>
      </c>
      <c r="D18" s="29"/>
      <c r="E18" s="29"/>
      <c r="F18" s="32"/>
      <c r="G18" s="32"/>
      <c r="H18" s="32"/>
      <c r="I18" s="32"/>
      <c r="J18" s="32"/>
    </row>
    <row r="19" spans="1:10" ht="15" customHeight="1" x14ac:dyDescent="0.25">
      <c r="A19" s="2">
        <v>1</v>
      </c>
      <c r="B19" s="44" t="str">
        <f t="shared" ref="B19:B24" si="0">E5</f>
        <v>Player 1</v>
      </c>
      <c r="C19" s="2" t="s">
        <v>167</v>
      </c>
      <c r="D19" s="40"/>
      <c r="E19" s="40"/>
      <c r="F19" s="32"/>
      <c r="G19" s="32"/>
      <c r="H19" s="32"/>
      <c r="I19" s="32"/>
      <c r="J19" s="32"/>
    </row>
    <row r="20" spans="1:10" ht="23.25" customHeight="1" x14ac:dyDescent="0.25">
      <c r="A20" s="2">
        <v>2</v>
      </c>
      <c r="B20" s="44" t="str">
        <f t="shared" si="0"/>
        <v>Player 16</v>
      </c>
      <c r="C20" s="2" t="s">
        <v>170</v>
      </c>
      <c r="D20" s="32"/>
      <c r="E20" s="32"/>
      <c r="F20" s="32"/>
      <c r="G20" s="32"/>
      <c r="H20" s="32"/>
      <c r="I20" s="32"/>
      <c r="J20" s="32"/>
    </row>
    <row r="21" spans="1:10" ht="23.25" customHeight="1" x14ac:dyDescent="0.25">
      <c r="A21" s="2">
        <v>3</v>
      </c>
      <c r="B21" s="44" t="str">
        <f t="shared" si="0"/>
        <v>Player 4</v>
      </c>
      <c r="C21" s="2" t="s">
        <v>183</v>
      </c>
      <c r="D21" s="32"/>
      <c r="E21" s="32"/>
      <c r="F21" s="32"/>
      <c r="G21" s="32"/>
      <c r="H21" s="32"/>
      <c r="I21" s="32"/>
      <c r="J21" s="32"/>
    </row>
    <row r="22" spans="1:10" ht="15" customHeight="1" x14ac:dyDescent="0.25">
      <c r="A22" s="2">
        <v>4</v>
      </c>
      <c r="B22" s="44" t="str">
        <f t="shared" si="0"/>
        <v>Player 8</v>
      </c>
      <c r="C22" s="2" t="s">
        <v>184</v>
      </c>
      <c r="D22" s="32"/>
      <c r="E22" s="32"/>
      <c r="F22" s="32"/>
      <c r="G22" s="32"/>
      <c r="H22" s="32"/>
      <c r="I22" s="32"/>
      <c r="J22" s="32"/>
    </row>
    <row r="23" spans="1:10" ht="15" customHeight="1" x14ac:dyDescent="0.25">
      <c r="A23" s="2">
        <v>5</v>
      </c>
      <c r="B23" s="44" t="str">
        <f t="shared" si="0"/>
        <v>Player 12</v>
      </c>
      <c r="C23" s="2" t="s">
        <v>185</v>
      </c>
      <c r="D23" s="32"/>
      <c r="E23" s="32"/>
      <c r="F23" s="32"/>
      <c r="G23" s="32"/>
      <c r="H23" s="32"/>
      <c r="I23" s="32"/>
      <c r="J23" s="32"/>
    </row>
    <row r="24" spans="1:10" ht="15" customHeight="1" x14ac:dyDescent="0.25">
      <c r="A24" s="2">
        <v>6</v>
      </c>
      <c r="B24" s="44" t="str">
        <f t="shared" si="0"/>
        <v>Player 15</v>
      </c>
      <c r="C24" s="2" t="s">
        <v>186</v>
      </c>
      <c r="D24" s="32"/>
      <c r="E24" s="32"/>
      <c r="F24" s="32"/>
      <c r="G24" s="32"/>
      <c r="H24" s="32"/>
      <c r="I24" s="32"/>
      <c r="J24" s="32"/>
    </row>
    <row r="25" spans="1:10" ht="15" customHeight="1" x14ac:dyDescent="0.25">
      <c r="A25" s="2">
        <v>7</v>
      </c>
      <c r="B25" s="44" t="str">
        <f>B14</f>
        <v>Player 14</v>
      </c>
      <c r="C25" s="2" t="s">
        <v>178</v>
      </c>
      <c r="D25" s="32"/>
      <c r="E25" s="32"/>
      <c r="F25" s="32"/>
      <c r="G25" s="32"/>
      <c r="H25" s="32"/>
      <c r="I25" s="32"/>
      <c r="J25" s="32"/>
    </row>
    <row r="26" spans="1:10" ht="15" customHeight="1" x14ac:dyDescent="0.25">
      <c r="A26" s="2">
        <v>8</v>
      </c>
      <c r="B26" s="44" t="str">
        <f>B15</f>
        <v>Player 13</v>
      </c>
      <c r="C26" s="2" t="s">
        <v>180</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8" t="s">
        <v>187</v>
      </c>
      <c r="B28" s="78"/>
      <c r="C28" s="78"/>
      <c r="D28" s="78"/>
      <c r="E28" s="78"/>
      <c r="F28" s="78"/>
      <c r="G28" s="32"/>
      <c r="H28" s="32"/>
      <c r="I28" s="32"/>
      <c r="J28" s="32"/>
    </row>
    <row r="29" spans="1:10" ht="15" customHeight="1" x14ac:dyDescent="0.25">
      <c r="A29" s="19" t="s">
        <v>37</v>
      </c>
      <c r="B29" s="19" t="s">
        <v>107</v>
      </c>
      <c r="C29" s="19" t="s">
        <v>188</v>
      </c>
      <c r="D29" s="19" t="s">
        <v>189</v>
      </c>
      <c r="E29" s="19" t="s">
        <v>190</v>
      </c>
      <c r="F29" s="19" t="s">
        <v>191</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10</v>
      </c>
      <c r="E30" s="46">
        <f>IF(B30='Playoff Finals'!B13,200,IF(B30='Playoff Finals'!B14,75,IF(B30='Playoff Finals'!B15,35,0)))</f>
        <v>35</v>
      </c>
      <c r="F30" s="47">
        <f t="shared" ref="F30:F45" si="3">C30+D30+E30</f>
        <v>70</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0</v>
      </c>
      <c r="E33" s="46">
        <f>IF(B33='Playoff Finals'!B13,200,IF(B33='Playoff Finals'!B14,75,IF(B33='Playoff Finals'!B15,35,0)))</f>
        <v>75</v>
      </c>
      <c r="F33" s="47">
        <f t="shared" si="3"/>
        <v>75</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200</v>
      </c>
      <c r="F37" s="47">
        <f t="shared" si="3"/>
        <v>210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0</v>
      </c>
      <c r="F41" s="47">
        <f t="shared" si="3"/>
        <v>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0</v>
      </c>
      <c r="F43" s="47">
        <f t="shared" si="3"/>
        <v>0</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0</v>
      </c>
      <c r="F44" s="47">
        <f t="shared" si="3"/>
        <v>0</v>
      </c>
      <c r="G44" s="32"/>
      <c r="H44" s="32"/>
      <c r="I44" s="32"/>
      <c r="J44" s="32"/>
    </row>
    <row r="45" spans="1:10" ht="15" customHeight="1" x14ac:dyDescent="0.25">
      <c r="A45" s="2">
        <v>16</v>
      </c>
      <c r="B45" s="45" t="str">
        <f>VLOOKUP(A45,Roster!$A$3:$B$18,2,FALSE())</f>
        <v>Player 16</v>
      </c>
      <c r="C45" s="46">
        <f t="shared" si="1"/>
        <v>25</v>
      </c>
      <c r="D45" s="46">
        <f t="shared" si="2"/>
        <v>10</v>
      </c>
      <c r="E45" s="46">
        <f>IF(B45='Playoff Finals'!B13,200,IF(B45='Playoff Finals'!B14,75,IF(B45='Playoff Finals'!B15,35,0)))</f>
        <v>0</v>
      </c>
      <c r="F45" s="47">
        <f t="shared" si="3"/>
        <v>35</v>
      </c>
      <c r="G45" s="32"/>
      <c r="H45" s="32"/>
      <c r="I45" s="32"/>
      <c r="J45" s="32"/>
    </row>
    <row r="46" spans="1:10" ht="15" customHeight="1" x14ac:dyDescent="0.25">
      <c r="A46" s="77" t="s">
        <v>192</v>
      </c>
      <c r="B46" s="77"/>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J19" sqref="J19"/>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0" t="s">
        <v>193</v>
      </c>
      <c r="B1" s="70"/>
      <c r="C1" s="70"/>
      <c r="D1" s="70"/>
      <c r="E1" s="70"/>
      <c r="F1" s="70"/>
      <c r="G1" s="70"/>
    </row>
    <row r="2" spans="1:8" ht="15" customHeight="1" x14ac:dyDescent="0.25">
      <c r="A2" s="11" t="s">
        <v>194</v>
      </c>
    </row>
    <row r="4" spans="1:8" ht="15" customHeight="1" x14ac:dyDescent="0.25">
      <c r="A4" s="50" t="s">
        <v>37</v>
      </c>
      <c r="B4" s="26" t="s">
        <v>107</v>
      </c>
      <c r="C4" s="26" t="s">
        <v>78</v>
      </c>
      <c r="D4" s="26" t="s">
        <v>195</v>
      </c>
      <c r="E4" s="26" t="s">
        <v>196</v>
      </c>
      <c r="F4" s="26" t="s">
        <v>197</v>
      </c>
      <c r="G4" s="26" t="s">
        <v>198</v>
      </c>
      <c r="H4" s="26" t="s">
        <v>199</v>
      </c>
    </row>
    <row r="5" spans="1:8" ht="15" customHeight="1" x14ac:dyDescent="0.25">
      <c r="A5" s="2">
        <v>1</v>
      </c>
      <c r="B5" s="45" t="str">
        <f>'Playoff Picture'!B19</f>
        <v>Player 1</v>
      </c>
      <c r="C5" s="14">
        <v>15</v>
      </c>
      <c r="D5" s="51">
        <f t="shared" ref="D5:D12" si="0">C5+A5*0.001</f>
        <v>15.000999999999999</v>
      </c>
      <c r="E5" s="14">
        <v>6</v>
      </c>
      <c r="F5" s="14">
        <v>0</v>
      </c>
      <c r="G5" s="14">
        <v>0</v>
      </c>
      <c r="H5" s="51">
        <f t="shared" ref="H5:H12" si="1">C5*10000000+(100-E5)*100000+F5*1000+G5*10+A5*0.001</f>
        <v>159400000.00099999</v>
      </c>
    </row>
    <row r="6" spans="1:8" ht="15" customHeight="1" x14ac:dyDescent="0.25">
      <c r="A6" s="2">
        <v>2</v>
      </c>
      <c r="B6" s="45" t="str">
        <f>'Playoff Picture'!B20</f>
        <v>Player 16</v>
      </c>
      <c r="C6" s="14">
        <v>12</v>
      </c>
      <c r="D6" s="51">
        <f t="shared" si="0"/>
        <v>12.002000000000001</v>
      </c>
      <c r="E6" s="14">
        <v>2</v>
      </c>
      <c r="F6" s="14">
        <v>0</v>
      </c>
      <c r="G6" s="14">
        <v>0</v>
      </c>
      <c r="H6" s="51">
        <f t="shared" si="1"/>
        <v>129800000.002</v>
      </c>
    </row>
    <row r="7" spans="1:8" ht="15" customHeight="1" x14ac:dyDescent="0.25">
      <c r="A7" s="2">
        <v>3</v>
      </c>
      <c r="B7" s="45" t="str">
        <f>'Playoff Picture'!B21</f>
        <v>Player 4</v>
      </c>
      <c r="C7" s="14">
        <v>35</v>
      </c>
      <c r="D7" s="51">
        <f t="shared" si="0"/>
        <v>35.003</v>
      </c>
      <c r="E7" s="14">
        <v>3</v>
      </c>
      <c r="F7" s="14">
        <v>0</v>
      </c>
      <c r="G7" s="14">
        <v>0</v>
      </c>
      <c r="H7" s="51">
        <f t="shared" si="1"/>
        <v>359700000.00300002</v>
      </c>
    </row>
    <row r="8" spans="1:8" ht="15" customHeight="1" x14ac:dyDescent="0.25">
      <c r="A8" s="2">
        <v>4</v>
      </c>
      <c r="B8" s="45" t="str">
        <f>'Playoff Picture'!B22</f>
        <v>Player 8</v>
      </c>
      <c r="C8" s="14">
        <v>15</v>
      </c>
      <c r="D8" s="51">
        <f t="shared" si="0"/>
        <v>15.004</v>
      </c>
      <c r="E8" s="14">
        <v>4</v>
      </c>
      <c r="F8" s="14">
        <v>0</v>
      </c>
      <c r="G8" s="14">
        <v>0</v>
      </c>
      <c r="H8" s="51">
        <f t="shared" si="1"/>
        <v>159600000.00400001</v>
      </c>
    </row>
    <row r="9" spans="1:8" ht="15" customHeight="1" x14ac:dyDescent="0.25">
      <c r="A9" s="2">
        <v>5</v>
      </c>
      <c r="B9" s="45" t="str">
        <f>'Playoff Picture'!B23</f>
        <v>Player 12</v>
      </c>
      <c r="C9" s="14">
        <v>12</v>
      </c>
      <c r="D9" s="51">
        <f t="shared" si="0"/>
        <v>12.005000000000001</v>
      </c>
      <c r="E9" s="14">
        <v>1</v>
      </c>
      <c r="F9" s="14">
        <v>0</v>
      </c>
      <c r="G9" s="14">
        <v>0</v>
      </c>
      <c r="H9" s="51">
        <f t="shared" si="1"/>
        <v>129900000.005</v>
      </c>
    </row>
    <row r="10" spans="1:8" ht="15" customHeight="1" x14ac:dyDescent="0.25">
      <c r="A10" s="2">
        <v>6</v>
      </c>
      <c r="B10" s="45" t="str">
        <f>'Playoff Picture'!B24</f>
        <v>Player 15</v>
      </c>
      <c r="C10" s="14">
        <v>5</v>
      </c>
      <c r="D10" s="51">
        <f t="shared" si="0"/>
        <v>5.0060000000000002</v>
      </c>
      <c r="E10" s="14">
        <v>5</v>
      </c>
      <c r="F10" s="14">
        <v>0</v>
      </c>
      <c r="G10" s="14">
        <v>0</v>
      </c>
      <c r="H10" s="51">
        <f t="shared" si="1"/>
        <v>59500000.005999997</v>
      </c>
    </row>
    <row r="11" spans="1:8" ht="15" customHeight="1" x14ac:dyDescent="0.25">
      <c r="A11" s="2">
        <v>7</v>
      </c>
      <c r="B11" s="45" t="str">
        <f>'Playoff Picture'!B25</f>
        <v>Player 14</v>
      </c>
      <c r="C11" s="14">
        <v>9</v>
      </c>
      <c r="D11" s="51">
        <f t="shared" si="0"/>
        <v>9.0069999999999997</v>
      </c>
      <c r="E11" s="14">
        <v>7</v>
      </c>
      <c r="F11" s="14">
        <v>0</v>
      </c>
      <c r="G11" s="14">
        <v>0</v>
      </c>
      <c r="H11" s="51">
        <f t="shared" si="1"/>
        <v>99300000.006999999</v>
      </c>
    </row>
    <row r="12" spans="1:8" ht="15" customHeight="1" x14ac:dyDescent="0.25">
      <c r="A12" s="2">
        <v>8</v>
      </c>
      <c r="B12" s="45" t="str">
        <f>'Playoff Picture'!B26</f>
        <v>Player 13</v>
      </c>
      <c r="C12" s="14">
        <v>12</v>
      </c>
      <c r="D12" s="51">
        <f t="shared" si="0"/>
        <v>12.007999999999999</v>
      </c>
      <c r="E12" s="14">
        <v>8</v>
      </c>
      <c r="F12" s="14">
        <v>0</v>
      </c>
      <c r="G12" s="14">
        <v>0</v>
      </c>
      <c r="H12" s="51">
        <f t="shared" si="1"/>
        <v>129200000.008</v>
      </c>
    </row>
    <row r="14" spans="1:8" ht="15" customHeight="1" x14ac:dyDescent="0.25">
      <c r="A14" s="71" t="s">
        <v>200</v>
      </c>
      <c r="B14" s="71"/>
      <c r="C14" s="71"/>
      <c r="D14" s="71"/>
      <c r="E14" s="71"/>
      <c r="F14" s="71"/>
      <c r="G14" s="71"/>
    </row>
    <row r="15" spans="1:8" ht="15" customHeight="1" x14ac:dyDescent="0.25">
      <c r="A15" s="29" t="s">
        <v>106</v>
      </c>
      <c r="B15" s="29" t="s">
        <v>107</v>
      </c>
      <c r="C15" s="29" t="s">
        <v>78</v>
      </c>
      <c r="D15" s="52"/>
      <c r="E15" s="29" t="s">
        <v>165</v>
      </c>
      <c r="F15" s="29"/>
      <c r="G15" s="29"/>
    </row>
    <row r="16" spans="1:8" ht="15" customHeight="1" x14ac:dyDescent="0.25">
      <c r="A16" s="44">
        <v>1</v>
      </c>
      <c r="B16" s="44" t="str">
        <f>INDEX($B$5:$B$12,MATCH(LARGE($H$5:$H$12,1),$H$5:$H$12,0))</f>
        <v>Player 4</v>
      </c>
      <c r="C16" s="2">
        <f>INDEX($C$5:$C$12,MATCH(LARGE($H$5:$H$12,1),$H$5:$H$12,0))</f>
        <v>35</v>
      </c>
      <c r="D16" s="2"/>
      <c r="E16" s="36" t="s">
        <v>201</v>
      </c>
    </row>
    <row r="17" spans="1:5" ht="15" customHeight="1" x14ac:dyDescent="0.25">
      <c r="A17" s="44">
        <v>2</v>
      </c>
      <c r="B17" s="44" t="str">
        <f>INDEX($B$5:$B$12,MATCH(LARGE($H$5:$H$12,2),$H$5:$H$12,0))</f>
        <v>Player 8</v>
      </c>
      <c r="C17" s="2">
        <f>INDEX($C$5:$C$12,MATCH(LARGE($H$5:$H$12,2),$H$5:$H$12,0))</f>
        <v>15</v>
      </c>
      <c r="D17" s="2"/>
      <c r="E17" s="36" t="s">
        <v>201</v>
      </c>
    </row>
    <row r="18" spans="1:5" ht="15" customHeight="1" x14ac:dyDescent="0.25">
      <c r="A18" s="44">
        <v>3</v>
      </c>
      <c r="B18" s="44" t="str">
        <f>INDEX($B$5:$B$12,MATCH(LARGE($H$5:$H$12,3),$H$5:$H$12,0))</f>
        <v>Player 1</v>
      </c>
      <c r="C18" s="2">
        <f>INDEX($C$5:$C$12,MATCH(LARGE($H$5:$H$12,3),$H$5:$H$12,0))</f>
        <v>15</v>
      </c>
      <c r="D18" s="2"/>
      <c r="E18" s="36" t="s">
        <v>201</v>
      </c>
    </row>
    <row r="19" spans="1:5" ht="15" customHeight="1" x14ac:dyDescent="0.25">
      <c r="A19" s="44">
        <v>4</v>
      </c>
      <c r="B19" s="44" t="str">
        <f>INDEX($B$5:$B$12,MATCH(LARGE($H$5:$H$12,4),$H$5:$H$12,0))</f>
        <v>Player 12</v>
      </c>
      <c r="C19" s="2">
        <f>INDEX($C$5:$C$12,MATCH(LARGE($H$5:$H$12,4),$H$5:$H$12,0))</f>
        <v>12</v>
      </c>
      <c r="D19" s="2"/>
      <c r="E19" s="36" t="s">
        <v>201</v>
      </c>
    </row>
    <row r="20" spans="1:5" ht="15" customHeight="1" x14ac:dyDescent="0.25">
      <c r="A20" s="44">
        <v>5</v>
      </c>
      <c r="B20" s="44" t="str">
        <f>INDEX($B$5:$B$12,MATCH(LARGE($H$5:$H$12,5),$H$5:$H$12,0))</f>
        <v>Player 16</v>
      </c>
      <c r="C20" s="2">
        <f>INDEX($C$5:$C$12,MATCH(LARGE($H$5:$H$12,5),$H$5:$H$12,0))</f>
        <v>12</v>
      </c>
      <c r="D20" s="2"/>
      <c r="E20" s="53" t="s">
        <v>202</v>
      </c>
    </row>
    <row r="21" spans="1:5" ht="15" customHeight="1" x14ac:dyDescent="0.25">
      <c r="A21" s="44">
        <v>6</v>
      </c>
      <c r="B21" s="44" t="str">
        <f>INDEX($B$5:$B$12,MATCH(LARGE($H$5:$H$12,6),$H$5:$H$12,0))</f>
        <v>Player 13</v>
      </c>
      <c r="C21" s="2">
        <f>INDEX($C$5:$C$12,MATCH(LARGE($H$5:$H$12,6),$H$5:$H$12,0))</f>
        <v>12</v>
      </c>
      <c r="D21" s="2"/>
      <c r="E21" s="53" t="s">
        <v>202</v>
      </c>
    </row>
    <row r="22" spans="1:5" ht="15" customHeight="1" x14ac:dyDescent="0.25">
      <c r="A22" s="44">
        <v>7</v>
      </c>
      <c r="B22" s="44" t="str">
        <f>INDEX($B$5:$B$12,MATCH(LARGE($H$5:$H$12,7),$H$5:$H$12,0))</f>
        <v>Player 14</v>
      </c>
      <c r="C22" s="2">
        <f>INDEX($C$5:$C$12,MATCH(LARGE($H$5:$H$12,7),$H$5:$H$12,0))</f>
        <v>9</v>
      </c>
      <c r="D22" s="2"/>
      <c r="E22" s="53" t="s">
        <v>202</v>
      </c>
    </row>
    <row r="23" spans="1:5" ht="15" customHeight="1" x14ac:dyDescent="0.25">
      <c r="A23" s="44">
        <v>8</v>
      </c>
      <c r="B23" s="44" t="str">
        <f>INDEX($B$5:$B$12,MATCH(LARGE($H$5:$H$12,8),$H$5:$H$12,0))</f>
        <v>Player 15</v>
      </c>
      <c r="C23" s="2">
        <f>INDEX($C$5:$C$12,MATCH(LARGE($H$5:$H$12,8),$H$5:$H$12,0))</f>
        <v>5</v>
      </c>
      <c r="D23" s="2"/>
      <c r="E23" s="53" t="s">
        <v>202</v>
      </c>
    </row>
    <row r="25" spans="1:5" ht="15" customHeight="1" x14ac:dyDescent="0.25">
      <c r="A25" s="11" t="s">
        <v>203</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tabSelected="1" zoomScaleNormal="100" workbookViewId="0">
      <selection activeCell="K14" sqref="K14"/>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2" t="s">
        <v>204</v>
      </c>
      <c r="B1" s="72"/>
      <c r="C1" s="72"/>
      <c r="D1" s="72"/>
      <c r="E1" s="72"/>
      <c r="F1" s="72"/>
      <c r="G1" s="72"/>
      <c r="H1" s="72"/>
    </row>
    <row r="2" spans="1:12" ht="15" customHeight="1" x14ac:dyDescent="0.25">
      <c r="A2" s="11" t="s">
        <v>205</v>
      </c>
    </row>
    <row r="4" spans="1:12" ht="15" customHeight="1" x14ac:dyDescent="0.25">
      <c r="A4" s="75" t="s">
        <v>206</v>
      </c>
      <c r="B4" s="75"/>
      <c r="C4" s="75"/>
      <c r="D4" s="75"/>
      <c r="E4" s="75"/>
      <c r="F4" s="75"/>
      <c r="G4" s="75"/>
      <c r="H4" s="75"/>
    </row>
    <row r="5" spans="1:12" ht="15" customHeight="1" x14ac:dyDescent="0.25">
      <c r="A5" s="29" t="s">
        <v>107</v>
      </c>
      <c r="B5" s="29" t="s">
        <v>207</v>
      </c>
      <c r="C5" s="29" t="s">
        <v>208</v>
      </c>
      <c r="D5" s="29" t="s">
        <v>209</v>
      </c>
      <c r="E5" s="29" t="s">
        <v>210</v>
      </c>
      <c r="F5" s="29" t="s">
        <v>211</v>
      </c>
      <c r="G5" s="29" t="s">
        <v>212</v>
      </c>
      <c r="H5" s="29" t="s">
        <v>213</v>
      </c>
      <c r="I5" s="29" t="s">
        <v>214</v>
      </c>
      <c r="K5" s="29" t="s">
        <v>215</v>
      </c>
      <c r="L5" s="29" t="s">
        <v>216</v>
      </c>
    </row>
    <row r="6" spans="1:12" ht="15" customHeight="1" x14ac:dyDescent="0.25">
      <c r="A6" s="54" t="str">
        <f>'Playoff Wild Card'!B16</f>
        <v>Player 4</v>
      </c>
      <c r="B6" s="55">
        <f>'Playoff Wild Card'!C16</f>
        <v>35</v>
      </c>
      <c r="C6" s="14">
        <v>0</v>
      </c>
      <c r="D6" s="56">
        <f>C6*2</f>
        <v>0</v>
      </c>
      <c r="E6" s="14">
        <v>0</v>
      </c>
      <c r="F6" s="56">
        <f>E6*4</f>
        <v>0</v>
      </c>
      <c r="G6" s="14">
        <v>0</v>
      </c>
      <c r="H6" s="57">
        <f>G6*8</f>
        <v>0</v>
      </c>
      <c r="I6" s="58">
        <f>B6+D6+F6+H6</f>
        <v>35</v>
      </c>
      <c r="J6" s="59">
        <f>I6*10000000+(100-K6)*100000+(100-L6)*100+(ROW()-5)*0.001</f>
        <v>359809500.00099999</v>
      </c>
      <c r="K6" s="14">
        <v>2</v>
      </c>
      <c r="L6" s="2">
        <f>D22</f>
        <v>5</v>
      </c>
    </row>
    <row r="7" spans="1:12" ht="15" customHeight="1" x14ac:dyDescent="0.25">
      <c r="A7" s="54" t="str">
        <f>'Playoff Wild Card'!B17</f>
        <v>Player 8</v>
      </c>
      <c r="B7" s="55">
        <f>'Playoff Wild Card'!C17</f>
        <v>15</v>
      </c>
      <c r="C7" s="14">
        <v>2</v>
      </c>
      <c r="D7" s="56">
        <f>C7*2</f>
        <v>4</v>
      </c>
      <c r="E7" s="14">
        <v>2</v>
      </c>
      <c r="F7" s="56">
        <f>E7*4</f>
        <v>8</v>
      </c>
      <c r="G7" s="14">
        <v>1</v>
      </c>
      <c r="H7" s="57">
        <f>G7*8</f>
        <v>8</v>
      </c>
      <c r="I7" s="58">
        <f>B7+D7+F7+H7</f>
        <v>35</v>
      </c>
      <c r="J7" s="59">
        <f>I7*10000000+(100-K7)*100000+(100-L7)*100+(ROW()-5)*0.001</f>
        <v>359909900.00199997</v>
      </c>
      <c r="K7" s="14">
        <v>1</v>
      </c>
      <c r="L7" s="2">
        <f>D23</f>
        <v>1</v>
      </c>
    </row>
    <row r="8" spans="1:12" ht="15" customHeight="1" x14ac:dyDescent="0.25">
      <c r="A8" s="54" t="str">
        <f>'Playoff Wild Card'!B18</f>
        <v>Player 1</v>
      </c>
      <c r="B8" s="55">
        <f>'Playoff Wild Card'!C18</f>
        <v>15</v>
      </c>
      <c r="C8" s="14">
        <v>0</v>
      </c>
      <c r="D8" s="56">
        <f>C8*2</f>
        <v>0</v>
      </c>
      <c r="E8" s="14">
        <v>0</v>
      </c>
      <c r="F8" s="56">
        <f>E8*4</f>
        <v>0</v>
      </c>
      <c r="G8" s="14">
        <v>0</v>
      </c>
      <c r="H8" s="57">
        <f>G8*8</f>
        <v>0</v>
      </c>
      <c r="I8" s="58">
        <f>B8+D8+F8+H8</f>
        <v>15</v>
      </c>
      <c r="J8" s="59">
        <f>I8*10000000+(100-K8)*100000+(100-L8)*100+(ROW()-5)*0.001</f>
        <v>159704000.00299999</v>
      </c>
      <c r="K8" s="14">
        <v>3</v>
      </c>
      <c r="L8" s="2">
        <f>D24</f>
        <v>60</v>
      </c>
    </row>
    <row r="9" spans="1:12" ht="15" customHeight="1" x14ac:dyDescent="0.25">
      <c r="A9" s="54" t="str">
        <f>'Playoff Wild Card'!B19</f>
        <v>Player 12</v>
      </c>
      <c r="B9" s="55">
        <f>'Playoff Wild Card'!C19</f>
        <v>12</v>
      </c>
      <c r="C9" s="14">
        <v>0</v>
      </c>
      <c r="D9" s="56">
        <f>C9*2</f>
        <v>0</v>
      </c>
      <c r="E9" s="14">
        <v>0</v>
      </c>
      <c r="F9" s="56">
        <f>E9*4</f>
        <v>0</v>
      </c>
      <c r="G9" s="14">
        <v>0</v>
      </c>
      <c r="H9" s="57">
        <f>G9*8</f>
        <v>0</v>
      </c>
      <c r="I9" s="58">
        <f>B9+D9+F9+H9</f>
        <v>12</v>
      </c>
      <c r="J9" s="59">
        <f>I9*10000000+(100-K9)*100000+(100-L9)*100+(ROW()-5)*0.001</f>
        <v>129704000.00399999</v>
      </c>
      <c r="K9" s="14">
        <v>3</v>
      </c>
      <c r="L9" s="2">
        <f>D25</f>
        <v>60</v>
      </c>
    </row>
    <row r="11" spans="1:12" ht="15" customHeight="1" x14ac:dyDescent="0.25">
      <c r="A11" s="78" t="s">
        <v>217</v>
      </c>
      <c r="B11" s="78"/>
      <c r="C11" s="78"/>
      <c r="D11" s="78"/>
      <c r="E11" s="78"/>
      <c r="F11" s="78"/>
      <c r="G11" s="78"/>
      <c r="H11" s="78"/>
    </row>
    <row r="12" spans="1:12" ht="15" customHeight="1" x14ac:dyDescent="0.25">
      <c r="A12" s="19" t="s">
        <v>218</v>
      </c>
      <c r="B12" s="19" t="s">
        <v>107</v>
      </c>
      <c r="C12" s="19" t="s">
        <v>207</v>
      </c>
      <c r="D12" s="19" t="s">
        <v>219</v>
      </c>
      <c r="E12" s="19" t="s">
        <v>220</v>
      </c>
      <c r="F12" s="19" t="s">
        <v>221</v>
      </c>
      <c r="G12" s="19" t="s">
        <v>222</v>
      </c>
      <c r="H12" s="19" t="s">
        <v>223</v>
      </c>
    </row>
    <row r="13" spans="1:12" ht="15" customHeight="1" x14ac:dyDescent="0.25">
      <c r="A13" s="60" t="s">
        <v>224</v>
      </c>
      <c r="B13" s="44" t="str">
        <f>INDEX($A$6:$A$9,MATCH(LARGE($J$6:$J$9,1),$J$6:$J$9,0))</f>
        <v>Player 8</v>
      </c>
      <c r="C13" s="2">
        <f>INDEX($B$6:$B$9,MATCH(LARGE($J$6:$J$9,1),$J$6:$J$9,0))</f>
        <v>15</v>
      </c>
      <c r="D13" s="2">
        <f>INDEX($D$6:$D$9,MATCH(LARGE($J$6:$J$9,1),$J$6:$J$9,0))</f>
        <v>4</v>
      </c>
      <c r="E13" s="2">
        <f>INDEX($F$6:$F$9,MATCH(LARGE($J$6:$J$9,1),$J$6:$J$9,0))</f>
        <v>8</v>
      </c>
      <c r="F13" s="57">
        <f>INDEX($H$6:$H$9,MATCH(LARGE($J$6:$J$9,1),$J$6:$J$9,0))</f>
        <v>8</v>
      </c>
      <c r="G13" s="58">
        <f>INDEX($I$6:$I$9,MATCH(LARGE($J$6:$J$9,1),$J$6:$J$9,0))</f>
        <v>35</v>
      </c>
      <c r="H13" s="61" t="s">
        <v>151</v>
      </c>
    </row>
    <row r="14" spans="1:12" ht="15" customHeight="1" x14ac:dyDescent="0.25">
      <c r="A14" s="62" t="s">
        <v>225</v>
      </c>
      <c r="B14" s="44" t="str">
        <f>INDEX($A$6:$A$9,MATCH(LARGE($J$6:$J$9,2),$J$6:$J$9,0))</f>
        <v>Player 4</v>
      </c>
      <c r="C14" s="2">
        <f>INDEX($B$6:$B$9,MATCH(LARGE($J$6:$J$9,2),$J$6:$J$9,0))</f>
        <v>35</v>
      </c>
      <c r="D14" s="2">
        <f>INDEX($D$6:$D$9,MATCH(LARGE($J$6:$J$9,2),$J$6:$J$9,0))</f>
        <v>0</v>
      </c>
      <c r="E14" s="2">
        <f>INDEX($F$6:$F$9,MATCH(LARGE($J$6:$J$9,2),$J$6:$J$9,0))</f>
        <v>0</v>
      </c>
      <c r="F14" s="57">
        <f>INDEX($H$6:$H$9,MATCH(LARGE($J$6:$J$9,2),$J$6:$J$9,0))</f>
        <v>0</v>
      </c>
      <c r="G14" s="58">
        <f>INDEX($I$6:$I$9,MATCH(LARGE($J$6:$J$9,2),$J$6:$J$9,0))</f>
        <v>35</v>
      </c>
      <c r="H14" s="61" t="s">
        <v>153</v>
      </c>
    </row>
    <row r="15" spans="1:12" ht="15" customHeight="1" x14ac:dyDescent="0.25">
      <c r="A15" s="63" t="s">
        <v>226</v>
      </c>
      <c r="B15" s="44" t="str">
        <f>INDEX($A$6:$A$9,MATCH(LARGE($J$6:$J$9,3),$J$6:$J$9,0))</f>
        <v>Player 1</v>
      </c>
      <c r="C15" s="2">
        <f>INDEX($B$6:$B$9,MATCH(LARGE($J$6:$J$9,3),$J$6:$J$9,0))</f>
        <v>15</v>
      </c>
      <c r="D15" s="2">
        <f>INDEX($D$6:$D$9,MATCH(LARGE($J$6:$J$9,3),$J$6:$J$9,0))</f>
        <v>0</v>
      </c>
      <c r="E15" s="2">
        <f>INDEX($F$6:$F$9,MATCH(LARGE($J$6:$J$9,3),$J$6:$J$9,0))</f>
        <v>0</v>
      </c>
      <c r="F15" s="57">
        <f>INDEX($H$6:$H$9,MATCH(LARGE($J$6:$J$9,3),$J$6:$J$9,0))</f>
        <v>0</v>
      </c>
      <c r="G15" s="58">
        <f>INDEX($I$6:$I$9,MATCH(LARGE($J$6:$J$9,3),$J$6:$J$9,0))</f>
        <v>15</v>
      </c>
      <c r="H15" s="61" t="s">
        <v>155</v>
      </c>
    </row>
    <row r="16" spans="1:12" ht="15" customHeight="1" x14ac:dyDescent="0.25">
      <c r="A16" s="64" t="s">
        <v>227</v>
      </c>
      <c r="B16" s="44" t="str">
        <f>INDEX($A$6:$A$9,MATCH(LARGE($J$6:$J$9,4),$J$6:$J$9,0))</f>
        <v>Player 12</v>
      </c>
      <c r="C16" s="2">
        <f>INDEX($B$6:$B$9,MATCH(LARGE($J$6:$J$9,4),$J$6:$J$9,0))</f>
        <v>12</v>
      </c>
      <c r="D16" s="2">
        <f>INDEX($D$6:$D$9,MATCH(LARGE($J$6:$J$9,4),$J$6:$J$9,0))</f>
        <v>0</v>
      </c>
      <c r="E16" s="2">
        <f>INDEX($F$6:$F$9,MATCH(LARGE($J$6:$J$9,4),$J$6:$J$9,0))</f>
        <v>0</v>
      </c>
      <c r="F16" s="57">
        <f>INDEX($H$6:$H$9,MATCH(LARGE($J$6:$J$9,4),$J$6:$J$9,0))</f>
        <v>0</v>
      </c>
      <c r="G16" s="58">
        <f>INDEX($I$6:$I$9,MATCH(LARGE($J$6:$J$9,4),$J$6:$J$9,0))</f>
        <v>12</v>
      </c>
      <c r="H16" s="61" t="s">
        <v>228</v>
      </c>
    </row>
    <row r="18" spans="1:4" ht="15" customHeight="1" x14ac:dyDescent="0.25">
      <c r="A18" s="11" t="s">
        <v>229</v>
      </c>
    </row>
    <row r="20" spans="1:4" ht="15" customHeight="1" x14ac:dyDescent="0.25">
      <c r="A20" s="71" t="s">
        <v>230</v>
      </c>
      <c r="B20" s="71"/>
      <c r="C20" s="71"/>
      <c r="D20" s="71"/>
    </row>
    <row r="21" spans="1:4" ht="21.75" customHeight="1" x14ac:dyDescent="0.25">
      <c r="A21" s="41" t="s">
        <v>107</v>
      </c>
      <c r="B21" s="41" t="s">
        <v>231</v>
      </c>
      <c r="C21" s="41" t="s">
        <v>232</v>
      </c>
      <c r="D21" s="41" t="s">
        <v>233</v>
      </c>
    </row>
    <row r="22" spans="1:4" ht="15" customHeight="1" x14ac:dyDescent="0.25">
      <c r="A22" s="45" t="str">
        <f>$A$6</f>
        <v>Player 4</v>
      </c>
      <c r="B22" s="14">
        <v>55</v>
      </c>
      <c r="C22" s="14">
        <v>60</v>
      </c>
      <c r="D22" s="44">
        <f>ABS(B22-C22)</f>
        <v>5</v>
      </c>
    </row>
    <row r="23" spans="1:4" ht="15" customHeight="1" x14ac:dyDescent="0.25">
      <c r="A23" s="45" t="str">
        <f>$A$7</f>
        <v>Player 8</v>
      </c>
      <c r="B23" s="14">
        <v>61</v>
      </c>
      <c r="C23" s="2">
        <f>C22</f>
        <v>60</v>
      </c>
      <c r="D23" s="44">
        <f>ABS(B23-C23)</f>
        <v>1</v>
      </c>
    </row>
    <row r="24" spans="1:4" ht="15" customHeight="1" x14ac:dyDescent="0.25">
      <c r="A24" s="45" t="str">
        <f>$A$8</f>
        <v>Player 1</v>
      </c>
      <c r="B24" s="14">
        <v>0</v>
      </c>
      <c r="C24" s="2">
        <f>C22</f>
        <v>60</v>
      </c>
      <c r="D24" s="44">
        <f>ABS(B24-C24)</f>
        <v>60</v>
      </c>
    </row>
    <row r="25" spans="1:4" ht="15" customHeight="1" x14ac:dyDescent="0.25">
      <c r="A25" s="45" t="str">
        <f>$A$9</f>
        <v>Player 12</v>
      </c>
      <c r="B25" s="14">
        <v>0</v>
      </c>
      <c r="C25" s="2">
        <f>C22</f>
        <v>60</v>
      </c>
      <c r="D25" s="44">
        <f>ABS(B25-C25)</f>
        <v>60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F18" sqref="F18"/>
    </sheetView>
  </sheetViews>
  <sheetFormatPr defaultColWidth="8.7109375" defaultRowHeight="15" x14ac:dyDescent="0.25"/>
  <cols>
    <col min="1" max="1" width="5" customWidth="1"/>
    <col min="2" max="3" width="14" customWidth="1"/>
  </cols>
  <sheetData>
    <row r="1" spans="1:3" ht="15.75" x14ac:dyDescent="0.25">
      <c r="A1" s="82" t="s">
        <v>96</v>
      </c>
      <c r="B1" s="82"/>
      <c r="C1" s="82"/>
    </row>
    <row r="2" spans="1:3" ht="23.85" customHeight="1" x14ac:dyDescent="0.25">
      <c r="A2" s="83" t="s">
        <v>97</v>
      </c>
      <c r="B2" s="83"/>
      <c r="C2" s="83"/>
    </row>
    <row r="3" spans="1:3" ht="37.35" customHeight="1" x14ac:dyDescent="0.25">
      <c r="A3" s="84" t="s">
        <v>98</v>
      </c>
      <c r="B3" s="84"/>
      <c r="C3" s="84"/>
    </row>
    <row r="5" spans="1:3" x14ac:dyDescent="0.25">
      <c r="A5" s="85" t="s">
        <v>99</v>
      </c>
      <c r="B5" s="85"/>
      <c r="C5" s="85"/>
    </row>
    <row r="6" spans="1:3" x14ac:dyDescent="0.25">
      <c r="A6" s="16" t="s">
        <v>37</v>
      </c>
      <c r="B6" s="16" t="s">
        <v>100</v>
      </c>
      <c r="C6" s="16" t="s">
        <v>101</v>
      </c>
    </row>
    <row r="7" spans="1:3" x14ac:dyDescent="0.25">
      <c r="A7" s="17">
        <v>1</v>
      </c>
      <c r="B7" s="18" t="s">
        <v>279</v>
      </c>
      <c r="C7" s="18" t="s">
        <v>280</v>
      </c>
    </row>
    <row r="8" spans="1:3" x14ac:dyDescent="0.25">
      <c r="A8" s="17">
        <v>2</v>
      </c>
      <c r="B8" s="18" t="s">
        <v>281</v>
      </c>
      <c r="C8" s="18" t="s">
        <v>282</v>
      </c>
    </row>
    <row r="9" spans="1:3" x14ac:dyDescent="0.25">
      <c r="A9" s="17">
        <v>3</v>
      </c>
      <c r="B9" s="18" t="s">
        <v>283</v>
      </c>
      <c r="C9" s="18" t="s">
        <v>284</v>
      </c>
    </row>
    <row r="10" spans="1:3" x14ac:dyDescent="0.25">
      <c r="A10" s="17">
        <v>4</v>
      </c>
      <c r="B10" s="18" t="s">
        <v>285</v>
      </c>
      <c r="C10" s="18" t="s">
        <v>286</v>
      </c>
    </row>
    <row r="11" spans="1:3" x14ac:dyDescent="0.25">
      <c r="A11" s="17">
        <v>5</v>
      </c>
      <c r="B11" s="18"/>
      <c r="C11" s="18"/>
    </row>
    <row r="12" spans="1:3" x14ac:dyDescent="0.25">
      <c r="A12" s="17">
        <v>6</v>
      </c>
      <c r="B12" s="18"/>
      <c r="C12" s="18"/>
    </row>
    <row r="14" spans="1:3" x14ac:dyDescent="0.25">
      <c r="A14" s="86" t="s">
        <v>102</v>
      </c>
      <c r="B14" s="86"/>
      <c r="C14" s="86"/>
    </row>
    <row r="15" spans="1:3" x14ac:dyDescent="0.25">
      <c r="A15" s="16" t="s">
        <v>37</v>
      </c>
      <c r="B15" s="16" t="s">
        <v>100</v>
      </c>
      <c r="C15" s="16" t="s">
        <v>101</v>
      </c>
    </row>
    <row r="16" spans="1:3" x14ac:dyDescent="0.25">
      <c r="A16" s="17">
        <v>1</v>
      </c>
      <c r="B16" s="18" t="s">
        <v>280</v>
      </c>
      <c r="C16" s="18" t="s">
        <v>283</v>
      </c>
    </row>
    <row r="17" spans="1:3" x14ac:dyDescent="0.25">
      <c r="A17" s="17">
        <v>2</v>
      </c>
      <c r="B17" s="18" t="s">
        <v>282</v>
      </c>
      <c r="C17" s="18" t="s">
        <v>285</v>
      </c>
    </row>
    <row r="18" spans="1:3" x14ac:dyDescent="0.25">
      <c r="A18" s="17">
        <v>3</v>
      </c>
      <c r="B18" s="18"/>
      <c r="C18" s="18"/>
    </row>
    <row r="19" spans="1:3" x14ac:dyDescent="0.25">
      <c r="A19" s="17">
        <v>4</v>
      </c>
      <c r="B19" s="18"/>
      <c r="C19" s="18"/>
    </row>
    <row r="21" spans="1:3" x14ac:dyDescent="0.25">
      <c r="A21" s="80" t="s">
        <v>103</v>
      </c>
      <c r="B21" s="80"/>
      <c r="C21" s="80"/>
    </row>
    <row r="22" spans="1:3" x14ac:dyDescent="0.25">
      <c r="A22" s="16" t="s">
        <v>37</v>
      </c>
      <c r="B22" s="16" t="s">
        <v>100</v>
      </c>
      <c r="C22" s="16" t="s">
        <v>101</v>
      </c>
    </row>
    <row r="23" spans="1:3" x14ac:dyDescent="0.25">
      <c r="A23" s="17">
        <v>1</v>
      </c>
      <c r="B23" s="18"/>
      <c r="C23" s="18"/>
    </row>
    <row r="24" spans="1:3" x14ac:dyDescent="0.25">
      <c r="A24" s="17">
        <v>2</v>
      </c>
      <c r="B24" s="18"/>
      <c r="C24" s="18"/>
    </row>
    <row r="26" spans="1:3" x14ac:dyDescent="0.25">
      <c r="A26" s="81" t="s">
        <v>104</v>
      </c>
      <c r="B26" s="81"/>
      <c r="C26" s="81"/>
    </row>
    <row r="27" spans="1:3" x14ac:dyDescent="0.25">
      <c r="A27" s="16" t="s">
        <v>37</v>
      </c>
      <c r="B27" s="16" t="s">
        <v>100</v>
      </c>
      <c r="C27" s="16" t="s">
        <v>101</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sqref="A1:K1"/>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8" t="s">
        <v>105</v>
      </c>
      <c r="B1" s="78"/>
      <c r="C1" s="78"/>
      <c r="D1" s="78"/>
      <c r="E1" s="78"/>
      <c r="F1" s="78"/>
      <c r="G1" s="78"/>
      <c r="H1" s="78"/>
      <c r="I1" s="78"/>
      <c r="J1" s="78"/>
      <c r="K1" s="78"/>
    </row>
    <row r="2" spans="1:11" ht="15" customHeight="1" x14ac:dyDescent="0.25">
      <c r="A2" s="19" t="s">
        <v>106</v>
      </c>
      <c r="B2" s="19" t="s">
        <v>107</v>
      </c>
      <c r="C2" s="19" t="s">
        <v>108</v>
      </c>
      <c r="D2" s="19" t="s">
        <v>109</v>
      </c>
      <c r="E2" s="19" t="s">
        <v>110</v>
      </c>
      <c r="F2" s="19" t="s">
        <v>111</v>
      </c>
      <c r="G2" s="19" t="s">
        <v>112</v>
      </c>
      <c r="H2" s="19" t="s">
        <v>113</v>
      </c>
      <c r="I2" s="19" t="s">
        <v>114</v>
      </c>
      <c r="J2" s="19" t="s">
        <v>115</v>
      </c>
      <c r="K2" s="19" t="s">
        <v>116</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16</v>
      </c>
      <c r="C4" s="22">
        <f>INDEX(Helper!$C$2:$C$17,MATCH(LARGE(Helper!$AH$2:$AH$17,2),Helper!$AH$2:$AH$17,0))</f>
        <v>0</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0</v>
      </c>
      <c r="J4" s="22">
        <f>INDEX(Helper!$J$2:$J$17,MATCH(LARGE(Helper!$AH$2:$AH$17,2),Helper!$AH$2:$AH$17,0))</f>
        <v>0</v>
      </c>
      <c r="K4" s="22">
        <f t="shared" si="0"/>
        <v>0</v>
      </c>
    </row>
    <row r="5" spans="1:11" ht="15" customHeight="1" x14ac:dyDescent="0.25">
      <c r="A5" s="24">
        <v>3</v>
      </c>
      <c r="B5" s="21" t="str">
        <f>INDEX(Helper!$B$2:$B$17,MATCH(LARGE(Helper!$AH$2:$AH$17,3),Helper!$AH$2:$AH$17,0))</f>
        <v>Player 15</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14</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13</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12</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11</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10</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9</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8</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7</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6</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117</v>
      </c>
      <c r="B20" s="88"/>
      <c r="C20" s="88"/>
      <c r="D20" s="88"/>
      <c r="E20" s="88"/>
      <c r="F20" s="88"/>
      <c r="G20" s="88"/>
      <c r="H20" s="88"/>
      <c r="I20" s="88"/>
      <c r="J20" s="88"/>
      <c r="K20" s="88"/>
    </row>
    <row r="21" spans="1:11" ht="15" customHeight="1" x14ac:dyDescent="0.25">
      <c r="A21" s="26" t="s">
        <v>106</v>
      </c>
      <c r="B21" s="26" t="s">
        <v>107</v>
      </c>
      <c r="C21" s="26" t="s">
        <v>118</v>
      </c>
      <c r="D21" s="26" t="s">
        <v>119</v>
      </c>
      <c r="E21" s="26" t="s">
        <v>120</v>
      </c>
      <c r="F21" s="26" t="s">
        <v>121</v>
      </c>
      <c r="G21" s="26" t="s">
        <v>122</v>
      </c>
      <c r="H21" s="26" t="s">
        <v>123</v>
      </c>
      <c r="I21" s="26" t="s">
        <v>114</v>
      </c>
      <c r="J21" s="26" t="s">
        <v>115</v>
      </c>
      <c r="K21" s="26" t="s">
        <v>116</v>
      </c>
    </row>
    <row r="22" spans="1:11" ht="15" customHeight="1" x14ac:dyDescent="0.25">
      <c r="A22" s="20">
        <v>1</v>
      </c>
      <c r="B22" s="21" t="str">
        <f>INDEX(Helper!$B$2:$B$17,MATCH(LARGE(Helper!$AJ$2:$AJ$17,1),Helper!$AJ$2:$AJ$17,0))</f>
        <v>Player 16</v>
      </c>
      <c r="C22" s="22">
        <f>INDEX(Helper!$L$2:$L$17,MATCH(LARGE(Helper!$AJ$2:$AJ$17,1),Helper!$AJ$2:$AJ$17,0))</f>
        <v>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0</v>
      </c>
      <c r="J22" s="22">
        <f>INDEX(Helper!$S$2:$S$17,MATCH(LARGE(Helper!$AJ$2:$AJ$17,1),Helper!$AJ$2:$AJ$17,0))</f>
        <v>0</v>
      </c>
      <c r="K22" s="22">
        <f t="shared" ref="K22:K37" si="1">MAX(C22:H22)</f>
        <v>0</v>
      </c>
    </row>
    <row r="23" spans="1:11" ht="15" customHeight="1" x14ac:dyDescent="0.25">
      <c r="A23" s="23">
        <v>2</v>
      </c>
      <c r="B23" s="21" t="str">
        <f>INDEX(Helper!$B$2:$B$17,MATCH(LARGE(Helper!$AJ$2:$AJ$17,2),Helper!$AJ$2:$AJ$17,0))</f>
        <v>Player 15</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14</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13</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12</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11</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10</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124</v>
      </c>
      <c r="B39" s="89"/>
      <c r="C39" s="89"/>
      <c r="D39" s="89"/>
      <c r="E39" s="89"/>
      <c r="F39" s="89"/>
      <c r="G39" s="89"/>
      <c r="H39" s="89"/>
      <c r="I39" s="89"/>
      <c r="J39" s="89"/>
      <c r="K39" s="89"/>
      <c r="L39" s="89"/>
    </row>
    <row r="40" spans="1:12" ht="15" customHeight="1" x14ac:dyDescent="0.25">
      <c r="A40" s="87" t="s">
        <v>125</v>
      </c>
      <c r="B40" s="87"/>
      <c r="C40" s="87"/>
      <c r="D40" s="87"/>
      <c r="E40" s="87"/>
      <c r="F40" s="87"/>
      <c r="G40" s="87"/>
      <c r="H40" s="87"/>
      <c r="I40" s="87"/>
      <c r="J40" s="87"/>
      <c r="K40" s="87"/>
      <c r="L40" s="87"/>
    </row>
    <row r="41" spans="1:12" ht="15" customHeight="1" x14ac:dyDescent="0.25">
      <c r="A41" s="27" t="s">
        <v>106</v>
      </c>
      <c r="B41" s="27" t="s">
        <v>107</v>
      </c>
      <c r="C41" s="27" t="s">
        <v>126</v>
      </c>
      <c r="D41" s="27" t="s">
        <v>127</v>
      </c>
      <c r="E41" s="27" t="s">
        <v>128</v>
      </c>
      <c r="F41" s="27" t="s">
        <v>129</v>
      </c>
      <c r="G41" s="27" t="s">
        <v>130</v>
      </c>
      <c r="H41" s="27" t="s">
        <v>131</v>
      </c>
      <c r="I41" s="27" t="s">
        <v>88</v>
      </c>
      <c r="J41" s="27" t="s">
        <v>89</v>
      </c>
      <c r="K41" s="27" t="s">
        <v>132</v>
      </c>
      <c r="L41" s="27" t="s">
        <v>133</v>
      </c>
    </row>
    <row r="42" spans="1:12" ht="15" customHeight="1" x14ac:dyDescent="0.25">
      <c r="A42" s="20">
        <v>1</v>
      </c>
      <c r="B42" s="21" t="str">
        <f>INDEX(Helper!$B$2:$B$5,MATCH(LARGE(Helper!$AL$2:$AL$5,1),Helper!$AL$2:$AL$5,0))</f>
        <v>Player 1</v>
      </c>
      <c r="C42" s="22" t="str">
        <f>INDEX(Helper!$U$2:$U$5,MATCH(LARGE(Helper!$AL$2:$AL$5,1),Helper!$AL$2:$AL$5,0))</f>
        <v>-</v>
      </c>
      <c r="D42" s="22" t="str">
        <f>INDEX(Helper!$V$2:$V$5,MATCH(LARGE(Helper!$AL$2:$AL$5,1),Helper!$AL$2:$AL$5,0))</f>
        <v>W</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1</v>
      </c>
      <c r="J42" s="22">
        <f>INDEX(Helper!$AB$2:$AB$5,MATCH(LARGE(Helper!$AL$2:$AL$5,1),Helper!$AL$2:$AL$5,0))</f>
        <v>0</v>
      </c>
      <c r="K42" s="22">
        <f>INDEX(Helper!$AC$2:$AC$5,MATCH(LARGE(Helper!$AL$2:$AL$5,1),Helper!$AL$2:$AL$5,0))</f>
        <v>5</v>
      </c>
      <c r="L42" s="28">
        <f>IFERROR(I42/(I42+J42),0)</f>
        <v>1</v>
      </c>
    </row>
    <row r="43" spans="1:12" ht="15" customHeight="1" x14ac:dyDescent="0.25">
      <c r="A43" s="23">
        <v>2</v>
      </c>
      <c r="B43" s="21" t="str">
        <f>INDEX(Helper!$B$2:$B$5,MATCH(LARGE(Helper!$AL$2:$AL$5,2),Helper!$AL$2:$AL$5,0))</f>
        <v>Player 4</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3</v>
      </c>
      <c r="C44" s="22" t="str">
        <f>INDEX(Helper!$U$2:$U$5,MATCH(LARGE(Helper!$AL$2:$AL$5,3),Helper!$AL$2:$AL$5,0))</f>
        <v>-</v>
      </c>
      <c r="D44" s="22" t="str">
        <f>INDEX(Helper!$V$2:$V$5,MATCH(LARGE(Helper!$AL$2:$AL$5,3),Helper!$AL$2:$AL$5,0))</f>
        <v>L</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1</v>
      </c>
      <c r="K44" s="22">
        <f>INDEX(Helper!$AC$2:$AC$5,MATCH(LARGE(Helper!$AL$2:$AL$5,3),Helper!$AL$2:$AL$5,0))</f>
        <v>0</v>
      </c>
      <c r="L44" s="28">
        <f>IFERROR(I44/(I44+J44),0)</f>
        <v>0</v>
      </c>
    </row>
    <row r="45" spans="1:12" ht="15" customHeight="1" x14ac:dyDescent="0.25">
      <c r="A45" s="25">
        <v>4</v>
      </c>
      <c r="B45" s="21" t="str">
        <f>INDEX(Helper!$B$2:$B$5,MATCH(LARGE(Helper!$AL$2:$AL$5,4),Helper!$AL$2:$AL$5,0))</f>
        <v>Player 2</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134</v>
      </c>
      <c r="B47" s="87"/>
      <c r="C47" s="87"/>
      <c r="D47" s="87"/>
      <c r="E47" s="87"/>
      <c r="F47" s="87"/>
      <c r="G47" s="87"/>
      <c r="H47" s="87"/>
      <c r="I47" s="87"/>
      <c r="J47" s="87"/>
      <c r="K47" s="87"/>
      <c r="L47" s="87"/>
    </row>
    <row r="48" spans="1:12" ht="15" customHeight="1" x14ac:dyDescent="0.25">
      <c r="A48" s="27" t="s">
        <v>106</v>
      </c>
      <c r="B48" s="27" t="s">
        <v>107</v>
      </c>
      <c r="C48" s="27" t="s">
        <v>126</v>
      </c>
      <c r="D48" s="27" t="s">
        <v>127</v>
      </c>
      <c r="E48" s="27" t="s">
        <v>128</v>
      </c>
      <c r="F48" s="27" t="s">
        <v>129</v>
      </c>
      <c r="G48" s="27" t="s">
        <v>130</v>
      </c>
      <c r="H48" s="27" t="s">
        <v>131</v>
      </c>
      <c r="I48" s="27" t="s">
        <v>88</v>
      </c>
      <c r="J48" s="27" t="s">
        <v>89</v>
      </c>
      <c r="K48" s="27" t="s">
        <v>132</v>
      </c>
      <c r="L48" s="27" t="s">
        <v>133</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135</v>
      </c>
      <c r="B54" s="87"/>
      <c r="C54" s="87"/>
      <c r="D54" s="87"/>
      <c r="E54" s="87"/>
      <c r="F54" s="87"/>
      <c r="G54" s="87"/>
      <c r="H54" s="87"/>
      <c r="I54" s="87"/>
      <c r="J54" s="87"/>
      <c r="K54" s="87"/>
      <c r="L54" s="87"/>
    </row>
    <row r="55" spans="1:12" ht="15" customHeight="1" x14ac:dyDescent="0.25">
      <c r="A55" s="27" t="s">
        <v>106</v>
      </c>
      <c r="B55" s="27" t="s">
        <v>107</v>
      </c>
      <c r="C55" s="27" t="s">
        <v>126</v>
      </c>
      <c r="D55" s="27" t="s">
        <v>127</v>
      </c>
      <c r="E55" s="27" t="s">
        <v>128</v>
      </c>
      <c r="F55" s="27" t="s">
        <v>129</v>
      </c>
      <c r="G55" s="27" t="s">
        <v>130</v>
      </c>
      <c r="H55" s="27" t="s">
        <v>131</v>
      </c>
      <c r="I55" s="27" t="s">
        <v>88</v>
      </c>
      <c r="J55" s="27" t="s">
        <v>89</v>
      </c>
      <c r="K55" s="27" t="s">
        <v>132</v>
      </c>
      <c r="L55" s="27" t="s">
        <v>133</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136</v>
      </c>
      <c r="B61" s="87"/>
      <c r="C61" s="87"/>
      <c r="D61" s="87"/>
      <c r="E61" s="87"/>
      <c r="F61" s="87"/>
      <c r="G61" s="87"/>
      <c r="H61" s="87"/>
      <c r="I61" s="87"/>
      <c r="J61" s="87"/>
      <c r="K61" s="87"/>
      <c r="L61" s="87"/>
    </row>
    <row r="62" spans="1:12" ht="15" customHeight="1" x14ac:dyDescent="0.25">
      <c r="A62" s="27" t="s">
        <v>106</v>
      </c>
      <c r="B62" s="27" t="s">
        <v>107</v>
      </c>
      <c r="C62" s="27" t="s">
        <v>126</v>
      </c>
      <c r="D62" s="27" t="s">
        <v>127</v>
      </c>
      <c r="E62" s="27" t="s">
        <v>128</v>
      </c>
      <c r="F62" s="27" t="s">
        <v>129</v>
      </c>
      <c r="G62" s="27" t="s">
        <v>130</v>
      </c>
      <c r="H62" s="27" t="s">
        <v>131</v>
      </c>
      <c r="I62" s="27" t="s">
        <v>88</v>
      </c>
      <c r="J62" s="27" t="s">
        <v>89</v>
      </c>
      <c r="K62" s="27" t="s">
        <v>132</v>
      </c>
      <c r="L62" s="27" t="s">
        <v>133</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1" t="s">
        <v>137</v>
      </c>
      <c r="B69" s="71"/>
      <c r="C69" s="71"/>
      <c r="D69" s="71"/>
      <c r="E69" s="71"/>
      <c r="F69" s="71"/>
      <c r="G69" s="71"/>
      <c r="H69" s="71"/>
      <c r="I69" s="71"/>
    </row>
    <row r="70" spans="1:12" ht="21.75" customHeight="1" x14ac:dyDescent="0.25">
      <c r="A70" s="29" t="s">
        <v>106</v>
      </c>
      <c r="B70" s="29" t="s">
        <v>107</v>
      </c>
      <c r="C70" s="29" t="s">
        <v>138</v>
      </c>
      <c r="D70" s="29" t="s">
        <v>139</v>
      </c>
      <c r="E70" s="29" t="s">
        <v>140</v>
      </c>
      <c r="F70" s="29" t="s">
        <v>141</v>
      </c>
      <c r="G70" s="29" t="s">
        <v>142</v>
      </c>
      <c r="H70" s="29" t="s">
        <v>143</v>
      </c>
      <c r="I70" s="29"/>
    </row>
    <row r="71" spans="1:12" ht="15" customHeight="1" x14ac:dyDescent="0.25">
      <c r="A71" s="20">
        <v>1</v>
      </c>
      <c r="B71" s="21" t="str">
        <f>INDEX(Helper!$B$2:$B$17,MATCH(LARGE(Helper!$AM$2:$AM$17,1),Helper!$AM$2:$AM$17,0))</f>
        <v>Player 1</v>
      </c>
      <c r="C71" s="22">
        <f>INDEX(Helper!$I$2:$I$17,MATCH(LARGE(Helper!$AM$2:$AM$17,1),Helper!$AM$2:$AM$17,0))</f>
        <v>14</v>
      </c>
      <c r="D71" s="22">
        <f>INDEX(Helper!$R$2:$R$17,MATCH(LARGE(Helper!$AM$2:$AM$17,1),Helper!$AM$2:$AM$17,0))</f>
        <v>0</v>
      </c>
      <c r="E71" s="22">
        <f>INDEX(Helper!$AC$2:$AC$17,MATCH(LARGE(Helper!$AM$2:$AM$17,1),Helper!$AM$2:$AM$17,0))</f>
        <v>5</v>
      </c>
      <c r="F71" s="19">
        <f>INDEX(Helper!$AE$2:$AE$17,MATCH(LARGE(Helper!$AM$2:$AM$17,1),Helper!$AM$2:$AM$17,0))</f>
        <v>19</v>
      </c>
      <c r="G71" s="22">
        <f>RANK(C71,$C$71:$C$86,0)</f>
        <v>1</v>
      </c>
      <c r="H71" s="22">
        <f>RANK(D71,$D$71:$D$86,0)</f>
        <v>1</v>
      </c>
    </row>
    <row r="72" spans="1:12" ht="15" customHeight="1" x14ac:dyDescent="0.25">
      <c r="A72" s="23">
        <v>2</v>
      </c>
      <c r="B72" s="21" t="str">
        <f>INDEX(Helper!$B$2:$B$17,MATCH(LARGE(Helper!$AM$2:$AM$17,2),Helper!$AM$2:$AM$17,0))</f>
        <v>Player 16</v>
      </c>
      <c r="C72" s="22">
        <f>INDEX(Helper!$I$2:$I$17,MATCH(LARGE(Helper!$AM$2:$AM$17,2),Helper!$AM$2:$AM$17,0))</f>
        <v>0</v>
      </c>
      <c r="D72" s="22">
        <f>INDEX(Helper!$R$2:$R$17,MATCH(LARGE(Helper!$AM$2:$AM$17,2),Helper!$AM$2:$AM$17,0))</f>
        <v>0</v>
      </c>
      <c r="E72" s="22">
        <f>INDEX(Helper!$AC$2:$AC$17,MATCH(LARGE(Helper!$AM$2:$AM$17,2),Helper!$AM$2:$AM$17,0))</f>
        <v>0</v>
      </c>
      <c r="F72" s="19">
        <f>INDEX(Helper!$AE$2:$AE$17,MATCH(LARGE(Helper!$AM$2:$AM$17,2),Helper!$AM$2:$AM$17,0))</f>
        <v>0</v>
      </c>
      <c r="G72" s="22">
        <f>RANK(C72,$C$72:$C$87,0)</f>
        <v>1</v>
      </c>
      <c r="H72" s="22">
        <f>RANK(D72,$D$72:$D$87,0)</f>
        <v>1</v>
      </c>
    </row>
    <row r="73" spans="1:12" ht="15" customHeight="1" x14ac:dyDescent="0.25">
      <c r="A73" s="24">
        <v>3</v>
      </c>
      <c r="B73" s="21" t="str">
        <f>INDEX(Helper!$B$2:$B$17,MATCH(LARGE(Helper!$AM$2:$AM$17,3),Helper!$AM$2:$AM$17,0))</f>
        <v>Player 15</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14</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13</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12</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11</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10</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9</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8</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7</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6</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1" t="s">
        <v>144</v>
      </c>
      <c r="B89" s="71"/>
      <c r="C89" s="71"/>
    </row>
    <row r="90" spans="1:8" ht="15" customHeight="1" x14ac:dyDescent="0.25">
      <c r="A90" s="30" t="s">
        <v>145</v>
      </c>
      <c r="B90" s="31" t="s">
        <v>146</v>
      </c>
    </row>
    <row r="91" spans="1:8" ht="15" customHeight="1" x14ac:dyDescent="0.25">
      <c r="A91" s="30" t="s">
        <v>147</v>
      </c>
      <c r="B91" s="31" t="s">
        <v>146</v>
      </c>
    </row>
    <row r="92" spans="1:8" ht="15" customHeight="1" x14ac:dyDescent="0.25">
      <c r="A92" s="30" t="s">
        <v>148</v>
      </c>
      <c r="B92" s="31" t="s">
        <v>149</v>
      </c>
    </row>
    <row r="93" spans="1:8" ht="15" customHeight="1" x14ac:dyDescent="0.25">
      <c r="A93" s="30" t="s">
        <v>150</v>
      </c>
      <c r="B93" s="31" t="s">
        <v>151</v>
      </c>
    </row>
    <row r="94" spans="1:8" ht="15" customHeight="1" x14ac:dyDescent="0.25">
      <c r="A94" s="30" t="s">
        <v>152</v>
      </c>
      <c r="B94" s="31" t="s">
        <v>153</v>
      </c>
    </row>
    <row r="95" spans="1:8" ht="15" customHeight="1" x14ac:dyDescent="0.25">
      <c r="A95" s="30" t="s">
        <v>154</v>
      </c>
      <c r="B95" s="31" t="s">
        <v>155</v>
      </c>
    </row>
    <row r="96" spans="1:8" ht="15" customHeight="1" x14ac:dyDescent="0.25">
      <c r="A96" s="30" t="s">
        <v>156</v>
      </c>
      <c r="B96" s="31" t="s">
        <v>157</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F10" sqref="F10"/>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273</v>
      </c>
      <c r="B1" s="90"/>
      <c r="C1" s="90"/>
      <c r="D1" s="90"/>
    </row>
    <row r="3" spans="1:4" x14ac:dyDescent="0.25">
      <c r="A3" s="65" t="s">
        <v>274</v>
      </c>
    </row>
    <row r="4" spans="1:4" x14ac:dyDescent="0.25">
      <c r="A4" s="91" t="s">
        <v>275</v>
      </c>
      <c r="B4" s="91"/>
      <c r="C4" s="91"/>
      <c r="D4" s="91"/>
    </row>
    <row r="6" spans="1:4" x14ac:dyDescent="0.25">
      <c r="A6" s="66" t="s">
        <v>276</v>
      </c>
      <c r="B6" s="66" t="s">
        <v>277</v>
      </c>
      <c r="C6" s="66" t="s">
        <v>278</v>
      </c>
    </row>
    <row r="7" spans="1:4" ht="27.75" customHeight="1" x14ac:dyDescent="0.25">
      <c r="A7" s="67"/>
      <c r="B7" s="68" t="s">
        <v>287</v>
      </c>
      <c r="C7" s="69" t="s">
        <v>288</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38</v>
      </c>
      <c r="B1" t="s">
        <v>39</v>
      </c>
      <c r="C1" t="s">
        <v>234</v>
      </c>
      <c r="D1" t="s">
        <v>235</v>
      </c>
      <c r="E1" t="s">
        <v>236</v>
      </c>
      <c r="F1" t="s">
        <v>237</v>
      </c>
      <c r="G1" t="s">
        <v>238</v>
      </c>
      <c r="H1" t="s">
        <v>239</v>
      </c>
      <c r="I1" t="s">
        <v>240</v>
      </c>
      <c r="J1" t="s">
        <v>241</v>
      </c>
      <c r="K1" t="s">
        <v>242</v>
      </c>
      <c r="L1" t="s">
        <v>243</v>
      </c>
      <c r="M1" t="s">
        <v>244</v>
      </c>
      <c r="N1" t="s">
        <v>245</v>
      </c>
      <c r="O1" t="s">
        <v>246</v>
      </c>
      <c r="P1" t="s">
        <v>247</v>
      </c>
      <c r="Q1" t="s">
        <v>248</v>
      </c>
      <c r="R1" t="s">
        <v>249</v>
      </c>
      <c r="S1" t="s">
        <v>250</v>
      </c>
      <c r="T1" t="s">
        <v>251</v>
      </c>
      <c r="U1" t="s">
        <v>252</v>
      </c>
      <c r="V1" t="s">
        <v>253</v>
      </c>
      <c r="W1" t="s">
        <v>254</v>
      </c>
      <c r="X1" t="s">
        <v>255</v>
      </c>
      <c r="Y1" t="s">
        <v>256</v>
      </c>
      <c r="Z1" t="s">
        <v>257</v>
      </c>
      <c r="AA1" t="s">
        <v>258</v>
      </c>
      <c r="AB1" t="s">
        <v>259</v>
      </c>
      <c r="AC1" t="s">
        <v>260</v>
      </c>
      <c r="AD1" t="s">
        <v>261</v>
      </c>
      <c r="AE1" t="s">
        <v>262</v>
      </c>
      <c r="AF1" t="s">
        <v>263</v>
      </c>
      <c r="AG1" t="s">
        <v>264</v>
      </c>
      <c r="AH1" t="s">
        <v>265</v>
      </c>
      <c r="AI1" t="s">
        <v>266</v>
      </c>
      <c r="AJ1" t="s">
        <v>267</v>
      </c>
      <c r="AK1" t="s">
        <v>268</v>
      </c>
      <c r="AL1" t="s">
        <v>269</v>
      </c>
      <c r="AM1" t="s">
        <v>270</v>
      </c>
      <c r="AN1" t="s">
        <v>271</v>
      </c>
      <c r="AO1" t="s">
        <v>272</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W</v>
      </c>
      <c r="W2" t="str">
        <f>'Wk 13-18 Input'!F44</f>
        <v>-</v>
      </c>
      <c r="X2" t="str">
        <f>'Wk 13-18 Input'!F63</f>
        <v>-</v>
      </c>
      <c r="Y2" t="str">
        <f>'Wk 13-18 Input'!F82</f>
        <v>-</v>
      </c>
      <c r="Z2" t="str">
        <f>'Wk 13-18 Input'!F101</f>
        <v>-</v>
      </c>
      <c r="AA2">
        <f t="shared" ref="AA2:AA17" si="4">COUNTIF(U2:Z2,"W")+COUNTIF(U2:Z2,"T")*0.5</f>
        <v>1</v>
      </c>
      <c r="AB2">
        <f t="shared" ref="AB2:AB17" si="5">COUNTIF(U2:Z2,"L")+COUNTIF(U2:Z2,"T")*0.5</f>
        <v>0</v>
      </c>
      <c r="AC2">
        <f>'Wk 13-18 Input'!I6+'Wk 13-18 Input'!I25+'Wk 13-18 Input'!I44+'Wk 13-18 Input'!I63+'Wk 13-18 Input'!I82+'Wk 13-18 Input'!I101</f>
        <v>5</v>
      </c>
      <c r="AD2">
        <f t="shared" ref="AD2:AD17" si="6">AA2+A2*0.0001</f>
        <v>1.0001</v>
      </c>
      <c r="AE2">
        <f t="shared" ref="AE2:AE17" si="7">I2+R2+AC2</f>
        <v>19</v>
      </c>
      <c r="AF2">
        <f t="shared" ref="AF2:AF17" si="8">AE2+A2*0.0001</f>
        <v>19.0001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5</v>
      </c>
      <c r="AL2">
        <f t="shared" ref="AL2:AL17" si="13">AA2*100000+AC2*1000+AK2*10+A2*0.01</f>
        <v>105050.01</v>
      </c>
      <c r="AM2">
        <f t="shared" ref="AM2:AM17" si="14">AE2*100000+(AG2+AI2+AK2)*100+A2*0.01</f>
        <v>1901900.01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L</v>
      </c>
      <c r="W4" t="str">
        <f>'Wk 13-18 Input'!F46</f>
        <v>-</v>
      </c>
      <c r="X4" t="str">
        <f>'Wk 13-18 Input'!F65</f>
        <v>-</v>
      </c>
      <c r="Y4" t="str">
        <f>'Wk 13-18 Input'!F84</f>
        <v>-</v>
      </c>
      <c r="Z4" t="str">
        <f>'Wk 13-18 Input'!F103</f>
        <v>-</v>
      </c>
      <c r="AA4">
        <f t="shared" si="4"/>
        <v>0</v>
      </c>
      <c r="AB4">
        <f t="shared" si="5"/>
        <v>1</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Picture</vt:lpstr>
      <vt:lpstr>Playoff Wild Card</vt:lpstr>
      <vt:lpstr>Playoff Finals</vt:lpstr>
      <vt:lpstr>NFL Playoff Games</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2026-09-03T17:20:04Z</dcterms:modified>
  <dc:language>en-US</dc:language>
</cp:coreProperties>
</file>