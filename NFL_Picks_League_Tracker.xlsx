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279" documentId="11_C5FB6D5EBB7DB41C9C4944A345A03722CFCA9995" xr6:coauthVersionLast="47" xr6:coauthVersionMax="47" xr10:uidLastSave="{BE57D085-3487-4B92-B33E-763ED9AC5FC2}"/>
  <bookViews>
    <workbookView xWindow="-120" yWindow="-120" windowWidth="29040" windowHeight="16440" tabRatio="857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4" l="1"/>
  <c r="AC13" i="13"/>
  <c r="AB13" i="13"/>
  <c r="AA13" i="13"/>
  <c r="Z13" i="13"/>
  <c r="H51" i="8" s="1"/>
  <c r="Y13" i="13"/>
  <c r="G51" i="8" s="1"/>
  <c r="X13" i="13"/>
  <c r="F51" i="8" s="1"/>
  <c r="W13" i="13"/>
  <c r="V13" i="13"/>
  <c r="D51" i="8" s="1"/>
  <c r="U13" i="13"/>
  <c r="C51" i="8" s="1"/>
  <c r="Q13" i="13"/>
  <c r="P13" i="13"/>
  <c r="G29" i="8" s="1"/>
  <c r="O13" i="13"/>
  <c r="F29" i="8" s="1"/>
  <c r="N13" i="13"/>
  <c r="M13" i="13"/>
  <c r="D29" i="8" s="1"/>
  <c r="L13" i="13"/>
  <c r="C29" i="8" s="1"/>
  <c r="H13" i="13"/>
  <c r="G13" i="13"/>
  <c r="G14" i="8" s="1"/>
  <c r="F13" i="13"/>
  <c r="E13" i="13"/>
  <c r="B13" i="13"/>
  <c r="AC12" i="13"/>
  <c r="K50" i="8" s="1"/>
  <c r="AB12" i="13"/>
  <c r="J50" i="8" s="1"/>
  <c r="AA12" i="13"/>
  <c r="AD12" i="13" s="1"/>
  <c r="Z12" i="13"/>
  <c r="H50" i="8" s="1"/>
  <c r="Y12" i="13"/>
  <c r="X12" i="13"/>
  <c r="F50" i="8" s="1"/>
  <c r="W12" i="13"/>
  <c r="E50" i="8" s="1"/>
  <c r="V12" i="13"/>
  <c r="D50" i="8" s="1"/>
  <c r="U12" i="13"/>
  <c r="C50" i="8" s="1"/>
  <c r="Q12" i="13"/>
  <c r="P12" i="13"/>
  <c r="O12" i="13"/>
  <c r="N12" i="13"/>
  <c r="E28" i="8" s="1"/>
  <c r="M12" i="13"/>
  <c r="D28" i="8" s="1"/>
  <c r="L12" i="13"/>
  <c r="C28" i="8" s="1"/>
  <c r="H12" i="13"/>
  <c r="H13" i="8" s="1"/>
  <c r="G12" i="13"/>
  <c r="G13" i="8" s="1"/>
  <c r="F12" i="13"/>
  <c r="E12" i="13"/>
  <c r="B12" i="13"/>
  <c r="AC11" i="13"/>
  <c r="E66" i="8" s="1"/>
  <c r="AB11" i="13"/>
  <c r="AA11" i="13"/>
  <c r="AD11" i="13" s="1"/>
  <c r="Z11" i="13"/>
  <c r="Y11" i="13"/>
  <c r="G49" i="8" s="1"/>
  <c r="X11" i="13"/>
  <c r="F49" i="8" s="1"/>
  <c r="W11" i="13"/>
  <c r="E49" i="8" s="1"/>
  <c r="V11" i="13"/>
  <c r="D49" i="8" s="1"/>
  <c r="U11" i="13"/>
  <c r="Q11" i="13"/>
  <c r="P11" i="13"/>
  <c r="O11" i="13"/>
  <c r="F27" i="8" s="1"/>
  <c r="N11" i="13"/>
  <c r="E27" i="8" s="1"/>
  <c r="M11" i="13"/>
  <c r="L11" i="13"/>
  <c r="H11" i="13"/>
  <c r="H12" i="8" s="1"/>
  <c r="G11" i="13"/>
  <c r="G12" i="8" s="1"/>
  <c r="F11" i="13"/>
  <c r="F12" i="8" s="1"/>
  <c r="E11" i="13"/>
  <c r="E12" i="8" s="1"/>
  <c r="B11" i="13"/>
  <c r="B49" i="8" s="1"/>
  <c r="AC10" i="13"/>
  <c r="AB10" i="13"/>
  <c r="AA10" i="13"/>
  <c r="AD10" i="13" s="1"/>
  <c r="Z10" i="13"/>
  <c r="Y10" i="13"/>
  <c r="X10" i="13"/>
  <c r="W10" i="13"/>
  <c r="E48" i="8" s="1"/>
  <c r="V10" i="13"/>
  <c r="D48" i="8" s="1"/>
  <c r="U10" i="13"/>
  <c r="C48" i="8" s="1"/>
  <c r="Q10" i="13"/>
  <c r="H26" i="8" s="1"/>
  <c r="P10" i="13"/>
  <c r="G26" i="8" s="1"/>
  <c r="O10" i="13"/>
  <c r="F26" i="8" s="1"/>
  <c r="N10" i="13"/>
  <c r="E26" i="8" s="1"/>
  <c r="M10" i="13"/>
  <c r="L10" i="13"/>
  <c r="H10" i="13"/>
  <c r="G10" i="13"/>
  <c r="F10" i="13"/>
  <c r="E10" i="13"/>
  <c r="E11" i="8" s="1"/>
  <c r="B10" i="13"/>
  <c r="AC9" i="13"/>
  <c r="AB9" i="13"/>
  <c r="J44" i="8" s="1"/>
  <c r="AA9" i="13"/>
  <c r="I44" i="8" s="1"/>
  <c r="Z9" i="13"/>
  <c r="Y9" i="13"/>
  <c r="X9" i="13"/>
  <c r="W9" i="13"/>
  <c r="V9" i="13"/>
  <c r="U9" i="13"/>
  <c r="C44" i="8" s="1"/>
  <c r="Q9" i="13"/>
  <c r="P9" i="13"/>
  <c r="O9" i="13"/>
  <c r="F25" i="8" s="1"/>
  <c r="N9" i="13"/>
  <c r="E25" i="8" s="1"/>
  <c r="M9" i="13"/>
  <c r="D25" i="8" s="1"/>
  <c r="L9" i="13"/>
  <c r="C25" i="8" s="1"/>
  <c r="H9" i="13"/>
  <c r="G9" i="13"/>
  <c r="G10" i="8" s="1"/>
  <c r="F9" i="13"/>
  <c r="F10" i="8" s="1"/>
  <c r="E9" i="13"/>
  <c r="E10" i="8" s="1"/>
  <c r="B9" i="13"/>
  <c r="AC8" i="13"/>
  <c r="K43" i="8" s="1"/>
  <c r="AB8" i="13"/>
  <c r="J43" i="8" s="1"/>
  <c r="AA8" i="13"/>
  <c r="I43" i="8" s="1"/>
  <c r="Z8" i="13"/>
  <c r="H43" i="8" s="1"/>
  <c r="Y8" i="13"/>
  <c r="G43" i="8" s="1"/>
  <c r="X8" i="13"/>
  <c r="F43" i="8" s="1"/>
  <c r="W8" i="13"/>
  <c r="E43" i="8" s="1"/>
  <c r="V8" i="13"/>
  <c r="U8" i="13"/>
  <c r="Q8" i="13"/>
  <c r="P8" i="13"/>
  <c r="G24" i="8" s="1"/>
  <c r="O8" i="13"/>
  <c r="N8" i="13"/>
  <c r="M8" i="13"/>
  <c r="D24" i="8" s="1"/>
  <c r="L8" i="13"/>
  <c r="C24" i="8" s="1"/>
  <c r="H8" i="13"/>
  <c r="H9" i="8" s="1"/>
  <c r="G8" i="13"/>
  <c r="G9" i="8" s="1"/>
  <c r="F8" i="13"/>
  <c r="F9" i="8" s="1"/>
  <c r="E8" i="13"/>
  <c r="E9" i="8" s="1"/>
  <c r="B8" i="13"/>
  <c r="AC7" i="13"/>
  <c r="AB7" i="13"/>
  <c r="J42" i="8" s="1"/>
  <c r="AA7" i="13"/>
  <c r="AD7" i="13" s="1"/>
  <c r="Z7" i="13"/>
  <c r="H42" i="8" s="1"/>
  <c r="Y7" i="13"/>
  <c r="G42" i="8" s="1"/>
  <c r="X7" i="13"/>
  <c r="W7" i="13"/>
  <c r="E42" i="8" s="1"/>
  <c r="V7" i="13"/>
  <c r="D42" i="8" s="1"/>
  <c r="U7" i="13"/>
  <c r="C42" i="8" s="1"/>
  <c r="Q7" i="13"/>
  <c r="H23" i="8" s="1"/>
  <c r="P7" i="13"/>
  <c r="G23" i="8" s="1"/>
  <c r="O7" i="13"/>
  <c r="N7" i="13"/>
  <c r="M7" i="13"/>
  <c r="L7" i="13"/>
  <c r="H7" i="13"/>
  <c r="H8" i="8" s="1"/>
  <c r="G7" i="13"/>
  <c r="G8" i="8" s="1"/>
  <c r="F7" i="13"/>
  <c r="F8" i="8" s="1"/>
  <c r="E7" i="13"/>
  <c r="E8" i="8" s="1"/>
  <c r="B7" i="13"/>
  <c r="AC6" i="13"/>
  <c r="E61" i="8" s="1"/>
  <c r="AB6" i="13"/>
  <c r="J41" i="8" s="1"/>
  <c r="AA6" i="13"/>
  <c r="I41" i="8" s="1"/>
  <c r="Z6" i="13"/>
  <c r="H41" i="8" s="1"/>
  <c r="Y6" i="13"/>
  <c r="G41" i="8" s="1"/>
  <c r="X6" i="13"/>
  <c r="W6" i="13"/>
  <c r="V6" i="13"/>
  <c r="D41" i="8" s="1"/>
  <c r="U6" i="13"/>
  <c r="C41" i="8" s="1"/>
  <c r="Q6" i="13"/>
  <c r="P6" i="13"/>
  <c r="G22" i="8" s="1"/>
  <c r="O6" i="13"/>
  <c r="F22" i="8" s="1"/>
  <c r="N6" i="13"/>
  <c r="E22" i="8" s="1"/>
  <c r="M6" i="13"/>
  <c r="D22" i="8" s="1"/>
  <c r="L6" i="13"/>
  <c r="C22" i="8" s="1"/>
  <c r="H6" i="13"/>
  <c r="G6" i="13"/>
  <c r="G7" i="8" s="1"/>
  <c r="F6" i="13"/>
  <c r="F7" i="8" s="1"/>
  <c r="E6" i="13"/>
  <c r="E7" i="8" s="1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E37" i="8" s="1"/>
  <c r="V5" i="13"/>
  <c r="D37" i="8" s="1"/>
  <c r="U5" i="13"/>
  <c r="C37" i="8" s="1"/>
  <c r="Q5" i="13"/>
  <c r="P5" i="13"/>
  <c r="G21" i="8" s="1"/>
  <c r="O5" i="13"/>
  <c r="N5" i="13"/>
  <c r="E21" i="8" s="1"/>
  <c r="M5" i="13"/>
  <c r="L5" i="13"/>
  <c r="H5" i="13"/>
  <c r="H6" i="8" s="1"/>
  <c r="G5" i="13"/>
  <c r="G6" i="8" s="1"/>
  <c r="F5" i="13"/>
  <c r="E5" i="13"/>
  <c r="E6" i="8" s="1"/>
  <c r="B5" i="13"/>
  <c r="AC4" i="13"/>
  <c r="K36" i="8" s="1"/>
  <c r="AB4" i="13"/>
  <c r="J36" i="8" s="1"/>
  <c r="AA4" i="13"/>
  <c r="AD4" i="13" s="1"/>
  <c r="Z4" i="13"/>
  <c r="H36" i="8" s="1"/>
  <c r="Y4" i="13"/>
  <c r="G36" i="8" s="1"/>
  <c r="X4" i="13"/>
  <c r="F36" i="8" s="1"/>
  <c r="W4" i="13"/>
  <c r="E36" i="8" s="1"/>
  <c r="V4" i="13"/>
  <c r="D36" i="8" s="1"/>
  <c r="U4" i="13"/>
  <c r="C36" i="8" s="1"/>
  <c r="Q4" i="13"/>
  <c r="H20" i="8" s="1"/>
  <c r="P4" i="13"/>
  <c r="G20" i="8" s="1"/>
  <c r="O4" i="13"/>
  <c r="N4" i="13"/>
  <c r="E20" i="8" s="1"/>
  <c r="M4" i="13"/>
  <c r="D20" i="8" s="1"/>
  <c r="L4" i="13"/>
  <c r="H4" i="13"/>
  <c r="H5" i="8" s="1"/>
  <c r="G4" i="13"/>
  <c r="G5" i="8" s="1"/>
  <c r="F4" i="13"/>
  <c r="F5" i="8" s="1"/>
  <c r="E4" i="13"/>
  <c r="E5" i="8" s="1"/>
  <c r="B4" i="13"/>
  <c r="AC3" i="13"/>
  <c r="K35" i="8" s="1"/>
  <c r="AB3" i="13"/>
  <c r="J35" i="8" s="1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P3" i="13"/>
  <c r="G19" i="8" s="1"/>
  <c r="O3" i="13"/>
  <c r="F19" i="8" s="1"/>
  <c r="N3" i="13"/>
  <c r="E19" i="8" s="1"/>
  <c r="M3" i="13"/>
  <c r="D19" i="8" s="1"/>
  <c r="L3" i="13"/>
  <c r="H3" i="13"/>
  <c r="G3" i="13"/>
  <c r="G4" i="8" s="1"/>
  <c r="F3" i="13"/>
  <c r="F4" i="8" s="1"/>
  <c r="E3" i="13"/>
  <c r="E4" i="8" s="1"/>
  <c r="B3" i="13"/>
  <c r="AC2" i="13"/>
  <c r="K34" i="8" s="1"/>
  <c r="AB2" i="13"/>
  <c r="J34" i="8" s="1"/>
  <c r="AA2" i="13"/>
  <c r="I34" i="8" s="1"/>
  <c r="Z2" i="13"/>
  <c r="H34" i="8" s="1"/>
  <c r="Y2" i="13"/>
  <c r="G34" i="8" s="1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N2" i="13"/>
  <c r="E18" i="8" s="1"/>
  <c r="M2" i="13"/>
  <c r="D18" i="8" s="1"/>
  <c r="L2" i="13"/>
  <c r="C18" i="8" s="1"/>
  <c r="H2" i="13"/>
  <c r="H3" i="8" s="1"/>
  <c r="G2" i="13"/>
  <c r="G3" i="8" s="1"/>
  <c r="F2" i="13"/>
  <c r="F3" i="8" s="1"/>
  <c r="E2" i="13"/>
  <c r="E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B66" i="8"/>
  <c r="E65" i="8"/>
  <c r="B64" i="8"/>
  <c r="E62" i="8"/>
  <c r="B62" i="8"/>
  <c r="E60" i="8"/>
  <c r="B60" i="8"/>
  <c r="B59" i="8"/>
  <c r="B58" i="8"/>
  <c r="B57" i="8"/>
  <c r="K51" i="8"/>
  <c r="J51" i="8"/>
  <c r="E51" i="8"/>
  <c r="G50" i="8"/>
  <c r="B50" i="8"/>
  <c r="K49" i="8"/>
  <c r="J49" i="8"/>
  <c r="I49" i="8"/>
  <c r="H49" i="8"/>
  <c r="C49" i="8"/>
  <c r="K48" i="8"/>
  <c r="J48" i="8"/>
  <c r="I48" i="8"/>
  <c r="H48" i="8"/>
  <c r="G48" i="8"/>
  <c r="F48" i="8"/>
  <c r="H44" i="8"/>
  <c r="G44" i="8"/>
  <c r="F44" i="8"/>
  <c r="E44" i="8"/>
  <c r="D44" i="8"/>
  <c r="B44" i="8"/>
  <c r="D43" i="8"/>
  <c r="C43" i="8"/>
  <c r="K42" i="8"/>
  <c r="I42" i="8"/>
  <c r="F42" i="8"/>
  <c r="B42" i="8"/>
  <c r="F41" i="8"/>
  <c r="E41" i="8"/>
  <c r="J37" i="8"/>
  <c r="I37" i="8"/>
  <c r="B37" i="8"/>
  <c r="B36" i="8"/>
  <c r="I35" i="8"/>
  <c r="H35" i="8"/>
  <c r="B35" i="8"/>
  <c r="B34" i="8"/>
  <c r="H29" i="8"/>
  <c r="E29" i="8"/>
  <c r="H28" i="8"/>
  <c r="G28" i="8"/>
  <c r="F28" i="8"/>
  <c r="B28" i="8"/>
  <c r="H27" i="8"/>
  <c r="D27" i="8"/>
  <c r="C27" i="8"/>
  <c r="D26" i="8"/>
  <c r="G25" i="8"/>
  <c r="B25" i="8"/>
  <c r="H24" i="8"/>
  <c r="F24" i="8"/>
  <c r="E24" i="8"/>
  <c r="F23" i="8"/>
  <c r="E23" i="8"/>
  <c r="D23" i="8"/>
  <c r="B23" i="8"/>
  <c r="H22" i="8"/>
  <c r="F21" i="8"/>
  <c r="C21" i="8"/>
  <c r="B21" i="8"/>
  <c r="F20" i="8"/>
  <c r="B20" i="8"/>
  <c r="H19" i="8"/>
  <c r="B19" i="8"/>
  <c r="B18" i="8"/>
  <c r="H14" i="8"/>
  <c r="F14" i="8"/>
  <c r="E14" i="8"/>
  <c r="F13" i="8"/>
  <c r="E13" i="8"/>
  <c r="B13" i="8"/>
  <c r="H11" i="8"/>
  <c r="G11" i="8"/>
  <c r="F11" i="8"/>
  <c r="H10" i="8"/>
  <c r="B10" i="8"/>
  <c r="B8" i="8"/>
  <c r="H7" i="8"/>
  <c r="F6" i="8"/>
  <c r="B6" i="8"/>
  <c r="B5" i="8"/>
  <c r="H4" i="8"/>
  <c r="B4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I325" i="4"/>
  <c r="J324" i="4"/>
  <c r="E327" i="3" s="1"/>
  <c r="I324" i="4"/>
  <c r="J323" i="4"/>
  <c r="E326" i="3" s="1"/>
  <c r="I323" i="4"/>
  <c r="J322" i="4"/>
  <c r="I322" i="4"/>
  <c r="J321" i="4"/>
  <c r="I321" i="4"/>
  <c r="J320" i="4"/>
  <c r="I320" i="4"/>
  <c r="J319" i="4"/>
  <c r="I319" i="4"/>
  <c r="J318" i="4"/>
  <c r="E321" i="3" s="1"/>
  <c r="I318" i="4"/>
  <c r="J317" i="4"/>
  <c r="E320" i="3" s="1"/>
  <c r="I317" i="4"/>
  <c r="J316" i="4"/>
  <c r="I316" i="4"/>
  <c r="J315" i="4"/>
  <c r="I315" i="4"/>
  <c r="J314" i="4"/>
  <c r="I314" i="4"/>
  <c r="J313" i="4"/>
  <c r="I313" i="4"/>
  <c r="J312" i="4"/>
  <c r="E315" i="3" s="1"/>
  <c r="I312" i="4"/>
  <c r="J311" i="4"/>
  <c r="E314" i="3" s="1"/>
  <c r="I311" i="4"/>
  <c r="J310" i="4"/>
  <c r="I310" i="4"/>
  <c r="E307" i="4"/>
  <c r="J306" i="4"/>
  <c r="I306" i="4"/>
  <c r="J305" i="4"/>
  <c r="I305" i="4"/>
  <c r="J304" i="4"/>
  <c r="E307" i="3" s="1"/>
  <c r="I304" i="4"/>
  <c r="J303" i="4"/>
  <c r="I303" i="4"/>
  <c r="J302" i="4"/>
  <c r="I302" i="4"/>
  <c r="J301" i="4"/>
  <c r="I301" i="4"/>
  <c r="J300" i="4"/>
  <c r="I300" i="4"/>
  <c r="J299" i="4"/>
  <c r="I299" i="4"/>
  <c r="J298" i="4"/>
  <c r="E301" i="3" s="1"/>
  <c r="I298" i="4"/>
  <c r="J297" i="4"/>
  <c r="I297" i="4"/>
  <c r="J296" i="4"/>
  <c r="I296" i="4"/>
  <c r="J295" i="4"/>
  <c r="I295" i="4"/>
  <c r="J294" i="4"/>
  <c r="I294" i="4"/>
  <c r="J293" i="4"/>
  <c r="I293" i="4"/>
  <c r="J292" i="4"/>
  <c r="E295" i="3" s="1"/>
  <c r="I292" i="4"/>
  <c r="J291" i="4"/>
  <c r="I291" i="4"/>
  <c r="E288" i="4"/>
  <c r="J287" i="4"/>
  <c r="I287" i="4"/>
  <c r="J286" i="4"/>
  <c r="I286" i="4"/>
  <c r="J285" i="4"/>
  <c r="I285" i="4"/>
  <c r="J284" i="4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I279" i="4"/>
  <c r="J278" i="4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I273" i="4"/>
  <c r="J272" i="4"/>
  <c r="I272" i="4"/>
  <c r="E269" i="4"/>
  <c r="E272" i="3" s="1"/>
  <c r="J268" i="4"/>
  <c r="I268" i="4"/>
  <c r="J267" i="4"/>
  <c r="I267" i="4"/>
  <c r="J266" i="4"/>
  <c r="I266" i="4"/>
  <c r="J265" i="4"/>
  <c r="I265" i="4"/>
  <c r="J264" i="4"/>
  <c r="I264" i="4"/>
  <c r="J263" i="4"/>
  <c r="I263" i="4"/>
  <c r="J262" i="4"/>
  <c r="I262" i="4"/>
  <c r="J261" i="4"/>
  <c r="I261" i="4"/>
  <c r="J260" i="4"/>
  <c r="I260" i="4"/>
  <c r="J259" i="4"/>
  <c r="I259" i="4"/>
  <c r="J258" i="4"/>
  <c r="I258" i="4"/>
  <c r="J257" i="4"/>
  <c r="E260" i="3" s="1"/>
  <c r="I257" i="4"/>
  <c r="J256" i="4"/>
  <c r="I256" i="4"/>
  <c r="J255" i="4"/>
  <c r="I255" i="4"/>
  <c r="J254" i="4"/>
  <c r="I254" i="4"/>
  <c r="J253" i="4"/>
  <c r="I253" i="4"/>
  <c r="E250" i="4"/>
  <c r="J249" i="4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I244" i="4"/>
  <c r="J243" i="4"/>
  <c r="I243" i="4"/>
  <c r="J242" i="4"/>
  <c r="E245" i="3" s="1"/>
  <c r="I242" i="4"/>
  <c r="J241" i="4"/>
  <c r="E244" i="3" s="1"/>
  <c r="I241" i="4"/>
  <c r="J240" i="4"/>
  <c r="I240" i="4"/>
  <c r="J239" i="4"/>
  <c r="I239" i="4"/>
  <c r="J238" i="4"/>
  <c r="I238" i="4"/>
  <c r="J237" i="4"/>
  <c r="I237" i="4"/>
  <c r="J236" i="4"/>
  <c r="E239" i="3" s="1"/>
  <c r="I236" i="4"/>
  <c r="J235" i="4"/>
  <c r="E238" i="3" s="1"/>
  <c r="I235" i="4"/>
  <c r="E232" i="4"/>
  <c r="J231" i="4"/>
  <c r="I231" i="4"/>
  <c r="J230" i="4"/>
  <c r="I230" i="4"/>
  <c r="J229" i="4"/>
  <c r="I229" i="4"/>
  <c r="J228" i="4"/>
  <c r="I228" i="4"/>
  <c r="J227" i="4"/>
  <c r="I227" i="4"/>
  <c r="J226" i="4"/>
  <c r="I226" i="4"/>
  <c r="J225" i="4"/>
  <c r="I225" i="4"/>
  <c r="J224" i="4"/>
  <c r="I224" i="4"/>
  <c r="J223" i="4"/>
  <c r="I223" i="4"/>
  <c r="J222" i="4"/>
  <c r="E225" i="3" s="1"/>
  <c r="I222" i="4"/>
  <c r="J221" i="4"/>
  <c r="I221" i="4"/>
  <c r="J220" i="4"/>
  <c r="I220" i="4"/>
  <c r="J219" i="4"/>
  <c r="I219" i="4"/>
  <c r="J218" i="4"/>
  <c r="I218" i="4"/>
  <c r="E215" i="4"/>
  <c r="J214" i="4"/>
  <c r="I214" i="4"/>
  <c r="J213" i="4"/>
  <c r="I213" i="4"/>
  <c r="J212" i="4"/>
  <c r="E215" i="3" s="1"/>
  <c r="I212" i="4"/>
  <c r="J211" i="4"/>
  <c r="I211" i="4"/>
  <c r="J210" i="4"/>
  <c r="I210" i="4"/>
  <c r="J209" i="4"/>
  <c r="I209" i="4"/>
  <c r="J208" i="4"/>
  <c r="I208" i="4"/>
  <c r="J207" i="4"/>
  <c r="E210" i="3" s="1"/>
  <c r="I207" i="4"/>
  <c r="J206" i="4"/>
  <c r="E209" i="3" s="1"/>
  <c r="I206" i="4"/>
  <c r="J205" i="4"/>
  <c r="E208" i="3" s="1"/>
  <c r="I205" i="4"/>
  <c r="J204" i="4"/>
  <c r="I204" i="4"/>
  <c r="J203" i="4"/>
  <c r="I203" i="4"/>
  <c r="J202" i="4"/>
  <c r="I202" i="4"/>
  <c r="J201" i="4"/>
  <c r="I201" i="4"/>
  <c r="J200" i="4"/>
  <c r="E203" i="3" s="1"/>
  <c r="I200" i="4"/>
  <c r="J199" i="4"/>
  <c r="I199" i="4"/>
  <c r="E196" i="4"/>
  <c r="J195" i="4"/>
  <c r="I195" i="4"/>
  <c r="J194" i="4"/>
  <c r="I194" i="4"/>
  <c r="J193" i="4"/>
  <c r="E196" i="3" s="1"/>
  <c r="I193" i="4"/>
  <c r="J192" i="4"/>
  <c r="I192" i="4"/>
  <c r="J191" i="4"/>
  <c r="I191" i="4"/>
  <c r="J190" i="4"/>
  <c r="I190" i="4"/>
  <c r="J189" i="4"/>
  <c r="I189" i="4"/>
  <c r="J188" i="4"/>
  <c r="I188" i="4"/>
  <c r="J187" i="4"/>
  <c r="I187" i="4"/>
  <c r="J186" i="4"/>
  <c r="I186" i="4"/>
  <c r="J185" i="4"/>
  <c r="I185" i="4"/>
  <c r="J184" i="4"/>
  <c r="I184" i="4"/>
  <c r="J183" i="4"/>
  <c r="I183" i="4"/>
  <c r="E180" i="4"/>
  <c r="J179" i="4"/>
  <c r="I179" i="4"/>
  <c r="J178" i="4"/>
  <c r="E181" i="3" s="1"/>
  <c r="I178" i="4"/>
  <c r="J177" i="4"/>
  <c r="E180" i="3" s="1"/>
  <c r="I177" i="4"/>
  <c r="J176" i="4"/>
  <c r="E179" i="3" s="1"/>
  <c r="I176" i="4"/>
  <c r="J175" i="4"/>
  <c r="I175" i="4"/>
  <c r="J174" i="4"/>
  <c r="I174" i="4"/>
  <c r="J173" i="4"/>
  <c r="I173" i="4"/>
  <c r="J172" i="4"/>
  <c r="E175" i="3" s="1"/>
  <c r="I172" i="4"/>
  <c r="J171" i="4"/>
  <c r="I171" i="4"/>
  <c r="J170" i="4"/>
  <c r="E173" i="3" s="1"/>
  <c r="I170" i="4"/>
  <c r="J169" i="4"/>
  <c r="I169" i="4"/>
  <c r="J168" i="4"/>
  <c r="I168" i="4"/>
  <c r="J167" i="4"/>
  <c r="I167" i="4"/>
  <c r="J166" i="4"/>
  <c r="E169" i="3" s="1"/>
  <c r="I166" i="4"/>
  <c r="E163" i="4"/>
  <c r="E166" i="3" s="1"/>
  <c r="J162" i="4"/>
  <c r="I162" i="4"/>
  <c r="J161" i="4"/>
  <c r="I161" i="4"/>
  <c r="J160" i="4"/>
  <c r="I160" i="4"/>
  <c r="J159" i="4"/>
  <c r="I159" i="4"/>
  <c r="J158" i="4"/>
  <c r="I158" i="4"/>
  <c r="J157" i="4"/>
  <c r="I157" i="4"/>
  <c r="J156" i="4"/>
  <c r="I156" i="4"/>
  <c r="J155" i="4"/>
  <c r="I155" i="4"/>
  <c r="J154" i="4"/>
  <c r="I154" i="4"/>
  <c r="J153" i="4"/>
  <c r="I153" i="4"/>
  <c r="J152" i="4"/>
  <c r="E155" i="3" s="1"/>
  <c r="I152" i="4"/>
  <c r="J151" i="4"/>
  <c r="I151" i="4"/>
  <c r="J150" i="4"/>
  <c r="I150" i="4"/>
  <c r="J149" i="4"/>
  <c r="I149" i="4"/>
  <c r="J148" i="4"/>
  <c r="I148" i="4"/>
  <c r="E145" i="4"/>
  <c r="J144" i="4"/>
  <c r="I144" i="4"/>
  <c r="J143" i="4"/>
  <c r="I143" i="4"/>
  <c r="J142" i="4"/>
  <c r="E145" i="3" s="1"/>
  <c r="I142" i="4"/>
  <c r="J141" i="4"/>
  <c r="I141" i="4"/>
  <c r="J140" i="4"/>
  <c r="I140" i="4"/>
  <c r="J139" i="4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I134" i="4"/>
  <c r="J133" i="4"/>
  <c r="I133" i="4"/>
  <c r="J132" i="4"/>
  <c r="I132" i="4"/>
  <c r="J131" i="4"/>
  <c r="I131" i="4"/>
  <c r="E128" i="4"/>
  <c r="E131" i="3" s="1"/>
  <c r="J127" i="4"/>
  <c r="I127" i="4"/>
  <c r="J126" i="4"/>
  <c r="I126" i="4"/>
  <c r="J125" i="4"/>
  <c r="I125" i="4"/>
  <c r="J124" i="4"/>
  <c r="I124" i="4"/>
  <c r="J123" i="4"/>
  <c r="E126" i="3" s="1"/>
  <c r="I123" i="4"/>
  <c r="J122" i="4"/>
  <c r="I122" i="4"/>
  <c r="J121" i="4"/>
  <c r="I121" i="4"/>
  <c r="J120" i="4"/>
  <c r="I120" i="4"/>
  <c r="J119" i="4"/>
  <c r="I119" i="4"/>
  <c r="J118" i="4"/>
  <c r="I118" i="4"/>
  <c r="J117" i="4"/>
  <c r="I117" i="4"/>
  <c r="J116" i="4"/>
  <c r="I116" i="4"/>
  <c r="J115" i="4"/>
  <c r="I115" i="4"/>
  <c r="J114" i="4"/>
  <c r="I114" i="4"/>
  <c r="E111" i="4"/>
  <c r="J110" i="4"/>
  <c r="I110" i="4"/>
  <c r="J109" i="4"/>
  <c r="I109" i="4"/>
  <c r="J108" i="4"/>
  <c r="E111" i="3" s="1"/>
  <c r="I108" i="4"/>
  <c r="J107" i="4"/>
  <c r="E110" i="3" s="1"/>
  <c r="I107" i="4"/>
  <c r="J106" i="4"/>
  <c r="I106" i="4"/>
  <c r="J105" i="4"/>
  <c r="I105" i="4"/>
  <c r="J104" i="4"/>
  <c r="I104" i="4"/>
  <c r="J103" i="4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I98" i="4"/>
  <c r="J97" i="4"/>
  <c r="I97" i="4"/>
  <c r="E94" i="4"/>
  <c r="E97" i="3" s="1"/>
  <c r="J93" i="4"/>
  <c r="I93" i="4"/>
  <c r="J92" i="4"/>
  <c r="I92" i="4"/>
  <c r="J91" i="4"/>
  <c r="I91" i="4"/>
  <c r="J90" i="4"/>
  <c r="I90" i="4"/>
  <c r="J89" i="4"/>
  <c r="I89" i="4"/>
  <c r="J88" i="4"/>
  <c r="E91" i="3" s="1"/>
  <c r="I88" i="4"/>
  <c r="J87" i="4"/>
  <c r="I87" i="4"/>
  <c r="J86" i="4"/>
  <c r="I86" i="4"/>
  <c r="J85" i="4"/>
  <c r="I85" i="4"/>
  <c r="J84" i="4"/>
  <c r="I84" i="4"/>
  <c r="J83" i="4"/>
  <c r="I83" i="4"/>
  <c r="J82" i="4"/>
  <c r="E85" i="3" s="1"/>
  <c r="I82" i="4"/>
  <c r="J81" i="4"/>
  <c r="E84" i="3" s="1"/>
  <c r="I81" i="4"/>
  <c r="J80" i="4"/>
  <c r="I80" i="4"/>
  <c r="J79" i="4"/>
  <c r="I79" i="4"/>
  <c r="E76" i="4"/>
  <c r="J75" i="4"/>
  <c r="I75" i="4"/>
  <c r="J74" i="4"/>
  <c r="I74" i="4"/>
  <c r="J73" i="4"/>
  <c r="E76" i="3" s="1"/>
  <c r="I73" i="4"/>
  <c r="J72" i="4"/>
  <c r="E75" i="3" s="1"/>
  <c r="I72" i="4"/>
  <c r="J71" i="4"/>
  <c r="E74" i="3" s="1"/>
  <c r="I71" i="4"/>
  <c r="J70" i="4"/>
  <c r="I70" i="4"/>
  <c r="J69" i="4"/>
  <c r="I69" i="4"/>
  <c r="J68" i="4"/>
  <c r="I68" i="4"/>
  <c r="J67" i="4"/>
  <c r="E70" i="3" s="1"/>
  <c r="I67" i="4"/>
  <c r="J66" i="4"/>
  <c r="E69" i="3" s="1"/>
  <c r="I66" i="4"/>
  <c r="J65" i="4"/>
  <c r="I65" i="4"/>
  <c r="J64" i="4"/>
  <c r="I64" i="4"/>
  <c r="J63" i="4"/>
  <c r="I63" i="4"/>
  <c r="J62" i="4"/>
  <c r="I62" i="4"/>
  <c r="J61" i="4"/>
  <c r="E64" i="3" s="1"/>
  <c r="I61" i="4"/>
  <c r="J60" i="4"/>
  <c r="E63" i="3" s="1"/>
  <c r="I60" i="4"/>
  <c r="E57" i="4"/>
  <c r="E60" i="3" s="1"/>
  <c r="J56" i="4"/>
  <c r="I56" i="4"/>
  <c r="J55" i="4"/>
  <c r="I55" i="4"/>
  <c r="J54" i="4"/>
  <c r="I54" i="4"/>
  <c r="J53" i="4"/>
  <c r="E56" i="3" s="1"/>
  <c r="I53" i="4"/>
  <c r="J52" i="4"/>
  <c r="I52" i="4"/>
  <c r="J51" i="4"/>
  <c r="I51" i="4"/>
  <c r="J50" i="4"/>
  <c r="I50" i="4"/>
  <c r="J49" i="4"/>
  <c r="I49" i="4"/>
  <c r="J48" i="4"/>
  <c r="I48" i="4"/>
  <c r="J47" i="4"/>
  <c r="I47" i="4"/>
  <c r="J46" i="4"/>
  <c r="E49" i="3" s="1"/>
  <c r="I46" i="4"/>
  <c r="J45" i="4"/>
  <c r="I45" i="4"/>
  <c r="J44" i="4"/>
  <c r="I44" i="4"/>
  <c r="J43" i="4"/>
  <c r="I43" i="4"/>
  <c r="J42" i="4"/>
  <c r="I42" i="4"/>
  <c r="J41" i="4"/>
  <c r="E44" i="3" s="1"/>
  <c r="I41" i="4"/>
  <c r="E38" i="4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E19" i="4"/>
  <c r="E22" i="3" s="1"/>
  <c r="J18" i="4"/>
  <c r="E21" i="3" s="1"/>
  <c r="J17" i="4"/>
  <c r="E20" i="3" s="1"/>
  <c r="I17" i="4"/>
  <c r="J16" i="4"/>
  <c r="I16" i="4"/>
  <c r="J15" i="4"/>
  <c r="I15" i="4"/>
  <c r="J14" i="4"/>
  <c r="I14" i="4"/>
  <c r="J13" i="4"/>
  <c r="I13" i="4"/>
  <c r="J12" i="4"/>
  <c r="I12" i="4"/>
  <c r="J11" i="4"/>
  <c r="I11" i="4"/>
  <c r="J10" i="4"/>
  <c r="I10" i="4"/>
  <c r="J9" i="4"/>
  <c r="I9" i="4"/>
  <c r="J8" i="4"/>
  <c r="I8" i="4"/>
  <c r="J7" i="4"/>
  <c r="I7" i="4"/>
  <c r="J6" i="4"/>
  <c r="E9" i="3" s="1"/>
  <c r="I6" i="4"/>
  <c r="J5" i="4"/>
  <c r="E8" i="3" s="1"/>
  <c r="I5" i="4"/>
  <c r="J4" i="4"/>
  <c r="I4" i="4"/>
  <c r="J3" i="4"/>
  <c r="I3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E329" i="3"/>
  <c r="E328" i="3"/>
  <c r="E325" i="3"/>
  <c r="E324" i="3"/>
  <c r="E323" i="3"/>
  <c r="E322" i="3"/>
  <c r="E319" i="3"/>
  <c r="E318" i="3"/>
  <c r="E317" i="3"/>
  <c r="E316" i="3"/>
  <c r="E313" i="3"/>
  <c r="E310" i="3"/>
  <c r="E309" i="3"/>
  <c r="E308" i="3"/>
  <c r="E306" i="3"/>
  <c r="E305" i="3"/>
  <c r="E304" i="3"/>
  <c r="E303" i="3"/>
  <c r="E302" i="3"/>
  <c r="E300" i="3"/>
  <c r="E299" i="3"/>
  <c r="E298" i="3"/>
  <c r="E297" i="3"/>
  <c r="E296" i="3"/>
  <c r="E294" i="3"/>
  <c r="E291" i="3"/>
  <c r="E290" i="3"/>
  <c r="E289" i="3"/>
  <c r="E288" i="3"/>
  <c r="E287" i="3"/>
  <c r="E284" i="3"/>
  <c r="E283" i="3"/>
  <c r="E282" i="3"/>
  <c r="E281" i="3"/>
  <c r="E278" i="3"/>
  <c r="E277" i="3"/>
  <c r="E276" i="3"/>
  <c r="E275" i="3"/>
  <c r="E271" i="3"/>
  <c r="E270" i="3"/>
  <c r="E269" i="3"/>
  <c r="E268" i="3"/>
  <c r="E267" i="3"/>
  <c r="E266" i="3"/>
  <c r="E265" i="3"/>
  <c r="E264" i="3"/>
  <c r="E263" i="3"/>
  <c r="E262" i="3"/>
  <c r="E261" i="3"/>
  <c r="E259" i="3"/>
  <c r="E258" i="3"/>
  <c r="E257" i="3"/>
  <c r="E256" i="3"/>
  <c r="E253" i="3"/>
  <c r="E252" i="3"/>
  <c r="E249" i="3"/>
  <c r="E248" i="3"/>
  <c r="E247" i="3"/>
  <c r="E246" i="3"/>
  <c r="E243" i="3"/>
  <c r="E242" i="3"/>
  <c r="E241" i="3"/>
  <c r="E240" i="3"/>
  <c r="E235" i="3"/>
  <c r="E234" i="3"/>
  <c r="E233" i="3"/>
  <c r="E232" i="3"/>
  <c r="E231" i="3"/>
  <c r="E230" i="3"/>
  <c r="E229" i="3"/>
  <c r="E228" i="3"/>
  <c r="E227" i="3"/>
  <c r="E226" i="3"/>
  <c r="E224" i="3"/>
  <c r="E223" i="3"/>
  <c r="E222" i="3"/>
  <c r="E221" i="3"/>
  <c r="C14" i="7" s="1"/>
  <c r="E218" i="3"/>
  <c r="E217" i="3"/>
  <c r="E216" i="3"/>
  <c r="E214" i="3"/>
  <c r="E213" i="3"/>
  <c r="E212" i="3"/>
  <c r="E211" i="3"/>
  <c r="E207" i="3"/>
  <c r="E206" i="3"/>
  <c r="E205" i="3"/>
  <c r="E204" i="3"/>
  <c r="E202" i="3"/>
  <c r="C85" i="6" s="1"/>
  <c r="E199" i="3"/>
  <c r="E198" i="3"/>
  <c r="E197" i="3"/>
  <c r="E195" i="3"/>
  <c r="E194" i="3"/>
  <c r="E193" i="3"/>
  <c r="E192" i="3"/>
  <c r="E191" i="3"/>
  <c r="E190" i="3"/>
  <c r="E189" i="3"/>
  <c r="E188" i="3"/>
  <c r="E187" i="3"/>
  <c r="E186" i="3"/>
  <c r="E183" i="3"/>
  <c r="E182" i="3"/>
  <c r="E178" i="3"/>
  <c r="E177" i="3"/>
  <c r="E176" i="3"/>
  <c r="E174" i="3"/>
  <c r="E172" i="3"/>
  <c r="E171" i="3"/>
  <c r="E170" i="3"/>
  <c r="E165" i="3"/>
  <c r="E164" i="3"/>
  <c r="E163" i="3"/>
  <c r="E162" i="3"/>
  <c r="E161" i="3"/>
  <c r="E160" i="3"/>
  <c r="E159" i="3"/>
  <c r="E158" i="3"/>
  <c r="E157" i="3"/>
  <c r="E156" i="3"/>
  <c r="E154" i="3"/>
  <c r="E153" i="3"/>
  <c r="E152" i="3"/>
  <c r="E151" i="3"/>
  <c r="C40" i="6" s="1"/>
  <c r="E148" i="3"/>
  <c r="E147" i="3"/>
  <c r="E146" i="3"/>
  <c r="E144" i="3"/>
  <c r="E143" i="3"/>
  <c r="E142" i="3"/>
  <c r="E141" i="3"/>
  <c r="E137" i="3"/>
  <c r="E136" i="3"/>
  <c r="E135" i="3"/>
  <c r="E134" i="3"/>
  <c r="E130" i="3"/>
  <c r="E129" i="3"/>
  <c r="E128" i="3"/>
  <c r="E127" i="3"/>
  <c r="E125" i="3"/>
  <c r="E124" i="3"/>
  <c r="E123" i="3"/>
  <c r="E122" i="3"/>
  <c r="E121" i="3"/>
  <c r="E120" i="3"/>
  <c r="E119" i="3"/>
  <c r="E118" i="3"/>
  <c r="E117" i="3"/>
  <c r="C17" i="6" s="1"/>
  <c r="E114" i="3"/>
  <c r="E113" i="3"/>
  <c r="E112" i="3"/>
  <c r="E109" i="3"/>
  <c r="E108" i="3"/>
  <c r="E107" i="3"/>
  <c r="E106" i="3"/>
  <c r="E102" i="3"/>
  <c r="E101" i="3"/>
  <c r="E100" i="3"/>
  <c r="C90" i="5" s="1"/>
  <c r="E96" i="3"/>
  <c r="E95" i="3"/>
  <c r="E94" i="3"/>
  <c r="E93" i="3"/>
  <c r="E92" i="3"/>
  <c r="E90" i="3"/>
  <c r="E89" i="3"/>
  <c r="E88" i="3"/>
  <c r="E87" i="3"/>
  <c r="E86" i="3"/>
  <c r="E83" i="3"/>
  <c r="E82" i="3"/>
  <c r="C75" i="5" s="1"/>
  <c r="E79" i="3"/>
  <c r="E78" i="3"/>
  <c r="E77" i="3"/>
  <c r="E73" i="3"/>
  <c r="E72" i="3"/>
  <c r="E71" i="3"/>
  <c r="E68" i="3"/>
  <c r="E67" i="3"/>
  <c r="E66" i="3"/>
  <c r="E65" i="3"/>
  <c r="E59" i="3"/>
  <c r="E58" i="3"/>
  <c r="E57" i="3"/>
  <c r="E55" i="3"/>
  <c r="E54" i="3"/>
  <c r="E53" i="3"/>
  <c r="E52" i="3"/>
  <c r="E51" i="3"/>
  <c r="E50" i="3"/>
  <c r="E48" i="3"/>
  <c r="E47" i="3"/>
  <c r="E46" i="3"/>
  <c r="E45" i="3"/>
  <c r="E41" i="3"/>
  <c r="E19" i="3"/>
  <c r="E18" i="3"/>
  <c r="E17" i="3"/>
  <c r="E16" i="3"/>
  <c r="E15" i="3"/>
  <c r="E14" i="3"/>
  <c r="E13" i="3"/>
  <c r="E12" i="3"/>
  <c r="E11" i="3"/>
  <c r="E10" i="3"/>
  <c r="E7" i="3"/>
  <c r="E6" i="3"/>
  <c r="C32" i="5" l="1"/>
  <c r="E27" i="5" s="1"/>
  <c r="C31" i="5"/>
  <c r="H31" i="5" s="1"/>
  <c r="D12" i="13" s="1"/>
  <c r="D13" i="8" s="1"/>
  <c r="C17" i="5"/>
  <c r="E63" i="8"/>
  <c r="K26" i="8"/>
  <c r="K20" i="8"/>
  <c r="E57" i="8"/>
  <c r="R2" i="13"/>
  <c r="I18" i="8" s="1"/>
  <c r="AD2" i="13"/>
  <c r="H5" i="9" s="1"/>
  <c r="B7" i="9" s="1"/>
  <c r="C20" i="8"/>
  <c r="K41" i="8"/>
  <c r="E58" i="8"/>
  <c r="E67" i="8"/>
  <c r="AD9" i="13"/>
  <c r="K21" i="8"/>
  <c r="R7" i="13"/>
  <c r="D62" i="8" s="1"/>
  <c r="I36" i="8"/>
  <c r="K23" i="8"/>
  <c r="F27" i="9"/>
  <c r="F31" i="9"/>
  <c r="F18" i="8"/>
  <c r="K22" i="8"/>
  <c r="K28" i="8"/>
  <c r="I50" i="8"/>
  <c r="R4" i="13"/>
  <c r="D59" i="8" s="1"/>
  <c r="F34" i="9"/>
  <c r="AD8" i="13"/>
  <c r="C23" i="8"/>
  <c r="E59" i="8"/>
  <c r="F29" i="9"/>
  <c r="F32" i="9"/>
  <c r="F33" i="9"/>
  <c r="H21" i="8"/>
  <c r="R6" i="13"/>
  <c r="T6" i="13" s="1"/>
  <c r="H61" i="8" s="1"/>
  <c r="R12" i="13"/>
  <c r="F26" i="9"/>
  <c r="C38" i="9"/>
  <c r="F30" i="9"/>
  <c r="F28" i="9"/>
  <c r="F36" i="9"/>
  <c r="H75" i="5"/>
  <c r="E72" i="5"/>
  <c r="F75" i="5"/>
  <c r="G75" i="5" s="1"/>
  <c r="E82" i="5"/>
  <c r="H90" i="5"/>
  <c r="F90" i="5"/>
  <c r="G90" i="5" s="1"/>
  <c r="I90" i="5" s="1"/>
  <c r="E13" i="5"/>
  <c r="H17" i="5"/>
  <c r="C22" i="7"/>
  <c r="C27" i="7"/>
  <c r="C32" i="7"/>
  <c r="C30" i="7"/>
  <c r="C31" i="7"/>
  <c r="C29" i="7"/>
  <c r="C24" i="7"/>
  <c r="C21" i="7"/>
  <c r="C26" i="7"/>
  <c r="C23" i="7"/>
  <c r="C28" i="7"/>
  <c r="C25" i="7"/>
  <c r="C16" i="5"/>
  <c r="C9" i="5"/>
  <c r="C7" i="5"/>
  <c r="C62" i="5"/>
  <c r="C55" i="5"/>
  <c r="C60" i="5"/>
  <c r="C53" i="5"/>
  <c r="C54" i="5"/>
  <c r="C58" i="5"/>
  <c r="C51" i="5"/>
  <c r="C56" i="5"/>
  <c r="C61" i="5"/>
  <c r="C59" i="5"/>
  <c r="C52" i="5"/>
  <c r="C57" i="5"/>
  <c r="C51" i="6"/>
  <c r="C56" i="6"/>
  <c r="C61" i="6"/>
  <c r="C54" i="6"/>
  <c r="C59" i="6"/>
  <c r="C52" i="6"/>
  <c r="C60" i="6"/>
  <c r="C58" i="6"/>
  <c r="C53" i="6"/>
  <c r="C55" i="6"/>
  <c r="C62" i="6"/>
  <c r="C57" i="6"/>
  <c r="E11" i="6"/>
  <c r="H17" i="6"/>
  <c r="F17" i="6"/>
  <c r="H85" i="6"/>
  <c r="E82" i="6"/>
  <c r="F85" i="6"/>
  <c r="G85" i="6" s="1"/>
  <c r="C47" i="5"/>
  <c r="C40" i="5"/>
  <c r="C46" i="5"/>
  <c r="C45" i="5"/>
  <c r="C38" i="5"/>
  <c r="C43" i="5"/>
  <c r="C36" i="5"/>
  <c r="C39" i="5"/>
  <c r="C41" i="5"/>
  <c r="C44" i="5"/>
  <c r="C37" i="5"/>
  <c r="C42" i="5"/>
  <c r="H40" i="6"/>
  <c r="E36" i="6"/>
  <c r="F40" i="6"/>
  <c r="G40" i="6" s="1"/>
  <c r="I40" i="6" s="1"/>
  <c r="E17" i="7"/>
  <c r="F14" i="7"/>
  <c r="I14" i="7"/>
  <c r="C12" i="6"/>
  <c r="C23" i="6"/>
  <c r="C66" i="6"/>
  <c r="C71" i="6"/>
  <c r="C76" i="6"/>
  <c r="C69" i="6"/>
  <c r="C74" i="6"/>
  <c r="C67" i="6"/>
  <c r="C75" i="6"/>
  <c r="C73" i="6"/>
  <c r="C67" i="7"/>
  <c r="C72" i="7"/>
  <c r="C77" i="7"/>
  <c r="C75" i="7"/>
  <c r="C76" i="7"/>
  <c r="C69" i="7"/>
  <c r="C74" i="7"/>
  <c r="C71" i="7"/>
  <c r="C70" i="7"/>
  <c r="C73" i="7"/>
  <c r="C68" i="7"/>
  <c r="C12" i="5"/>
  <c r="C27" i="5"/>
  <c r="C8" i="6"/>
  <c r="C42" i="6"/>
  <c r="C72" i="6"/>
  <c r="C87" i="6"/>
  <c r="C22" i="5"/>
  <c r="C68" i="5"/>
  <c r="C83" i="5"/>
  <c r="B63" i="8"/>
  <c r="B24" i="8"/>
  <c r="B9" i="8"/>
  <c r="C14" i="5"/>
  <c r="C29" i="5"/>
  <c r="C77" i="5"/>
  <c r="C92" i="5"/>
  <c r="C25" i="6"/>
  <c r="C32" i="6"/>
  <c r="C47" i="6"/>
  <c r="C77" i="6"/>
  <c r="C92" i="6"/>
  <c r="C24" i="5"/>
  <c r="B29" i="8"/>
  <c r="B14" i="8"/>
  <c r="B68" i="8"/>
  <c r="B51" i="8"/>
  <c r="C82" i="7"/>
  <c r="C87" i="7"/>
  <c r="C92" i="7"/>
  <c r="C90" i="7"/>
  <c r="C91" i="7"/>
  <c r="C84" i="7"/>
  <c r="C89" i="7"/>
  <c r="C81" i="7"/>
  <c r="C83" i="7"/>
  <c r="C85" i="7"/>
  <c r="C88" i="7"/>
  <c r="C22" i="6"/>
  <c r="G27" i="8"/>
  <c r="K27" i="8"/>
  <c r="C11" i="5"/>
  <c r="C26" i="5"/>
  <c r="C70" i="6"/>
  <c r="C7" i="7"/>
  <c r="C12" i="7"/>
  <c r="C17" i="7"/>
  <c r="C15" i="7"/>
  <c r="C16" i="7"/>
  <c r="C8" i="7"/>
  <c r="C6" i="7"/>
  <c r="C10" i="7"/>
  <c r="C11" i="7"/>
  <c r="C9" i="7"/>
  <c r="C52" i="7"/>
  <c r="C57" i="7"/>
  <c r="C62" i="7"/>
  <c r="C60" i="7"/>
  <c r="C61" i="7"/>
  <c r="C54" i="7"/>
  <c r="C59" i="7"/>
  <c r="C51" i="7"/>
  <c r="C53" i="7"/>
  <c r="C55" i="7"/>
  <c r="C58" i="7"/>
  <c r="C6" i="5"/>
  <c r="C21" i="5"/>
  <c r="C66" i="7"/>
  <c r="B43" i="8"/>
  <c r="C21" i="6"/>
  <c r="C26" i="6"/>
  <c r="C31" i="6"/>
  <c r="C24" i="6"/>
  <c r="C29" i="6"/>
  <c r="C30" i="6"/>
  <c r="C28" i="6"/>
  <c r="C66" i="5"/>
  <c r="C71" i="5"/>
  <c r="C76" i="5"/>
  <c r="C69" i="5"/>
  <c r="C74" i="5"/>
  <c r="C73" i="5"/>
  <c r="C81" i="5"/>
  <c r="C86" i="5"/>
  <c r="C91" i="5"/>
  <c r="C84" i="5"/>
  <c r="C89" i="5"/>
  <c r="C88" i="5"/>
  <c r="C13" i="5"/>
  <c r="C28" i="5"/>
  <c r="C72" i="5"/>
  <c r="C87" i="5"/>
  <c r="C56" i="7"/>
  <c r="C81" i="6"/>
  <c r="C86" i="6"/>
  <c r="C91" i="6"/>
  <c r="C84" i="6"/>
  <c r="C89" i="6"/>
  <c r="C82" i="6"/>
  <c r="C90" i="6"/>
  <c r="C88" i="6"/>
  <c r="C36" i="6"/>
  <c r="C41" i="6"/>
  <c r="C46" i="6"/>
  <c r="C39" i="6"/>
  <c r="C44" i="6"/>
  <c r="C37" i="6"/>
  <c r="C45" i="6"/>
  <c r="C43" i="6"/>
  <c r="C8" i="5"/>
  <c r="C23" i="5"/>
  <c r="C10" i="6"/>
  <c r="H25" i="8"/>
  <c r="R9" i="13"/>
  <c r="B65" i="8"/>
  <c r="B48" i="8"/>
  <c r="B26" i="8"/>
  <c r="B11" i="8"/>
  <c r="C37" i="7"/>
  <c r="C42" i="7"/>
  <c r="C47" i="7"/>
  <c r="C45" i="7"/>
  <c r="C46" i="7"/>
  <c r="C44" i="7"/>
  <c r="C39" i="7"/>
  <c r="C36" i="7"/>
  <c r="C41" i="7"/>
  <c r="C38" i="7"/>
  <c r="C43" i="7"/>
  <c r="C40" i="7"/>
  <c r="C15" i="5"/>
  <c r="C30" i="5"/>
  <c r="C86" i="7"/>
  <c r="C6" i="6"/>
  <c r="C11" i="6"/>
  <c r="C16" i="6"/>
  <c r="C9" i="6"/>
  <c r="C14" i="6"/>
  <c r="C15" i="6"/>
  <c r="C13" i="6"/>
  <c r="C10" i="5"/>
  <c r="C25" i="5"/>
  <c r="C67" i="5"/>
  <c r="C70" i="5"/>
  <c r="C85" i="5"/>
  <c r="C7" i="6"/>
  <c r="C27" i="6"/>
  <c r="C38" i="6"/>
  <c r="C68" i="6"/>
  <c r="C83" i="6"/>
  <c r="C13" i="7"/>
  <c r="C82" i="5"/>
  <c r="B61" i="8"/>
  <c r="B41" i="8"/>
  <c r="B22" i="8"/>
  <c r="B7" i="8"/>
  <c r="K25" i="8"/>
  <c r="K44" i="8"/>
  <c r="E64" i="8"/>
  <c r="F35" i="9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C17" i="10"/>
  <c r="B9" i="11" s="1"/>
  <c r="I9" i="11" s="1"/>
  <c r="J9" i="11" s="1"/>
  <c r="D38" i="9"/>
  <c r="R3" i="13"/>
  <c r="K19" i="8"/>
  <c r="C19" i="8"/>
  <c r="E38" i="9"/>
  <c r="D21" i="8"/>
  <c r="R5" i="13"/>
  <c r="R11" i="13"/>
  <c r="R13" i="13"/>
  <c r="AD13" i="13"/>
  <c r="H16" i="9" s="1"/>
  <c r="I51" i="8"/>
  <c r="F37" i="9"/>
  <c r="H6" i="9"/>
  <c r="R8" i="13"/>
  <c r="K24" i="8"/>
  <c r="R10" i="13"/>
  <c r="C26" i="8"/>
  <c r="AD6" i="13"/>
  <c r="K18" i="8"/>
  <c r="K29" i="8"/>
  <c r="B12" i="8"/>
  <c r="B27" i="8"/>
  <c r="H32" i="5" l="1"/>
  <c r="D13" i="13" s="1"/>
  <c r="D14" i="8" s="1"/>
  <c r="E28" i="5"/>
  <c r="F28" i="5" s="1"/>
  <c r="G28" i="5" s="1"/>
  <c r="I20" i="8"/>
  <c r="H8" i="9"/>
  <c r="T2" i="13"/>
  <c r="H57" i="8" s="1"/>
  <c r="D57" i="8"/>
  <c r="H7" i="9"/>
  <c r="I23" i="8"/>
  <c r="I22" i="8"/>
  <c r="D61" i="8"/>
  <c r="T7" i="13"/>
  <c r="H62" i="8" s="1"/>
  <c r="I28" i="8"/>
  <c r="T12" i="13"/>
  <c r="H67" i="8" s="1"/>
  <c r="D67" i="8"/>
  <c r="T4" i="13"/>
  <c r="H59" i="8" s="1"/>
  <c r="F38" i="9"/>
  <c r="H25" i="5"/>
  <c r="D6" i="13" s="1"/>
  <c r="D7" i="8" s="1"/>
  <c r="E22" i="5"/>
  <c r="F22" i="5" s="1"/>
  <c r="G22" i="5" s="1"/>
  <c r="F74" i="7"/>
  <c r="I74" i="7"/>
  <c r="E76" i="7"/>
  <c r="E40" i="5"/>
  <c r="F44" i="5"/>
  <c r="G44" i="5" s="1"/>
  <c r="I44" i="5" s="1"/>
  <c r="H44" i="5"/>
  <c r="H67" i="5"/>
  <c r="F67" i="5"/>
  <c r="G67" i="5" s="1"/>
  <c r="E77" i="5"/>
  <c r="E9" i="5"/>
  <c r="H15" i="5"/>
  <c r="I37" i="7"/>
  <c r="E36" i="7"/>
  <c r="F37" i="7"/>
  <c r="H45" i="6"/>
  <c r="E38" i="6"/>
  <c r="F45" i="6"/>
  <c r="G45" i="6" s="1"/>
  <c r="F91" i="6"/>
  <c r="G91" i="6" s="1"/>
  <c r="E83" i="6"/>
  <c r="H91" i="6"/>
  <c r="E91" i="5"/>
  <c r="F86" i="5"/>
  <c r="G86" i="5" s="1"/>
  <c r="H86" i="5"/>
  <c r="F31" i="6"/>
  <c r="G31" i="6" s="1"/>
  <c r="I31" i="6" s="1"/>
  <c r="E22" i="6"/>
  <c r="H31" i="6"/>
  <c r="I53" i="7"/>
  <c r="E52" i="7"/>
  <c r="F53" i="7"/>
  <c r="I6" i="7"/>
  <c r="F6" i="7"/>
  <c r="E9" i="7"/>
  <c r="F82" i="7"/>
  <c r="E81" i="7"/>
  <c r="I82" i="7"/>
  <c r="H47" i="6"/>
  <c r="F47" i="6"/>
  <c r="G47" i="6" s="1"/>
  <c r="E42" i="6"/>
  <c r="E70" i="5"/>
  <c r="H68" i="5"/>
  <c r="F68" i="5"/>
  <c r="G68" i="5" s="1"/>
  <c r="E73" i="7"/>
  <c r="I71" i="7"/>
  <c r="F71" i="7"/>
  <c r="E71" i="6"/>
  <c r="F69" i="6"/>
  <c r="G69" i="6" s="1"/>
  <c r="I69" i="6" s="1"/>
  <c r="H69" i="6"/>
  <c r="E36" i="5"/>
  <c r="H42" i="5"/>
  <c r="F42" i="5"/>
  <c r="G42" i="5" s="1"/>
  <c r="I42" i="5" s="1"/>
  <c r="I85" i="6"/>
  <c r="H52" i="6"/>
  <c r="F52" i="6"/>
  <c r="G52" i="6" s="1"/>
  <c r="E58" i="6"/>
  <c r="H58" i="5"/>
  <c r="F58" i="5"/>
  <c r="G58" i="5" s="1"/>
  <c r="I58" i="5" s="1"/>
  <c r="E51" i="5"/>
  <c r="F26" i="7"/>
  <c r="E28" i="7"/>
  <c r="I26" i="7"/>
  <c r="E41" i="6"/>
  <c r="H37" i="6"/>
  <c r="F37" i="6"/>
  <c r="G37" i="6" s="1"/>
  <c r="I37" i="6" s="1"/>
  <c r="E25" i="5"/>
  <c r="F25" i="5" s="1"/>
  <c r="G25" i="5" s="1"/>
  <c r="H22" i="5"/>
  <c r="D3" i="13" s="1"/>
  <c r="D4" i="8" s="1"/>
  <c r="E62" i="7"/>
  <c r="F59" i="7"/>
  <c r="I59" i="7"/>
  <c r="H82" i="5"/>
  <c r="F82" i="5"/>
  <c r="G82" i="5" s="1"/>
  <c r="E90" i="5"/>
  <c r="H26" i="6"/>
  <c r="E23" i="6"/>
  <c r="F26" i="6"/>
  <c r="G26" i="6" s="1"/>
  <c r="I26" i="6" s="1"/>
  <c r="H54" i="5"/>
  <c r="E61" i="5"/>
  <c r="F54" i="5"/>
  <c r="G54" i="5" s="1"/>
  <c r="I54" i="5" s="1"/>
  <c r="E32" i="6"/>
  <c r="H21" i="6"/>
  <c r="F21" i="6"/>
  <c r="G21" i="6" s="1"/>
  <c r="E61" i="6"/>
  <c r="F54" i="6"/>
  <c r="G54" i="6" s="1"/>
  <c r="H54" i="6"/>
  <c r="F39" i="6"/>
  <c r="G39" i="6" s="1"/>
  <c r="E44" i="6"/>
  <c r="H39" i="6"/>
  <c r="I76" i="7"/>
  <c r="E74" i="7"/>
  <c r="F76" i="7"/>
  <c r="F60" i="5"/>
  <c r="G60" i="5" s="1"/>
  <c r="I60" i="5" s="1"/>
  <c r="E55" i="5"/>
  <c r="H60" i="5"/>
  <c r="F29" i="7"/>
  <c r="I29" i="7"/>
  <c r="E31" i="7"/>
  <c r="T10" i="13"/>
  <c r="H65" i="8" s="1"/>
  <c r="D65" i="8"/>
  <c r="I26" i="8"/>
  <c r="T11" i="13"/>
  <c r="H66" i="8" s="1"/>
  <c r="D66" i="8"/>
  <c r="I27" i="8"/>
  <c r="I13" i="7"/>
  <c r="E10" i="7"/>
  <c r="F13" i="7"/>
  <c r="E6" i="6"/>
  <c r="H15" i="6"/>
  <c r="F15" i="6"/>
  <c r="E40" i="7"/>
  <c r="F41" i="7"/>
  <c r="I41" i="7"/>
  <c r="F46" i="6"/>
  <c r="G46" i="6" s="1"/>
  <c r="E43" i="6"/>
  <c r="H46" i="6"/>
  <c r="H87" i="5"/>
  <c r="F87" i="5"/>
  <c r="G87" i="5" s="1"/>
  <c r="I87" i="5" s="1"/>
  <c r="E83" i="5"/>
  <c r="E71" i="5"/>
  <c r="F69" i="5"/>
  <c r="G69" i="5" s="1"/>
  <c r="H69" i="5"/>
  <c r="I61" i="7"/>
  <c r="F61" i="7"/>
  <c r="E60" i="7"/>
  <c r="F17" i="7"/>
  <c r="I17" i="7"/>
  <c r="E14" i="7"/>
  <c r="I83" i="7"/>
  <c r="E84" i="7"/>
  <c r="F83" i="7"/>
  <c r="H77" i="5"/>
  <c r="E67" i="5"/>
  <c r="F77" i="5"/>
  <c r="G77" i="5" s="1"/>
  <c r="I77" i="5" s="1"/>
  <c r="E76" i="6"/>
  <c r="H72" i="6"/>
  <c r="F72" i="6"/>
  <c r="G72" i="6" s="1"/>
  <c r="I72" i="6" s="1"/>
  <c r="E77" i="7"/>
  <c r="F75" i="7"/>
  <c r="I75" i="7"/>
  <c r="E26" i="6"/>
  <c r="H23" i="6"/>
  <c r="F23" i="6"/>
  <c r="G23" i="6" s="1"/>
  <c r="H39" i="5"/>
  <c r="F39" i="5"/>
  <c r="G39" i="5" s="1"/>
  <c r="E47" i="5"/>
  <c r="E59" i="6"/>
  <c r="H56" i="6"/>
  <c r="F56" i="6"/>
  <c r="G56" i="6" s="1"/>
  <c r="I56" i="6" s="1"/>
  <c r="E60" i="5"/>
  <c r="H55" i="5"/>
  <c r="F55" i="5"/>
  <c r="G55" i="5" s="1"/>
  <c r="I55" i="5" s="1"/>
  <c r="I31" i="7"/>
  <c r="E29" i="7"/>
  <c r="F31" i="7"/>
  <c r="I8" i="7"/>
  <c r="F8" i="7"/>
  <c r="E7" i="7"/>
  <c r="E42" i="7"/>
  <c r="I43" i="7"/>
  <c r="F43" i="7"/>
  <c r="E67" i="7"/>
  <c r="I69" i="7"/>
  <c r="F69" i="7"/>
  <c r="I38" i="7"/>
  <c r="E39" i="7"/>
  <c r="F38" i="7"/>
  <c r="H87" i="6"/>
  <c r="E89" i="6"/>
  <c r="F87" i="6"/>
  <c r="G87" i="6" s="1"/>
  <c r="G17" i="6"/>
  <c r="I17" i="6" s="1"/>
  <c r="T5" i="13"/>
  <c r="H60" i="8" s="1"/>
  <c r="D60" i="8"/>
  <c r="I21" i="8"/>
  <c r="E91" i="6"/>
  <c r="F83" i="6"/>
  <c r="G83" i="6" s="1"/>
  <c r="I83" i="6" s="1"/>
  <c r="H83" i="6"/>
  <c r="H14" i="6"/>
  <c r="F14" i="6"/>
  <c r="E7" i="6"/>
  <c r="I36" i="7"/>
  <c r="E37" i="7"/>
  <c r="F36" i="7"/>
  <c r="T9" i="13"/>
  <c r="H64" i="8" s="1"/>
  <c r="I25" i="8"/>
  <c r="D64" i="8"/>
  <c r="E37" i="6"/>
  <c r="H41" i="6"/>
  <c r="F41" i="6"/>
  <c r="G41" i="6" s="1"/>
  <c r="H72" i="5"/>
  <c r="F72" i="5"/>
  <c r="G72" i="5" s="1"/>
  <c r="E75" i="5"/>
  <c r="F76" i="5"/>
  <c r="G76" i="5" s="1"/>
  <c r="E66" i="5"/>
  <c r="H76" i="5"/>
  <c r="F60" i="7"/>
  <c r="I60" i="7"/>
  <c r="E61" i="7"/>
  <c r="I12" i="7"/>
  <c r="F12" i="7"/>
  <c r="E11" i="7"/>
  <c r="I81" i="7"/>
  <c r="E82" i="7"/>
  <c r="F81" i="7"/>
  <c r="E24" i="5"/>
  <c r="F24" i="5" s="1"/>
  <c r="G24" i="5" s="1"/>
  <c r="H29" i="5"/>
  <c r="D10" i="13" s="1"/>
  <c r="D11" i="8" s="1"/>
  <c r="H42" i="6"/>
  <c r="F42" i="6"/>
  <c r="G42" i="6" s="1"/>
  <c r="E47" i="6"/>
  <c r="F77" i="7"/>
  <c r="I77" i="7"/>
  <c r="E75" i="7"/>
  <c r="H12" i="6"/>
  <c r="E9" i="6"/>
  <c r="F12" i="6"/>
  <c r="H36" i="5"/>
  <c r="F36" i="5"/>
  <c r="G36" i="5" s="1"/>
  <c r="I36" i="5" s="1"/>
  <c r="E42" i="5"/>
  <c r="E57" i="6"/>
  <c r="H51" i="6"/>
  <c r="F51" i="6"/>
  <c r="G51" i="6" s="1"/>
  <c r="I51" i="6" s="1"/>
  <c r="H62" i="5"/>
  <c r="E53" i="5"/>
  <c r="F62" i="5"/>
  <c r="G62" i="5" s="1"/>
  <c r="E32" i="7"/>
  <c r="F30" i="7"/>
  <c r="I30" i="7"/>
  <c r="F40" i="7"/>
  <c r="E41" i="7"/>
  <c r="I40" i="7"/>
  <c r="H32" i="6"/>
  <c r="F32" i="6"/>
  <c r="G32" i="6" s="1"/>
  <c r="E21" i="6"/>
  <c r="I16" i="7"/>
  <c r="E15" i="7"/>
  <c r="F16" i="7"/>
  <c r="E57" i="7"/>
  <c r="I56" i="7"/>
  <c r="F56" i="7"/>
  <c r="E75" i="6"/>
  <c r="H66" i="6"/>
  <c r="F66" i="6"/>
  <c r="G66" i="6" s="1"/>
  <c r="I66" i="6" s="1"/>
  <c r="D63" i="8"/>
  <c r="I24" i="8"/>
  <c r="T8" i="13"/>
  <c r="H63" i="8" s="1"/>
  <c r="F68" i="6"/>
  <c r="G68" i="6" s="1"/>
  <c r="I68" i="6" s="1"/>
  <c r="E70" i="6"/>
  <c r="H68" i="6"/>
  <c r="F9" i="6"/>
  <c r="H9" i="6"/>
  <c r="E12" i="6"/>
  <c r="E38" i="7"/>
  <c r="F39" i="7"/>
  <c r="I39" i="7"/>
  <c r="E40" i="6"/>
  <c r="H36" i="6"/>
  <c r="F36" i="6"/>
  <c r="G36" i="6" s="1"/>
  <c r="I36" i="6" s="1"/>
  <c r="H28" i="5"/>
  <c r="D9" i="13" s="1"/>
  <c r="D10" i="8" s="1"/>
  <c r="E31" i="5"/>
  <c r="F31" i="5" s="1"/>
  <c r="G31" i="5" s="1"/>
  <c r="I31" i="5" s="1"/>
  <c r="E69" i="5"/>
  <c r="F71" i="5"/>
  <c r="G71" i="5" s="1"/>
  <c r="H71" i="5"/>
  <c r="F62" i="7"/>
  <c r="I62" i="7"/>
  <c r="E59" i="7"/>
  <c r="E8" i="7"/>
  <c r="I7" i="7"/>
  <c r="F7" i="7"/>
  <c r="F89" i="7"/>
  <c r="E90" i="7"/>
  <c r="I89" i="7"/>
  <c r="E8" i="5"/>
  <c r="F8" i="5" s="1"/>
  <c r="H14" i="5"/>
  <c r="E13" i="6"/>
  <c r="H8" i="6"/>
  <c r="F8" i="6"/>
  <c r="E70" i="7"/>
  <c r="F72" i="7"/>
  <c r="I72" i="7"/>
  <c r="H43" i="5"/>
  <c r="F43" i="5"/>
  <c r="G43" i="5" s="1"/>
  <c r="I43" i="5" s="1"/>
  <c r="E37" i="5"/>
  <c r="H57" i="6"/>
  <c r="F57" i="6"/>
  <c r="G57" i="6" s="1"/>
  <c r="I57" i="6" s="1"/>
  <c r="E51" i="6"/>
  <c r="H57" i="5"/>
  <c r="F57" i="5"/>
  <c r="G57" i="5" s="1"/>
  <c r="I57" i="5" s="1"/>
  <c r="E52" i="5"/>
  <c r="E11" i="5"/>
  <c r="F11" i="5" s="1"/>
  <c r="H7" i="5"/>
  <c r="F32" i="7"/>
  <c r="I32" i="7"/>
  <c r="E30" i="7"/>
  <c r="H86" i="6"/>
  <c r="F86" i="6"/>
  <c r="G86" i="6" s="1"/>
  <c r="I86" i="6" s="1"/>
  <c r="E81" i="6"/>
  <c r="F76" i="6"/>
  <c r="G76" i="6" s="1"/>
  <c r="E72" i="6"/>
  <c r="H76" i="6"/>
  <c r="E86" i="6"/>
  <c r="H81" i="6"/>
  <c r="F81" i="6"/>
  <c r="G81" i="6" s="1"/>
  <c r="I81" i="6" s="1"/>
  <c r="F24" i="7"/>
  <c r="E22" i="7"/>
  <c r="I24" i="7"/>
  <c r="H74" i="5"/>
  <c r="F74" i="5"/>
  <c r="G74" i="5" s="1"/>
  <c r="I74" i="5" s="1"/>
  <c r="E73" i="5"/>
  <c r="E45" i="5"/>
  <c r="H41" i="5"/>
  <c r="F41" i="5"/>
  <c r="G41" i="5" s="1"/>
  <c r="I41" i="5" s="1"/>
  <c r="F38" i="6"/>
  <c r="G38" i="6" s="1"/>
  <c r="E45" i="6"/>
  <c r="H38" i="6"/>
  <c r="F16" i="6"/>
  <c r="E10" i="6"/>
  <c r="H16" i="6"/>
  <c r="F44" i="7"/>
  <c r="E45" i="7"/>
  <c r="I44" i="7"/>
  <c r="F88" i="6"/>
  <c r="G88" i="6" s="1"/>
  <c r="E90" i="6"/>
  <c r="H88" i="6"/>
  <c r="H13" i="5"/>
  <c r="F13" i="5"/>
  <c r="E17" i="5"/>
  <c r="F17" i="5" s="1"/>
  <c r="E76" i="5"/>
  <c r="H66" i="5"/>
  <c r="F66" i="5"/>
  <c r="G66" i="5" s="1"/>
  <c r="I66" i="7"/>
  <c r="E68" i="7"/>
  <c r="F66" i="7"/>
  <c r="F57" i="7"/>
  <c r="I57" i="7"/>
  <c r="E56" i="7"/>
  <c r="E83" i="7"/>
  <c r="F84" i="7"/>
  <c r="I84" i="7"/>
  <c r="H27" i="5"/>
  <c r="D8" i="13" s="1"/>
  <c r="D9" i="8" s="1"/>
  <c r="F27" i="5"/>
  <c r="G27" i="5" s="1"/>
  <c r="E32" i="5"/>
  <c r="F32" i="5" s="1"/>
  <c r="G32" i="5" s="1"/>
  <c r="E69" i="7"/>
  <c r="F67" i="7"/>
  <c r="I67" i="7"/>
  <c r="H14" i="7"/>
  <c r="G14" i="7"/>
  <c r="F38" i="5"/>
  <c r="G38" i="5" s="1"/>
  <c r="E46" i="5"/>
  <c r="H38" i="5"/>
  <c r="H62" i="6"/>
  <c r="F62" i="6"/>
  <c r="G62" i="6" s="1"/>
  <c r="I62" i="6" s="1"/>
  <c r="E53" i="6"/>
  <c r="F52" i="5"/>
  <c r="G52" i="5" s="1"/>
  <c r="I52" i="5" s="1"/>
  <c r="H52" i="5"/>
  <c r="E57" i="5"/>
  <c r="E15" i="5"/>
  <c r="F15" i="5" s="1"/>
  <c r="H9" i="5"/>
  <c r="F9" i="5"/>
  <c r="E25" i="7"/>
  <c r="F27" i="7"/>
  <c r="I27" i="7"/>
  <c r="E89" i="5"/>
  <c r="H81" i="5"/>
  <c r="F81" i="5"/>
  <c r="G81" i="5" s="1"/>
  <c r="I81" i="5" s="1"/>
  <c r="H59" i="6"/>
  <c r="E56" i="6"/>
  <c r="F59" i="6"/>
  <c r="G59" i="6" s="1"/>
  <c r="E74" i="5"/>
  <c r="F73" i="5"/>
  <c r="G73" i="5" s="1"/>
  <c r="H73" i="5"/>
  <c r="F53" i="5"/>
  <c r="G53" i="5" s="1"/>
  <c r="E62" i="5"/>
  <c r="H53" i="5"/>
  <c r="T13" i="13"/>
  <c r="H68" i="8" s="1"/>
  <c r="D68" i="8"/>
  <c r="I29" i="8"/>
  <c r="E51" i="7"/>
  <c r="F54" i="7"/>
  <c r="I54" i="7"/>
  <c r="F61" i="6"/>
  <c r="G61" i="6" s="1"/>
  <c r="I61" i="6" s="1"/>
  <c r="E54" i="6"/>
  <c r="H61" i="6"/>
  <c r="H27" i="6"/>
  <c r="F27" i="6"/>
  <c r="G27" i="6" s="1"/>
  <c r="E30" i="6"/>
  <c r="H11" i="6"/>
  <c r="F11" i="6"/>
  <c r="E17" i="6"/>
  <c r="E47" i="7"/>
  <c r="I46" i="7"/>
  <c r="F46" i="7"/>
  <c r="E16" i="6"/>
  <c r="H10" i="6"/>
  <c r="F10" i="6"/>
  <c r="H90" i="6"/>
  <c r="F90" i="6"/>
  <c r="G90" i="6" s="1"/>
  <c r="E88" i="6"/>
  <c r="E84" i="5"/>
  <c r="F88" i="5"/>
  <c r="G88" i="5" s="1"/>
  <c r="H88" i="5"/>
  <c r="E29" i="6"/>
  <c r="F28" i="6"/>
  <c r="G28" i="6" s="1"/>
  <c r="H28" i="6"/>
  <c r="H21" i="5"/>
  <c r="D2" i="13" s="1"/>
  <c r="D3" i="8" s="1"/>
  <c r="E26" i="5"/>
  <c r="F26" i="5" s="1"/>
  <c r="G26" i="5" s="1"/>
  <c r="E53" i="7"/>
  <c r="F52" i="7"/>
  <c r="I52" i="7"/>
  <c r="H70" i="6"/>
  <c r="E68" i="6"/>
  <c r="F70" i="6"/>
  <c r="G70" i="6" s="1"/>
  <c r="I70" i="6" s="1"/>
  <c r="E92" i="7"/>
  <c r="I91" i="7"/>
  <c r="F91" i="7"/>
  <c r="H12" i="5"/>
  <c r="E16" i="5"/>
  <c r="F16" i="5" s="1"/>
  <c r="F73" i="6"/>
  <c r="G73" i="6" s="1"/>
  <c r="I73" i="6" s="1"/>
  <c r="H73" i="6"/>
  <c r="E77" i="6"/>
  <c r="F45" i="5"/>
  <c r="G45" i="5" s="1"/>
  <c r="E41" i="5"/>
  <c r="H45" i="5"/>
  <c r="H55" i="6"/>
  <c r="E60" i="6"/>
  <c r="F55" i="6"/>
  <c r="G55" i="6" s="1"/>
  <c r="F59" i="5"/>
  <c r="G59" i="5" s="1"/>
  <c r="I59" i="5" s="1"/>
  <c r="H59" i="5"/>
  <c r="E56" i="5"/>
  <c r="H16" i="5"/>
  <c r="E12" i="5"/>
  <c r="F12" i="5" s="1"/>
  <c r="E24" i="7"/>
  <c r="I22" i="7"/>
  <c r="F22" i="7"/>
  <c r="E43" i="5"/>
  <c r="H37" i="5"/>
  <c r="F37" i="5"/>
  <c r="G37" i="5" s="1"/>
  <c r="I37" i="5" s="1"/>
  <c r="H44" i="6"/>
  <c r="F44" i="6"/>
  <c r="G44" i="6" s="1"/>
  <c r="E39" i="6"/>
  <c r="E69" i="6"/>
  <c r="H71" i="6"/>
  <c r="F71" i="6"/>
  <c r="G71" i="6" s="1"/>
  <c r="I71" i="6" s="1"/>
  <c r="F15" i="7"/>
  <c r="E16" i="7"/>
  <c r="I15" i="7"/>
  <c r="C16" i="11"/>
  <c r="C14" i="11"/>
  <c r="G15" i="11"/>
  <c r="G13" i="11"/>
  <c r="E15" i="11"/>
  <c r="E13" i="11"/>
  <c r="G16" i="11"/>
  <c r="F16" i="11"/>
  <c r="F14" i="11"/>
  <c r="E16" i="11"/>
  <c r="E14" i="11"/>
  <c r="D16" i="11"/>
  <c r="D14" i="11"/>
  <c r="G14" i="11"/>
  <c r="F13" i="11"/>
  <c r="D13" i="11"/>
  <c r="C13" i="11"/>
  <c r="F15" i="11"/>
  <c r="C15" i="11"/>
  <c r="D15" i="11"/>
  <c r="H7" i="6"/>
  <c r="E14" i="6"/>
  <c r="F7" i="6"/>
  <c r="H6" i="6"/>
  <c r="F6" i="6"/>
  <c r="E15" i="6"/>
  <c r="F45" i="7"/>
  <c r="I45" i="7"/>
  <c r="E44" i="7"/>
  <c r="E30" i="5"/>
  <c r="F30" i="5" s="1"/>
  <c r="G30" i="5" s="1"/>
  <c r="H23" i="5"/>
  <c r="D4" i="13" s="1"/>
  <c r="D5" i="8" s="1"/>
  <c r="H82" i="6"/>
  <c r="F82" i="6"/>
  <c r="G82" i="6" s="1"/>
  <c r="E85" i="6"/>
  <c r="H89" i="5"/>
  <c r="F89" i="5"/>
  <c r="G89" i="5" s="1"/>
  <c r="E81" i="5"/>
  <c r="E27" i="6"/>
  <c r="H30" i="6"/>
  <c r="F30" i="6"/>
  <c r="G30" i="6" s="1"/>
  <c r="I30" i="6" s="1"/>
  <c r="E10" i="5"/>
  <c r="F10" i="5" s="1"/>
  <c r="H6" i="5"/>
  <c r="E6" i="7"/>
  <c r="I9" i="7"/>
  <c r="F9" i="7"/>
  <c r="H26" i="5"/>
  <c r="D7" i="13" s="1"/>
  <c r="D8" i="8" s="1"/>
  <c r="E21" i="5"/>
  <c r="F21" i="5" s="1"/>
  <c r="G21" i="5" s="1"/>
  <c r="F90" i="7"/>
  <c r="E89" i="7"/>
  <c r="I90" i="7"/>
  <c r="H24" i="5"/>
  <c r="D5" i="13" s="1"/>
  <c r="D6" i="8" s="1"/>
  <c r="E29" i="5"/>
  <c r="F29" i="5" s="1"/>
  <c r="G29" i="5" s="1"/>
  <c r="I68" i="7"/>
  <c r="E66" i="7"/>
  <c r="F68" i="7"/>
  <c r="H75" i="6"/>
  <c r="E66" i="6"/>
  <c r="F75" i="6"/>
  <c r="G75" i="6" s="1"/>
  <c r="E38" i="5"/>
  <c r="H46" i="5"/>
  <c r="F46" i="5"/>
  <c r="G46" i="5" s="1"/>
  <c r="I46" i="5" s="1"/>
  <c r="F53" i="6"/>
  <c r="G53" i="6" s="1"/>
  <c r="E62" i="6"/>
  <c r="H53" i="6"/>
  <c r="H61" i="5"/>
  <c r="E54" i="5"/>
  <c r="F61" i="5"/>
  <c r="G61" i="5" s="1"/>
  <c r="E27" i="7"/>
  <c r="F25" i="7"/>
  <c r="I25" i="7"/>
  <c r="I75" i="5"/>
  <c r="H10" i="9"/>
  <c r="H9" i="9"/>
  <c r="H12" i="9"/>
  <c r="H11" i="9"/>
  <c r="E31" i="6"/>
  <c r="H22" i="6"/>
  <c r="F22" i="6"/>
  <c r="G22" i="6" s="1"/>
  <c r="E6" i="5"/>
  <c r="F6" i="5" s="1"/>
  <c r="H10" i="5"/>
  <c r="E24" i="6"/>
  <c r="H25" i="6"/>
  <c r="F25" i="6"/>
  <c r="G25" i="6" s="1"/>
  <c r="F13" i="6"/>
  <c r="E8" i="6"/>
  <c r="H13" i="6"/>
  <c r="H92" i="5"/>
  <c r="E85" i="5"/>
  <c r="F92" i="5"/>
  <c r="G92" i="5" s="1"/>
  <c r="H85" i="5"/>
  <c r="E92" i="5"/>
  <c r="F85" i="5"/>
  <c r="G85" i="5" s="1"/>
  <c r="I85" i="5" s="1"/>
  <c r="E85" i="7"/>
  <c r="I86" i="7"/>
  <c r="F86" i="7"/>
  <c r="F47" i="7"/>
  <c r="I47" i="7"/>
  <c r="E46" i="7"/>
  <c r="E14" i="5"/>
  <c r="F14" i="5" s="1"/>
  <c r="H8" i="5"/>
  <c r="H89" i="6"/>
  <c r="F89" i="6"/>
  <c r="G89" i="6" s="1"/>
  <c r="I89" i="6" s="1"/>
  <c r="E87" i="6"/>
  <c r="F84" i="5"/>
  <c r="G84" i="5" s="1"/>
  <c r="H84" i="5"/>
  <c r="E88" i="5"/>
  <c r="H29" i="6"/>
  <c r="F29" i="6"/>
  <c r="G29" i="6" s="1"/>
  <c r="I29" i="6" s="1"/>
  <c r="E28" i="6"/>
  <c r="I58" i="7"/>
  <c r="E55" i="7"/>
  <c r="F58" i="7"/>
  <c r="E12" i="7"/>
  <c r="I11" i="7"/>
  <c r="F11" i="7"/>
  <c r="H11" i="5"/>
  <c r="E7" i="5"/>
  <c r="F7" i="5" s="1"/>
  <c r="F92" i="7"/>
  <c r="I92" i="7"/>
  <c r="E91" i="7"/>
  <c r="E84" i="6"/>
  <c r="H92" i="6"/>
  <c r="F92" i="6"/>
  <c r="G92" i="6" s="1"/>
  <c r="I73" i="7"/>
  <c r="F73" i="7"/>
  <c r="E71" i="7"/>
  <c r="H67" i="6"/>
  <c r="E74" i="6"/>
  <c r="F67" i="6"/>
  <c r="G67" i="6" s="1"/>
  <c r="I67" i="6" s="1"/>
  <c r="E44" i="5"/>
  <c r="H40" i="5"/>
  <c r="F40" i="5"/>
  <c r="G40" i="5" s="1"/>
  <c r="I40" i="5" s="1"/>
  <c r="E52" i="6"/>
  <c r="F58" i="6"/>
  <c r="G58" i="6" s="1"/>
  <c r="I58" i="6" s="1"/>
  <c r="H58" i="6"/>
  <c r="H56" i="5"/>
  <c r="F56" i="5"/>
  <c r="G56" i="5" s="1"/>
  <c r="I56" i="5" s="1"/>
  <c r="E59" i="5"/>
  <c r="I28" i="7"/>
  <c r="F28" i="7"/>
  <c r="E26" i="7"/>
  <c r="I51" i="7"/>
  <c r="E54" i="7"/>
  <c r="F51" i="7"/>
  <c r="I21" i="7"/>
  <c r="E23" i="7"/>
  <c r="F21" i="7"/>
  <c r="H15" i="9"/>
  <c r="H14" i="9"/>
  <c r="H13" i="9"/>
  <c r="E87" i="7"/>
  <c r="I88" i="7"/>
  <c r="F88" i="7"/>
  <c r="F85" i="7"/>
  <c r="I85" i="7"/>
  <c r="E86" i="7"/>
  <c r="T3" i="13"/>
  <c r="D58" i="8"/>
  <c r="I19" i="8"/>
  <c r="H70" i="5"/>
  <c r="E68" i="5"/>
  <c r="F70" i="5"/>
  <c r="G70" i="5" s="1"/>
  <c r="I70" i="5" s="1"/>
  <c r="E23" i="5"/>
  <c r="F23" i="5" s="1"/>
  <c r="G23" i="5" s="1"/>
  <c r="H30" i="5"/>
  <c r="D11" i="13" s="1"/>
  <c r="D12" i="8" s="1"/>
  <c r="F42" i="7"/>
  <c r="E43" i="7"/>
  <c r="I42" i="7"/>
  <c r="E46" i="6"/>
  <c r="F43" i="6"/>
  <c r="G43" i="6" s="1"/>
  <c r="I43" i="6" s="1"/>
  <c r="H43" i="6"/>
  <c r="F84" i="6"/>
  <c r="G84" i="6" s="1"/>
  <c r="H84" i="6"/>
  <c r="E92" i="6"/>
  <c r="F91" i="5"/>
  <c r="G91" i="5" s="1"/>
  <c r="E86" i="5"/>
  <c r="H91" i="5"/>
  <c r="F24" i="6"/>
  <c r="G24" i="6" s="1"/>
  <c r="H24" i="6"/>
  <c r="E25" i="6"/>
  <c r="F55" i="7"/>
  <c r="I55" i="7"/>
  <c r="E58" i="7"/>
  <c r="F10" i="7"/>
  <c r="E13" i="7"/>
  <c r="I10" i="7"/>
  <c r="F87" i="7"/>
  <c r="I87" i="7"/>
  <c r="E88" i="7"/>
  <c r="H77" i="6"/>
  <c r="F77" i="6"/>
  <c r="G77" i="6" s="1"/>
  <c r="I77" i="6" s="1"/>
  <c r="E73" i="6"/>
  <c r="E87" i="5"/>
  <c r="H83" i="5"/>
  <c r="F83" i="5"/>
  <c r="G83" i="5" s="1"/>
  <c r="E72" i="7"/>
  <c r="F70" i="7"/>
  <c r="I70" i="7"/>
  <c r="H74" i="6"/>
  <c r="F74" i="6"/>
  <c r="G74" i="6" s="1"/>
  <c r="I74" i="6" s="1"/>
  <c r="E67" i="6"/>
  <c r="E39" i="5"/>
  <c r="H47" i="5"/>
  <c r="F47" i="5"/>
  <c r="G47" i="5" s="1"/>
  <c r="I47" i="5" s="1"/>
  <c r="H60" i="6"/>
  <c r="F60" i="6"/>
  <c r="G60" i="6" s="1"/>
  <c r="E55" i="6"/>
  <c r="H51" i="5"/>
  <c r="E58" i="5"/>
  <c r="F51" i="5"/>
  <c r="G51" i="5" s="1"/>
  <c r="I51" i="5" s="1"/>
  <c r="I23" i="7"/>
  <c r="E21" i="7"/>
  <c r="F23" i="7"/>
  <c r="I25" i="5" l="1"/>
  <c r="I32" i="5"/>
  <c r="I24" i="5"/>
  <c r="I28" i="5"/>
  <c r="I27" i="5"/>
  <c r="I29" i="5"/>
  <c r="I67" i="5"/>
  <c r="J3" i="13"/>
  <c r="J4" i="8" s="1"/>
  <c r="G7" i="5"/>
  <c r="I7" i="5" s="1"/>
  <c r="J6" i="13"/>
  <c r="J7" i="8" s="1"/>
  <c r="G10" i="5"/>
  <c r="I10" i="5" s="1"/>
  <c r="J8" i="13"/>
  <c r="J9" i="8" s="1"/>
  <c r="G12" i="5"/>
  <c r="I12" i="5" s="1"/>
  <c r="J11" i="13"/>
  <c r="J12" i="8" s="1"/>
  <c r="G15" i="5"/>
  <c r="I15" i="5" s="1"/>
  <c r="J10" i="13"/>
  <c r="J11" i="8" s="1"/>
  <c r="G14" i="5"/>
  <c r="I14" i="5" s="1"/>
  <c r="G55" i="7"/>
  <c r="H55" i="7"/>
  <c r="H12" i="7"/>
  <c r="G12" i="7"/>
  <c r="H7" i="7"/>
  <c r="G7" i="7"/>
  <c r="H47" i="7"/>
  <c r="G47" i="7"/>
  <c r="H84" i="7"/>
  <c r="G84" i="7"/>
  <c r="J9" i="13"/>
  <c r="J10" i="8" s="1"/>
  <c r="G13" i="5"/>
  <c r="I13" i="5" s="1"/>
  <c r="H72" i="7"/>
  <c r="G72" i="7"/>
  <c r="I32" i="6"/>
  <c r="I42" i="6"/>
  <c r="H75" i="7"/>
  <c r="G75" i="7"/>
  <c r="I22" i="5"/>
  <c r="I52" i="6"/>
  <c r="I68" i="5"/>
  <c r="H53" i="7"/>
  <c r="G53" i="7"/>
  <c r="I45" i="6"/>
  <c r="I23" i="5"/>
  <c r="H15" i="7"/>
  <c r="G15" i="7"/>
  <c r="H42" i="7"/>
  <c r="G42" i="7"/>
  <c r="H23" i="7"/>
  <c r="G23" i="7"/>
  <c r="H88" i="7"/>
  <c r="G88" i="7"/>
  <c r="H86" i="7"/>
  <c r="G86" i="7"/>
  <c r="I25" i="6"/>
  <c r="J12" i="13"/>
  <c r="J13" i="8" s="1"/>
  <c r="G16" i="5"/>
  <c r="I16" i="5" s="1"/>
  <c r="G52" i="7"/>
  <c r="H52" i="7"/>
  <c r="I90" i="6"/>
  <c r="I27" i="6"/>
  <c r="H27" i="7"/>
  <c r="G27" i="7"/>
  <c r="I38" i="6"/>
  <c r="H60" i="7"/>
  <c r="G60" i="7"/>
  <c r="H43" i="7"/>
  <c r="G43" i="7"/>
  <c r="H17" i="7"/>
  <c r="G17" i="7"/>
  <c r="I46" i="6"/>
  <c r="H59" i="7"/>
  <c r="G59" i="7"/>
  <c r="H24" i="7"/>
  <c r="G24" i="7"/>
  <c r="G6" i="7"/>
  <c r="H6" i="7"/>
  <c r="H76" i="7"/>
  <c r="G76" i="7"/>
  <c r="I24" i="6"/>
  <c r="C12" i="13"/>
  <c r="H87" i="7"/>
  <c r="G87" i="7"/>
  <c r="I91" i="5"/>
  <c r="I30" i="5"/>
  <c r="C7" i="13"/>
  <c r="I84" i="5"/>
  <c r="I75" i="6"/>
  <c r="S6" i="13"/>
  <c r="J22" i="8" s="1"/>
  <c r="G10" i="6"/>
  <c r="I10" i="6" s="1"/>
  <c r="J5" i="13"/>
  <c r="J6" i="8" s="1"/>
  <c r="G9" i="5"/>
  <c r="I9" i="5" s="1"/>
  <c r="H39" i="7"/>
  <c r="G39" i="7"/>
  <c r="S13" i="13"/>
  <c r="J29" i="8" s="1"/>
  <c r="G61" i="7"/>
  <c r="H61" i="7"/>
  <c r="H41" i="7"/>
  <c r="G41" i="7"/>
  <c r="G37" i="7"/>
  <c r="H37" i="7"/>
  <c r="H58" i="8"/>
  <c r="B6" i="9"/>
  <c r="G22" i="7"/>
  <c r="H22" i="7"/>
  <c r="I88" i="5"/>
  <c r="S7" i="13"/>
  <c r="J23" i="8" s="1"/>
  <c r="G11" i="6"/>
  <c r="I11" i="6" s="1"/>
  <c r="S12" i="13"/>
  <c r="J28" i="8" s="1"/>
  <c r="G16" i="6"/>
  <c r="I16" i="6" s="1"/>
  <c r="G32" i="7"/>
  <c r="H32" i="7"/>
  <c r="J13" i="13"/>
  <c r="J14" i="8" s="1"/>
  <c r="G17" i="5"/>
  <c r="G85" i="7"/>
  <c r="H85" i="7"/>
  <c r="J7" i="13"/>
  <c r="J8" i="8" s="1"/>
  <c r="G11" i="5"/>
  <c r="I11" i="5" s="1"/>
  <c r="H90" i="7"/>
  <c r="G90" i="7"/>
  <c r="B9" i="9"/>
  <c r="H11" i="7"/>
  <c r="G11" i="7"/>
  <c r="G25" i="7"/>
  <c r="H25" i="7"/>
  <c r="I26" i="5"/>
  <c r="I89" i="5"/>
  <c r="S2" i="13"/>
  <c r="J18" i="8" s="1"/>
  <c r="G6" i="6"/>
  <c r="I6" i="6" s="1"/>
  <c r="I44" i="6"/>
  <c r="I21" i="5"/>
  <c r="I73" i="5"/>
  <c r="H57" i="7"/>
  <c r="G57" i="7"/>
  <c r="I88" i="6"/>
  <c r="I76" i="6"/>
  <c r="H62" i="7"/>
  <c r="G62" i="7"/>
  <c r="G40" i="7"/>
  <c r="H40" i="7"/>
  <c r="I76" i="5"/>
  <c r="I87" i="6"/>
  <c r="I39" i="6"/>
  <c r="I47" i="6"/>
  <c r="J4" i="13"/>
  <c r="J5" i="8" s="1"/>
  <c r="G8" i="5"/>
  <c r="I8" i="5" s="1"/>
  <c r="H89" i="7"/>
  <c r="G89" i="7"/>
  <c r="I91" i="6"/>
  <c r="I38" i="5"/>
  <c r="C6" i="13"/>
  <c r="G66" i="7"/>
  <c r="H66" i="7"/>
  <c r="H56" i="7"/>
  <c r="G56" i="7"/>
  <c r="S8" i="13"/>
  <c r="J24" i="8" s="1"/>
  <c r="G12" i="6"/>
  <c r="I12" i="6" s="1"/>
  <c r="G81" i="7"/>
  <c r="H81" i="7"/>
  <c r="G8" i="7"/>
  <c r="H8" i="7"/>
  <c r="G15" i="6"/>
  <c r="I15" i="6" s="1"/>
  <c r="S11" i="13"/>
  <c r="J27" i="8" s="1"/>
  <c r="H74" i="7"/>
  <c r="G74" i="7"/>
  <c r="H71" i="7"/>
  <c r="G71" i="7"/>
  <c r="H69" i="7"/>
  <c r="G69" i="7"/>
  <c r="I53" i="6"/>
  <c r="I45" i="5"/>
  <c r="B8" i="9"/>
  <c r="H45" i="7"/>
  <c r="G45" i="7"/>
  <c r="G70" i="7"/>
  <c r="H70" i="7"/>
  <c r="I84" i="6"/>
  <c r="I61" i="5"/>
  <c r="H68" i="7"/>
  <c r="G68" i="7"/>
  <c r="H9" i="7"/>
  <c r="G9" i="7"/>
  <c r="S3" i="13"/>
  <c r="J19" i="8" s="1"/>
  <c r="G7" i="6"/>
  <c r="I7" i="6" s="1"/>
  <c r="I55" i="6"/>
  <c r="G91" i="7"/>
  <c r="H91" i="7"/>
  <c r="H46" i="7"/>
  <c r="G46" i="7"/>
  <c r="I59" i="6"/>
  <c r="G67" i="7"/>
  <c r="H67" i="7"/>
  <c r="C10" i="13"/>
  <c r="I71" i="5"/>
  <c r="H30" i="7"/>
  <c r="G30" i="7"/>
  <c r="I72" i="5"/>
  <c r="S10" i="13"/>
  <c r="J26" i="8" s="1"/>
  <c r="G14" i="6"/>
  <c r="I14" i="6" s="1"/>
  <c r="I39" i="5"/>
  <c r="I69" i="5"/>
  <c r="I54" i="6"/>
  <c r="I82" i="5"/>
  <c r="C11" i="13"/>
  <c r="G51" i="7"/>
  <c r="H51" i="7"/>
  <c r="H28" i="7"/>
  <c r="G28" i="7"/>
  <c r="H73" i="7"/>
  <c r="G73" i="7"/>
  <c r="G10" i="7"/>
  <c r="H10" i="7"/>
  <c r="I83" i="5"/>
  <c r="G21" i="7"/>
  <c r="H21" i="7"/>
  <c r="I92" i="6"/>
  <c r="H58" i="7"/>
  <c r="G58" i="7"/>
  <c r="I92" i="5"/>
  <c r="I22" i="6"/>
  <c r="I82" i="6"/>
  <c r="I28" i="6"/>
  <c r="H54" i="7"/>
  <c r="G54" i="7"/>
  <c r="H44" i="7"/>
  <c r="G44" i="7"/>
  <c r="S5" i="13"/>
  <c r="J21" i="8" s="1"/>
  <c r="G9" i="6"/>
  <c r="I9" i="6" s="1"/>
  <c r="H38" i="7"/>
  <c r="G38" i="7"/>
  <c r="H29" i="7"/>
  <c r="G29" i="7"/>
  <c r="H26" i="7"/>
  <c r="G26" i="7"/>
  <c r="I86" i="5"/>
  <c r="G6" i="5"/>
  <c r="I6" i="5" s="1"/>
  <c r="J2" i="13"/>
  <c r="J3" i="8" s="1"/>
  <c r="H77" i="7"/>
  <c r="G77" i="7"/>
  <c r="H92" i="7"/>
  <c r="G92" i="7"/>
  <c r="S9" i="13"/>
  <c r="J25" i="8" s="1"/>
  <c r="G13" i="6"/>
  <c r="I13" i="6" s="1"/>
  <c r="I53" i="5"/>
  <c r="S4" i="13"/>
  <c r="J20" i="8" s="1"/>
  <c r="G8" i="6"/>
  <c r="I8" i="6" s="1"/>
  <c r="G36" i="7"/>
  <c r="H36" i="7"/>
  <c r="I60" i="6"/>
  <c r="I66" i="5"/>
  <c r="H16" i="7"/>
  <c r="G16" i="7"/>
  <c r="I62" i="5"/>
  <c r="I41" i="6"/>
  <c r="H31" i="7"/>
  <c r="G31" i="7"/>
  <c r="I23" i="6"/>
  <c r="H83" i="7"/>
  <c r="G83" i="7"/>
  <c r="H13" i="7"/>
  <c r="G13" i="7"/>
  <c r="I21" i="6"/>
  <c r="G82" i="7"/>
  <c r="H82" i="7"/>
  <c r="C8" i="13" l="1"/>
  <c r="I8" i="13" s="1"/>
  <c r="C4" i="13"/>
  <c r="I4" i="13" s="1"/>
  <c r="C3" i="13"/>
  <c r="K4" i="8" s="1"/>
  <c r="C5" i="13"/>
  <c r="K6" i="8" s="1"/>
  <c r="I11" i="13"/>
  <c r="C12" i="8"/>
  <c r="K12" i="8"/>
  <c r="C9" i="13"/>
  <c r="K8" i="8"/>
  <c r="I7" i="13"/>
  <c r="C8" i="8"/>
  <c r="I17" i="5"/>
  <c r="C13" i="13"/>
  <c r="C2" i="13"/>
  <c r="I6" i="13"/>
  <c r="K7" i="8"/>
  <c r="C7" i="8"/>
  <c r="K13" i="8"/>
  <c r="I12" i="13"/>
  <c r="C13" i="8"/>
  <c r="I10" i="13"/>
  <c r="C11" i="8"/>
  <c r="K11" i="8"/>
  <c r="C4" i="8" l="1"/>
  <c r="I3" i="13"/>
  <c r="C58" i="8" s="1"/>
  <c r="I5" i="13"/>
  <c r="AE5" i="13" s="1"/>
  <c r="C9" i="8"/>
  <c r="K5" i="8"/>
  <c r="C5" i="8"/>
  <c r="C6" i="8"/>
  <c r="K9" i="8"/>
  <c r="I8" i="8"/>
  <c r="C62" i="8"/>
  <c r="K7" i="13"/>
  <c r="G62" i="8" s="1"/>
  <c r="AE7" i="13"/>
  <c r="K10" i="8"/>
  <c r="C10" i="8"/>
  <c r="I9" i="13"/>
  <c r="AE8" i="13"/>
  <c r="C63" i="8"/>
  <c r="I9" i="8"/>
  <c r="K8" i="13"/>
  <c r="G63" i="8" s="1"/>
  <c r="K14" i="8"/>
  <c r="I13" i="13"/>
  <c r="C14" i="8"/>
  <c r="K4" i="13"/>
  <c r="G59" i="8" s="1"/>
  <c r="AE4" i="13"/>
  <c r="C59" i="8"/>
  <c r="I5" i="8"/>
  <c r="AE10" i="13"/>
  <c r="C65" i="8"/>
  <c r="K10" i="13"/>
  <c r="G65" i="8" s="1"/>
  <c r="I11" i="8"/>
  <c r="AE6" i="13"/>
  <c r="I7" i="8"/>
  <c r="K6" i="13"/>
  <c r="G61" i="8" s="1"/>
  <c r="C61" i="8"/>
  <c r="I2" i="13"/>
  <c r="K3" i="8"/>
  <c r="C3" i="8"/>
  <c r="K12" i="13"/>
  <c r="G67" i="8" s="1"/>
  <c r="AE12" i="13"/>
  <c r="C67" i="8"/>
  <c r="I13" i="8"/>
  <c r="C66" i="8"/>
  <c r="K11" i="13"/>
  <c r="G66" i="8" s="1"/>
  <c r="I12" i="8"/>
  <c r="AE11" i="13"/>
  <c r="K5" i="13" l="1"/>
  <c r="G60" i="8" s="1"/>
  <c r="I6" i="8"/>
  <c r="C60" i="8"/>
  <c r="I4" i="8"/>
  <c r="K3" i="13"/>
  <c r="G58" i="8" s="1"/>
  <c r="AE3" i="13"/>
  <c r="AF3" i="13" s="1"/>
  <c r="I42" i="9"/>
  <c r="F59" i="8"/>
  <c r="AF4" i="13"/>
  <c r="I46" i="9"/>
  <c r="F63" i="8"/>
  <c r="AF8" i="13"/>
  <c r="I3" i="8"/>
  <c r="K2" i="13"/>
  <c r="AE2" i="13"/>
  <c r="C57" i="8"/>
  <c r="AE13" i="13"/>
  <c r="C68" i="8"/>
  <c r="K13" i="13"/>
  <c r="G68" i="8" s="1"/>
  <c r="I14" i="8"/>
  <c r="I45" i="9"/>
  <c r="F62" i="8"/>
  <c r="AF7" i="13"/>
  <c r="K9" i="13"/>
  <c r="G64" i="8" s="1"/>
  <c r="AE9" i="13"/>
  <c r="C64" i="8"/>
  <c r="I10" i="8"/>
  <c r="I50" i="9"/>
  <c r="AF12" i="13"/>
  <c r="F67" i="8"/>
  <c r="AF5" i="13"/>
  <c r="I43" i="9"/>
  <c r="F60" i="8"/>
  <c r="I48" i="9"/>
  <c r="AF10" i="13"/>
  <c r="F65" i="8"/>
  <c r="F66" i="8"/>
  <c r="AF11" i="13"/>
  <c r="I49" i="9"/>
  <c r="F61" i="8"/>
  <c r="AF6" i="13"/>
  <c r="I44" i="9"/>
  <c r="F58" i="8" l="1"/>
  <c r="I41" i="9"/>
  <c r="AF9" i="13"/>
  <c r="I47" i="9"/>
  <c r="F64" i="8"/>
  <c r="F57" i="8"/>
  <c r="I40" i="9"/>
  <c r="AF2" i="13"/>
  <c r="B5" i="9"/>
  <c r="G57" i="8"/>
  <c r="AF13" i="13"/>
  <c r="I51" i="9"/>
  <c r="F68" i="8"/>
  <c r="F5" i="9" l="1"/>
  <c r="E5" i="9"/>
  <c r="B17" i="9" l="1"/>
  <c r="B5" i="10" s="1"/>
  <c r="B14" i="10" s="1"/>
  <c r="A6" i="11" s="1"/>
  <c r="E6" i="9"/>
  <c r="B18" i="9" l="1"/>
  <c r="B6" i="10" s="1"/>
  <c r="B15" i="10" s="1"/>
  <c r="A7" i="11" s="1"/>
  <c r="F6" i="9"/>
  <c r="E7" i="9"/>
  <c r="E8" i="9" s="1"/>
  <c r="A22" i="11"/>
  <c r="B13" i="11"/>
  <c r="B20" i="9" l="1"/>
  <c r="B8" i="10" s="1"/>
  <c r="B17" i="10" s="1"/>
  <c r="A9" i="11" s="1"/>
  <c r="F8" i="9"/>
  <c r="E9" i="9"/>
  <c r="J45" i="9" s="1"/>
  <c r="K45" i="9" s="1"/>
  <c r="F7" i="9"/>
  <c r="B19" i="9"/>
  <c r="B7" i="10" s="1"/>
  <c r="B16" i="10" s="1"/>
  <c r="A8" i="11" s="1"/>
  <c r="A23" i="11"/>
  <c r="B14" i="11"/>
  <c r="J46" i="9" l="1"/>
  <c r="K46" i="9" s="1"/>
  <c r="J49" i="9"/>
  <c r="K49" i="9" s="1"/>
  <c r="J42" i="9"/>
  <c r="K42" i="9" s="1"/>
  <c r="A24" i="11"/>
  <c r="B15" i="11"/>
  <c r="F9" i="9"/>
  <c r="B21" i="9"/>
  <c r="B9" i="10" s="1"/>
  <c r="B18" i="10" s="1"/>
  <c r="J41" i="9"/>
  <c r="K41" i="9" s="1"/>
  <c r="J47" i="9"/>
  <c r="K47" i="9" s="1"/>
  <c r="J51" i="9"/>
  <c r="K51" i="9" s="1"/>
  <c r="J50" i="9"/>
  <c r="K50" i="9" s="1"/>
  <c r="J44" i="9"/>
  <c r="K44" i="9" s="1"/>
  <c r="J48" i="9"/>
  <c r="K48" i="9" s="1"/>
  <c r="J43" i="9"/>
  <c r="K43" i="9" s="1"/>
  <c r="J40" i="9"/>
  <c r="K40" i="9" s="1"/>
  <c r="A25" i="11"/>
  <c r="B16" i="1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<sst xmlns="http://schemas.openxmlformats.org/spreadsheetml/2006/main" count="3587" uniqueCount="346">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</sst>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6" fillId="5" borderId="1" xfId="0" applyFont="1" applyFill="1" applyBorder="1"/>
    <xf numFmtId="0" fontId="4" fillId="0" borderId="0" xfId="0" applyFont="1"/>
    <xf numFmtId="0" fontId="5" fillId="0" borderId="0" xfId="0" applyFont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tabSelected="1" zoomScaleNormal="100" workbookViewId="0">
      <selection activeCell="J20" sqref="J20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3" t="s">
        <v>0</v>
      </c>
      <c r="B1" s="23"/>
      <c r="C1" s="23"/>
      <c r="D1" s="23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2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2" t="s">
        <v>25</v>
      </c>
      <c r="B1" s="22"/>
      <c r="C1" s="22"/>
      <c r="D1" s="22"/>
      <c r="E1" s="22"/>
      <c r="F1" s="22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2" t="s">
        <v>36</v>
      </c>
      <c r="B56" s="22"/>
      <c r="C56" s="22"/>
      <c r="D56" s="22"/>
      <c r="E56" s="22"/>
      <c r="F56" s="22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2" t="s">
        <v>43</v>
      </c>
      <c r="B111" s="22"/>
      <c r="C111" s="22"/>
      <c r="D111" s="22"/>
      <c r="E111" s="22"/>
      <c r="F111" s="22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opLeftCell="A12" zoomScaleNormal="100" workbookViewId="0">
      <selection activeCell="U24" sqref="U24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5" t="s">
        <v>50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</row>
    <row r="2" spans="1:17" ht="15" customHeight="1" x14ac:dyDescent="0.25">
      <c r="A2" s="26" t="s">
        <v>51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4" spans="1:17" ht="15" customHeight="1" x14ac:dyDescent="0.25">
      <c r="A4" s="24" t="s">
        <v>52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>KC</v>
      </c>
      <c r="F21" s="10" t="s">
        <v>87</v>
      </c>
      <c r="G21" s="10" t="s">
        <v>88</v>
      </c>
      <c r="H21" s="10" t="s">
        <v>87</v>
      </c>
      <c r="I21" s="10" t="s">
        <v>88</v>
      </c>
      <c r="J21" s="10" t="s">
        <v>87</v>
      </c>
      <c r="K21" s="10" t="s">
        <v>88</v>
      </c>
      <c r="L21" s="10" t="s">
        <v>87</v>
      </c>
      <c r="M21" s="10" t="s">
        <v>87</v>
      </c>
      <c r="N21" s="10" t="s">
        <v>87</v>
      </c>
      <c r="O21" s="10" t="s">
        <v>87</v>
      </c>
      <c r="P21" s="10" t="s">
        <v>87</v>
      </c>
      <c r="Q21" s="10" t="s">
        <v>88</v>
      </c>
    </row>
    <row r="22" spans="1:17" x14ac:dyDescent="0.25">
      <c r="A22" s="11" t="s">
        <v>63</v>
      </c>
      <c r="B22" s="12" t="s">
        <v>89</v>
      </c>
      <c r="E22" s="13">
        <f>'NFL Schedule'!E19</f>
        <v>41</v>
      </c>
      <c r="F22" s="14">
        <v>43</v>
      </c>
      <c r="G22" s="14">
        <v>50</v>
      </c>
      <c r="H22" s="14">
        <v>39</v>
      </c>
      <c r="I22" s="14">
        <v>40</v>
      </c>
      <c r="J22" s="14">
        <v>30</v>
      </c>
      <c r="K22" s="14">
        <v>42</v>
      </c>
      <c r="L22" s="14">
        <v>52</v>
      </c>
      <c r="M22" s="14">
        <v>46</v>
      </c>
      <c r="N22" s="14">
        <v>44</v>
      </c>
      <c r="O22" s="14">
        <v>34</v>
      </c>
      <c r="P22" s="14">
        <v>41</v>
      </c>
      <c r="Q22" s="14">
        <v>51</v>
      </c>
    </row>
    <row r="23" spans="1:17" ht="15" customHeight="1" x14ac:dyDescent="0.25">
      <c r="A23" s="24" t="s">
        <v>90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>BUF</v>
      </c>
      <c r="F25" s="10" t="s">
        <v>67</v>
      </c>
      <c r="G25" s="10" t="s">
        <v>67</v>
      </c>
      <c r="H25" s="10" t="s">
        <v>66</v>
      </c>
      <c r="I25" s="10" t="s">
        <v>67</v>
      </c>
      <c r="J25" s="10" t="s">
        <v>67</v>
      </c>
      <c r="K25" s="10" t="s">
        <v>67</v>
      </c>
      <c r="L25" s="10" t="s">
        <v>67</v>
      </c>
      <c r="M25" s="10" t="s">
        <v>67</v>
      </c>
      <c r="N25" s="10" t="s">
        <v>66</v>
      </c>
      <c r="O25" s="10" t="s">
        <v>67</v>
      </c>
      <c r="P25" s="10" t="s">
        <v>66</v>
      </c>
      <c r="Q25" s="10" t="s">
        <v>67</v>
      </c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>CAR</v>
      </c>
      <c r="F26" s="10" t="s">
        <v>62</v>
      </c>
      <c r="G26" s="10" t="s">
        <v>62</v>
      </c>
      <c r="H26" s="10" t="s">
        <v>62</v>
      </c>
      <c r="I26" s="10" t="s">
        <v>62</v>
      </c>
      <c r="J26" s="10" t="s">
        <v>73</v>
      </c>
      <c r="K26" s="10" t="s">
        <v>62</v>
      </c>
      <c r="L26" s="10" t="s">
        <v>62</v>
      </c>
      <c r="M26" s="10" t="s">
        <v>62</v>
      </c>
      <c r="N26" s="10" t="s">
        <v>62</v>
      </c>
      <c r="O26" s="10" t="s">
        <v>62</v>
      </c>
      <c r="P26" s="10" t="s">
        <v>62</v>
      </c>
      <c r="Q26" s="10" t="s">
        <v>62</v>
      </c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>NO</v>
      </c>
      <c r="F27" s="10" t="s">
        <v>69</v>
      </c>
      <c r="G27" s="10" t="s">
        <v>69</v>
      </c>
      <c r="H27" s="10" t="s">
        <v>69</v>
      </c>
      <c r="I27" s="10" t="s">
        <v>69</v>
      </c>
      <c r="J27" s="10" t="s">
        <v>69</v>
      </c>
      <c r="K27" s="10" t="s">
        <v>69</v>
      </c>
      <c r="L27" s="10" t="s">
        <v>69</v>
      </c>
      <c r="M27" s="10" t="s">
        <v>69</v>
      </c>
      <c r="N27" s="10" t="s">
        <v>65</v>
      </c>
      <c r="O27" s="10" t="s">
        <v>65</v>
      </c>
      <c r="P27" s="10" t="s">
        <v>69</v>
      </c>
      <c r="Q27" s="10" t="s">
        <v>69</v>
      </c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>MIN</v>
      </c>
      <c r="F28" s="10" t="s">
        <v>82</v>
      </c>
      <c r="G28" s="10" t="s">
        <v>61</v>
      </c>
      <c r="H28" s="10" t="s">
        <v>61</v>
      </c>
      <c r="I28" s="10" t="s">
        <v>61</v>
      </c>
      <c r="J28" s="10" t="s">
        <v>61</v>
      </c>
      <c r="K28" s="10" t="s">
        <v>61</v>
      </c>
      <c r="L28" s="10" t="s">
        <v>61</v>
      </c>
      <c r="M28" s="10" t="s">
        <v>61</v>
      </c>
      <c r="N28" s="10" t="s">
        <v>82</v>
      </c>
      <c r="O28" s="10" t="s">
        <v>61</v>
      </c>
      <c r="P28" s="10" t="s">
        <v>61</v>
      </c>
      <c r="Q28" s="10" t="s">
        <v>61</v>
      </c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>CIN</v>
      </c>
      <c r="F29" s="10" t="s">
        <v>68</v>
      </c>
      <c r="G29" s="10" t="s">
        <v>64</v>
      </c>
      <c r="H29" s="10" t="s">
        <v>64</v>
      </c>
      <c r="I29" s="10" t="s">
        <v>64</v>
      </c>
      <c r="J29" s="10" t="s">
        <v>68</v>
      </c>
      <c r="K29" s="10" t="s">
        <v>68</v>
      </c>
      <c r="L29" s="10" t="s">
        <v>68</v>
      </c>
      <c r="M29" s="10" t="s">
        <v>68</v>
      </c>
      <c r="N29" s="10" t="s">
        <v>64</v>
      </c>
      <c r="O29" s="10" t="s">
        <v>64</v>
      </c>
      <c r="P29" s="10" t="s">
        <v>68</v>
      </c>
      <c r="Q29" s="10" t="s">
        <v>68</v>
      </c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>NE</v>
      </c>
      <c r="F30" s="10" t="s">
        <v>74</v>
      </c>
      <c r="G30" s="10" t="s">
        <v>57</v>
      </c>
      <c r="H30" s="10" t="s">
        <v>74</v>
      </c>
      <c r="I30" s="10" t="s">
        <v>74</v>
      </c>
      <c r="J30" s="10" t="s">
        <v>74</v>
      </c>
      <c r="K30" s="10" t="s">
        <v>57</v>
      </c>
      <c r="L30" s="10" t="s">
        <v>57</v>
      </c>
      <c r="M30" s="10" t="s">
        <v>74</v>
      </c>
      <c r="N30" s="10" t="s">
        <v>74</v>
      </c>
      <c r="O30" s="10" t="s">
        <v>57</v>
      </c>
      <c r="P30" s="10" t="s">
        <v>74</v>
      </c>
      <c r="Q30" s="10" t="s">
        <v>74</v>
      </c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>NYJ</v>
      </c>
      <c r="F31" s="10" t="s">
        <v>81</v>
      </c>
      <c r="G31" s="10" t="s">
        <v>81</v>
      </c>
      <c r="H31" s="10" t="s">
        <v>75</v>
      </c>
      <c r="I31" s="10" t="s">
        <v>75</v>
      </c>
      <c r="J31" s="10" t="s">
        <v>81</v>
      </c>
      <c r="K31" s="10" t="s">
        <v>81</v>
      </c>
      <c r="L31" s="10" t="s">
        <v>81</v>
      </c>
      <c r="M31" s="10" t="s">
        <v>81</v>
      </c>
      <c r="N31" s="10" t="s">
        <v>81</v>
      </c>
      <c r="O31" s="10" t="s">
        <v>81</v>
      </c>
      <c r="P31" s="10" t="s">
        <v>81</v>
      </c>
      <c r="Q31" s="10" t="s">
        <v>81</v>
      </c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>CLE</v>
      </c>
      <c r="F32" s="10" t="s">
        <v>71</v>
      </c>
      <c r="G32" s="10" t="s">
        <v>63</v>
      </c>
      <c r="H32" s="10" t="s">
        <v>71</v>
      </c>
      <c r="I32" s="10" t="s">
        <v>63</v>
      </c>
      <c r="J32" s="10" t="s">
        <v>63</v>
      </c>
      <c r="K32" s="10" t="s">
        <v>63</v>
      </c>
      <c r="L32" s="10" t="s">
        <v>63</v>
      </c>
      <c r="M32" s="10" t="s">
        <v>63</v>
      </c>
      <c r="N32" s="10" t="s">
        <v>71</v>
      </c>
      <c r="O32" s="10" t="s">
        <v>63</v>
      </c>
      <c r="P32" s="10" t="s">
        <v>63</v>
      </c>
      <c r="Q32" s="10" t="s">
        <v>63</v>
      </c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>TEN</v>
      </c>
      <c r="F33" s="10" t="s">
        <v>84</v>
      </c>
      <c r="G33" s="10" t="s">
        <v>84</v>
      </c>
      <c r="H33" s="10" t="s">
        <v>84</v>
      </c>
      <c r="I33" s="10" t="s">
        <v>84</v>
      </c>
      <c r="J33" s="10" t="s">
        <v>84</v>
      </c>
      <c r="K33" s="10" t="s">
        <v>84</v>
      </c>
      <c r="L33" s="10" t="s">
        <v>84</v>
      </c>
      <c r="M33" s="10" t="s">
        <v>84</v>
      </c>
      <c r="N33" s="10" t="s">
        <v>84</v>
      </c>
      <c r="O33" s="10" t="s">
        <v>84</v>
      </c>
      <c r="P33" s="10" t="s">
        <v>84</v>
      </c>
      <c r="Q33" s="10" t="s">
        <v>76</v>
      </c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>DEN</v>
      </c>
      <c r="F34" s="10" t="s">
        <v>72</v>
      </c>
      <c r="G34" s="10" t="s">
        <v>87</v>
      </c>
      <c r="H34" s="10" t="s">
        <v>72</v>
      </c>
      <c r="I34" s="10" t="s">
        <v>72</v>
      </c>
      <c r="J34" s="10" t="s">
        <v>72</v>
      </c>
      <c r="K34" s="10" t="s">
        <v>72</v>
      </c>
      <c r="L34" s="10" t="s">
        <v>72</v>
      </c>
      <c r="M34" s="10" t="s">
        <v>72</v>
      </c>
      <c r="N34" s="10" t="s">
        <v>72</v>
      </c>
      <c r="O34" s="10" t="s">
        <v>72</v>
      </c>
      <c r="P34" s="10" t="s">
        <v>72</v>
      </c>
      <c r="Q34" s="10" t="s">
        <v>72</v>
      </c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>LV</v>
      </c>
      <c r="F35" s="10" t="s">
        <v>80</v>
      </c>
      <c r="G35" s="10" t="s">
        <v>78</v>
      </c>
      <c r="H35" s="10" t="s">
        <v>78</v>
      </c>
      <c r="I35" s="10" t="s">
        <v>80</v>
      </c>
      <c r="J35" s="10" t="s">
        <v>80</v>
      </c>
      <c r="K35" s="10" t="s">
        <v>78</v>
      </c>
      <c r="L35" s="10" t="s">
        <v>78</v>
      </c>
      <c r="M35" s="10" t="s">
        <v>78</v>
      </c>
      <c r="N35" s="10" t="s">
        <v>80</v>
      </c>
      <c r="O35" s="10" t="s">
        <v>78</v>
      </c>
      <c r="P35" s="10" t="s">
        <v>80</v>
      </c>
      <c r="Q35" s="10" t="s">
        <v>78</v>
      </c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>SEA</v>
      </c>
      <c r="F36" s="10" t="s">
        <v>58</v>
      </c>
      <c r="G36" s="10" t="s">
        <v>58</v>
      </c>
      <c r="H36" s="10" t="s">
        <v>58</v>
      </c>
      <c r="I36" s="10" t="s">
        <v>58</v>
      </c>
      <c r="J36" s="10" t="s">
        <v>58</v>
      </c>
      <c r="K36" s="10" t="s">
        <v>58</v>
      </c>
      <c r="L36" s="10" t="s">
        <v>58</v>
      </c>
      <c r="M36" s="10" t="s">
        <v>58</v>
      </c>
      <c r="N36" s="10" t="s">
        <v>77</v>
      </c>
      <c r="O36" s="10" t="s">
        <v>58</v>
      </c>
      <c r="P36" s="10" t="s">
        <v>58</v>
      </c>
      <c r="Q36" s="10" t="s">
        <v>58</v>
      </c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>DAL</v>
      </c>
      <c r="F37" s="10" t="s">
        <v>85</v>
      </c>
      <c r="G37" s="10" t="s">
        <v>83</v>
      </c>
      <c r="H37" s="10" t="s">
        <v>83</v>
      </c>
      <c r="I37" s="10" t="s">
        <v>85</v>
      </c>
      <c r="J37" s="10" t="s">
        <v>85</v>
      </c>
      <c r="K37" s="10" t="s">
        <v>85</v>
      </c>
      <c r="L37" s="10" t="s">
        <v>83</v>
      </c>
      <c r="M37" s="10" t="s">
        <v>83</v>
      </c>
      <c r="N37" s="10" t="s">
        <v>83</v>
      </c>
      <c r="O37" s="10" t="s">
        <v>85</v>
      </c>
      <c r="P37" s="10" t="s">
        <v>85</v>
      </c>
      <c r="Q37" s="10" t="s">
        <v>83</v>
      </c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>SF</v>
      </c>
      <c r="F38" s="10" t="s">
        <v>59</v>
      </c>
      <c r="G38" s="10" t="s">
        <v>59</v>
      </c>
      <c r="H38" s="10" t="s">
        <v>59</v>
      </c>
      <c r="I38" s="10" t="s">
        <v>59</v>
      </c>
      <c r="J38" s="10" t="s">
        <v>59</v>
      </c>
      <c r="K38" s="10" t="s">
        <v>59</v>
      </c>
      <c r="L38" s="10" t="s">
        <v>59</v>
      </c>
      <c r="M38" s="10" t="s">
        <v>59</v>
      </c>
      <c r="N38" s="10" t="s">
        <v>79</v>
      </c>
      <c r="O38" s="10" t="s">
        <v>59</v>
      </c>
      <c r="P38" s="10" t="s">
        <v>59</v>
      </c>
      <c r="Q38" s="10" t="s">
        <v>79</v>
      </c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>IND</v>
      </c>
      <c r="F39" s="10" t="s">
        <v>88</v>
      </c>
      <c r="G39" s="10" t="s">
        <v>88</v>
      </c>
      <c r="H39" s="10" t="s">
        <v>88</v>
      </c>
      <c r="I39" s="10" t="s">
        <v>88</v>
      </c>
      <c r="J39" s="10" t="s">
        <v>70</v>
      </c>
      <c r="K39" s="10" t="s">
        <v>88</v>
      </c>
      <c r="L39" s="10" t="s">
        <v>88</v>
      </c>
      <c r="M39" s="10" t="s">
        <v>88</v>
      </c>
      <c r="N39" s="10" t="s">
        <v>70</v>
      </c>
      <c r="O39" s="10" t="s">
        <v>88</v>
      </c>
      <c r="P39" s="10" t="s">
        <v>88</v>
      </c>
      <c r="Q39" s="10" t="s">
        <v>88</v>
      </c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/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</row>
    <row r="41" spans="1:17" x14ac:dyDescent="0.25">
      <c r="A41" s="11" t="s">
        <v>63</v>
      </c>
      <c r="B41" s="12" t="s">
        <v>89</v>
      </c>
      <c r="E41" s="13" t="str">
        <f>'NFL Schedule'!E38</f>
        <v/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</row>
    <row r="42" spans="1:17" ht="15" customHeight="1" x14ac:dyDescent="0.25">
      <c r="A42" s="24" t="s">
        <v>91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/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/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/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/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/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/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/>
      </c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/>
      </c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/>
      </c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/>
      </c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/>
      </c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/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/>
      </c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/>
      </c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/>
      </c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/>
      </c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</row>
    <row r="60" spans="1:17" x14ac:dyDescent="0.25">
      <c r="A60" s="11" t="s">
        <v>63</v>
      </c>
      <c r="B60" s="12" t="s">
        <v>89</v>
      </c>
      <c r="E60" s="13" t="str">
        <f>'NFL Schedule'!E57</f>
        <v/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</row>
    <row r="61" spans="1:17" ht="15" customHeight="1" x14ac:dyDescent="0.25">
      <c r="A61" s="24" t="s">
        <v>92</v>
      </c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/>
      </c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/>
      </c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/>
      </c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/>
      </c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/>
      </c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/>
      </c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/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/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/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/>
      </c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/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/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/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/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/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4" t="s">
        <v>93</v>
      </c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4" t="s">
        <v>94</v>
      </c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4" t="s">
        <v>95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4" t="s">
        <v>96</v>
      </c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4" t="s">
        <v>97</v>
      </c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4" t="s">
        <v>98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4" t="s">
        <v>99</v>
      </c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4" t="s">
        <v>100</v>
      </c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4" t="s">
        <v>101</v>
      </c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4" t="s">
        <v>102</v>
      </c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4" t="s">
        <v>103</v>
      </c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4" t="s">
        <v>104</v>
      </c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4" t="s">
        <v>105</v>
      </c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4" t="s">
        <v>106</v>
      </c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1:Q1"/>
    <mergeCell ref="A2:Q2"/>
    <mergeCell ref="A4:Q4"/>
    <mergeCell ref="A23:Q23"/>
    <mergeCell ref="A42:Q42"/>
    <mergeCell ref="A61:Q61"/>
    <mergeCell ref="A80:Q80"/>
    <mergeCell ref="A98:Q98"/>
    <mergeCell ref="A115:Q115"/>
    <mergeCell ref="A132:Q132"/>
    <mergeCell ref="A149:Q149"/>
    <mergeCell ref="A167:Q167"/>
    <mergeCell ref="A184:Q184"/>
    <mergeCell ref="A200:Q200"/>
    <mergeCell ref="A219:Q219"/>
    <mergeCell ref="A236:Q236"/>
    <mergeCell ref="A254:Q254"/>
    <mergeCell ref="A273:Q273"/>
    <mergeCell ref="A292:Q292"/>
    <mergeCell ref="A311:Q311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opLeftCell="A4" zoomScaleNormal="100" workbookViewId="0">
      <selection activeCell="E36" sqref="E36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E18">
        <v>10</v>
      </c>
      <c r="F18" t="s">
        <v>88</v>
      </c>
      <c r="G18">
        <v>31</v>
      </c>
      <c r="H18">
        <v>2.5</v>
      </c>
      <c r="I18" t="str">
        <f t="shared" si="0"/>
        <v>KC</v>
      </c>
      <c r="J18" t="str">
        <f t="shared" si="1"/>
        <v>KC</v>
      </c>
    </row>
    <row r="19" spans="1:10" x14ac:dyDescent="0.25">
      <c r="D19" s="15" t="s">
        <v>89</v>
      </c>
      <c r="E19" s="16">
        <f>IF(AND(E18&lt;&gt;"",G18&lt;&gt;""),E18+G18,"")</f>
        <v>41</v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E22">
        <v>31</v>
      </c>
      <c r="F22" t="s">
        <v>67</v>
      </c>
      <c r="G22">
        <v>41</v>
      </c>
      <c r="H22">
        <v>4.5</v>
      </c>
      <c r="I22" t="str">
        <f t="shared" ref="I22:I37" si="2">IF(OR(E22="",G22=""),"",IF(E22&gt;G22,D22,IF(G22&gt;E22,F22,"TIE")))</f>
        <v>BUF</v>
      </c>
      <c r="J22" t="str">
        <f t="shared" ref="J22:J37" si="3">IF(OR(E22="",G22="",H22=""),"",IF(E22+H22&gt;G22,D22,IF(E22+H22&lt;G22,F22,"PUSH")))</f>
        <v>BUF</v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E23">
        <v>34</v>
      </c>
      <c r="F23" t="s">
        <v>73</v>
      </c>
      <c r="G23">
        <v>3</v>
      </c>
      <c r="H23">
        <v>-1.5</v>
      </c>
      <c r="I23" t="str">
        <f t="shared" si="2"/>
        <v>CAR</v>
      </c>
      <c r="J23" t="str">
        <f t="shared" si="3"/>
        <v>CAR</v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E24">
        <v>24</v>
      </c>
      <c r="F24" t="s">
        <v>69</v>
      </c>
      <c r="G24">
        <v>17</v>
      </c>
      <c r="H24">
        <v>8.5</v>
      </c>
      <c r="I24" t="str">
        <f t="shared" si="2"/>
        <v>NO</v>
      </c>
      <c r="J24" t="str">
        <f t="shared" si="3"/>
        <v>NO</v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E25">
        <v>9</v>
      </c>
      <c r="F25" t="s">
        <v>61</v>
      </c>
      <c r="G25">
        <v>3</v>
      </c>
      <c r="H25">
        <v>5.5</v>
      </c>
      <c r="I25" t="str">
        <f t="shared" si="2"/>
        <v>MIN</v>
      </c>
      <c r="J25" t="str">
        <f t="shared" si="3"/>
        <v>MIN</v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E26">
        <v>20</v>
      </c>
      <c r="F26" t="s">
        <v>68</v>
      </c>
      <c r="G26">
        <v>6</v>
      </c>
      <c r="H26">
        <v>2.5</v>
      </c>
      <c r="I26" t="str">
        <f t="shared" si="2"/>
        <v>CIN</v>
      </c>
      <c r="J26" t="str">
        <f t="shared" si="3"/>
        <v>CIN</v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E27">
        <v>3</v>
      </c>
      <c r="F27" t="s">
        <v>57</v>
      </c>
      <c r="G27">
        <v>20</v>
      </c>
      <c r="H27">
        <v>5.5</v>
      </c>
      <c r="I27" t="str">
        <f t="shared" si="2"/>
        <v>NE</v>
      </c>
      <c r="J27" t="str">
        <f t="shared" si="3"/>
        <v>NE</v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E28">
        <v>20</v>
      </c>
      <c r="F28" t="s">
        <v>75</v>
      </c>
      <c r="G28">
        <v>17</v>
      </c>
      <c r="H28">
        <v>-3.5</v>
      </c>
      <c r="I28" t="str">
        <f t="shared" si="2"/>
        <v>GB</v>
      </c>
      <c r="J28" t="str">
        <f t="shared" si="3"/>
        <v>NYJ</v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E29">
        <v>23</v>
      </c>
      <c r="F29" t="s">
        <v>63</v>
      </c>
      <c r="G29">
        <v>19</v>
      </c>
      <c r="H29">
        <v>8.5</v>
      </c>
      <c r="I29" t="str">
        <f t="shared" si="2"/>
        <v>CLE</v>
      </c>
      <c r="J29" t="str">
        <f t="shared" si="3"/>
        <v>CLE</v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E30">
        <v>24</v>
      </c>
      <c r="F30" t="s">
        <v>76</v>
      </c>
      <c r="G30">
        <v>20</v>
      </c>
      <c r="H30">
        <v>-7.5</v>
      </c>
      <c r="I30" t="str">
        <f t="shared" si="2"/>
        <v>PHI</v>
      </c>
      <c r="J30" t="str">
        <f t="shared" si="3"/>
        <v>TEN</v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E31">
        <v>13</v>
      </c>
      <c r="F31" t="s">
        <v>87</v>
      </c>
      <c r="G31">
        <v>20</v>
      </c>
      <c r="H31">
        <v>2.5</v>
      </c>
      <c r="I31" t="str">
        <f t="shared" si="2"/>
        <v>DEN</v>
      </c>
      <c r="J31" t="str">
        <f t="shared" si="3"/>
        <v>DEN</v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E32">
        <v>26</v>
      </c>
      <c r="F32" t="s">
        <v>78</v>
      </c>
      <c r="G32">
        <v>14</v>
      </c>
      <c r="H32">
        <v>6.5</v>
      </c>
      <c r="I32" t="str">
        <f t="shared" si="2"/>
        <v>LV</v>
      </c>
      <c r="J32" t="str">
        <f t="shared" si="3"/>
        <v>LV</v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E33">
        <v>31</v>
      </c>
      <c r="F33" t="s">
        <v>77</v>
      </c>
      <c r="G33">
        <v>7</v>
      </c>
      <c r="H33">
        <v>-3.5</v>
      </c>
      <c r="I33" t="str">
        <f t="shared" si="2"/>
        <v>SEA</v>
      </c>
      <c r="J33" t="str">
        <f t="shared" si="3"/>
        <v>SEA</v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E34">
        <v>20</v>
      </c>
      <c r="F34" t="s">
        <v>85</v>
      </c>
      <c r="G34">
        <v>37</v>
      </c>
      <c r="H34">
        <v>3.5</v>
      </c>
      <c r="I34" t="str">
        <f t="shared" si="2"/>
        <v>DAL</v>
      </c>
      <c r="J34" t="str">
        <f t="shared" si="3"/>
        <v>DAL</v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E35">
        <v>13</v>
      </c>
      <c r="F35" t="s">
        <v>59</v>
      </c>
      <c r="G35">
        <v>35</v>
      </c>
      <c r="H35">
        <v>13.5</v>
      </c>
      <c r="I35" t="str">
        <f t="shared" si="2"/>
        <v>SF</v>
      </c>
      <c r="J35" t="str">
        <f t="shared" si="3"/>
        <v>SF</v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E36">
        <v>30</v>
      </c>
      <c r="F36" t="s">
        <v>88</v>
      </c>
      <c r="G36">
        <v>33</v>
      </c>
      <c r="H36">
        <v>6.5</v>
      </c>
      <c r="I36" t="str">
        <f t="shared" si="2"/>
        <v>KC</v>
      </c>
      <c r="J36" t="str">
        <f t="shared" si="3"/>
        <v>IND</v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F37" t="s">
        <v>60</v>
      </c>
      <c r="I37" t="str">
        <f t="shared" si="2"/>
        <v/>
      </c>
      <c r="J37" t="str">
        <f t="shared" si="3"/>
        <v/>
      </c>
    </row>
    <row r="38" spans="1:10" x14ac:dyDescent="0.25">
      <c r="D38" s="15" t="s">
        <v>89</v>
      </c>
      <c r="E38" s="16" t="str">
        <f>IF(AND(E37&lt;&gt;"",G37&lt;&gt;""),E37+G37,"")</f>
        <v/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F41" t="s">
        <v>81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F42" t="s">
        <v>67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F43" t="s">
        <v>71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F44" t="s">
        <v>66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F45" t="s">
        <v>70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F46" t="s">
        <v>79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F47" t="s">
        <v>86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F48" t="s">
        <v>74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F49" t="s">
        <v>83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F50" t="s">
        <v>72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F51" t="s">
        <v>59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F52" t="s">
        <v>63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F53" t="s">
        <v>85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F54" t="s">
        <v>65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F55" t="s">
        <v>87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F56" t="s">
        <v>61</v>
      </c>
      <c r="I56" t="str">
        <f t="shared" si="4"/>
        <v/>
      </c>
      <c r="J56" t="str">
        <f t="shared" si="5"/>
        <v/>
      </c>
    </row>
    <row r="57" spans="1:10" x14ac:dyDescent="0.25">
      <c r="D57" s="15" t="s">
        <v>89</v>
      </c>
      <c r="E57" s="16" t="str">
        <f>IF(AND(E56&lt;&gt;"",G56&lt;&gt;""),E56+G56,"")</f>
        <v/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zoomScaleNormal="100" workbookViewId="0">
      <selection activeCell="O22" sqref="O2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187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>IF(C6=0,"-",IF(C6&gt;E6,"W",IF(C6&lt;E6,"L",IF(AND('Picks Detail'!E22&lt;&gt;"",INDEX('Picks Detail'!F22:Q22,1,A6)&lt;&gt;"",INDEX('Picks Detail'!F22:Q22,1,D6)&lt;&gt;""),IF(ABS(INDEX('Picks Detail'!F22:Q22,1,A6)-'Picks Detail'!E22)&lt;ABS(INDEX('Picks Detail'!F22:Q22,1,D6)-'Picks Detail'!E22),"W",IF(ABS(INDEX('Picks Detail'!F22:Q22,1,A6)-'Picks Detail'!E22)&gt;ABS(INDEX('Picks Detail'!F22:Q22,1,D6)-'Picks Detail'!E22),"L","T")),"T"))))</f>
        <v>L</v>
      </c>
      <c r="G6">
        <f t="shared" ref="G6:G17" si="0">IF(F6="W",6,IF(F6="T",3,0))</f>
        <v>0</v>
      </c>
      <c r="H6">
        <f t="shared" ref="H6:H17" si="1">IF(C6="",0,C6)</f>
        <v>5</v>
      </c>
      <c r="I6">
        <f t="shared" ref="I6:I17" si="2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7</v>
      </c>
      <c r="D7">
        <v>6</v>
      </c>
      <c r="E7">
        <f>IFERROR(INDEX(C$6:C$17,MATCH(6,A$6:A$17,0)),0)</f>
        <v>7</v>
      </c>
      <c r="F7" t="str">
        <f>IF(C7=0,"-",IF(C7&gt;E7,"W",IF(C7&lt;E7,"L",IF(AND('Picks Detail'!E22&lt;&gt;"",INDEX('Picks Detail'!F22:Q22,1,A7)&lt;&gt;"",INDEX('Picks Detail'!F22:Q22,1,D7)&lt;&gt;""),IF(ABS(INDEX('Picks Detail'!F22:Q22,1,A7)-'Picks Detail'!E22)&lt;ABS(INDEX('Picks Detail'!F22:Q22,1,D7)-'Picks Detail'!E22),"W",IF(ABS(INDEX('Picks Detail'!F22:Q22,1,A7)-'Picks Detail'!E22)&gt;ABS(INDEX('Picks Detail'!F22:Q22,1,D7)-'Picks Detail'!E22),"L","T")),"T"))))</f>
        <v>L</v>
      </c>
      <c r="G7">
        <f t="shared" si="0"/>
        <v>0</v>
      </c>
      <c r="H7">
        <f t="shared" si="1"/>
        <v>7</v>
      </c>
      <c r="I7">
        <f t="shared" si="2"/>
        <v>7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>IF(C8=0,"-",IF(C8&gt;E8,"W",IF(C8&lt;E8,"L",IF(AND('Picks Detail'!E22&lt;&gt;"",INDEX('Picks Detail'!F22:Q22,1,A8)&lt;&gt;"",INDEX('Picks Detail'!F22:Q22,1,D8)&lt;&gt;""),IF(ABS(INDEX('Picks Detail'!F22:Q22,1,A8)-'Picks Detail'!E22)&lt;ABS(INDEX('Picks Detail'!F22:Q22,1,D8)-'Picks Detail'!E22),"W",IF(ABS(INDEX('Picks Detail'!F22:Q22,1,A8)-'Picks Detail'!E22)&gt;ABS(INDEX('Picks Detail'!F22:Q22,1,D8)-'Picks Detail'!E22),"L","T")),"T"))))</f>
        <v>W</v>
      </c>
      <c r="G8">
        <f t="shared" si="0"/>
        <v>6</v>
      </c>
      <c r="H8">
        <f t="shared" si="1"/>
        <v>8</v>
      </c>
      <c r="I8">
        <f t="shared" si="2"/>
        <v>14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6</v>
      </c>
      <c r="D9">
        <v>10</v>
      </c>
      <c r="E9">
        <f>IFERROR(INDEX(C$6:C$17,MATCH(10,A$6:A$17,0)),0)</f>
        <v>11</v>
      </c>
      <c r="F9" t="str">
        <f>IF(C9=0,"-",IF(C9&gt;E9,"W",IF(C9&lt;E9,"L",IF(AND('Picks Detail'!E22&lt;&gt;"",INDEX('Picks Detail'!F22:Q22,1,A9)&lt;&gt;"",INDEX('Picks Detail'!F22:Q22,1,D9)&lt;&gt;""),IF(ABS(INDEX('Picks Detail'!F22:Q22,1,A9)-'Picks Detail'!E22)&lt;ABS(INDEX('Picks Detail'!F22:Q22,1,D9)-'Picks Detail'!E22),"W",IF(ABS(INDEX('Picks Detail'!F22:Q22,1,A9)-'Picks Detail'!E22)&gt;ABS(INDEX('Picks Detail'!F22:Q22,1,D9)-'Picks Detail'!E22),"L","T")),"T"))))</f>
        <v>L</v>
      </c>
      <c r="G9">
        <f t="shared" si="0"/>
        <v>0</v>
      </c>
      <c r="H9">
        <f t="shared" si="1"/>
        <v>6</v>
      </c>
      <c r="I9">
        <f t="shared" si="2"/>
        <v>6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>IF(C10=0,"-",IF(C10&gt;E10,"W",IF(C10&lt;E10,"L",IF(AND('Picks Detail'!E22&lt;&gt;"",INDEX('Picks Detail'!F22:Q22,1,A10)&lt;&gt;"",INDEX('Picks Detail'!F22:Q22,1,D10)&lt;&gt;""),IF(ABS(INDEX('Picks Detail'!F22:Q22,1,A10)-'Picks Detail'!E22)&lt;ABS(INDEX('Picks Detail'!F22:Q22,1,D10)-'Picks Detail'!E22),"W",IF(ABS(INDEX('Picks Detail'!F22:Q22,1,A10)-'Picks Detail'!E22)&gt;ABS(INDEX('Picks Detail'!F22:Q22,1,D10)-'Picks Detail'!E22),"L","T")),"T"))))</f>
        <v>W</v>
      </c>
      <c r="G10">
        <f t="shared" si="0"/>
        <v>6</v>
      </c>
      <c r="H10">
        <f t="shared" si="1"/>
        <v>10</v>
      </c>
      <c r="I10">
        <f t="shared" si="2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7</v>
      </c>
      <c r="D11">
        <v>2</v>
      </c>
      <c r="E11">
        <f>IFERROR(INDEX(C$6:C$17,MATCH(2,A$6:A$17,0)),0)</f>
        <v>7</v>
      </c>
      <c r="F11" t="str">
        <f>IF(C11=0,"-",IF(C11&gt;E11,"W",IF(C11&lt;E11,"L",IF(AND('Picks Detail'!E22&lt;&gt;"",INDEX('Picks Detail'!F22:Q22,1,A11)&lt;&gt;"",INDEX('Picks Detail'!F22:Q22,1,D11)&lt;&gt;""),IF(ABS(INDEX('Picks Detail'!F22:Q22,1,A11)-'Picks Detail'!E22)&lt;ABS(INDEX('Picks Detail'!F22:Q22,1,D11)-'Picks Detail'!E22),"W",IF(ABS(INDEX('Picks Detail'!F22:Q22,1,A11)-'Picks Detail'!E22)&gt;ABS(INDEX('Picks Detail'!F22:Q22,1,D11)-'Picks Detail'!E22),"L","T")),"T"))))</f>
        <v>W</v>
      </c>
      <c r="G11">
        <f t="shared" si="0"/>
        <v>6</v>
      </c>
      <c r="H11">
        <f t="shared" si="1"/>
        <v>7</v>
      </c>
      <c r="I11">
        <f t="shared" si="2"/>
        <v>13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>IF(C12=0,"-",IF(C12&gt;E12,"W",IF(C12&lt;E12,"L",IF(AND('Picks Detail'!E22&lt;&gt;"",INDEX('Picks Detail'!F22:Q22,1,A12)&lt;&gt;"",INDEX('Picks Detail'!F22:Q22,1,D12)&lt;&gt;""),IF(ABS(INDEX('Picks Detail'!F22:Q22,1,A12)-'Picks Detail'!E22)&lt;ABS(INDEX('Picks Detail'!F22:Q22,1,D12)-'Picks Detail'!E22),"W",IF(ABS(INDEX('Picks Detail'!F22:Q22,1,A12)-'Picks Detail'!E22)&gt;ABS(INDEX('Picks Detail'!F22:Q22,1,D12)-'Picks Detail'!E22),"L","T")),"T"))))</f>
        <v>L</v>
      </c>
      <c r="G12">
        <f t="shared" si="0"/>
        <v>0</v>
      </c>
      <c r="H12">
        <f t="shared" si="1"/>
        <v>7</v>
      </c>
      <c r="I12">
        <f t="shared" si="2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9</v>
      </c>
      <c r="F13" t="str">
        <f>IF(C13=0,"-",IF(C13&gt;E13,"W",IF(C13&lt;E13,"L",IF(AND('Picks Detail'!E22&lt;&gt;"",INDEX('Picks Detail'!F22:Q22,1,A13)&lt;&gt;"",INDEX('Picks Detail'!F22:Q22,1,D13)&lt;&gt;""),IF(ABS(INDEX('Picks Detail'!F22:Q22,1,A13)-'Picks Detail'!E22)&lt;ABS(INDEX('Picks Detail'!F22:Q22,1,D13)-'Picks Detail'!E22),"W",IF(ABS(INDEX('Picks Detail'!F22:Q22,1,A13)-'Picks Detail'!E22)&gt;ABS(INDEX('Picks Detail'!F22:Q22,1,D13)-'Picks Detail'!E22),"L","T")),"T"))))</f>
        <v>L</v>
      </c>
      <c r="G13">
        <f t="shared" si="0"/>
        <v>0</v>
      </c>
      <c r="H13">
        <f t="shared" si="1"/>
        <v>8</v>
      </c>
      <c r="I13">
        <f t="shared" si="2"/>
        <v>8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>IF(C14=0,"-",IF(C14&gt;E14,"W",IF(C14&lt;E14,"L",IF(AND('Picks Detail'!E22&lt;&gt;"",INDEX('Picks Detail'!F22:Q22,1,A14)&lt;&gt;"",INDEX('Picks Detail'!F22:Q22,1,D14)&lt;&gt;""),IF(ABS(INDEX('Picks Detail'!F22:Q22,1,A14)-'Picks Detail'!E22)&lt;ABS(INDEX('Picks Detail'!F22:Q22,1,D14)-'Picks Detail'!E22),"W",IF(ABS(INDEX('Picks Detail'!F22:Q22,1,A14)-'Picks Detail'!E22)&gt;ABS(INDEX('Picks Detail'!F22:Q22,1,D14)-'Picks Detail'!E22),"L","T")),"T"))))</f>
        <v>L</v>
      </c>
      <c r="G14">
        <f t="shared" si="0"/>
        <v>0</v>
      </c>
      <c r="H14">
        <f t="shared" si="1"/>
        <v>8</v>
      </c>
      <c r="I14">
        <f t="shared" si="2"/>
        <v>8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6</v>
      </c>
      <c r="F15" t="str">
        <f>IF(C15=0,"-",IF(C15&gt;E15,"W",IF(C15&lt;E15,"L",IF(AND('Picks Detail'!E22&lt;&gt;"",INDEX('Picks Detail'!F22:Q22,1,A15)&lt;&gt;"",INDEX('Picks Detail'!F22:Q22,1,D15)&lt;&gt;""),IF(ABS(INDEX('Picks Detail'!F22:Q22,1,A15)-'Picks Detail'!E22)&lt;ABS(INDEX('Picks Detail'!F22:Q22,1,D15)-'Picks Detail'!E22),"W",IF(ABS(INDEX('Picks Detail'!F22:Q22,1,A15)-'Picks Detail'!E22)&gt;ABS(INDEX('Picks Detail'!F22:Q22,1,D15)-'Picks Detail'!E22),"L","T")),"T"))))</f>
        <v>W</v>
      </c>
      <c r="G15">
        <f t="shared" si="0"/>
        <v>6</v>
      </c>
      <c r="H15">
        <f t="shared" si="1"/>
        <v>11</v>
      </c>
      <c r="I15">
        <f t="shared" si="2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>IF(C16=0,"-",IF(C16&gt;E16,"W",IF(C16&lt;E16,"L",IF(AND('Picks Detail'!E22&lt;&gt;"",INDEX('Picks Detail'!F22:Q22,1,A16)&lt;&gt;"",INDEX('Picks Detail'!F22:Q22,1,D16)&lt;&gt;""),IF(ABS(INDEX('Picks Detail'!F22:Q22,1,A16)-'Picks Detail'!E22)&lt;ABS(INDEX('Picks Detail'!F22:Q22,1,D16)-'Picks Detail'!E22),"W",IF(ABS(INDEX('Picks Detail'!F22:Q22,1,A16)-'Picks Detail'!E22)&gt;ABS(INDEX('Picks Detail'!F22:Q22,1,D16)-'Picks Detail'!E22),"L","T")),"T"))))</f>
        <v>W</v>
      </c>
      <c r="G16">
        <f t="shared" si="0"/>
        <v>6</v>
      </c>
      <c r="H16">
        <f t="shared" si="1"/>
        <v>10</v>
      </c>
      <c r="I16">
        <f t="shared" si="2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9</v>
      </c>
      <c r="D17">
        <v>8</v>
      </c>
      <c r="E17">
        <f>IFERROR(INDEX(C$6:C$17,MATCH(8,A$6:A$17,0)),0)</f>
        <v>8</v>
      </c>
      <c r="F17" t="str">
        <f>IF(C17=0,"-",IF(C17&gt;E17,"W",IF(C17&lt;E17,"L",IF(AND('Picks Detail'!E22&lt;&gt;"",INDEX('Picks Detail'!F22:Q22,1,A17)&lt;&gt;"",INDEX('Picks Detail'!F22:Q22,1,D17)&lt;&gt;""),IF(ABS(INDEX('Picks Detail'!F22:Q22,1,A17)-'Picks Detail'!E22)&lt;ABS(INDEX('Picks Detail'!F22:Q22,1,D17)-'Picks Detail'!E22),"W",IF(ABS(INDEX('Picks Detail'!F22:Q22,1,A17)-'Picks Detail'!E22)&gt;ABS(INDEX('Picks Detail'!F22:Q22,1,D17)-'Picks Detail'!E22),"L","T")),"T"))))</f>
        <v>W</v>
      </c>
      <c r="G17">
        <f t="shared" si="0"/>
        <v>6</v>
      </c>
      <c r="H17">
        <f t="shared" si="1"/>
        <v>9</v>
      </c>
      <c r="I17">
        <f t="shared" si="2"/>
        <v>15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8</v>
      </c>
      <c r="D21">
        <v>6</v>
      </c>
      <c r="E21">
        <f>IFERROR(INDEX(C$21:C$32,MATCH(6,A$21:A$32,0)),0)</f>
        <v>6</v>
      </c>
      <c r="F21" t="str">
        <f>IF(C21=0,"-",IF(C21&gt;E21,"W",IF(C21&lt;E21,"L",IF(AND('Picks Detail'!E41&lt;&gt;"",INDEX('Picks Detail'!F41:Q41,1,A21)&lt;&gt;"",INDEX('Picks Detail'!F41:Q41,1,D21)&lt;&gt;""),IF(ABS(INDEX('Picks Detail'!F41:Q41,1,A21)-'Picks Detail'!E41)&lt;ABS(INDEX('Picks Detail'!F41:Q41,1,D21)-'Picks Detail'!E41),"W",IF(ABS(INDEX('Picks Detail'!F41:Q41,1,A21)-'Picks Detail'!E41)&gt;ABS(INDEX('Picks Detail'!F41:Q41,1,D21)-'Picks Detail'!E41),"L","T")),"T"))))</f>
        <v>W</v>
      </c>
      <c r="G21">
        <f t="shared" ref="G21:G32" si="3">IF(F21="W",6,IF(F21="T",3,0))</f>
        <v>6</v>
      </c>
      <c r="H21">
        <f t="shared" ref="H21:H32" si="4">IF(C21="",0,C21)</f>
        <v>8</v>
      </c>
      <c r="I21">
        <f t="shared" ref="I21:I32" si="5">G21+H21</f>
        <v>14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7</v>
      </c>
      <c r="D22">
        <v>5</v>
      </c>
      <c r="E22">
        <f>IFERROR(INDEX(C$21:C$32,MATCH(5,A$21:A$32,0)),0)</f>
        <v>6</v>
      </c>
      <c r="F22" t="str">
        <f>IF(C22=0,"-",IF(C22&gt;E22,"W",IF(C22&lt;E22,"L",IF(AND('Picks Detail'!E41&lt;&gt;"",INDEX('Picks Detail'!F41:Q41,1,A22)&lt;&gt;"",INDEX('Picks Detail'!F41:Q41,1,D22)&lt;&gt;""),IF(ABS(INDEX('Picks Detail'!F41:Q41,1,A22)-'Picks Detail'!E41)&lt;ABS(INDEX('Picks Detail'!F41:Q41,1,D22)-'Picks Detail'!E41),"W",IF(ABS(INDEX('Picks Detail'!F41:Q41,1,A22)-'Picks Detail'!E41)&gt;ABS(INDEX('Picks Detail'!F41:Q41,1,D22)-'Picks Detail'!E41),"L","T")),"T"))))</f>
        <v>W</v>
      </c>
      <c r="G22">
        <f t="shared" si="3"/>
        <v>6</v>
      </c>
      <c r="H22">
        <f t="shared" si="4"/>
        <v>7</v>
      </c>
      <c r="I22">
        <f t="shared" si="5"/>
        <v>13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6</v>
      </c>
      <c r="D23">
        <v>10</v>
      </c>
      <c r="E23">
        <f>IFERROR(INDEX(C$21:C$32,MATCH(10,A$21:A$32,0)),0)</f>
        <v>8</v>
      </c>
      <c r="F23" t="str">
        <f>IF(C23=0,"-",IF(C23&gt;E23,"W",IF(C23&lt;E23,"L",IF(AND('Picks Detail'!E41&lt;&gt;"",INDEX('Picks Detail'!F41:Q41,1,A23)&lt;&gt;"",INDEX('Picks Detail'!F41:Q41,1,D23)&lt;&gt;""),IF(ABS(INDEX('Picks Detail'!F41:Q41,1,A23)-'Picks Detail'!E41)&lt;ABS(INDEX('Picks Detail'!F41:Q41,1,D23)-'Picks Detail'!E41),"W",IF(ABS(INDEX('Picks Detail'!F41:Q41,1,A23)-'Picks Detail'!E41)&gt;ABS(INDEX('Picks Detail'!F41:Q41,1,D23)-'Picks Detail'!E41),"L","T")),"T"))))</f>
        <v>L</v>
      </c>
      <c r="G23">
        <f t="shared" si="3"/>
        <v>0</v>
      </c>
      <c r="H23">
        <f t="shared" si="4"/>
        <v>6</v>
      </c>
      <c r="I23">
        <f t="shared" si="5"/>
        <v>6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8</v>
      </c>
      <c r="D24">
        <v>9</v>
      </c>
      <c r="E24">
        <f>IFERROR(INDEX(C$21:C$32,MATCH(9,A$21:A$32,0)),0)</f>
        <v>7</v>
      </c>
      <c r="F24" t="str">
        <f>IF(C24=0,"-",IF(C24&gt;E24,"W",IF(C24&lt;E24,"L",IF(AND('Picks Detail'!E41&lt;&gt;"",INDEX('Picks Detail'!F41:Q41,1,A24)&lt;&gt;"",INDEX('Picks Detail'!F41:Q41,1,D24)&lt;&gt;""),IF(ABS(INDEX('Picks Detail'!F41:Q41,1,A24)-'Picks Detail'!E41)&lt;ABS(INDEX('Picks Detail'!F41:Q41,1,D24)-'Picks Detail'!E41),"W",IF(ABS(INDEX('Picks Detail'!F41:Q41,1,A24)-'Picks Detail'!E41)&gt;ABS(INDEX('Picks Detail'!F41:Q41,1,D24)-'Picks Detail'!E41),"L","T")),"T"))))</f>
        <v>W</v>
      </c>
      <c r="G24">
        <f t="shared" si="3"/>
        <v>6</v>
      </c>
      <c r="H24">
        <f t="shared" si="4"/>
        <v>8</v>
      </c>
      <c r="I24">
        <f t="shared" si="5"/>
        <v>14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6</v>
      </c>
      <c r="D25">
        <v>2</v>
      </c>
      <c r="E25">
        <f>IFERROR(INDEX(C$21:C$32,MATCH(2,A$21:A$32,0)),0)</f>
        <v>7</v>
      </c>
      <c r="F25" t="str">
        <f>IF(C25=0,"-",IF(C25&gt;E25,"W",IF(C25&lt;E25,"L",IF(AND('Picks Detail'!E41&lt;&gt;"",INDEX('Picks Detail'!F41:Q41,1,A25)&lt;&gt;"",INDEX('Picks Detail'!F41:Q41,1,D25)&lt;&gt;""),IF(ABS(INDEX('Picks Detail'!F41:Q41,1,A25)-'Picks Detail'!E41)&lt;ABS(INDEX('Picks Detail'!F41:Q41,1,D25)-'Picks Detail'!E41),"W",IF(ABS(INDEX('Picks Detail'!F41:Q41,1,A25)-'Picks Detail'!E41)&gt;ABS(INDEX('Picks Detail'!F41:Q41,1,D25)-'Picks Detail'!E41),"L","T")),"T"))))</f>
        <v>L</v>
      </c>
      <c r="G25">
        <f t="shared" si="3"/>
        <v>0</v>
      </c>
      <c r="H25">
        <f t="shared" si="4"/>
        <v>6</v>
      </c>
      <c r="I25">
        <f t="shared" si="5"/>
        <v>6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6</v>
      </c>
      <c r="D26">
        <v>1</v>
      </c>
      <c r="E26">
        <f>IFERROR(INDEX(C$21:C$32,MATCH(1,A$21:A$32,0)),0)</f>
        <v>8</v>
      </c>
      <c r="F26" t="str">
        <f>IF(C26=0,"-",IF(C26&gt;E26,"W",IF(C26&lt;E26,"L",IF(AND('Picks Detail'!E41&lt;&gt;"",INDEX('Picks Detail'!F41:Q41,1,A26)&lt;&gt;"",INDEX('Picks Detail'!F41:Q41,1,D26)&lt;&gt;""),IF(ABS(INDEX('Picks Detail'!F41:Q41,1,A26)-'Picks Detail'!E41)&lt;ABS(INDEX('Picks Detail'!F41:Q41,1,D26)-'Picks Detail'!E41),"W",IF(ABS(INDEX('Picks Detail'!F41:Q41,1,A26)-'Picks Detail'!E41)&gt;ABS(INDEX('Picks Detail'!F41:Q41,1,D26)-'Picks Detail'!E41),"L","T")),"T"))))</f>
        <v>L</v>
      </c>
      <c r="G26">
        <f t="shared" si="3"/>
        <v>0</v>
      </c>
      <c r="H26">
        <f t="shared" si="4"/>
        <v>6</v>
      </c>
      <c r="I26">
        <f t="shared" si="5"/>
        <v>6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5</v>
      </c>
      <c r="D27">
        <v>12</v>
      </c>
      <c r="E27">
        <f>IFERROR(INDEX(C$21:C$32,MATCH(12,A$21:A$32,0)),0)</f>
        <v>4</v>
      </c>
      <c r="F27" t="str">
        <f>IF(C27=0,"-",IF(C27&gt;E27,"W",IF(C27&lt;E27,"L",IF(AND('Picks Detail'!E41&lt;&gt;"",INDEX('Picks Detail'!F41:Q41,1,A27)&lt;&gt;"",INDEX('Picks Detail'!F41:Q41,1,D27)&lt;&gt;""),IF(ABS(INDEX('Picks Detail'!F41:Q41,1,A27)-'Picks Detail'!E41)&lt;ABS(INDEX('Picks Detail'!F41:Q41,1,D27)-'Picks Detail'!E41),"W",IF(ABS(INDEX('Picks Detail'!F41:Q41,1,A27)-'Picks Detail'!E41)&gt;ABS(INDEX('Picks Detail'!F41:Q41,1,D27)-'Picks Detail'!E41),"L","T")),"T"))))</f>
        <v>W</v>
      </c>
      <c r="G27">
        <f t="shared" si="3"/>
        <v>6</v>
      </c>
      <c r="H27">
        <f t="shared" si="4"/>
        <v>5</v>
      </c>
      <c r="I27">
        <f t="shared" si="5"/>
        <v>11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4</v>
      </c>
      <c r="D28">
        <v>11</v>
      </c>
      <c r="E28">
        <f>IFERROR(INDEX(C$21:C$32,MATCH(11,A$21:A$32,0)),0)</f>
        <v>5</v>
      </c>
      <c r="F28" t="str">
        <f>IF(C28=0,"-",IF(C28&gt;E28,"W",IF(C28&lt;E28,"L",IF(AND('Picks Detail'!E41&lt;&gt;"",INDEX('Picks Detail'!F41:Q41,1,A28)&lt;&gt;"",INDEX('Picks Detail'!F41:Q41,1,D28)&lt;&gt;""),IF(ABS(INDEX('Picks Detail'!F41:Q41,1,A28)-'Picks Detail'!E41)&lt;ABS(INDEX('Picks Detail'!F41:Q41,1,D28)-'Picks Detail'!E41),"W",IF(ABS(INDEX('Picks Detail'!F41:Q41,1,A28)-'Picks Detail'!E41)&gt;ABS(INDEX('Picks Detail'!F41:Q41,1,D28)-'Picks Detail'!E41),"L","T")),"T"))))</f>
        <v>L</v>
      </c>
      <c r="G28">
        <f t="shared" si="3"/>
        <v>0</v>
      </c>
      <c r="H28">
        <f t="shared" si="4"/>
        <v>4</v>
      </c>
      <c r="I28">
        <f t="shared" si="5"/>
        <v>4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7</v>
      </c>
      <c r="D29">
        <v>4</v>
      </c>
      <c r="E29">
        <f>IFERROR(INDEX(C$21:C$32,MATCH(4,A$21:A$32,0)),0)</f>
        <v>8</v>
      </c>
      <c r="F29" t="str">
        <f>IF(C29=0,"-",IF(C29&gt;E29,"W",IF(C29&lt;E29,"L",IF(AND('Picks Detail'!E41&lt;&gt;"",INDEX('Picks Detail'!F41:Q41,1,A29)&lt;&gt;"",INDEX('Picks Detail'!F41:Q41,1,D29)&lt;&gt;""),IF(ABS(INDEX('Picks Detail'!F41:Q41,1,A29)-'Picks Detail'!E41)&lt;ABS(INDEX('Picks Detail'!F41:Q41,1,D29)-'Picks Detail'!E41),"W",IF(ABS(INDEX('Picks Detail'!F41:Q41,1,A29)-'Picks Detail'!E41)&gt;ABS(INDEX('Picks Detail'!F41:Q41,1,D29)-'Picks Detail'!E41),"L","T")),"T"))))</f>
        <v>L</v>
      </c>
      <c r="G29">
        <f t="shared" si="3"/>
        <v>0</v>
      </c>
      <c r="H29">
        <f t="shared" si="4"/>
        <v>7</v>
      </c>
      <c r="I29">
        <f t="shared" si="5"/>
        <v>7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8</v>
      </c>
      <c r="D30">
        <v>3</v>
      </c>
      <c r="E30">
        <f>IFERROR(INDEX(C$21:C$32,MATCH(3,A$21:A$32,0)),0)</f>
        <v>6</v>
      </c>
      <c r="F30" t="str">
        <f>IF(C30=0,"-",IF(C30&gt;E30,"W",IF(C30&lt;E30,"L",IF(AND('Picks Detail'!E41&lt;&gt;"",INDEX('Picks Detail'!F41:Q41,1,A30)&lt;&gt;"",INDEX('Picks Detail'!F41:Q41,1,D30)&lt;&gt;""),IF(ABS(INDEX('Picks Detail'!F41:Q41,1,A30)-'Picks Detail'!E41)&lt;ABS(INDEX('Picks Detail'!F41:Q41,1,D30)-'Picks Detail'!E41),"W",IF(ABS(INDEX('Picks Detail'!F41:Q41,1,A30)-'Picks Detail'!E41)&gt;ABS(INDEX('Picks Detail'!F41:Q41,1,D30)-'Picks Detail'!E41),"L","T")),"T"))))</f>
        <v>W</v>
      </c>
      <c r="G30">
        <f t="shared" si="3"/>
        <v>6</v>
      </c>
      <c r="H30">
        <f t="shared" si="4"/>
        <v>8</v>
      </c>
      <c r="I30">
        <f t="shared" si="5"/>
        <v>14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5</v>
      </c>
      <c r="D31">
        <v>8</v>
      </c>
      <c r="E31">
        <f>IFERROR(INDEX(C$21:C$32,MATCH(8,A$21:A$32,0)),0)</f>
        <v>4</v>
      </c>
      <c r="F31" t="str">
        <f>IF(C31=0,"-",IF(C31&gt;E31,"W",IF(C31&lt;E31,"L",IF(AND('Picks Detail'!E41&lt;&gt;"",INDEX('Picks Detail'!F41:Q41,1,A31)&lt;&gt;"",INDEX('Picks Detail'!F41:Q41,1,D31)&lt;&gt;""),IF(ABS(INDEX('Picks Detail'!F41:Q41,1,A31)-'Picks Detail'!E41)&lt;ABS(INDEX('Picks Detail'!F41:Q41,1,D31)-'Picks Detail'!E41),"W",IF(ABS(INDEX('Picks Detail'!F41:Q41,1,A31)-'Picks Detail'!E41)&gt;ABS(INDEX('Picks Detail'!F41:Q41,1,D31)-'Picks Detail'!E41),"L","T")),"T"))))</f>
        <v>W</v>
      </c>
      <c r="G31">
        <f t="shared" si="3"/>
        <v>6</v>
      </c>
      <c r="H31">
        <f t="shared" si="4"/>
        <v>5</v>
      </c>
      <c r="I31">
        <f t="shared" si="5"/>
        <v>11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4</v>
      </c>
      <c r="D32">
        <v>7</v>
      </c>
      <c r="E32">
        <f>IFERROR(INDEX(C$21:C$32,MATCH(7,A$21:A$32,0)),0)</f>
        <v>5</v>
      </c>
      <c r="F32" t="str">
        <f>IF(C32=0,"-",IF(C32&gt;E32,"W",IF(C32&lt;E32,"L",IF(AND('Picks Detail'!E41&lt;&gt;"",INDEX('Picks Detail'!F41:Q41,1,A32)&lt;&gt;"",INDEX('Picks Detail'!F41:Q41,1,D32)&lt;&gt;""),IF(ABS(INDEX('Picks Detail'!F41:Q41,1,A32)-'Picks Detail'!E41)&lt;ABS(INDEX('Picks Detail'!F41:Q41,1,D32)-'Picks Detail'!E41),"W",IF(ABS(INDEX('Picks Detail'!F41:Q41,1,A32)-'Picks Detail'!E41)&gt;ABS(INDEX('Picks Detail'!F41:Q41,1,D32)-'Picks Detail'!E41),"L","T")),"T"))))</f>
        <v>L</v>
      </c>
      <c r="G32">
        <f t="shared" si="3"/>
        <v>0</v>
      </c>
      <c r="H32">
        <f t="shared" si="4"/>
        <v>4</v>
      </c>
      <c r="I32">
        <f t="shared" si="5"/>
        <v>4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0</v>
      </c>
      <c r="D36">
        <v>7</v>
      </c>
      <c r="E36">
        <f>IFERROR(INDEX(C$36:C$47,MATCH(7,A$36:A$47,0)),0)</f>
        <v>0</v>
      </c>
      <c r="F36" t="str">
        <f>IF(C36=0,"-",IF(C36&gt;E36,"W",IF(C36&lt;E36,"L",IF(AND('Picks Detail'!E60&lt;&gt;"",INDEX('Picks Detail'!F60:Q60,1,A36)&lt;&gt;"",INDEX('Picks Detail'!F60:Q60,1,D36)&lt;&gt;""),IF(ABS(INDEX('Picks Detail'!F60:Q60,1,A36)-'Picks Detail'!E60)&lt;ABS(INDEX('Picks Detail'!F60:Q60,1,D36)-'Picks Detail'!E60),"W",IF(ABS(INDEX('Picks Detail'!F60:Q60,1,A36)-'Picks Detail'!E60)&gt;ABS(INDEX('Picks Detail'!F60:Q60,1,D36)-'Picks Detail'!E60),"L","T")),"T"))))</f>
        <v>-</v>
      </c>
      <c r="G36">
        <f t="shared" ref="G36:G47" si="6">IF(F36="W",6,IF(F36="T",3,0))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0</v>
      </c>
      <c r="D37">
        <v>8</v>
      </c>
      <c r="E37">
        <f>IFERROR(INDEX(C$36:C$47,MATCH(8,A$36:A$47,0)),0)</f>
        <v>0</v>
      </c>
      <c r="F37" t="str">
        <f>IF(C37=0,"-",IF(C37&gt;E37,"W",IF(C37&lt;E37,"L",IF(AND('Picks Detail'!E60&lt;&gt;"",INDEX('Picks Detail'!F60:Q60,1,A37)&lt;&gt;"",INDEX('Picks Detail'!F60:Q60,1,D37)&lt;&gt;""),IF(ABS(INDEX('Picks Detail'!F60:Q60,1,A37)-'Picks Detail'!E60)&lt;ABS(INDEX('Picks Detail'!F60:Q60,1,D37)-'Picks Detail'!E60),"W",IF(ABS(INDEX('Picks Detail'!F60:Q60,1,A37)-'Picks Detail'!E60)&gt;ABS(INDEX('Picks Detail'!F60:Q60,1,D37)-'Picks Detail'!E60),"L","T")),"T"))))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0</v>
      </c>
      <c r="D38">
        <v>11</v>
      </c>
      <c r="E38">
        <f>IFERROR(INDEX(C$36:C$47,MATCH(11,A$36:A$47,0)),0)</f>
        <v>0</v>
      </c>
      <c r="F38" t="str">
        <f>IF(C38=0,"-",IF(C38&gt;E38,"W",IF(C38&lt;E38,"L",IF(AND('Picks Detail'!E60&lt;&gt;"",INDEX('Picks Detail'!F60:Q60,1,A38)&lt;&gt;"",INDEX('Picks Detail'!F60:Q60,1,D38)&lt;&gt;""),IF(ABS(INDEX('Picks Detail'!F60:Q60,1,A38)-'Picks Detail'!E60)&lt;ABS(INDEX('Picks Detail'!F60:Q60,1,D38)-'Picks Detail'!E60),"W",IF(ABS(INDEX('Picks Detail'!F60:Q60,1,A38)-'Picks Detail'!E60)&gt;ABS(INDEX('Picks Detail'!F60:Q60,1,D38)-'Picks Detail'!E60),"L","T")),"T"))))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0</v>
      </c>
      <c r="F39" t="str">
        <f>IF(C39=0,"-",IF(C39&gt;E39,"W",IF(C39&lt;E39,"L",IF(AND('Picks Detail'!E60&lt;&gt;"",INDEX('Picks Detail'!F60:Q60,1,A39)&lt;&gt;"",INDEX('Picks Detail'!F60:Q60,1,D39)&lt;&gt;""),IF(ABS(INDEX('Picks Detail'!F60:Q60,1,A39)-'Picks Detail'!E60)&lt;ABS(INDEX('Picks Detail'!F60:Q60,1,D39)-'Picks Detail'!E60),"W",IF(ABS(INDEX('Picks Detail'!F60:Q60,1,A39)-'Picks Detail'!E60)&gt;ABS(INDEX('Picks Detail'!F60:Q60,1,D39)-'Picks Detail'!E60),"L","T")),"T"))))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0</v>
      </c>
      <c r="D40">
        <v>9</v>
      </c>
      <c r="E40">
        <f>IFERROR(INDEX(C$36:C$47,MATCH(9,A$36:A$47,0)),0)</f>
        <v>0</v>
      </c>
      <c r="F40" t="str">
        <f>IF(C40=0,"-",IF(C40&gt;E40,"W",IF(C40&lt;E40,"L",IF(AND('Picks Detail'!E60&lt;&gt;"",INDEX('Picks Detail'!F60:Q60,1,A40)&lt;&gt;"",INDEX('Picks Detail'!F60:Q60,1,D40)&lt;&gt;""),IF(ABS(INDEX('Picks Detail'!F60:Q60,1,A40)-'Picks Detail'!E60)&lt;ABS(INDEX('Picks Detail'!F60:Q60,1,D40)-'Picks Detail'!E60),"W",IF(ABS(INDEX('Picks Detail'!F60:Q60,1,A40)-'Picks Detail'!E60)&gt;ABS(INDEX('Picks Detail'!F60:Q60,1,D40)-'Picks Detail'!E60),"L","T")),"T"))))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0</v>
      </c>
      <c r="D41">
        <v>10</v>
      </c>
      <c r="E41">
        <f>IFERROR(INDEX(C$36:C$47,MATCH(10,A$36:A$47,0)),0)</f>
        <v>0</v>
      </c>
      <c r="F41" t="str">
        <f>IF(C41=0,"-",IF(C41&gt;E41,"W",IF(C41&lt;E41,"L",IF(AND('Picks Detail'!E60&lt;&gt;"",INDEX('Picks Detail'!F60:Q60,1,A41)&lt;&gt;"",INDEX('Picks Detail'!F60:Q60,1,D41)&lt;&gt;""),IF(ABS(INDEX('Picks Detail'!F60:Q60,1,A41)-'Picks Detail'!E60)&lt;ABS(INDEX('Picks Detail'!F60:Q60,1,D41)-'Picks Detail'!E60),"W",IF(ABS(INDEX('Picks Detail'!F60:Q60,1,A41)-'Picks Detail'!E60)&gt;ABS(INDEX('Picks Detail'!F60:Q60,1,D41)-'Picks Detail'!E60),"L","T")),"T"))))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0</v>
      </c>
      <c r="D42">
        <v>1</v>
      </c>
      <c r="E42">
        <f>IFERROR(INDEX(C$36:C$47,MATCH(1,A$36:A$47,0)),0)</f>
        <v>0</v>
      </c>
      <c r="F42" t="str">
        <f>IF(C42=0,"-",IF(C42&gt;E42,"W",IF(C42&lt;E42,"L",IF(AND('Picks Detail'!E60&lt;&gt;"",INDEX('Picks Detail'!F60:Q60,1,A42)&lt;&gt;"",INDEX('Picks Detail'!F60:Q60,1,D42)&lt;&gt;""),IF(ABS(INDEX('Picks Detail'!F60:Q60,1,A42)-'Picks Detail'!E60)&lt;ABS(INDEX('Picks Detail'!F60:Q60,1,D42)-'Picks Detail'!E60),"W",IF(ABS(INDEX('Picks Detail'!F60:Q60,1,A42)-'Picks Detail'!E60)&gt;ABS(INDEX('Picks Detail'!F60:Q60,1,D42)-'Picks Detail'!E60),"L","T")),"T"))))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0</v>
      </c>
      <c r="D43">
        <v>2</v>
      </c>
      <c r="E43">
        <f>IFERROR(INDEX(C$36:C$47,MATCH(2,A$36:A$47,0)),0)</f>
        <v>0</v>
      </c>
      <c r="F43" t="str">
        <f>IF(C43=0,"-",IF(C43&gt;E43,"W",IF(C43&lt;E43,"L",IF(AND('Picks Detail'!E60&lt;&gt;"",INDEX('Picks Detail'!F60:Q60,1,A43)&lt;&gt;"",INDEX('Picks Detail'!F60:Q60,1,D43)&lt;&gt;""),IF(ABS(INDEX('Picks Detail'!F60:Q60,1,A43)-'Picks Detail'!E60)&lt;ABS(INDEX('Picks Detail'!F60:Q60,1,D43)-'Picks Detail'!E60),"W",IF(ABS(INDEX('Picks Detail'!F60:Q60,1,A43)-'Picks Detail'!E60)&gt;ABS(INDEX('Picks Detail'!F60:Q60,1,D43)-'Picks Detail'!E60),"L","T")),"T"))))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0</v>
      </c>
      <c r="D44">
        <v>5</v>
      </c>
      <c r="E44">
        <f>IFERROR(INDEX(C$36:C$47,MATCH(5,A$36:A$47,0)),0)</f>
        <v>0</v>
      </c>
      <c r="F44" t="str">
        <f>IF(C44=0,"-",IF(C44&gt;E44,"W",IF(C44&lt;E44,"L",IF(AND('Picks Detail'!E60&lt;&gt;"",INDEX('Picks Detail'!F60:Q60,1,A44)&lt;&gt;"",INDEX('Picks Detail'!F60:Q60,1,D44)&lt;&gt;""),IF(ABS(INDEX('Picks Detail'!F60:Q60,1,A44)-'Picks Detail'!E60)&lt;ABS(INDEX('Picks Detail'!F60:Q60,1,D44)-'Picks Detail'!E60),"W",IF(ABS(INDEX('Picks Detail'!F60:Q60,1,A44)-'Picks Detail'!E60)&gt;ABS(INDEX('Picks Detail'!F60:Q60,1,D44)-'Picks Detail'!E60),"L","T")),"T"))))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0</v>
      </c>
      <c r="D45">
        <v>6</v>
      </c>
      <c r="E45">
        <f>IFERROR(INDEX(C$36:C$47,MATCH(6,A$36:A$47,0)),0)</f>
        <v>0</v>
      </c>
      <c r="F45" t="str">
        <f>IF(C45=0,"-",IF(C45&gt;E45,"W",IF(C45&lt;E45,"L",IF(AND('Picks Detail'!E60&lt;&gt;"",INDEX('Picks Detail'!F60:Q60,1,A45)&lt;&gt;"",INDEX('Picks Detail'!F60:Q60,1,D45)&lt;&gt;""),IF(ABS(INDEX('Picks Detail'!F60:Q60,1,A45)-'Picks Detail'!E60)&lt;ABS(INDEX('Picks Detail'!F60:Q60,1,D45)-'Picks Detail'!E60),"W",IF(ABS(INDEX('Picks Detail'!F60:Q60,1,A45)-'Picks Detail'!E60)&gt;ABS(INDEX('Picks Detail'!F60:Q60,1,D45)-'Picks Detail'!E60),"L","T")),"T"))))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0</v>
      </c>
      <c r="D46">
        <v>3</v>
      </c>
      <c r="E46">
        <f>IFERROR(INDEX(C$36:C$47,MATCH(3,A$36:A$47,0)),0)</f>
        <v>0</v>
      </c>
      <c r="F46" t="str">
        <f>IF(C46=0,"-",IF(C46&gt;E46,"W",IF(C46&lt;E46,"L",IF(AND('Picks Detail'!E60&lt;&gt;"",INDEX('Picks Detail'!F60:Q60,1,A46)&lt;&gt;"",INDEX('Picks Detail'!F60:Q60,1,D46)&lt;&gt;""),IF(ABS(INDEX('Picks Detail'!F60:Q60,1,A46)-'Picks Detail'!E60)&lt;ABS(INDEX('Picks Detail'!F60:Q60,1,D46)-'Picks Detail'!E60),"W",IF(ABS(INDEX('Picks Detail'!F60:Q60,1,A46)-'Picks Detail'!E60)&gt;ABS(INDEX('Picks Detail'!F60:Q60,1,D46)-'Picks Detail'!E60),"L","T")),"T"))))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0</v>
      </c>
      <c r="D47">
        <v>4</v>
      </c>
      <c r="E47">
        <f>IFERROR(INDEX(C$36:C$47,MATCH(4,A$36:A$47,0)),0)</f>
        <v>0</v>
      </c>
      <c r="F47" t="str">
        <f>IF(C47=0,"-",IF(C47&gt;E47,"W",IF(C47&lt;E47,"L",IF(AND('Picks Detail'!E60&lt;&gt;"",INDEX('Picks Detail'!F60:Q60,1,A47)&lt;&gt;"",INDEX('Picks Detail'!F60:Q60,1,D47)&lt;&gt;""),IF(ABS(INDEX('Picks Detail'!F60:Q60,1,A47)-'Picks Detail'!E60)&lt;ABS(INDEX('Picks Detail'!F60:Q60,1,D47)-'Picks Detail'!E60),"W",IF(ABS(INDEX('Picks Detail'!F60:Q60,1,A47)-'Picks Detail'!E60)&gt;ABS(INDEX('Picks Detail'!F60:Q60,1,D47)-'Picks Detail'!E60),"L","T")),"T"))))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>IF(C51=0,"-",IF(C51&gt;E51,"W",IF(C51&lt;E51,"L",IF(AND('Picks Detail'!E79&lt;&gt;"",INDEX('Picks Detail'!F79:Q79,1,A51)&lt;&gt;"",INDEX('Picks Detail'!F79:Q79,1,D51)&lt;&gt;""),IF(ABS(INDEX('Picks Detail'!F79:Q79,1,A51)-'Picks Detail'!E79)&lt;ABS(INDEX('Picks Detail'!F79:Q79,1,D51)-'Picks Detail'!E79),"W",IF(ABS(INDEX('Picks Detail'!F79:Q79,1,A51)-'Picks Detail'!E79)&gt;ABS(INDEX('Picks Detail'!F79:Q79,1,D51)-'Picks Detail'!E79),"L","T")),"T"))))</f>
        <v>-</v>
      </c>
      <c r="G51">
        <f t="shared" ref="G51:G62" si="9">IF(F51="W",6,IF(F51="T",3,0))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>IF(C52=0,"-",IF(C52&gt;E52,"W",IF(C52&lt;E52,"L",IF(AND('Picks Detail'!E79&lt;&gt;"",INDEX('Picks Detail'!F79:Q79,1,A52)&lt;&gt;"",INDEX('Picks Detail'!F79:Q79,1,D52)&lt;&gt;""),IF(ABS(INDEX('Picks Detail'!F79:Q79,1,A52)-'Picks Detail'!E79)&lt;ABS(INDEX('Picks Detail'!F79:Q79,1,D52)-'Picks Detail'!E79),"W",IF(ABS(INDEX('Picks Detail'!F79:Q79,1,A52)-'Picks Detail'!E79)&gt;ABS(INDEX('Picks Detail'!F79:Q79,1,D52)-'Picks Detail'!E79),"L","T")),"T"))))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Detail'!E79&lt;&gt;"",INDEX('Picks Detail'!F79:Q79,1,A53)&lt;&gt;"",INDEX('Picks Detail'!F79:Q79,1,D53)&lt;&gt;""),IF(ABS(INDEX('Picks Detail'!F79:Q79,1,A53)-'Picks Detail'!E79)&lt;ABS(INDEX('Picks Detail'!F79:Q79,1,D53)-'Picks Detail'!E79),"W",IF(ABS(INDEX('Picks Detail'!F79:Q79,1,A53)-'Picks Detail'!E79)&gt;ABS(INDEX('Picks Detail'!F79:Q79,1,D53)-'Picks Detail'!E79),"L","T")),"T"))))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Detail'!E79&lt;&gt;"",INDEX('Picks Detail'!F79:Q79,1,A54)&lt;&gt;"",INDEX('Picks Detail'!F79:Q79,1,D54)&lt;&gt;""),IF(ABS(INDEX('Picks Detail'!F79:Q79,1,A54)-'Picks Detail'!E79)&lt;ABS(INDEX('Picks Detail'!F79:Q79,1,D54)-'Picks Detail'!E79),"W",IF(ABS(INDEX('Picks Detail'!F79:Q79,1,A54)-'Picks Detail'!E79)&gt;ABS(INDEX('Picks Detail'!F79:Q79,1,D54)-'Picks Detail'!E79),"L","T")),"T"))))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Detail'!E79&lt;&gt;"",INDEX('Picks Detail'!F79:Q79,1,A55)&lt;&gt;"",INDEX('Picks Detail'!F79:Q79,1,D55)&lt;&gt;""),IF(ABS(INDEX('Picks Detail'!F79:Q79,1,A55)-'Picks Detail'!E79)&lt;ABS(INDEX('Picks Detail'!F79:Q79,1,D55)-'Picks Detail'!E79),"W",IF(ABS(INDEX('Picks Detail'!F79:Q79,1,A55)-'Picks Detail'!E79)&gt;ABS(INDEX('Picks Detail'!F79:Q79,1,D55)-'Picks Detail'!E79),"L","T")),"T"))))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Detail'!E79&lt;&gt;"",INDEX('Picks Detail'!F79:Q79,1,A56)&lt;&gt;"",INDEX('Picks Detail'!F79:Q79,1,D56)&lt;&gt;""),IF(ABS(INDEX('Picks Detail'!F79:Q79,1,A56)-'Picks Detail'!E79)&lt;ABS(INDEX('Picks Detail'!F79:Q79,1,D56)-'Picks Detail'!E79),"W",IF(ABS(INDEX('Picks Detail'!F79:Q79,1,A56)-'Picks Detail'!E79)&gt;ABS(INDEX('Picks Detail'!F79:Q79,1,D56)-'Picks Detail'!E79),"L","T")),"T"))))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>IF(C57=0,"-",IF(C57&gt;E57,"W",IF(C57&lt;E57,"L",IF(AND('Picks Detail'!E79&lt;&gt;"",INDEX('Picks Detail'!F79:Q79,1,A57)&lt;&gt;"",INDEX('Picks Detail'!F79:Q79,1,D57)&lt;&gt;""),IF(ABS(INDEX('Picks Detail'!F79:Q79,1,A57)-'Picks Detail'!E79)&lt;ABS(INDEX('Picks Detail'!F79:Q79,1,D57)-'Picks Detail'!E79),"W",IF(ABS(INDEX('Picks Detail'!F79:Q79,1,A57)-'Picks Detail'!E79)&gt;ABS(INDEX('Picks Detail'!F79:Q79,1,D57)-'Picks Detail'!E79),"L","T")),"T"))))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>IF(C58=0,"-",IF(C58&gt;E58,"W",IF(C58&lt;E58,"L",IF(AND('Picks Detail'!E79&lt;&gt;"",INDEX('Picks Detail'!F79:Q79,1,A58)&lt;&gt;"",INDEX('Picks Detail'!F79:Q79,1,D58)&lt;&gt;""),IF(ABS(INDEX('Picks Detail'!F79:Q79,1,A58)-'Picks Detail'!E79)&lt;ABS(INDEX('Picks Detail'!F79:Q79,1,D58)-'Picks Detail'!E79),"W",IF(ABS(INDEX('Picks Detail'!F79:Q79,1,A58)-'Picks Detail'!E79)&gt;ABS(INDEX('Picks Detail'!F79:Q79,1,D58)-'Picks Detail'!E79),"L","T")),"T"))))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Detail'!E79&lt;&gt;"",INDEX('Picks Detail'!F79:Q79,1,A59)&lt;&gt;"",INDEX('Picks Detail'!F79:Q79,1,D59)&lt;&gt;""),IF(ABS(INDEX('Picks Detail'!F79:Q79,1,A59)-'Picks Detail'!E79)&lt;ABS(INDEX('Picks Detail'!F79:Q79,1,D59)-'Picks Detail'!E79),"W",IF(ABS(INDEX('Picks Detail'!F79:Q79,1,A59)-'Picks Detail'!E79)&gt;ABS(INDEX('Picks Detail'!F79:Q79,1,D59)-'Picks Detail'!E79),"L","T")),"T"))))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Detail'!E79&lt;&gt;"",INDEX('Picks Detail'!F79:Q79,1,A60)&lt;&gt;"",INDEX('Picks Detail'!F79:Q79,1,D60)&lt;&gt;""),IF(ABS(INDEX('Picks Detail'!F79:Q79,1,A60)-'Picks Detail'!E79)&lt;ABS(INDEX('Picks Detail'!F79:Q79,1,D60)-'Picks Detail'!E79),"W",IF(ABS(INDEX('Picks Detail'!F79:Q79,1,A60)-'Picks Detail'!E79)&gt;ABS(INDEX('Picks Detail'!F79:Q79,1,D60)-'Picks Detail'!E79),"L","T")),"T"))))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Detail'!E79&lt;&gt;"",INDEX('Picks Detail'!F79:Q79,1,A61)&lt;&gt;"",INDEX('Picks Detail'!F79:Q79,1,D61)&lt;&gt;""),IF(ABS(INDEX('Picks Detail'!F79:Q79,1,A61)-'Picks Detail'!E79)&lt;ABS(INDEX('Picks Detail'!F79:Q79,1,D61)-'Picks Detail'!E79),"W",IF(ABS(INDEX('Picks Detail'!F79:Q79,1,A61)-'Picks Detail'!E79)&gt;ABS(INDEX('Picks Detail'!F79:Q79,1,D61)-'Picks Detail'!E79),"L","T")),"T"))))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Detail'!E79&lt;&gt;"",INDEX('Picks Detail'!F79:Q79,1,A62)&lt;&gt;"",INDEX('Picks Detail'!F79:Q79,1,D62)&lt;&gt;""),IF(ABS(INDEX('Picks Detail'!F79:Q79,1,A62)-'Picks Detail'!E79)&lt;ABS(INDEX('Picks Detail'!F79:Q79,1,D62)-'Picks Detail'!E79),"W",IF(ABS(INDEX('Picks Detail'!F79:Q79,1,A62)-'Picks Detail'!E79)&gt;ABS(INDEX('Picks Detail'!F79:Q79,1,D62)-'Picks Detail'!E79),"L","T")),"T"))))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>IF(C66=0,"-",IF(C66&gt;E66,"W",IF(C66&lt;E66,"L",IF(AND('Picks Detail'!E97&lt;&gt;"",INDEX('Picks Detail'!F97:Q97,1,A66)&lt;&gt;"",INDEX('Picks Detail'!F97:Q97,1,D66)&lt;&gt;""),IF(ABS(INDEX('Picks Detail'!F97:Q97,1,A66)-'Picks Detail'!E97)&lt;ABS(INDEX('Picks Detail'!F97:Q97,1,D66)-'Picks Detail'!E97),"W",IF(ABS(INDEX('Picks Detail'!F97:Q97,1,A66)-'Picks Detail'!E97)&gt;ABS(INDEX('Picks Detail'!F97:Q97,1,D66)-'Picks Detail'!E97),"L","T")),"T"))))</f>
        <v>-</v>
      </c>
      <c r="G66">
        <f t="shared" ref="G66:G77" si="12">IF(F66="W",6,IF(F66="T",3,0))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>IF(C67=0,"-",IF(C67&gt;E67,"W",IF(C67&lt;E67,"L",IF(AND('Picks Detail'!E97&lt;&gt;"",INDEX('Picks Detail'!F97:Q97,1,A67)&lt;&gt;"",INDEX('Picks Detail'!F97:Q97,1,D67)&lt;&gt;""),IF(ABS(INDEX('Picks Detail'!F97:Q97,1,A67)-'Picks Detail'!E97)&lt;ABS(INDEX('Picks Detail'!F97:Q97,1,D67)-'Picks Detail'!E97),"W",IF(ABS(INDEX('Picks Detail'!F97:Q97,1,A67)-'Picks Detail'!E97)&gt;ABS(INDEX('Picks Detail'!F97:Q97,1,D67)-'Picks Detail'!E97),"L","T")),"T"))))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Detail'!E97&lt;&gt;"",INDEX('Picks Detail'!F97:Q97,1,A68)&lt;&gt;"",INDEX('Picks Detail'!F97:Q97,1,D68)&lt;&gt;""),IF(ABS(INDEX('Picks Detail'!F97:Q97,1,A68)-'Picks Detail'!E97)&lt;ABS(INDEX('Picks Detail'!F97:Q97,1,D68)-'Picks Detail'!E97),"W",IF(ABS(INDEX('Picks Detail'!F97:Q97,1,A68)-'Picks Detail'!E97)&gt;ABS(INDEX('Picks Detail'!F97:Q97,1,D68)-'Picks Detail'!E97),"L","T")),"T"))))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Detail'!E97&lt;&gt;"",INDEX('Picks Detail'!F97:Q97,1,A69)&lt;&gt;"",INDEX('Picks Detail'!F97:Q97,1,D69)&lt;&gt;""),IF(ABS(INDEX('Picks Detail'!F97:Q97,1,A69)-'Picks Detail'!E97)&lt;ABS(INDEX('Picks Detail'!F97:Q97,1,D69)-'Picks Detail'!E97),"W",IF(ABS(INDEX('Picks Detail'!F97:Q97,1,A69)-'Picks Detail'!E97)&gt;ABS(INDEX('Picks Detail'!F97:Q97,1,D69)-'Picks Detail'!E97),"L","T")),"T"))))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Detail'!E97&lt;&gt;"",INDEX('Picks Detail'!F97:Q97,1,A70)&lt;&gt;"",INDEX('Picks Detail'!F97:Q97,1,D70)&lt;&gt;""),IF(ABS(INDEX('Picks Detail'!F97:Q97,1,A70)-'Picks Detail'!E97)&lt;ABS(INDEX('Picks Detail'!F97:Q97,1,D70)-'Picks Detail'!E97),"W",IF(ABS(INDEX('Picks Detail'!F97:Q97,1,A70)-'Picks Detail'!E97)&gt;ABS(INDEX('Picks Detail'!F97:Q97,1,D70)-'Picks Detail'!E97),"L","T")),"T"))))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Detail'!E97&lt;&gt;"",INDEX('Picks Detail'!F97:Q97,1,A71)&lt;&gt;"",INDEX('Picks Detail'!F97:Q97,1,D71)&lt;&gt;""),IF(ABS(INDEX('Picks Detail'!F97:Q97,1,A71)-'Picks Detail'!E97)&lt;ABS(INDEX('Picks Detail'!F97:Q97,1,D71)-'Picks Detail'!E97),"W",IF(ABS(INDEX('Picks Detail'!F97:Q97,1,A71)-'Picks Detail'!E97)&gt;ABS(INDEX('Picks Detail'!F97:Q97,1,D71)-'Picks Detail'!E97),"L","T")),"T"))))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>IF(C72=0,"-",IF(C72&gt;E72,"W",IF(C72&lt;E72,"L",IF(AND('Picks Detail'!E97&lt;&gt;"",INDEX('Picks Detail'!F97:Q97,1,A72)&lt;&gt;"",INDEX('Picks Detail'!F97:Q97,1,D72)&lt;&gt;""),IF(ABS(INDEX('Picks Detail'!F97:Q97,1,A72)-'Picks Detail'!E97)&lt;ABS(INDEX('Picks Detail'!F97:Q97,1,D72)-'Picks Detail'!E97),"W",IF(ABS(INDEX('Picks Detail'!F97:Q97,1,A72)-'Picks Detail'!E97)&gt;ABS(INDEX('Picks Detail'!F97:Q97,1,D72)-'Picks Detail'!E97),"L","T")),"T"))))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>IF(C73=0,"-",IF(C73&gt;E73,"W",IF(C73&lt;E73,"L",IF(AND('Picks Detail'!E97&lt;&gt;"",INDEX('Picks Detail'!F97:Q97,1,A73)&lt;&gt;"",INDEX('Picks Detail'!F97:Q97,1,D73)&lt;&gt;""),IF(ABS(INDEX('Picks Detail'!F97:Q97,1,A73)-'Picks Detail'!E97)&lt;ABS(INDEX('Picks Detail'!F97:Q97,1,D73)-'Picks Detail'!E97),"W",IF(ABS(INDEX('Picks Detail'!F97:Q97,1,A73)-'Picks Detail'!E97)&gt;ABS(INDEX('Picks Detail'!F97:Q97,1,D73)-'Picks Detail'!E97),"L","T")),"T"))))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>IF(C74=0,"-",IF(C74&gt;E74,"W",IF(C74&lt;E74,"L",IF(AND('Picks Detail'!E97&lt;&gt;"",INDEX('Picks Detail'!F97:Q97,1,A74)&lt;&gt;"",INDEX('Picks Detail'!F97:Q97,1,D74)&lt;&gt;""),IF(ABS(INDEX('Picks Detail'!F97:Q97,1,A74)-'Picks Detail'!E97)&lt;ABS(INDEX('Picks Detail'!F97:Q97,1,D74)-'Picks Detail'!E97),"W",IF(ABS(INDEX('Picks Detail'!F97:Q97,1,A74)-'Picks Detail'!E97)&gt;ABS(INDEX('Picks Detail'!F97:Q97,1,D74)-'Picks Detail'!E97),"L","T")),"T"))))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>IF(C75=0,"-",IF(C75&gt;E75,"W",IF(C75&lt;E75,"L",IF(AND('Picks Detail'!E97&lt;&gt;"",INDEX('Picks Detail'!F97:Q97,1,A75)&lt;&gt;"",INDEX('Picks Detail'!F97:Q97,1,D75)&lt;&gt;""),IF(ABS(INDEX('Picks Detail'!F97:Q97,1,A75)-'Picks Detail'!E97)&lt;ABS(INDEX('Picks Detail'!F97:Q97,1,D75)-'Picks Detail'!E97),"W",IF(ABS(INDEX('Picks Detail'!F97:Q97,1,A75)-'Picks Detail'!E97)&gt;ABS(INDEX('Picks Detail'!F97:Q97,1,D75)-'Picks Detail'!E97),"L","T")),"T"))))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>IF(C76=0,"-",IF(C76&gt;E76,"W",IF(C76&lt;E76,"L",IF(AND('Picks Detail'!E97&lt;&gt;"",INDEX('Picks Detail'!F97:Q97,1,A76)&lt;&gt;"",INDEX('Picks Detail'!F97:Q97,1,D76)&lt;&gt;""),IF(ABS(INDEX('Picks Detail'!F97:Q97,1,A76)-'Picks Detail'!E97)&lt;ABS(INDEX('Picks Detail'!F97:Q97,1,D76)-'Picks Detail'!E97),"W",IF(ABS(INDEX('Picks Detail'!F97:Q97,1,A76)-'Picks Detail'!E97)&gt;ABS(INDEX('Picks Detail'!F97:Q97,1,D76)-'Picks Detail'!E97),"L","T")),"T"))))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>IF(C77=0,"-",IF(C77&gt;E77,"W",IF(C77&lt;E77,"L",IF(AND('Picks Detail'!E97&lt;&gt;"",INDEX('Picks Detail'!F97:Q97,1,A77)&lt;&gt;"",INDEX('Picks Detail'!F97:Q97,1,D77)&lt;&gt;""),IF(ABS(INDEX('Picks Detail'!F97:Q97,1,A77)-'Picks Detail'!E97)&lt;ABS(INDEX('Picks Detail'!F97:Q97,1,D77)-'Picks Detail'!E97),"W",IF(ABS(INDEX('Picks Detail'!F97:Q97,1,A77)-'Picks Detail'!E97)&gt;ABS(INDEX('Picks Detail'!F97:Q97,1,D77)-'Picks Detail'!E97),"L","T")),"T"))))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>IF(C81=0,"-",IF(C81&gt;E81,"W",IF(C81&lt;E81,"L",IF(AND('Picks Detail'!E114&lt;&gt;"",INDEX('Picks Detail'!F114:Q114,1,A81)&lt;&gt;"",INDEX('Picks Detail'!F114:Q114,1,D81)&lt;&gt;""),IF(ABS(INDEX('Picks Detail'!F114:Q114,1,A81)-'Picks Detail'!E114)&lt;ABS(INDEX('Picks Detail'!F114:Q114,1,D81)-'Picks Detail'!E114),"W",IF(ABS(INDEX('Picks Detail'!F114:Q114,1,A81)-'Picks Detail'!E114)&gt;ABS(INDEX('Picks Detail'!F114:Q114,1,D81)-'Picks Detail'!E114),"L","T")),"T"))))</f>
        <v>-</v>
      </c>
      <c r="G81">
        <f t="shared" ref="G81:G92" si="15">IF(F81="W",6,IF(F81="T",3,0))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>IF(C82=0,"-",IF(C82&gt;E82,"W",IF(C82&lt;E82,"L",IF(AND('Picks Detail'!E114&lt;&gt;"",INDEX('Picks Detail'!F114:Q114,1,A82)&lt;&gt;"",INDEX('Picks Detail'!F114:Q114,1,D82)&lt;&gt;""),IF(ABS(INDEX('Picks Detail'!F114:Q114,1,A82)-'Picks Detail'!E114)&lt;ABS(INDEX('Picks Detail'!F114:Q114,1,D82)-'Picks Detail'!E114),"W",IF(ABS(INDEX('Picks Detail'!F114:Q114,1,A82)-'Picks Detail'!E114)&gt;ABS(INDEX('Picks Detail'!F114:Q114,1,D82)-'Picks Detail'!E114),"L","T")),"T"))))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>IF(C83=0,"-",IF(C83&gt;E83,"W",IF(C83&lt;E83,"L",IF(AND('Picks Detail'!E114&lt;&gt;"",INDEX('Picks Detail'!F114:Q114,1,A83)&lt;&gt;"",INDEX('Picks Detail'!F114:Q114,1,D83)&lt;&gt;""),IF(ABS(INDEX('Picks Detail'!F114:Q114,1,A83)-'Picks Detail'!E114)&lt;ABS(INDEX('Picks Detail'!F114:Q114,1,D83)-'Picks Detail'!E114),"W",IF(ABS(INDEX('Picks Detail'!F114:Q114,1,A83)-'Picks Detail'!E114)&gt;ABS(INDEX('Picks Detail'!F114:Q114,1,D83)-'Picks Detail'!E114),"L","T")),"T"))))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>IF(C84=0,"-",IF(C84&gt;E84,"W",IF(C84&lt;E84,"L",IF(AND('Picks Detail'!E114&lt;&gt;"",INDEX('Picks Detail'!F114:Q114,1,A84)&lt;&gt;"",INDEX('Picks Detail'!F114:Q114,1,D84)&lt;&gt;""),IF(ABS(INDEX('Picks Detail'!F114:Q114,1,A84)-'Picks Detail'!E114)&lt;ABS(INDEX('Picks Detail'!F114:Q114,1,D84)-'Picks Detail'!E114),"W",IF(ABS(INDEX('Picks Detail'!F114:Q114,1,A84)-'Picks Detail'!E114)&gt;ABS(INDEX('Picks Detail'!F114:Q114,1,D84)-'Picks Detail'!E114),"L","T")),"T"))))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>IF(C85=0,"-",IF(C85&gt;E85,"W",IF(C85&lt;E85,"L",IF(AND('Picks Detail'!E114&lt;&gt;"",INDEX('Picks Detail'!F114:Q114,1,A85)&lt;&gt;"",INDEX('Picks Detail'!F114:Q114,1,D85)&lt;&gt;""),IF(ABS(INDEX('Picks Detail'!F114:Q114,1,A85)-'Picks Detail'!E114)&lt;ABS(INDEX('Picks Detail'!F114:Q114,1,D85)-'Picks Detail'!E114),"W",IF(ABS(INDEX('Picks Detail'!F114:Q114,1,A85)-'Picks Detail'!E114)&gt;ABS(INDEX('Picks Detail'!F114:Q114,1,D85)-'Picks Detail'!E114),"L","T")),"T"))))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>IF(C86=0,"-",IF(C86&gt;E86,"W",IF(C86&lt;E86,"L",IF(AND('Picks Detail'!E114&lt;&gt;"",INDEX('Picks Detail'!F114:Q114,1,A86)&lt;&gt;"",INDEX('Picks Detail'!F114:Q114,1,D86)&lt;&gt;""),IF(ABS(INDEX('Picks Detail'!F114:Q114,1,A86)-'Picks Detail'!E114)&lt;ABS(INDEX('Picks Detail'!F114:Q114,1,D86)-'Picks Detail'!E114),"W",IF(ABS(INDEX('Picks Detail'!F114:Q114,1,A86)-'Picks Detail'!E114)&gt;ABS(INDEX('Picks Detail'!F114:Q114,1,D86)-'Picks Detail'!E114),"L","T")),"T"))))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>IF(C87=0,"-",IF(C87&gt;E87,"W",IF(C87&lt;E87,"L",IF(AND('Picks Detail'!E114&lt;&gt;"",INDEX('Picks Detail'!F114:Q114,1,A87)&lt;&gt;"",INDEX('Picks Detail'!F114:Q114,1,D87)&lt;&gt;""),IF(ABS(INDEX('Picks Detail'!F114:Q114,1,A87)-'Picks Detail'!E114)&lt;ABS(INDEX('Picks Detail'!F114:Q114,1,D87)-'Picks Detail'!E114),"W",IF(ABS(INDEX('Picks Detail'!F114:Q114,1,A87)-'Picks Detail'!E114)&gt;ABS(INDEX('Picks Detail'!F114:Q114,1,D87)-'Picks Detail'!E114),"L","T")),"T"))))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>IF(C88=0,"-",IF(C88&gt;E88,"W",IF(C88&lt;E88,"L",IF(AND('Picks Detail'!E114&lt;&gt;"",INDEX('Picks Detail'!F114:Q114,1,A88)&lt;&gt;"",INDEX('Picks Detail'!F114:Q114,1,D88)&lt;&gt;""),IF(ABS(INDEX('Picks Detail'!F114:Q114,1,A88)-'Picks Detail'!E114)&lt;ABS(INDEX('Picks Detail'!F114:Q114,1,D88)-'Picks Detail'!E114),"W",IF(ABS(INDEX('Picks Detail'!F114:Q114,1,A88)-'Picks Detail'!E114)&gt;ABS(INDEX('Picks Detail'!F114:Q114,1,D88)-'Picks Detail'!E114),"L","T")),"T"))))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>IF(C89=0,"-",IF(C89&gt;E89,"W",IF(C89&lt;E89,"L",IF(AND('Picks Detail'!E114&lt;&gt;"",INDEX('Picks Detail'!F114:Q114,1,A89)&lt;&gt;"",INDEX('Picks Detail'!F114:Q114,1,D89)&lt;&gt;""),IF(ABS(INDEX('Picks Detail'!F114:Q114,1,A89)-'Picks Detail'!E114)&lt;ABS(INDEX('Picks Detail'!F114:Q114,1,D89)-'Picks Detail'!E114),"W",IF(ABS(INDEX('Picks Detail'!F114:Q114,1,A89)-'Picks Detail'!E114)&gt;ABS(INDEX('Picks Detail'!F114:Q114,1,D89)-'Picks Detail'!E114),"L","T")),"T"))))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>IF(C90=0,"-",IF(C90&gt;E90,"W",IF(C90&lt;E90,"L",IF(AND('Picks Detail'!E114&lt;&gt;"",INDEX('Picks Detail'!F114:Q114,1,A90)&lt;&gt;"",INDEX('Picks Detail'!F114:Q114,1,D90)&lt;&gt;""),IF(ABS(INDEX('Picks Detail'!F114:Q114,1,A90)-'Picks Detail'!E114)&lt;ABS(INDEX('Picks Detail'!F114:Q114,1,D90)-'Picks Detail'!E114),"W",IF(ABS(INDEX('Picks Detail'!F114:Q114,1,A90)-'Picks Detail'!E114)&gt;ABS(INDEX('Picks Detail'!F114:Q114,1,D90)-'Picks Detail'!E114),"L","T")),"T"))))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>IF(C91=0,"-",IF(C91&gt;E91,"W",IF(C91&lt;E91,"L",IF(AND('Picks Detail'!E114&lt;&gt;"",INDEX('Picks Detail'!F114:Q114,1,A91)&lt;&gt;"",INDEX('Picks Detail'!F114:Q114,1,D91)&lt;&gt;""),IF(ABS(INDEX('Picks Detail'!F114:Q114,1,A91)-'Picks Detail'!E114)&lt;ABS(INDEX('Picks Detail'!F114:Q114,1,D91)-'Picks Detail'!E114),"W",IF(ABS(INDEX('Picks Detail'!F114:Q114,1,A91)-'Picks Detail'!E114)&gt;ABS(INDEX('Picks Detail'!F114:Q114,1,D91)-'Picks Detail'!E114),"L","T")),"T"))))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>IF(C92=0,"-",IF(C92&gt;E92,"W",IF(C92&lt;E92,"L",IF(AND('Picks Detail'!E114&lt;&gt;"",INDEX('Picks Detail'!F114:Q114,1,A92)&lt;&gt;"",INDEX('Picks Detail'!F114:Q114,1,D92)&lt;&gt;""),IF(ABS(INDEX('Picks Detail'!F114:Q114,1,A92)-'Picks Detail'!E114)&lt;ABS(INDEX('Picks Detail'!F114:Q114,1,D92)-'Picks Detail'!E114),"W",IF(ABS(INDEX('Picks Detail'!F114:Q114,1,A92)-'Picks Detail'!E114)&gt;ABS(INDEX('Picks Detail'!F114:Q114,1,D92)-'Picks Detail'!E114),"L","T")),"T"))))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196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>IF(C6=0,"-",IF(C6&gt;E6,"W",IF(C6&lt;E6,"L",IF(AND('Picks Detail'!E131&lt;&gt;"",INDEX('Picks Detail'!F131:Q131,1,A6)&lt;&gt;"",INDEX('Picks Detail'!F131:Q131,1,D6)&lt;&gt;""),IF(ABS(INDEX('Picks Detail'!F131:Q131,1,A6)-'Picks Detail'!E131)&lt;ABS(INDEX('Picks Detail'!F131:Q131,1,D6)-'Picks Detail'!E131),"W",IF(ABS(INDEX('Picks Detail'!F131:Q131,1,A6)-'Picks Detail'!E131)&gt;ABS(INDEX('Picks Detail'!F131:Q131,1,D6)-'Picks Detail'!E131),"L","T")),"T"))))</f>
        <v>-</v>
      </c>
      <c r="G6">
        <f t="shared" ref="G6:G17" si="0">IF(F6="W",10,IF(F6="T",5,0))</f>
        <v>0</v>
      </c>
      <c r="H6">
        <f t="shared" ref="H6:H17" si="1">IF(C6="",0,C6)</f>
        <v>0</v>
      </c>
      <c r="I6">
        <f t="shared" ref="I6:I17" si="2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>IF(C7=0,"-",IF(C7&gt;E7,"W",IF(C7&lt;E7,"L",IF(AND('Picks Detail'!E131&lt;&gt;"",INDEX('Picks Detail'!F131:Q131,1,A7)&lt;&gt;"",INDEX('Picks Detail'!F131:Q131,1,D7)&lt;&gt;""),IF(ABS(INDEX('Picks Detail'!F131:Q131,1,A7)-'Picks Detail'!E131)&lt;ABS(INDEX('Picks Detail'!F131:Q131,1,D7)-'Picks Detail'!E131),"W",IF(ABS(INDEX('Picks Detail'!F131:Q131,1,A7)-'Picks Detail'!E131)&gt;ABS(INDEX('Picks Detail'!F131:Q131,1,D7)-'Picks Detail'!E131),"L","T")),"T"))))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>IF(C8=0,"-",IF(C8&gt;E8,"W",IF(C8&lt;E8,"L",IF(AND('Picks Detail'!E131&lt;&gt;"",INDEX('Picks Detail'!F131:Q131,1,A8)&lt;&gt;"",INDEX('Picks Detail'!F131:Q131,1,D8)&lt;&gt;""),IF(ABS(INDEX('Picks Detail'!F131:Q131,1,A8)-'Picks Detail'!E131)&lt;ABS(INDEX('Picks Detail'!F131:Q131,1,D8)-'Picks Detail'!E131),"W",IF(ABS(INDEX('Picks Detail'!F131:Q131,1,A8)-'Picks Detail'!E131)&gt;ABS(INDEX('Picks Detail'!F131:Q131,1,D8)-'Picks Detail'!E131),"L","T")),"T"))))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>IF(C9=0,"-",IF(C9&gt;E9,"W",IF(C9&lt;E9,"L",IF(AND('Picks Detail'!E131&lt;&gt;"",INDEX('Picks Detail'!F131:Q131,1,A9)&lt;&gt;"",INDEX('Picks Detail'!F131:Q131,1,D9)&lt;&gt;""),IF(ABS(INDEX('Picks Detail'!F131:Q131,1,A9)-'Picks Detail'!E131)&lt;ABS(INDEX('Picks Detail'!F131:Q131,1,D9)-'Picks Detail'!E131),"W",IF(ABS(INDEX('Picks Detail'!F131:Q131,1,A9)-'Picks Detail'!E131)&gt;ABS(INDEX('Picks Detail'!F131:Q131,1,D9)-'Picks Detail'!E131),"L","T")),"T"))))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>IF(C10=0,"-",IF(C10&gt;E10,"W",IF(C10&lt;E10,"L",IF(AND('Picks Detail'!E131&lt;&gt;"",INDEX('Picks Detail'!F131:Q131,1,A10)&lt;&gt;"",INDEX('Picks Detail'!F131:Q131,1,D10)&lt;&gt;""),IF(ABS(INDEX('Picks Detail'!F131:Q131,1,A10)-'Picks Detail'!E131)&lt;ABS(INDEX('Picks Detail'!F131:Q131,1,D10)-'Picks Detail'!E131),"W",IF(ABS(INDEX('Picks Detail'!F131:Q131,1,A10)-'Picks Detail'!E131)&gt;ABS(INDEX('Picks Detail'!F131:Q131,1,D10)-'Picks Detail'!E131),"L","T")),"T"))))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>IF(C11=0,"-",IF(C11&gt;E11,"W",IF(C11&lt;E11,"L",IF(AND('Picks Detail'!E131&lt;&gt;"",INDEX('Picks Detail'!F131:Q131,1,A11)&lt;&gt;"",INDEX('Picks Detail'!F131:Q131,1,D11)&lt;&gt;""),IF(ABS(INDEX('Picks Detail'!F131:Q131,1,A11)-'Picks Detail'!E131)&lt;ABS(INDEX('Picks Detail'!F131:Q131,1,D11)-'Picks Detail'!E131),"W",IF(ABS(INDEX('Picks Detail'!F131:Q131,1,A11)-'Picks Detail'!E131)&gt;ABS(INDEX('Picks Detail'!F131:Q131,1,D11)-'Picks Detail'!E131),"L","T")),"T"))))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>IF(C12=0,"-",IF(C12&gt;E12,"W",IF(C12&lt;E12,"L",IF(AND('Picks Detail'!E131&lt;&gt;"",INDEX('Picks Detail'!F131:Q131,1,A12)&lt;&gt;"",INDEX('Picks Detail'!F131:Q131,1,D12)&lt;&gt;""),IF(ABS(INDEX('Picks Detail'!F131:Q131,1,A12)-'Picks Detail'!E131)&lt;ABS(INDEX('Picks Detail'!F131:Q131,1,D12)-'Picks Detail'!E131),"W",IF(ABS(INDEX('Picks Detail'!F131:Q131,1,A12)-'Picks Detail'!E131)&gt;ABS(INDEX('Picks Detail'!F131:Q131,1,D12)-'Picks Detail'!E131),"L","T")),"T"))))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>IF(C13=0,"-",IF(C13&gt;E13,"W",IF(C13&lt;E13,"L",IF(AND('Picks Detail'!E131&lt;&gt;"",INDEX('Picks Detail'!F131:Q131,1,A13)&lt;&gt;"",INDEX('Picks Detail'!F131:Q131,1,D13)&lt;&gt;""),IF(ABS(INDEX('Picks Detail'!F131:Q131,1,A13)-'Picks Detail'!E131)&lt;ABS(INDEX('Picks Detail'!F131:Q131,1,D13)-'Picks Detail'!E131),"W",IF(ABS(INDEX('Picks Detail'!F131:Q131,1,A13)-'Picks Detail'!E131)&gt;ABS(INDEX('Picks Detail'!F131:Q131,1,D13)-'Picks Detail'!E131),"L","T")),"T"))))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>IF(C14=0,"-",IF(C14&gt;E14,"W",IF(C14&lt;E14,"L",IF(AND('Picks Detail'!E131&lt;&gt;"",INDEX('Picks Detail'!F131:Q131,1,A14)&lt;&gt;"",INDEX('Picks Detail'!F131:Q131,1,D14)&lt;&gt;""),IF(ABS(INDEX('Picks Detail'!F131:Q131,1,A14)-'Picks Detail'!E131)&lt;ABS(INDEX('Picks Detail'!F131:Q131,1,D14)-'Picks Detail'!E131),"W",IF(ABS(INDEX('Picks Detail'!F131:Q131,1,A14)-'Picks Detail'!E131)&gt;ABS(INDEX('Picks Detail'!F131:Q131,1,D14)-'Picks Detail'!E131),"L","T")),"T"))))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>IF(C15=0,"-",IF(C15&gt;E15,"W",IF(C15&lt;E15,"L",IF(AND('Picks Detail'!E131&lt;&gt;"",INDEX('Picks Detail'!F131:Q131,1,A15)&lt;&gt;"",INDEX('Picks Detail'!F131:Q131,1,D15)&lt;&gt;""),IF(ABS(INDEX('Picks Detail'!F131:Q131,1,A15)-'Picks Detail'!E131)&lt;ABS(INDEX('Picks Detail'!F131:Q131,1,D15)-'Picks Detail'!E131),"W",IF(ABS(INDEX('Picks Detail'!F131:Q131,1,A15)-'Picks Detail'!E131)&gt;ABS(INDEX('Picks Detail'!F131:Q131,1,D15)-'Picks Detail'!E131),"L","T")),"T"))))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>IF(C16=0,"-",IF(C16&gt;E16,"W",IF(C16&lt;E16,"L",IF(AND('Picks Detail'!E131&lt;&gt;"",INDEX('Picks Detail'!F131:Q131,1,A16)&lt;&gt;"",INDEX('Picks Detail'!F131:Q131,1,D16)&lt;&gt;""),IF(ABS(INDEX('Picks Detail'!F131:Q131,1,A16)-'Picks Detail'!E131)&lt;ABS(INDEX('Picks Detail'!F131:Q131,1,D16)-'Picks Detail'!E131),"W",IF(ABS(INDEX('Picks Detail'!F131:Q131,1,A16)-'Picks Detail'!E131)&gt;ABS(INDEX('Picks Detail'!F131:Q131,1,D16)-'Picks Detail'!E131),"L","T")),"T"))))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>IF(C17=0,"-",IF(C17&gt;E17,"W",IF(C17&lt;E17,"L",IF(AND('Picks Detail'!E131&lt;&gt;"",INDEX('Picks Detail'!F131:Q131,1,A17)&lt;&gt;"",INDEX('Picks Detail'!F131:Q131,1,D17)&lt;&gt;""),IF(ABS(INDEX('Picks Detail'!F131:Q131,1,A17)-'Picks Detail'!E131)&lt;ABS(INDEX('Picks Detail'!F131:Q131,1,D17)-'Picks Detail'!E131),"W",IF(ABS(INDEX('Picks Detail'!F131:Q131,1,A17)-'Picks Detail'!E131)&gt;ABS(INDEX('Picks Detail'!F131:Q131,1,D17)-'Picks Detail'!E131),"L","T")),"T"))))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>IF(C21=0,"-",IF(C21&gt;E21,"W",IF(C21&lt;E21,"L",IF(AND('Picks Detail'!E148&lt;&gt;"",INDEX('Picks Detail'!F148:Q148,1,A21)&lt;&gt;"",INDEX('Picks Detail'!F148:Q148,1,D21)&lt;&gt;""),IF(ABS(INDEX('Picks Detail'!F148:Q148,1,A21)-'Picks Detail'!E148)&lt;ABS(INDEX('Picks Detail'!F148:Q148,1,D21)-'Picks Detail'!E148),"W",IF(ABS(INDEX('Picks Detail'!F148:Q148,1,A21)-'Picks Detail'!E148)&gt;ABS(INDEX('Picks Detail'!F148:Q148,1,D21)-'Picks Detail'!E148),"L","T")),"T"))))</f>
        <v>-</v>
      </c>
      <c r="G21">
        <f t="shared" ref="G21:G32" si="3">IF(F21="W",10,IF(F21="T",5,0))</f>
        <v>0</v>
      </c>
      <c r="H21">
        <f t="shared" ref="H21:H32" si="4">IF(C21="",0,C21)</f>
        <v>0</v>
      </c>
      <c r="I21">
        <f t="shared" ref="I21:I32" si="5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>IF(C22=0,"-",IF(C22&gt;E22,"W",IF(C22&lt;E22,"L",IF(AND('Picks Detail'!E148&lt;&gt;"",INDEX('Picks Detail'!F148:Q148,1,A22)&lt;&gt;"",INDEX('Picks Detail'!F148:Q148,1,D22)&lt;&gt;""),IF(ABS(INDEX('Picks Detail'!F148:Q148,1,A22)-'Picks Detail'!E148)&lt;ABS(INDEX('Picks Detail'!F148:Q148,1,D22)-'Picks Detail'!E148),"W",IF(ABS(INDEX('Picks Detail'!F148:Q148,1,A22)-'Picks Detail'!E148)&gt;ABS(INDEX('Picks Detail'!F148:Q148,1,D22)-'Picks Detail'!E148),"L","T")),"T"))))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>IF(C23=0,"-",IF(C23&gt;E23,"W",IF(C23&lt;E23,"L",IF(AND('Picks Detail'!E148&lt;&gt;"",INDEX('Picks Detail'!F148:Q148,1,A23)&lt;&gt;"",INDEX('Picks Detail'!F148:Q148,1,D23)&lt;&gt;""),IF(ABS(INDEX('Picks Detail'!F148:Q148,1,A23)-'Picks Detail'!E148)&lt;ABS(INDEX('Picks Detail'!F148:Q148,1,D23)-'Picks Detail'!E148),"W",IF(ABS(INDEX('Picks Detail'!F148:Q148,1,A23)-'Picks Detail'!E148)&gt;ABS(INDEX('Picks Detail'!F148:Q148,1,D23)-'Picks Detail'!E148),"L","T")),"T"))))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>IF(C24=0,"-",IF(C24&gt;E24,"W",IF(C24&lt;E24,"L",IF(AND('Picks Detail'!E148&lt;&gt;"",INDEX('Picks Detail'!F148:Q148,1,A24)&lt;&gt;"",INDEX('Picks Detail'!F148:Q148,1,D24)&lt;&gt;""),IF(ABS(INDEX('Picks Detail'!F148:Q148,1,A24)-'Picks Detail'!E148)&lt;ABS(INDEX('Picks Detail'!F148:Q148,1,D24)-'Picks Detail'!E148),"W",IF(ABS(INDEX('Picks Detail'!F148:Q148,1,A24)-'Picks Detail'!E148)&gt;ABS(INDEX('Picks Detail'!F148:Q148,1,D24)-'Picks Detail'!E148),"L","T")),"T"))))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>IF(C25=0,"-",IF(C25&gt;E25,"W",IF(C25&lt;E25,"L",IF(AND('Picks Detail'!E148&lt;&gt;"",INDEX('Picks Detail'!F148:Q148,1,A25)&lt;&gt;"",INDEX('Picks Detail'!F148:Q148,1,D25)&lt;&gt;""),IF(ABS(INDEX('Picks Detail'!F148:Q148,1,A25)-'Picks Detail'!E148)&lt;ABS(INDEX('Picks Detail'!F148:Q148,1,D25)-'Picks Detail'!E148),"W",IF(ABS(INDEX('Picks Detail'!F148:Q148,1,A25)-'Picks Detail'!E148)&gt;ABS(INDEX('Picks Detail'!F148:Q148,1,D25)-'Picks Detail'!E148),"L","T")),"T"))))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>IF(C26=0,"-",IF(C26&gt;E26,"W",IF(C26&lt;E26,"L",IF(AND('Picks Detail'!E148&lt;&gt;"",INDEX('Picks Detail'!F148:Q148,1,A26)&lt;&gt;"",INDEX('Picks Detail'!F148:Q148,1,D26)&lt;&gt;""),IF(ABS(INDEX('Picks Detail'!F148:Q148,1,A26)-'Picks Detail'!E148)&lt;ABS(INDEX('Picks Detail'!F148:Q148,1,D26)-'Picks Detail'!E148),"W",IF(ABS(INDEX('Picks Detail'!F148:Q148,1,A26)-'Picks Detail'!E148)&gt;ABS(INDEX('Picks Detail'!F148:Q148,1,D26)-'Picks Detail'!E148),"L","T")),"T"))))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>IF(C27=0,"-",IF(C27&gt;E27,"W",IF(C27&lt;E27,"L",IF(AND('Picks Detail'!E148&lt;&gt;"",INDEX('Picks Detail'!F148:Q148,1,A27)&lt;&gt;"",INDEX('Picks Detail'!F148:Q148,1,D27)&lt;&gt;""),IF(ABS(INDEX('Picks Detail'!F148:Q148,1,A27)-'Picks Detail'!E148)&lt;ABS(INDEX('Picks Detail'!F148:Q148,1,D27)-'Picks Detail'!E148),"W",IF(ABS(INDEX('Picks Detail'!F148:Q148,1,A27)-'Picks Detail'!E148)&gt;ABS(INDEX('Picks Detail'!F148:Q148,1,D27)-'Picks Detail'!E148),"L","T")),"T"))))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>IF(C28=0,"-",IF(C28&gt;E28,"W",IF(C28&lt;E28,"L",IF(AND('Picks Detail'!E148&lt;&gt;"",INDEX('Picks Detail'!F148:Q148,1,A28)&lt;&gt;"",INDEX('Picks Detail'!F148:Q148,1,D28)&lt;&gt;""),IF(ABS(INDEX('Picks Detail'!F148:Q148,1,A28)-'Picks Detail'!E148)&lt;ABS(INDEX('Picks Detail'!F148:Q148,1,D28)-'Picks Detail'!E148),"W",IF(ABS(INDEX('Picks Detail'!F148:Q148,1,A28)-'Picks Detail'!E148)&gt;ABS(INDEX('Picks Detail'!F148:Q148,1,D28)-'Picks Detail'!E148),"L","T")),"T"))))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>IF(C29=0,"-",IF(C29&gt;E29,"W",IF(C29&lt;E29,"L",IF(AND('Picks Detail'!E148&lt;&gt;"",INDEX('Picks Detail'!F148:Q148,1,A29)&lt;&gt;"",INDEX('Picks Detail'!F148:Q148,1,D29)&lt;&gt;""),IF(ABS(INDEX('Picks Detail'!F148:Q148,1,A29)-'Picks Detail'!E148)&lt;ABS(INDEX('Picks Detail'!F148:Q148,1,D29)-'Picks Detail'!E148),"W",IF(ABS(INDEX('Picks Detail'!F148:Q148,1,A29)-'Picks Detail'!E148)&gt;ABS(INDEX('Picks Detail'!F148:Q148,1,D29)-'Picks Detail'!E148),"L","T")),"T"))))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>IF(C30=0,"-",IF(C30&gt;E30,"W",IF(C30&lt;E30,"L",IF(AND('Picks Detail'!E148&lt;&gt;"",INDEX('Picks Detail'!F148:Q148,1,A30)&lt;&gt;"",INDEX('Picks Detail'!F148:Q148,1,D30)&lt;&gt;""),IF(ABS(INDEX('Picks Detail'!F148:Q148,1,A30)-'Picks Detail'!E148)&lt;ABS(INDEX('Picks Detail'!F148:Q148,1,D30)-'Picks Detail'!E148),"W",IF(ABS(INDEX('Picks Detail'!F148:Q148,1,A30)-'Picks Detail'!E148)&gt;ABS(INDEX('Picks Detail'!F148:Q148,1,D30)-'Picks Detail'!E148),"L","T")),"T"))))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>IF(C31=0,"-",IF(C31&gt;E31,"W",IF(C31&lt;E31,"L",IF(AND('Picks Detail'!E148&lt;&gt;"",INDEX('Picks Detail'!F148:Q148,1,A31)&lt;&gt;"",INDEX('Picks Detail'!F148:Q148,1,D31)&lt;&gt;""),IF(ABS(INDEX('Picks Detail'!F148:Q148,1,A31)-'Picks Detail'!E148)&lt;ABS(INDEX('Picks Detail'!F148:Q148,1,D31)-'Picks Detail'!E148),"W",IF(ABS(INDEX('Picks Detail'!F148:Q148,1,A31)-'Picks Detail'!E148)&gt;ABS(INDEX('Picks Detail'!F148:Q148,1,D31)-'Picks Detail'!E148),"L","T")),"T"))))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>IF(C32=0,"-",IF(C32&gt;E32,"W",IF(C32&lt;E32,"L",IF(AND('Picks Detail'!E148&lt;&gt;"",INDEX('Picks Detail'!F148:Q148,1,A32)&lt;&gt;"",INDEX('Picks Detail'!F148:Q148,1,D32)&lt;&gt;""),IF(ABS(INDEX('Picks Detail'!F148:Q148,1,A32)-'Picks Detail'!E148)&lt;ABS(INDEX('Picks Detail'!F148:Q148,1,D32)-'Picks Detail'!E148),"W",IF(ABS(INDEX('Picks Detail'!F148:Q148,1,A32)-'Picks Detail'!E148)&gt;ABS(INDEX('Picks Detail'!F148:Q148,1,D32)-'Picks Detail'!E148),"L","T")),"T"))))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>IF(C36=0,"-",IF(C36&gt;E36,"W",IF(C36&lt;E36,"L",IF(AND('Picks Detail'!E166&lt;&gt;"",INDEX('Picks Detail'!F166:Q166,1,A36)&lt;&gt;"",INDEX('Picks Detail'!F166:Q166,1,D36)&lt;&gt;""),IF(ABS(INDEX('Picks Detail'!F166:Q166,1,A36)-'Picks Detail'!E166)&lt;ABS(INDEX('Picks Detail'!F166:Q166,1,D36)-'Picks Detail'!E166),"W",IF(ABS(INDEX('Picks Detail'!F166:Q166,1,A36)-'Picks Detail'!E166)&gt;ABS(INDEX('Picks Detail'!F166:Q166,1,D36)-'Picks Detail'!E166),"L","T")),"T"))))</f>
        <v>-</v>
      </c>
      <c r="G36">
        <f t="shared" ref="G36:G47" si="6">IF(F36="W",10,IF(F36="T",5,0))</f>
        <v>0</v>
      </c>
      <c r="H36">
        <f t="shared" ref="H36:H47" si="7">IF(C36="",0,C36)</f>
        <v>0</v>
      </c>
      <c r="I36">
        <f t="shared" ref="I36:I47" si="8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>IF(C37=0,"-",IF(C37&gt;E37,"W",IF(C37&lt;E37,"L",IF(AND('Picks Detail'!E166&lt;&gt;"",INDEX('Picks Detail'!F166:Q166,1,A37)&lt;&gt;"",INDEX('Picks Detail'!F166:Q166,1,D37)&lt;&gt;""),IF(ABS(INDEX('Picks Detail'!F166:Q166,1,A37)-'Picks Detail'!E166)&lt;ABS(INDEX('Picks Detail'!F166:Q166,1,D37)-'Picks Detail'!E166),"W",IF(ABS(INDEX('Picks Detail'!F166:Q166,1,A37)-'Picks Detail'!E166)&gt;ABS(INDEX('Picks Detail'!F166:Q166,1,D37)-'Picks Detail'!E166),"L","T")),"T"))))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>IF(C38=0,"-",IF(C38&gt;E38,"W",IF(C38&lt;E38,"L",IF(AND('Picks Detail'!E166&lt;&gt;"",INDEX('Picks Detail'!F166:Q166,1,A38)&lt;&gt;"",INDEX('Picks Detail'!F166:Q166,1,D38)&lt;&gt;""),IF(ABS(INDEX('Picks Detail'!F166:Q166,1,A38)-'Picks Detail'!E166)&lt;ABS(INDEX('Picks Detail'!F166:Q166,1,D38)-'Picks Detail'!E166),"W",IF(ABS(INDEX('Picks Detail'!F166:Q166,1,A38)-'Picks Detail'!E166)&gt;ABS(INDEX('Picks Detail'!F166:Q166,1,D38)-'Picks Detail'!E166),"L","T")),"T"))))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>IF(C39=0,"-",IF(C39&gt;E39,"W",IF(C39&lt;E39,"L",IF(AND('Picks Detail'!E166&lt;&gt;"",INDEX('Picks Detail'!F166:Q166,1,A39)&lt;&gt;"",INDEX('Picks Detail'!F166:Q166,1,D39)&lt;&gt;""),IF(ABS(INDEX('Picks Detail'!F166:Q166,1,A39)-'Picks Detail'!E166)&lt;ABS(INDEX('Picks Detail'!F166:Q166,1,D39)-'Picks Detail'!E166),"W",IF(ABS(INDEX('Picks Detail'!F166:Q166,1,A39)-'Picks Detail'!E166)&gt;ABS(INDEX('Picks Detail'!F166:Q166,1,D39)-'Picks Detail'!E166),"L","T")),"T"))))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>IF(C40=0,"-",IF(C40&gt;E40,"W",IF(C40&lt;E40,"L",IF(AND('Picks Detail'!E166&lt;&gt;"",INDEX('Picks Detail'!F166:Q166,1,A40)&lt;&gt;"",INDEX('Picks Detail'!F166:Q166,1,D40)&lt;&gt;""),IF(ABS(INDEX('Picks Detail'!F166:Q166,1,A40)-'Picks Detail'!E166)&lt;ABS(INDEX('Picks Detail'!F166:Q166,1,D40)-'Picks Detail'!E166),"W",IF(ABS(INDEX('Picks Detail'!F166:Q166,1,A40)-'Picks Detail'!E166)&gt;ABS(INDEX('Picks Detail'!F166:Q166,1,D40)-'Picks Detail'!E166),"L","T")),"T"))))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>IF(C41=0,"-",IF(C41&gt;E41,"W",IF(C41&lt;E41,"L",IF(AND('Picks Detail'!E166&lt;&gt;"",INDEX('Picks Detail'!F166:Q166,1,A41)&lt;&gt;"",INDEX('Picks Detail'!F166:Q166,1,D41)&lt;&gt;""),IF(ABS(INDEX('Picks Detail'!F166:Q166,1,A41)-'Picks Detail'!E166)&lt;ABS(INDEX('Picks Detail'!F166:Q166,1,D41)-'Picks Detail'!E166),"W",IF(ABS(INDEX('Picks Detail'!F166:Q166,1,A41)-'Picks Detail'!E166)&gt;ABS(INDEX('Picks Detail'!F166:Q166,1,D41)-'Picks Detail'!E166),"L","T")),"T"))))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>IF(C42=0,"-",IF(C42&gt;E42,"W",IF(C42&lt;E42,"L",IF(AND('Picks Detail'!E166&lt;&gt;"",INDEX('Picks Detail'!F166:Q166,1,A42)&lt;&gt;"",INDEX('Picks Detail'!F166:Q166,1,D42)&lt;&gt;""),IF(ABS(INDEX('Picks Detail'!F166:Q166,1,A42)-'Picks Detail'!E166)&lt;ABS(INDEX('Picks Detail'!F166:Q166,1,D42)-'Picks Detail'!E166),"W",IF(ABS(INDEX('Picks Detail'!F166:Q166,1,A42)-'Picks Detail'!E166)&gt;ABS(INDEX('Picks Detail'!F166:Q166,1,D42)-'Picks Detail'!E166),"L","T")),"T"))))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>IF(C43=0,"-",IF(C43&gt;E43,"W",IF(C43&lt;E43,"L",IF(AND('Picks Detail'!E166&lt;&gt;"",INDEX('Picks Detail'!F166:Q166,1,A43)&lt;&gt;"",INDEX('Picks Detail'!F166:Q166,1,D43)&lt;&gt;""),IF(ABS(INDEX('Picks Detail'!F166:Q166,1,A43)-'Picks Detail'!E166)&lt;ABS(INDEX('Picks Detail'!F166:Q166,1,D43)-'Picks Detail'!E166),"W",IF(ABS(INDEX('Picks Detail'!F166:Q166,1,A43)-'Picks Detail'!E166)&gt;ABS(INDEX('Picks Detail'!F166:Q166,1,D43)-'Picks Detail'!E166),"L","T")),"T"))))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>IF(C44=0,"-",IF(C44&gt;E44,"W",IF(C44&lt;E44,"L",IF(AND('Picks Detail'!E166&lt;&gt;"",INDEX('Picks Detail'!F166:Q166,1,A44)&lt;&gt;"",INDEX('Picks Detail'!F166:Q166,1,D44)&lt;&gt;""),IF(ABS(INDEX('Picks Detail'!F166:Q166,1,A44)-'Picks Detail'!E166)&lt;ABS(INDEX('Picks Detail'!F166:Q166,1,D44)-'Picks Detail'!E166),"W",IF(ABS(INDEX('Picks Detail'!F166:Q166,1,A44)-'Picks Detail'!E166)&gt;ABS(INDEX('Picks Detail'!F166:Q166,1,D44)-'Picks Detail'!E166),"L","T")),"T"))))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>IF(C45=0,"-",IF(C45&gt;E45,"W",IF(C45&lt;E45,"L",IF(AND('Picks Detail'!E166&lt;&gt;"",INDEX('Picks Detail'!F166:Q166,1,A45)&lt;&gt;"",INDEX('Picks Detail'!F166:Q166,1,D45)&lt;&gt;""),IF(ABS(INDEX('Picks Detail'!F166:Q166,1,A45)-'Picks Detail'!E166)&lt;ABS(INDEX('Picks Detail'!F166:Q166,1,D45)-'Picks Detail'!E166),"W",IF(ABS(INDEX('Picks Detail'!F166:Q166,1,A45)-'Picks Detail'!E166)&gt;ABS(INDEX('Picks Detail'!F166:Q166,1,D45)-'Picks Detail'!E166),"L","T")),"T"))))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>IF(C46=0,"-",IF(C46&gt;E46,"W",IF(C46&lt;E46,"L",IF(AND('Picks Detail'!E166&lt;&gt;"",INDEX('Picks Detail'!F166:Q166,1,A46)&lt;&gt;"",INDEX('Picks Detail'!F166:Q166,1,D46)&lt;&gt;""),IF(ABS(INDEX('Picks Detail'!F166:Q166,1,A46)-'Picks Detail'!E166)&lt;ABS(INDEX('Picks Detail'!F166:Q166,1,D46)-'Picks Detail'!E166),"W",IF(ABS(INDEX('Picks Detail'!F166:Q166,1,A46)-'Picks Detail'!E166)&gt;ABS(INDEX('Picks Detail'!F166:Q166,1,D46)-'Picks Detail'!E166),"L","T")),"T"))))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>IF(C47=0,"-",IF(C47&gt;E47,"W",IF(C47&lt;E47,"L",IF(AND('Picks Detail'!E166&lt;&gt;"",INDEX('Picks Detail'!F166:Q166,1,A47)&lt;&gt;"",INDEX('Picks Detail'!F166:Q166,1,D47)&lt;&gt;""),IF(ABS(INDEX('Picks Detail'!F166:Q166,1,A47)-'Picks Detail'!E166)&lt;ABS(INDEX('Picks Detail'!F166:Q166,1,D47)-'Picks Detail'!E166),"W",IF(ABS(INDEX('Picks Detail'!F166:Q166,1,A47)-'Picks Detail'!E166)&gt;ABS(INDEX('Picks Detail'!F166:Q166,1,D47)-'Picks Detail'!E166),"L","T")),"T"))))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>IF(C51=0,"-",IF(C51&gt;E51,"W",IF(C51&lt;E51,"L",IF(AND('Picks Detail'!E183&lt;&gt;"",INDEX('Picks Detail'!F183:Q183,1,A51)&lt;&gt;"",INDEX('Picks Detail'!F183:Q183,1,D51)&lt;&gt;""),IF(ABS(INDEX('Picks Detail'!F183:Q183,1,A51)-'Picks Detail'!E183)&lt;ABS(INDEX('Picks Detail'!F183:Q183,1,D51)-'Picks Detail'!E183),"W",IF(ABS(INDEX('Picks Detail'!F183:Q183,1,A51)-'Picks Detail'!E183)&gt;ABS(INDEX('Picks Detail'!F183:Q183,1,D51)-'Picks Detail'!E183),"L","T")),"T"))))</f>
        <v>-</v>
      </c>
      <c r="G51">
        <f t="shared" ref="G51:G62" si="9">IF(F51="W",10,IF(F51="T",5,0))</f>
        <v>0</v>
      </c>
      <c r="H51">
        <f t="shared" ref="H51:H62" si="10">IF(C51="",0,C51)</f>
        <v>0</v>
      </c>
      <c r="I51">
        <f t="shared" ref="I51:I62" si="11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>IF(C52=0,"-",IF(C52&gt;E52,"W",IF(C52&lt;E52,"L",IF(AND('Picks Detail'!E183&lt;&gt;"",INDEX('Picks Detail'!F183:Q183,1,A52)&lt;&gt;"",INDEX('Picks Detail'!F183:Q183,1,D52)&lt;&gt;""),IF(ABS(INDEX('Picks Detail'!F183:Q183,1,A52)-'Picks Detail'!E183)&lt;ABS(INDEX('Picks Detail'!F183:Q183,1,D52)-'Picks Detail'!E183),"W",IF(ABS(INDEX('Picks Detail'!F183:Q183,1,A52)-'Picks Detail'!E183)&gt;ABS(INDEX('Picks Detail'!F183:Q183,1,D52)-'Picks Detail'!E183),"L","T")),"T"))))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>IF(C53=0,"-",IF(C53&gt;E53,"W",IF(C53&lt;E53,"L",IF(AND('Picks Detail'!E183&lt;&gt;"",INDEX('Picks Detail'!F183:Q183,1,A53)&lt;&gt;"",INDEX('Picks Detail'!F183:Q183,1,D53)&lt;&gt;""),IF(ABS(INDEX('Picks Detail'!F183:Q183,1,A53)-'Picks Detail'!E183)&lt;ABS(INDEX('Picks Detail'!F183:Q183,1,D53)-'Picks Detail'!E183),"W",IF(ABS(INDEX('Picks Detail'!F183:Q183,1,A53)-'Picks Detail'!E183)&gt;ABS(INDEX('Picks Detail'!F183:Q183,1,D53)-'Picks Detail'!E183),"L","T")),"T"))))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>IF(C54=0,"-",IF(C54&gt;E54,"W",IF(C54&lt;E54,"L",IF(AND('Picks Detail'!E183&lt;&gt;"",INDEX('Picks Detail'!F183:Q183,1,A54)&lt;&gt;"",INDEX('Picks Detail'!F183:Q183,1,D54)&lt;&gt;""),IF(ABS(INDEX('Picks Detail'!F183:Q183,1,A54)-'Picks Detail'!E183)&lt;ABS(INDEX('Picks Detail'!F183:Q183,1,D54)-'Picks Detail'!E183),"W",IF(ABS(INDEX('Picks Detail'!F183:Q183,1,A54)-'Picks Detail'!E183)&gt;ABS(INDEX('Picks Detail'!F183:Q183,1,D54)-'Picks Detail'!E183),"L","T")),"T"))))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>IF(C55=0,"-",IF(C55&gt;E55,"W",IF(C55&lt;E55,"L",IF(AND('Picks Detail'!E183&lt;&gt;"",INDEX('Picks Detail'!F183:Q183,1,A55)&lt;&gt;"",INDEX('Picks Detail'!F183:Q183,1,D55)&lt;&gt;""),IF(ABS(INDEX('Picks Detail'!F183:Q183,1,A55)-'Picks Detail'!E183)&lt;ABS(INDEX('Picks Detail'!F183:Q183,1,D55)-'Picks Detail'!E183),"W",IF(ABS(INDEX('Picks Detail'!F183:Q183,1,A55)-'Picks Detail'!E183)&gt;ABS(INDEX('Picks Detail'!F183:Q183,1,D55)-'Picks Detail'!E183),"L","T")),"T"))))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>IF(C56=0,"-",IF(C56&gt;E56,"W",IF(C56&lt;E56,"L",IF(AND('Picks Detail'!E183&lt;&gt;"",INDEX('Picks Detail'!F183:Q183,1,A56)&lt;&gt;"",INDEX('Picks Detail'!F183:Q183,1,D56)&lt;&gt;""),IF(ABS(INDEX('Picks Detail'!F183:Q183,1,A56)-'Picks Detail'!E183)&lt;ABS(INDEX('Picks Detail'!F183:Q183,1,D56)-'Picks Detail'!E183),"W",IF(ABS(INDEX('Picks Detail'!F183:Q183,1,A56)-'Picks Detail'!E183)&gt;ABS(INDEX('Picks Detail'!F183:Q183,1,D56)-'Picks Detail'!E183),"L","T")),"T"))))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>IF(C57=0,"-",IF(C57&gt;E57,"W",IF(C57&lt;E57,"L",IF(AND('Picks Detail'!E183&lt;&gt;"",INDEX('Picks Detail'!F183:Q183,1,A57)&lt;&gt;"",INDEX('Picks Detail'!F183:Q183,1,D57)&lt;&gt;""),IF(ABS(INDEX('Picks Detail'!F183:Q183,1,A57)-'Picks Detail'!E183)&lt;ABS(INDEX('Picks Detail'!F183:Q183,1,D57)-'Picks Detail'!E183),"W",IF(ABS(INDEX('Picks Detail'!F183:Q183,1,A57)-'Picks Detail'!E183)&gt;ABS(INDEX('Picks Detail'!F183:Q183,1,D57)-'Picks Detail'!E183),"L","T")),"T"))))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>IF(C58=0,"-",IF(C58&gt;E58,"W",IF(C58&lt;E58,"L",IF(AND('Picks Detail'!E183&lt;&gt;"",INDEX('Picks Detail'!F183:Q183,1,A58)&lt;&gt;"",INDEX('Picks Detail'!F183:Q183,1,D58)&lt;&gt;""),IF(ABS(INDEX('Picks Detail'!F183:Q183,1,A58)-'Picks Detail'!E183)&lt;ABS(INDEX('Picks Detail'!F183:Q183,1,D58)-'Picks Detail'!E183),"W",IF(ABS(INDEX('Picks Detail'!F183:Q183,1,A58)-'Picks Detail'!E183)&gt;ABS(INDEX('Picks Detail'!F183:Q183,1,D58)-'Picks Detail'!E183),"L","T")),"T"))))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>IF(C59=0,"-",IF(C59&gt;E59,"W",IF(C59&lt;E59,"L",IF(AND('Picks Detail'!E183&lt;&gt;"",INDEX('Picks Detail'!F183:Q183,1,A59)&lt;&gt;"",INDEX('Picks Detail'!F183:Q183,1,D59)&lt;&gt;""),IF(ABS(INDEX('Picks Detail'!F183:Q183,1,A59)-'Picks Detail'!E183)&lt;ABS(INDEX('Picks Detail'!F183:Q183,1,D59)-'Picks Detail'!E183),"W",IF(ABS(INDEX('Picks Detail'!F183:Q183,1,A59)-'Picks Detail'!E183)&gt;ABS(INDEX('Picks Detail'!F183:Q183,1,D59)-'Picks Detail'!E183),"L","T")),"T"))))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>IF(C60=0,"-",IF(C60&gt;E60,"W",IF(C60&lt;E60,"L",IF(AND('Picks Detail'!E183&lt;&gt;"",INDEX('Picks Detail'!F183:Q183,1,A60)&lt;&gt;"",INDEX('Picks Detail'!F183:Q183,1,D60)&lt;&gt;""),IF(ABS(INDEX('Picks Detail'!F183:Q183,1,A60)-'Picks Detail'!E183)&lt;ABS(INDEX('Picks Detail'!F183:Q183,1,D60)-'Picks Detail'!E183),"W",IF(ABS(INDEX('Picks Detail'!F183:Q183,1,A60)-'Picks Detail'!E183)&gt;ABS(INDEX('Picks Detail'!F183:Q183,1,D60)-'Picks Detail'!E183),"L","T")),"T"))))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>IF(C61=0,"-",IF(C61&gt;E61,"W",IF(C61&lt;E61,"L",IF(AND('Picks Detail'!E183&lt;&gt;"",INDEX('Picks Detail'!F183:Q183,1,A61)&lt;&gt;"",INDEX('Picks Detail'!F183:Q183,1,D61)&lt;&gt;""),IF(ABS(INDEX('Picks Detail'!F183:Q183,1,A61)-'Picks Detail'!E183)&lt;ABS(INDEX('Picks Detail'!F183:Q183,1,D61)-'Picks Detail'!E183),"W",IF(ABS(INDEX('Picks Detail'!F183:Q183,1,A61)-'Picks Detail'!E183)&gt;ABS(INDEX('Picks Detail'!F183:Q183,1,D61)-'Picks Detail'!E183),"L","T")),"T"))))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>IF(C62=0,"-",IF(C62&gt;E62,"W",IF(C62&lt;E62,"L",IF(AND('Picks Detail'!E183&lt;&gt;"",INDEX('Picks Detail'!F183:Q183,1,A62)&lt;&gt;"",INDEX('Picks Detail'!F183:Q183,1,D62)&lt;&gt;""),IF(ABS(INDEX('Picks Detail'!F183:Q183,1,A62)-'Picks Detail'!E183)&lt;ABS(INDEX('Picks Detail'!F183:Q183,1,D62)-'Picks Detail'!E183),"W",IF(ABS(INDEX('Picks Detail'!F183:Q183,1,A62)-'Picks Detail'!E183)&gt;ABS(INDEX('Picks Detail'!F183:Q183,1,D62)-'Picks Detail'!E183),"L","T")),"T"))))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>IF(C66=0,"-",IF(C66&gt;E66,"W",IF(C66&lt;E66,"L",IF(AND('Picks Detail'!E199&lt;&gt;"",INDEX('Picks Detail'!F199:Q199,1,A66)&lt;&gt;"",INDEX('Picks Detail'!F199:Q199,1,D66)&lt;&gt;""),IF(ABS(INDEX('Picks Detail'!F199:Q199,1,A66)-'Picks Detail'!E199)&lt;ABS(INDEX('Picks Detail'!F199:Q199,1,D66)-'Picks Detail'!E199),"W",IF(ABS(INDEX('Picks Detail'!F199:Q199,1,A66)-'Picks Detail'!E199)&gt;ABS(INDEX('Picks Detail'!F199:Q199,1,D66)-'Picks Detail'!E199),"L","T")),"T"))))</f>
        <v>-</v>
      </c>
      <c r="G66">
        <f t="shared" ref="G66:G77" si="12">IF(F66="W",10,IF(F66="T",5,0))</f>
        <v>0</v>
      </c>
      <c r="H66">
        <f t="shared" ref="H66:H77" si="13">IF(C66="",0,C66)</f>
        <v>0</v>
      </c>
      <c r="I66">
        <f t="shared" ref="I66:I77" si="14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>IF(C67=0,"-",IF(C67&gt;E67,"W",IF(C67&lt;E67,"L",IF(AND('Picks Detail'!E199&lt;&gt;"",INDEX('Picks Detail'!F199:Q199,1,A67)&lt;&gt;"",INDEX('Picks Detail'!F199:Q199,1,D67)&lt;&gt;""),IF(ABS(INDEX('Picks Detail'!F199:Q199,1,A67)-'Picks Detail'!E199)&lt;ABS(INDEX('Picks Detail'!F199:Q199,1,D67)-'Picks Detail'!E199),"W",IF(ABS(INDEX('Picks Detail'!F199:Q199,1,A67)-'Picks Detail'!E199)&gt;ABS(INDEX('Picks Detail'!F199:Q199,1,D67)-'Picks Detail'!E199),"L","T")),"T"))))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>IF(C68=0,"-",IF(C68&gt;E68,"W",IF(C68&lt;E68,"L",IF(AND('Picks Detail'!E199&lt;&gt;"",INDEX('Picks Detail'!F199:Q199,1,A68)&lt;&gt;"",INDEX('Picks Detail'!F199:Q199,1,D68)&lt;&gt;""),IF(ABS(INDEX('Picks Detail'!F199:Q199,1,A68)-'Picks Detail'!E199)&lt;ABS(INDEX('Picks Detail'!F199:Q199,1,D68)-'Picks Detail'!E199),"W",IF(ABS(INDEX('Picks Detail'!F199:Q199,1,A68)-'Picks Detail'!E199)&gt;ABS(INDEX('Picks Detail'!F199:Q199,1,D68)-'Picks Detail'!E199),"L","T")),"T"))))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>IF(C69=0,"-",IF(C69&gt;E69,"W",IF(C69&lt;E69,"L",IF(AND('Picks Detail'!E199&lt;&gt;"",INDEX('Picks Detail'!F199:Q199,1,A69)&lt;&gt;"",INDEX('Picks Detail'!F199:Q199,1,D69)&lt;&gt;""),IF(ABS(INDEX('Picks Detail'!F199:Q199,1,A69)-'Picks Detail'!E199)&lt;ABS(INDEX('Picks Detail'!F199:Q199,1,D69)-'Picks Detail'!E199),"W",IF(ABS(INDEX('Picks Detail'!F199:Q199,1,A69)-'Picks Detail'!E199)&gt;ABS(INDEX('Picks Detail'!F199:Q199,1,D69)-'Picks Detail'!E199),"L","T")),"T"))))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>IF(C70=0,"-",IF(C70&gt;E70,"W",IF(C70&lt;E70,"L",IF(AND('Picks Detail'!E199&lt;&gt;"",INDEX('Picks Detail'!F199:Q199,1,A70)&lt;&gt;"",INDEX('Picks Detail'!F199:Q199,1,D70)&lt;&gt;""),IF(ABS(INDEX('Picks Detail'!F199:Q199,1,A70)-'Picks Detail'!E199)&lt;ABS(INDEX('Picks Detail'!F199:Q199,1,D70)-'Picks Detail'!E199),"W",IF(ABS(INDEX('Picks Detail'!F199:Q199,1,A70)-'Picks Detail'!E199)&gt;ABS(INDEX('Picks Detail'!F199:Q199,1,D70)-'Picks Detail'!E199),"L","T")),"T"))))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>IF(C71=0,"-",IF(C71&gt;E71,"W",IF(C71&lt;E71,"L",IF(AND('Picks Detail'!E199&lt;&gt;"",INDEX('Picks Detail'!F199:Q199,1,A71)&lt;&gt;"",INDEX('Picks Detail'!F199:Q199,1,D71)&lt;&gt;""),IF(ABS(INDEX('Picks Detail'!F199:Q199,1,A71)-'Picks Detail'!E199)&lt;ABS(INDEX('Picks Detail'!F199:Q199,1,D71)-'Picks Detail'!E199),"W",IF(ABS(INDEX('Picks Detail'!F199:Q199,1,A71)-'Picks Detail'!E199)&gt;ABS(INDEX('Picks Detail'!F199:Q199,1,D71)-'Picks Detail'!E199),"L","T")),"T"))))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>IF(C72=0,"-",IF(C72&gt;E72,"W",IF(C72&lt;E72,"L",IF(AND('Picks Detail'!E199&lt;&gt;"",INDEX('Picks Detail'!F199:Q199,1,A72)&lt;&gt;"",INDEX('Picks Detail'!F199:Q199,1,D72)&lt;&gt;""),IF(ABS(INDEX('Picks Detail'!F199:Q199,1,A72)-'Picks Detail'!E199)&lt;ABS(INDEX('Picks Detail'!F199:Q199,1,D72)-'Picks Detail'!E199),"W",IF(ABS(INDEX('Picks Detail'!F199:Q199,1,A72)-'Picks Detail'!E199)&gt;ABS(INDEX('Picks Detail'!F199:Q199,1,D72)-'Picks Detail'!E199),"L","T")),"T"))))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>IF(C73=0,"-",IF(C73&gt;E73,"W",IF(C73&lt;E73,"L",IF(AND('Picks Detail'!E199&lt;&gt;"",INDEX('Picks Detail'!F199:Q199,1,A73)&lt;&gt;"",INDEX('Picks Detail'!F199:Q199,1,D73)&lt;&gt;""),IF(ABS(INDEX('Picks Detail'!F199:Q199,1,A73)-'Picks Detail'!E199)&lt;ABS(INDEX('Picks Detail'!F199:Q199,1,D73)-'Picks Detail'!E199),"W",IF(ABS(INDEX('Picks Detail'!F199:Q199,1,A73)-'Picks Detail'!E199)&gt;ABS(INDEX('Picks Detail'!F199:Q199,1,D73)-'Picks Detail'!E199),"L","T")),"T"))))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>IF(C74=0,"-",IF(C74&gt;E74,"W",IF(C74&lt;E74,"L",IF(AND('Picks Detail'!E199&lt;&gt;"",INDEX('Picks Detail'!F199:Q199,1,A74)&lt;&gt;"",INDEX('Picks Detail'!F199:Q199,1,D74)&lt;&gt;""),IF(ABS(INDEX('Picks Detail'!F199:Q199,1,A74)-'Picks Detail'!E199)&lt;ABS(INDEX('Picks Detail'!F199:Q199,1,D74)-'Picks Detail'!E199),"W",IF(ABS(INDEX('Picks Detail'!F199:Q199,1,A74)-'Picks Detail'!E199)&gt;ABS(INDEX('Picks Detail'!F199:Q199,1,D74)-'Picks Detail'!E199),"L","T")),"T"))))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>IF(C75=0,"-",IF(C75&gt;E75,"W",IF(C75&lt;E75,"L",IF(AND('Picks Detail'!E199&lt;&gt;"",INDEX('Picks Detail'!F199:Q199,1,A75)&lt;&gt;"",INDEX('Picks Detail'!F199:Q199,1,D75)&lt;&gt;""),IF(ABS(INDEX('Picks Detail'!F199:Q199,1,A75)-'Picks Detail'!E199)&lt;ABS(INDEX('Picks Detail'!F199:Q199,1,D75)-'Picks Detail'!E199),"W",IF(ABS(INDEX('Picks Detail'!F199:Q199,1,A75)-'Picks Detail'!E199)&gt;ABS(INDEX('Picks Detail'!F199:Q199,1,D75)-'Picks Detail'!E199),"L","T")),"T"))))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>IF(C76=0,"-",IF(C76&gt;E76,"W",IF(C76&lt;E76,"L",IF(AND('Picks Detail'!E199&lt;&gt;"",INDEX('Picks Detail'!F199:Q199,1,A76)&lt;&gt;"",INDEX('Picks Detail'!F199:Q199,1,D76)&lt;&gt;""),IF(ABS(INDEX('Picks Detail'!F199:Q199,1,A76)-'Picks Detail'!E199)&lt;ABS(INDEX('Picks Detail'!F199:Q199,1,D76)-'Picks Detail'!E199),"W",IF(ABS(INDEX('Picks Detail'!F199:Q199,1,A76)-'Picks Detail'!E199)&gt;ABS(INDEX('Picks Detail'!F199:Q199,1,D76)-'Picks Detail'!E199),"L","T")),"T"))))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>IF(C77=0,"-",IF(C77&gt;E77,"W",IF(C77&lt;E77,"L",IF(AND('Picks Detail'!E199&lt;&gt;"",INDEX('Picks Detail'!F199:Q199,1,A77)&lt;&gt;"",INDEX('Picks Detail'!F199:Q199,1,D77)&lt;&gt;""),IF(ABS(INDEX('Picks Detail'!F199:Q199,1,A77)-'Picks Detail'!E199)&lt;ABS(INDEX('Picks Detail'!F199:Q199,1,D77)-'Picks Detail'!E199),"W",IF(ABS(INDEX('Picks Detail'!F199:Q199,1,A77)-'Picks Detail'!E199)&gt;ABS(INDEX('Picks Detail'!F199:Q199,1,D77)-'Picks Detail'!E199),"L","T")),"T"))))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>IF(C81=0,"-",IF(C81&gt;E81,"W",IF(C81&lt;E81,"L",IF(AND('Picks Detail'!E218&lt;&gt;"",INDEX('Picks Detail'!F218:Q218,1,A81)&lt;&gt;"",INDEX('Picks Detail'!F218:Q218,1,D81)&lt;&gt;""),IF(ABS(INDEX('Picks Detail'!F218:Q218,1,A81)-'Picks Detail'!E218)&lt;ABS(INDEX('Picks Detail'!F218:Q218,1,D81)-'Picks Detail'!E218),"W",IF(ABS(INDEX('Picks Detail'!F218:Q218,1,A81)-'Picks Detail'!E218)&gt;ABS(INDEX('Picks Detail'!F218:Q218,1,D81)-'Picks Detail'!E218),"L","T")),"T"))))</f>
        <v>-</v>
      </c>
      <c r="G81">
        <f t="shared" ref="G81:G92" si="15">IF(F81="W",10,IF(F81="T",5,0))</f>
        <v>0</v>
      </c>
      <c r="H81">
        <f t="shared" ref="H81:H92" si="16">IF(C81="",0,C81)</f>
        <v>0</v>
      </c>
      <c r="I81">
        <f t="shared" ref="I81:I92" si="17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>IF(C82=0,"-",IF(C82&gt;E82,"W",IF(C82&lt;E82,"L",IF(AND('Picks Detail'!E218&lt;&gt;"",INDEX('Picks Detail'!F218:Q218,1,A82)&lt;&gt;"",INDEX('Picks Detail'!F218:Q218,1,D82)&lt;&gt;""),IF(ABS(INDEX('Picks Detail'!F218:Q218,1,A82)-'Picks Detail'!E218)&lt;ABS(INDEX('Picks Detail'!F218:Q218,1,D82)-'Picks Detail'!E218),"W",IF(ABS(INDEX('Picks Detail'!F218:Q218,1,A82)-'Picks Detail'!E218)&gt;ABS(INDEX('Picks Detail'!F218:Q218,1,D82)-'Picks Detail'!E218),"L","T")),"T"))))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>IF(C83=0,"-",IF(C83&gt;E83,"W",IF(C83&lt;E83,"L",IF(AND('Picks Detail'!E218&lt;&gt;"",INDEX('Picks Detail'!F218:Q218,1,A83)&lt;&gt;"",INDEX('Picks Detail'!F218:Q218,1,D83)&lt;&gt;""),IF(ABS(INDEX('Picks Detail'!F218:Q218,1,A83)-'Picks Detail'!E218)&lt;ABS(INDEX('Picks Detail'!F218:Q218,1,D83)-'Picks Detail'!E218),"W",IF(ABS(INDEX('Picks Detail'!F218:Q218,1,A83)-'Picks Detail'!E218)&gt;ABS(INDEX('Picks Detail'!F218:Q218,1,D83)-'Picks Detail'!E218),"L","T")),"T"))))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>IF(C84=0,"-",IF(C84&gt;E84,"W",IF(C84&lt;E84,"L",IF(AND('Picks Detail'!E218&lt;&gt;"",INDEX('Picks Detail'!F218:Q218,1,A84)&lt;&gt;"",INDEX('Picks Detail'!F218:Q218,1,D84)&lt;&gt;""),IF(ABS(INDEX('Picks Detail'!F218:Q218,1,A84)-'Picks Detail'!E218)&lt;ABS(INDEX('Picks Detail'!F218:Q218,1,D84)-'Picks Detail'!E218),"W",IF(ABS(INDEX('Picks Detail'!F218:Q218,1,A84)-'Picks Detail'!E218)&gt;ABS(INDEX('Picks Detail'!F218:Q218,1,D84)-'Picks Detail'!E218),"L","T")),"T"))))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>IF(C85=0,"-",IF(C85&gt;E85,"W",IF(C85&lt;E85,"L",IF(AND('Picks Detail'!E218&lt;&gt;"",INDEX('Picks Detail'!F218:Q218,1,A85)&lt;&gt;"",INDEX('Picks Detail'!F218:Q218,1,D85)&lt;&gt;""),IF(ABS(INDEX('Picks Detail'!F218:Q218,1,A85)-'Picks Detail'!E218)&lt;ABS(INDEX('Picks Detail'!F218:Q218,1,D85)-'Picks Detail'!E218),"W",IF(ABS(INDEX('Picks Detail'!F218:Q218,1,A85)-'Picks Detail'!E218)&gt;ABS(INDEX('Picks Detail'!F218:Q218,1,D85)-'Picks Detail'!E218),"L","T")),"T"))))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>IF(C86=0,"-",IF(C86&gt;E86,"W",IF(C86&lt;E86,"L",IF(AND('Picks Detail'!E218&lt;&gt;"",INDEX('Picks Detail'!F218:Q218,1,A86)&lt;&gt;"",INDEX('Picks Detail'!F218:Q218,1,D86)&lt;&gt;""),IF(ABS(INDEX('Picks Detail'!F218:Q218,1,A86)-'Picks Detail'!E218)&lt;ABS(INDEX('Picks Detail'!F218:Q218,1,D86)-'Picks Detail'!E218),"W",IF(ABS(INDEX('Picks Detail'!F218:Q218,1,A86)-'Picks Detail'!E218)&gt;ABS(INDEX('Picks Detail'!F218:Q218,1,D86)-'Picks Detail'!E218),"L","T")),"T"))))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>IF(C87=0,"-",IF(C87&gt;E87,"W",IF(C87&lt;E87,"L",IF(AND('Picks Detail'!E218&lt;&gt;"",INDEX('Picks Detail'!F218:Q218,1,A87)&lt;&gt;"",INDEX('Picks Detail'!F218:Q218,1,D87)&lt;&gt;""),IF(ABS(INDEX('Picks Detail'!F218:Q218,1,A87)-'Picks Detail'!E218)&lt;ABS(INDEX('Picks Detail'!F218:Q218,1,D87)-'Picks Detail'!E218),"W",IF(ABS(INDEX('Picks Detail'!F218:Q218,1,A87)-'Picks Detail'!E218)&gt;ABS(INDEX('Picks Detail'!F218:Q218,1,D87)-'Picks Detail'!E218),"L","T")),"T"))))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>IF(C88=0,"-",IF(C88&gt;E88,"W",IF(C88&lt;E88,"L",IF(AND('Picks Detail'!E218&lt;&gt;"",INDEX('Picks Detail'!F218:Q218,1,A88)&lt;&gt;"",INDEX('Picks Detail'!F218:Q218,1,D88)&lt;&gt;""),IF(ABS(INDEX('Picks Detail'!F218:Q218,1,A88)-'Picks Detail'!E218)&lt;ABS(INDEX('Picks Detail'!F218:Q218,1,D88)-'Picks Detail'!E218),"W",IF(ABS(INDEX('Picks Detail'!F218:Q218,1,A88)-'Picks Detail'!E218)&gt;ABS(INDEX('Picks Detail'!F218:Q218,1,D88)-'Picks Detail'!E218),"L","T")),"T"))))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>IF(C89=0,"-",IF(C89&gt;E89,"W",IF(C89&lt;E89,"L",IF(AND('Picks Detail'!E218&lt;&gt;"",INDEX('Picks Detail'!F218:Q218,1,A89)&lt;&gt;"",INDEX('Picks Detail'!F218:Q218,1,D89)&lt;&gt;""),IF(ABS(INDEX('Picks Detail'!F218:Q218,1,A89)-'Picks Detail'!E218)&lt;ABS(INDEX('Picks Detail'!F218:Q218,1,D89)-'Picks Detail'!E218),"W",IF(ABS(INDEX('Picks Detail'!F218:Q218,1,A89)-'Picks Detail'!E218)&gt;ABS(INDEX('Picks Detail'!F218:Q218,1,D89)-'Picks Detail'!E218),"L","T")),"T"))))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>IF(C90=0,"-",IF(C90&gt;E90,"W",IF(C90&lt;E90,"L",IF(AND('Picks Detail'!E218&lt;&gt;"",INDEX('Picks Detail'!F218:Q218,1,A90)&lt;&gt;"",INDEX('Picks Detail'!F218:Q218,1,D90)&lt;&gt;""),IF(ABS(INDEX('Picks Detail'!F218:Q218,1,A90)-'Picks Detail'!E218)&lt;ABS(INDEX('Picks Detail'!F218:Q218,1,D90)-'Picks Detail'!E218),"W",IF(ABS(INDEX('Picks Detail'!F218:Q218,1,A90)-'Picks Detail'!E218)&gt;ABS(INDEX('Picks Detail'!F218:Q218,1,D90)-'Picks Detail'!E218),"L","T")),"T"))))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>IF(C91=0,"-",IF(C91&gt;E91,"W",IF(C91&lt;E91,"L",IF(AND('Picks Detail'!E218&lt;&gt;"",INDEX('Picks Detail'!F218:Q218,1,A91)&lt;&gt;"",INDEX('Picks Detail'!F218:Q218,1,D91)&lt;&gt;""),IF(ABS(INDEX('Picks Detail'!F218:Q218,1,A91)-'Picks Detail'!E218)&lt;ABS(INDEX('Picks Detail'!F218:Q218,1,D91)-'Picks Detail'!E218),"W",IF(ABS(INDEX('Picks Detail'!F218:Q218,1,A91)-'Picks Detail'!E218)&gt;ABS(INDEX('Picks Detail'!F218:Q218,1,D91)-'Picks Detail'!E218),"L","T")),"T"))))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>IF(C92=0,"-",IF(C92&gt;E92,"W",IF(C92&lt;E92,"L",IF(AND('Picks Detail'!E218&lt;&gt;"",INDEX('Picks Detail'!F218:Q218,1,A92)&lt;&gt;"",INDEX('Picks Detail'!F218:Q218,1,D92)&lt;&gt;""),IF(ABS(INDEX('Picks Detail'!F218:Q218,1,A92)-'Picks Detail'!E218)&lt;ABS(INDEX('Picks Detail'!F218:Q218,1,D92)-'Picks Detail'!E218),"W",IF(ABS(INDEX('Picks Detail'!F218:Q218,1,A92)-'Picks Detail'!E218)&gt;ABS(INDEX('Picks Detail'!F218:Q218,1,D92)-'Picks Detail'!E218),"L","T")),"T"))))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2" t="s">
        <v>200</v>
      </c>
      <c r="B1" s="22"/>
      <c r="C1" s="22"/>
      <c r="D1" s="22"/>
      <c r="E1" s="22"/>
      <c r="F1" s="22"/>
      <c r="G1" s="22"/>
      <c r="H1" s="22"/>
      <c r="I1" s="22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>IF(C6=0,"-",IF(C6&gt;E6,"W",IF(C6&lt;E6,"L",IF(AND('Picks Detail'!E235&lt;&gt;"",INDEX('Picks Detail'!F235:Q235,1,A6)&lt;&gt;"",INDEX('Picks Detail'!F235:Q235,1,D6)&lt;&gt;""),IF(ABS(INDEX('Picks Detail'!F235:Q235,1,A6)-'Picks Detail'!E235)&lt;ABS(INDEX('Picks Detail'!F235:Q235,1,D6)-'Picks Detail'!E235),"W",IF(ABS(INDEX('Picks Detail'!F235:Q235,1,A6)-'Picks Detail'!E235)&gt;ABS(INDEX('Picks Detail'!F235:Q235,1,D6)-'Picks Detail'!E235),"L","T")),"T"))))</f>
        <v>-</v>
      </c>
      <c r="G6">
        <f t="shared" ref="G6:G17" si="0">IF(F6="W",1,IF(F6="T",0.5,0))</f>
        <v>0</v>
      </c>
      <c r="H6">
        <f t="shared" ref="H6:H17" si="1">IF(F6="L",1,IF(F6="T",0.5,0))</f>
        <v>0</v>
      </c>
      <c r="I6">
        <f t="shared" ref="I6:I17" si="2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>IF(C7=0,"-",IF(C7&gt;E7,"W",IF(C7&lt;E7,"L",IF(AND('Picks Detail'!E235&lt;&gt;"",INDEX('Picks Detail'!F235:Q235,1,A7)&lt;&gt;"",INDEX('Picks Detail'!F235:Q235,1,D7)&lt;&gt;""),IF(ABS(INDEX('Picks Detail'!F235:Q235,1,A7)-'Picks Detail'!E235)&lt;ABS(INDEX('Picks Detail'!F235:Q235,1,D7)-'Picks Detail'!E235),"W",IF(ABS(INDEX('Picks Detail'!F235:Q235,1,A7)-'Picks Detail'!E235)&gt;ABS(INDEX('Picks Detail'!F235:Q235,1,D7)-'Picks Detail'!E235),"L","T")),"T"))))</f>
        <v>-</v>
      </c>
      <c r="G7">
        <f t="shared" si="0"/>
        <v>0</v>
      </c>
      <c r="H7">
        <f t="shared" si="1"/>
        <v>0</v>
      </c>
      <c r="I7">
        <f t="shared" si="2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>IF(C8=0,"-",IF(C8&gt;E8,"W",IF(C8&lt;E8,"L",IF(AND('Picks Detail'!E235&lt;&gt;"",INDEX('Picks Detail'!F235:Q235,1,A8)&lt;&gt;"",INDEX('Picks Detail'!F235:Q235,1,D8)&lt;&gt;""),IF(ABS(INDEX('Picks Detail'!F235:Q235,1,A8)-'Picks Detail'!E235)&lt;ABS(INDEX('Picks Detail'!F235:Q235,1,D8)-'Picks Detail'!E235),"W",IF(ABS(INDEX('Picks Detail'!F235:Q235,1,A8)-'Picks Detail'!E235)&gt;ABS(INDEX('Picks Detail'!F235:Q235,1,D8)-'Picks Detail'!E235),"L","T")),"T"))))</f>
        <v>-</v>
      </c>
      <c r="G8">
        <f t="shared" si="0"/>
        <v>0</v>
      </c>
      <c r="H8">
        <f t="shared" si="1"/>
        <v>0</v>
      </c>
      <c r="I8">
        <f t="shared" si="2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>IF(C9=0,"-",IF(C9&gt;E9,"W",IF(C9&lt;E9,"L",IF(AND('Picks Detail'!E235&lt;&gt;"",INDEX('Picks Detail'!F235:Q235,1,A9)&lt;&gt;"",INDEX('Picks Detail'!F235:Q235,1,D9)&lt;&gt;""),IF(ABS(INDEX('Picks Detail'!F235:Q235,1,A9)-'Picks Detail'!E235)&lt;ABS(INDEX('Picks Detail'!F235:Q235,1,D9)-'Picks Detail'!E235),"W",IF(ABS(INDEX('Picks Detail'!F235:Q235,1,A9)-'Picks Detail'!E235)&gt;ABS(INDEX('Picks Detail'!F235:Q235,1,D9)-'Picks Detail'!E235),"L","T")),"T"))))</f>
        <v>-</v>
      </c>
      <c r="G9">
        <f t="shared" si="0"/>
        <v>0</v>
      </c>
      <c r="H9">
        <f t="shared" si="1"/>
        <v>0</v>
      </c>
      <c r="I9">
        <f t="shared" si="2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>IF(C10=0,"-",IF(C10&gt;E10,"W",IF(C10&lt;E10,"L",IF(AND('Picks Detail'!E235&lt;&gt;"",INDEX('Picks Detail'!F235:Q235,1,A10)&lt;&gt;"",INDEX('Picks Detail'!F235:Q235,1,D10)&lt;&gt;""),IF(ABS(INDEX('Picks Detail'!F235:Q235,1,A10)-'Picks Detail'!E235)&lt;ABS(INDEX('Picks Detail'!F235:Q235,1,D10)-'Picks Detail'!E235),"W",IF(ABS(INDEX('Picks Detail'!F235:Q235,1,A10)-'Picks Detail'!E235)&gt;ABS(INDEX('Picks Detail'!F235:Q235,1,D10)-'Picks Detail'!E235),"L","T")),"T"))))</f>
        <v>-</v>
      </c>
      <c r="G10">
        <f t="shared" si="0"/>
        <v>0</v>
      </c>
      <c r="H10">
        <f t="shared" si="1"/>
        <v>0</v>
      </c>
      <c r="I10">
        <f t="shared" si="2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>IF(C11=0,"-",IF(C11&gt;E11,"W",IF(C11&lt;E11,"L",IF(AND('Picks Detail'!E235&lt;&gt;"",INDEX('Picks Detail'!F235:Q235,1,A11)&lt;&gt;"",INDEX('Picks Detail'!F235:Q235,1,D11)&lt;&gt;""),IF(ABS(INDEX('Picks Detail'!F235:Q235,1,A11)-'Picks Detail'!E235)&lt;ABS(INDEX('Picks Detail'!F235:Q235,1,D11)-'Picks Detail'!E235),"W",IF(ABS(INDEX('Picks Detail'!F235:Q235,1,A11)-'Picks Detail'!E235)&gt;ABS(INDEX('Picks Detail'!F235:Q235,1,D11)-'Picks Detail'!E235),"L","T")),"T"))))</f>
        <v>-</v>
      </c>
      <c r="G11">
        <f t="shared" si="0"/>
        <v>0</v>
      </c>
      <c r="H11">
        <f t="shared" si="1"/>
        <v>0</v>
      </c>
      <c r="I11">
        <f t="shared" si="2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>IF(C12=0,"-",IF(C12&gt;E12,"W",IF(C12&lt;E12,"L",IF(AND('Picks Detail'!E235&lt;&gt;"",INDEX('Picks Detail'!F235:Q235,1,A12)&lt;&gt;"",INDEX('Picks Detail'!F235:Q235,1,D12)&lt;&gt;""),IF(ABS(INDEX('Picks Detail'!F235:Q235,1,A12)-'Picks Detail'!E235)&lt;ABS(INDEX('Picks Detail'!F235:Q235,1,D12)-'Picks Detail'!E235),"W",IF(ABS(INDEX('Picks Detail'!F235:Q235,1,A12)-'Picks Detail'!E235)&gt;ABS(INDEX('Picks Detail'!F235:Q235,1,D12)-'Picks Detail'!E235),"L","T")),"T"))))</f>
        <v>-</v>
      </c>
      <c r="G12">
        <f t="shared" si="0"/>
        <v>0</v>
      </c>
      <c r="H12">
        <f t="shared" si="1"/>
        <v>0</v>
      </c>
      <c r="I12">
        <f t="shared" si="2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>IF(C13=0,"-",IF(C13&gt;E13,"W",IF(C13&lt;E13,"L",IF(AND('Picks Detail'!E235&lt;&gt;"",INDEX('Picks Detail'!F235:Q235,1,A13)&lt;&gt;"",INDEX('Picks Detail'!F235:Q235,1,D13)&lt;&gt;""),IF(ABS(INDEX('Picks Detail'!F235:Q235,1,A13)-'Picks Detail'!E235)&lt;ABS(INDEX('Picks Detail'!F235:Q235,1,D13)-'Picks Detail'!E235),"W",IF(ABS(INDEX('Picks Detail'!F235:Q235,1,A13)-'Picks Detail'!E235)&gt;ABS(INDEX('Picks Detail'!F235:Q235,1,D13)-'Picks Detail'!E235),"L","T")),"T"))))</f>
        <v>-</v>
      </c>
      <c r="G13">
        <f t="shared" si="0"/>
        <v>0</v>
      </c>
      <c r="H13">
        <f t="shared" si="1"/>
        <v>0</v>
      </c>
      <c r="I13">
        <f t="shared" si="2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>IF(C14=0,"-",IF(C14&gt;E14,"W",IF(C14&lt;E14,"L",IF(AND('Picks Detail'!E235&lt;&gt;"",INDEX('Picks Detail'!F235:Q235,1,A14)&lt;&gt;"",INDEX('Picks Detail'!F235:Q235,1,D14)&lt;&gt;""),IF(ABS(INDEX('Picks Detail'!F235:Q235,1,A14)-'Picks Detail'!E235)&lt;ABS(INDEX('Picks Detail'!F235:Q235,1,D14)-'Picks Detail'!E235),"W",IF(ABS(INDEX('Picks Detail'!F235:Q235,1,A14)-'Picks Detail'!E235)&gt;ABS(INDEX('Picks Detail'!F235:Q235,1,D14)-'Picks Detail'!E235),"L","T")),"T"))))</f>
        <v>-</v>
      </c>
      <c r="G14">
        <f t="shared" si="0"/>
        <v>0</v>
      </c>
      <c r="H14">
        <f t="shared" si="1"/>
        <v>0</v>
      </c>
      <c r="I14">
        <f t="shared" si="2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>IF(C15=0,"-",IF(C15&gt;E15,"W",IF(C15&lt;E15,"L",IF(AND('Picks Detail'!E235&lt;&gt;"",INDEX('Picks Detail'!F235:Q235,1,A15)&lt;&gt;"",INDEX('Picks Detail'!F235:Q235,1,D15)&lt;&gt;""),IF(ABS(INDEX('Picks Detail'!F235:Q235,1,A15)-'Picks Detail'!E235)&lt;ABS(INDEX('Picks Detail'!F235:Q235,1,D15)-'Picks Detail'!E235),"W",IF(ABS(INDEX('Picks Detail'!F235:Q235,1,A15)-'Picks Detail'!E235)&gt;ABS(INDEX('Picks Detail'!F235:Q235,1,D15)-'Picks Detail'!E235),"L","T")),"T"))))</f>
        <v>-</v>
      </c>
      <c r="G15">
        <f t="shared" si="0"/>
        <v>0</v>
      </c>
      <c r="H15">
        <f t="shared" si="1"/>
        <v>0</v>
      </c>
      <c r="I15">
        <f t="shared" si="2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>IF(C16=0,"-",IF(C16&gt;E16,"W",IF(C16&lt;E16,"L",IF(AND('Picks Detail'!E235&lt;&gt;"",INDEX('Picks Detail'!F235:Q235,1,A16)&lt;&gt;"",INDEX('Picks Detail'!F235:Q235,1,D16)&lt;&gt;""),IF(ABS(INDEX('Picks Detail'!F235:Q235,1,A16)-'Picks Detail'!E235)&lt;ABS(INDEX('Picks Detail'!F235:Q235,1,D16)-'Picks Detail'!E235),"W",IF(ABS(INDEX('Picks Detail'!F235:Q235,1,A16)-'Picks Detail'!E235)&gt;ABS(INDEX('Picks Detail'!F235:Q235,1,D16)-'Picks Detail'!E235),"L","T")),"T"))))</f>
        <v>-</v>
      </c>
      <c r="G16">
        <f t="shared" si="0"/>
        <v>0</v>
      </c>
      <c r="H16">
        <f t="shared" si="1"/>
        <v>0</v>
      </c>
      <c r="I16">
        <f t="shared" si="2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>IF(C17=0,"-",IF(C17&gt;E17,"W",IF(C17&lt;E17,"L",IF(AND('Picks Detail'!E235&lt;&gt;"",INDEX('Picks Detail'!F235:Q235,1,A17)&lt;&gt;"",INDEX('Picks Detail'!F235:Q235,1,D17)&lt;&gt;""),IF(ABS(INDEX('Picks Detail'!F235:Q235,1,A17)-'Picks Detail'!E235)&lt;ABS(INDEX('Picks Detail'!F235:Q235,1,D17)-'Picks Detail'!E235),"W",IF(ABS(INDEX('Picks Detail'!F235:Q235,1,A17)-'Picks Detail'!E235)&gt;ABS(INDEX('Picks Detail'!F235:Q235,1,D17)-'Picks Detail'!E235),"L","T")),"T"))))</f>
        <v>-</v>
      </c>
      <c r="G17">
        <f t="shared" si="0"/>
        <v>0</v>
      </c>
      <c r="H17">
        <f t="shared" si="1"/>
        <v>0</v>
      </c>
      <c r="I17">
        <f t="shared" si="2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>IF(C21=0,"-",IF(C21&gt;E21,"W",IF(C21&lt;E21,"L",IF(AND('Picks Detail'!E253&lt;&gt;"",INDEX('Picks Detail'!F253:Q253,1,A21)&lt;&gt;"",INDEX('Picks Detail'!F253:Q253,1,D21)&lt;&gt;""),IF(ABS(INDEX('Picks Detail'!F253:Q253,1,A21)-'Picks Detail'!E253)&lt;ABS(INDEX('Picks Detail'!F253:Q253,1,D21)-'Picks Detail'!E253),"W",IF(ABS(INDEX('Picks Detail'!F253:Q253,1,A21)-'Picks Detail'!E253)&gt;ABS(INDEX('Picks Detail'!F253:Q253,1,D21)-'Picks Detail'!E253),"L","T")),"T"))))</f>
        <v>-</v>
      </c>
      <c r="G21">
        <f t="shared" ref="G21:G32" si="3">IF(F21="W",1,IF(F21="T",0.5,0))</f>
        <v>0</v>
      </c>
      <c r="H21">
        <f t="shared" ref="H21:H32" si="4">IF(F21="L",1,IF(F21="T",0.5,0))</f>
        <v>0</v>
      </c>
      <c r="I21">
        <f t="shared" ref="I21:I32" si="5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>IF(C22=0,"-",IF(C22&gt;E22,"W",IF(C22&lt;E22,"L",IF(AND('Picks Detail'!E253&lt;&gt;"",INDEX('Picks Detail'!F253:Q253,1,A22)&lt;&gt;"",INDEX('Picks Detail'!F253:Q253,1,D22)&lt;&gt;""),IF(ABS(INDEX('Picks Detail'!F253:Q253,1,A22)-'Picks Detail'!E253)&lt;ABS(INDEX('Picks Detail'!F253:Q253,1,D22)-'Picks Detail'!E253),"W",IF(ABS(INDEX('Picks Detail'!F253:Q253,1,A22)-'Picks Detail'!E253)&gt;ABS(INDEX('Picks Detail'!F253:Q253,1,D22)-'Picks Detail'!E253),"L","T")),"T"))))</f>
        <v>-</v>
      </c>
      <c r="G22">
        <f t="shared" si="3"/>
        <v>0</v>
      </c>
      <c r="H22">
        <f t="shared" si="4"/>
        <v>0</v>
      </c>
      <c r="I22">
        <f t="shared" si="5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>IF(C23=0,"-",IF(C23&gt;E23,"W",IF(C23&lt;E23,"L",IF(AND('Picks Detail'!E253&lt;&gt;"",INDEX('Picks Detail'!F253:Q253,1,A23)&lt;&gt;"",INDEX('Picks Detail'!F253:Q253,1,D23)&lt;&gt;""),IF(ABS(INDEX('Picks Detail'!F253:Q253,1,A23)-'Picks Detail'!E253)&lt;ABS(INDEX('Picks Detail'!F253:Q253,1,D23)-'Picks Detail'!E253),"W",IF(ABS(INDEX('Picks Detail'!F253:Q253,1,A23)-'Picks Detail'!E253)&gt;ABS(INDEX('Picks Detail'!F253:Q253,1,D23)-'Picks Detail'!E253),"L","T")),"T"))))</f>
        <v>-</v>
      </c>
      <c r="G23">
        <f t="shared" si="3"/>
        <v>0</v>
      </c>
      <c r="H23">
        <f t="shared" si="4"/>
        <v>0</v>
      </c>
      <c r="I23">
        <f t="shared" si="5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>IF(C24=0,"-",IF(C24&gt;E24,"W",IF(C24&lt;E24,"L",IF(AND('Picks Detail'!E253&lt;&gt;"",INDEX('Picks Detail'!F253:Q253,1,A24)&lt;&gt;"",INDEX('Picks Detail'!F253:Q253,1,D24)&lt;&gt;""),IF(ABS(INDEX('Picks Detail'!F253:Q253,1,A24)-'Picks Detail'!E253)&lt;ABS(INDEX('Picks Detail'!F253:Q253,1,D24)-'Picks Detail'!E253),"W",IF(ABS(INDEX('Picks Detail'!F253:Q253,1,A24)-'Picks Detail'!E253)&gt;ABS(INDEX('Picks Detail'!F253:Q253,1,D24)-'Picks Detail'!E253),"L","T")),"T"))))</f>
        <v>-</v>
      </c>
      <c r="G24">
        <f t="shared" si="3"/>
        <v>0</v>
      </c>
      <c r="H24">
        <f t="shared" si="4"/>
        <v>0</v>
      </c>
      <c r="I24">
        <f t="shared" si="5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>IF(C25=0,"-",IF(C25&gt;E25,"W",IF(C25&lt;E25,"L",IF(AND('Picks Detail'!E253&lt;&gt;"",INDEX('Picks Detail'!F253:Q253,1,A25)&lt;&gt;"",INDEX('Picks Detail'!F253:Q253,1,D25)&lt;&gt;""),IF(ABS(INDEX('Picks Detail'!F253:Q253,1,A25)-'Picks Detail'!E253)&lt;ABS(INDEX('Picks Detail'!F253:Q253,1,D25)-'Picks Detail'!E253),"W",IF(ABS(INDEX('Picks Detail'!F253:Q253,1,A25)-'Picks Detail'!E253)&gt;ABS(INDEX('Picks Detail'!F253:Q253,1,D25)-'Picks Detail'!E253),"L","T")),"T"))))</f>
        <v>-</v>
      </c>
      <c r="G25">
        <f t="shared" si="3"/>
        <v>0</v>
      </c>
      <c r="H25">
        <f t="shared" si="4"/>
        <v>0</v>
      </c>
      <c r="I25">
        <f t="shared" si="5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>IF(C26=0,"-",IF(C26&gt;E26,"W",IF(C26&lt;E26,"L",IF(AND('Picks Detail'!E253&lt;&gt;"",INDEX('Picks Detail'!F253:Q253,1,A26)&lt;&gt;"",INDEX('Picks Detail'!F253:Q253,1,D26)&lt;&gt;""),IF(ABS(INDEX('Picks Detail'!F253:Q253,1,A26)-'Picks Detail'!E253)&lt;ABS(INDEX('Picks Detail'!F253:Q253,1,D26)-'Picks Detail'!E253),"W",IF(ABS(INDEX('Picks Detail'!F253:Q253,1,A26)-'Picks Detail'!E253)&gt;ABS(INDEX('Picks Detail'!F253:Q253,1,D26)-'Picks Detail'!E253),"L","T")),"T"))))</f>
        <v>-</v>
      </c>
      <c r="G26">
        <f t="shared" si="3"/>
        <v>0</v>
      </c>
      <c r="H26">
        <f t="shared" si="4"/>
        <v>0</v>
      </c>
      <c r="I26">
        <f t="shared" si="5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>IF(C27=0,"-",IF(C27&gt;E27,"W",IF(C27&lt;E27,"L",IF(AND('Picks Detail'!E253&lt;&gt;"",INDEX('Picks Detail'!F253:Q253,1,A27)&lt;&gt;"",INDEX('Picks Detail'!F253:Q253,1,D27)&lt;&gt;""),IF(ABS(INDEX('Picks Detail'!F253:Q253,1,A27)-'Picks Detail'!E253)&lt;ABS(INDEX('Picks Detail'!F253:Q253,1,D27)-'Picks Detail'!E253),"W",IF(ABS(INDEX('Picks Detail'!F253:Q253,1,A27)-'Picks Detail'!E253)&gt;ABS(INDEX('Picks Detail'!F253:Q253,1,D27)-'Picks Detail'!E253),"L","T")),"T"))))</f>
        <v>-</v>
      </c>
      <c r="G27">
        <f t="shared" si="3"/>
        <v>0</v>
      </c>
      <c r="H27">
        <f t="shared" si="4"/>
        <v>0</v>
      </c>
      <c r="I27">
        <f t="shared" si="5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>IF(C28=0,"-",IF(C28&gt;E28,"W",IF(C28&lt;E28,"L",IF(AND('Picks Detail'!E253&lt;&gt;"",INDEX('Picks Detail'!F253:Q253,1,A28)&lt;&gt;"",INDEX('Picks Detail'!F253:Q253,1,D28)&lt;&gt;""),IF(ABS(INDEX('Picks Detail'!F253:Q253,1,A28)-'Picks Detail'!E253)&lt;ABS(INDEX('Picks Detail'!F253:Q253,1,D28)-'Picks Detail'!E253),"W",IF(ABS(INDEX('Picks Detail'!F253:Q253,1,A28)-'Picks Detail'!E253)&gt;ABS(INDEX('Picks Detail'!F253:Q253,1,D28)-'Picks Detail'!E253),"L","T")),"T"))))</f>
        <v>-</v>
      </c>
      <c r="G28">
        <f t="shared" si="3"/>
        <v>0</v>
      </c>
      <c r="H28">
        <f t="shared" si="4"/>
        <v>0</v>
      </c>
      <c r="I28">
        <f t="shared" si="5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>IF(C29=0,"-",IF(C29&gt;E29,"W",IF(C29&lt;E29,"L",IF(AND('Picks Detail'!E253&lt;&gt;"",INDEX('Picks Detail'!F253:Q253,1,A29)&lt;&gt;"",INDEX('Picks Detail'!F253:Q253,1,D29)&lt;&gt;""),IF(ABS(INDEX('Picks Detail'!F253:Q253,1,A29)-'Picks Detail'!E253)&lt;ABS(INDEX('Picks Detail'!F253:Q253,1,D29)-'Picks Detail'!E253),"W",IF(ABS(INDEX('Picks Detail'!F253:Q253,1,A29)-'Picks Detail'!E253)&gt;ABS(INDEX('Picks Detail'!F253:Q253,1,D29)-'Picks Detail'!E253),"L","T")),"T"))))</f>
        <v>-</v>
      </c>
      <c r="G29">
        <f t="shared" si="3"/>
        <v>0</v>
      </c>
      <c r="H29">
        <f t="shared" si="4"/>
        <v>0</v>
      </c>
      <c r="I29">
        <f t="shared" si="5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>IF(C30=0,"-",IF(C30&gt;E30,"W",IF(C30&lt;E30,"L",IF(AND('Picks Detail'!E253&lt;&gt;"",INDEX('Picks Detail'!F253:Q253,1,A30)&lt;&gt;"",INDEX('Picks Detail'!F253:Q253,1,D30)&lt;&gt;""),IF(ABS(INDEX('Picks Detail'!F253:Q253,1,A30)-'Picks Detail'!E253)&lt;ABS(INDEX('Picks Detail'!F253:Q253,1,D30)-'Picks Detail'!E253),"W",IF(ABS(INDEX('Picks Detail'!F253:Q253,1,A30)-'Picks Detail'!E253)&gt;ABS(INDEX('Picks Detail'!F253:Q253,1,D30)-'Picks Detail'!E253),"L","T")),"T"))))</f>
        <v>-</v>
      </c>
      <c r="G30">
        <f t="shared" si="3"/>
        <v>0</v>
      </c>
      <c r="H30">
        <f t="shared" si="4"/>
        <v>0</v>
      </c>
      <c r="I30">
        <f t="shared" si="5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>IF(C31=0,"-",IF(C31&gt;E31,"W",IF(C31&lt;E31,"L",IF(AND('Picks Detail'!E253&lt;&gt;"",INDEX('Picks Detail'!F253:Q253,1,A31)&lt;&gt;"",INDEX('Picks Detail'!F253:Q253,1,D31)&lt;&gt;""),IF(ABS(INDEX('Picks Detail'!F253:Q253,1,A31)-'Picks Detail'!E253)&lt;ABS(INDEX('Picks Detail'!F253:Q253,1,D31)-'Picks Detail'!E253),"W",IF(ABS(INDEX('Picks Detail'!F253:Q253,1,A31)-'Picks Detail'!E253)&gt;ABS(INDEX('Picks Detail'!F253:Q253,1,D31)-'Picks Detail'!E253),"L","T")),"T"))))</f>
        <v>-</v>
      </c>
      <c r="G31">
        <f t="shared" si="3"/>
        <v>0</v>
      </c>
      <c r="H31">
        <f t="shared" si="4"/>
        <v>0</v>
      </c>
      <c r="I31">
        <f t="shared" si="5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>IF(C32=0,"-",IF(C32&gt;E32,"W",IF(C32&lt;E32,"L",IF(AND('Picks Detail'!E253&lt;&gt;"",INDEX('Picks Detail'!F253:Q253,1,A32)&lt;&gt;"",INDEX('Picks Detail'!F253:Q253,1,D32)&lt;&gt;""),IF(ABS(INDEX('Picks Detail'!F253:Q253,1,A32)-'Picks Detail'!E253)&lt;ABS(INDEX('Picks Detail'!F253:Q253,1,D32)-'Picks Detail'!E253),"W",IF(ABS(INDEX('Picks Detail'!F253:Q253,1,A32)-'Picks Detail'!E253)&gt;ABS(INDEX('Picks Detail'!F253:Q253,1,D32)-'Picks Detail'!E253),"L","T")),"T"))))</f>
        <v>-</v>
      </c>
      <c r="G32">
        <f t="shared" si="3"/>
        <v>0</v>
      </c>
      <c r="H32">
        <f t="shared" si="4"/>
        <v>0</v>
      </c>
      <c r="I32">
        <f t="shared" si="5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>IF(C36=0,"-",IF(C36&gt;E36,"W",IF(C36&lt;E36,"L",IF(AND('Picks Detail'!E272&lt;&gt;"",INDEX('Picks Detail'!F272:Q272,1,A36)&lt;&gt;"",INDEX('Picks Detail'!F272:Q272,1,D36)&lt;&gt;""),IF(ABS(INDEX('Picks Detail'!F272:Q272,1,A36)-'Picks Detail'!E272)&lt;ABS(INDEX('Picks Detail'!F272:Q272,1,D36)-'Picks Detail'!E272),"W",IF(ABS(INDEX('Picks Detail'!F272:Q272,1,A36)-'Picks Detail'!E272)&gt;ABS(INDEX('Picks Detail'!F272:Q272,1,D36)-'Picks Detail'!E272),"L","T")),"T"))))</f>
        <v>-</v>
      </c>
      <c r="G36">
        <f t="shared" ref="G36:G47" si="6">IF(F36="W",1,IF(F36="T",0.5,0))</f>
        <v>0</v>
      </c>
      <c r="H36">
        <f t="shared" ref="H36:H47" si="7">IF(F36="L",1,IF(F36="T",0.5,0))</f>
        <v>0</v>
      </c>
      <c r="I36">
        <f t="shared" ref="I36:I47" si="8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>IF(C37=0,"-",IF(C37&gt;E37,"W",IF(C37&lt;E37,"L",IF(AND('Picks Detail'!E272&lt;&gt;"",INDEX('Picks Detail'!F272:Q272,1,A37)&lt;&gt;"",INDEX('Picks Detail'!F272:Q272,1,D37)&lt;&gt;""),IF(ABS(INDEX('Picks Detail'!F272:Q272,1,A37)-'Picks Detail'!E272)&lt;ABS(INDEX('Picks Detail'!F272:Q272,1,D37)-'Picks Detail'!E272),"W",IF(ABS(INDEX('Picks Detail'!F272:Q272,1,A37)-'Picks Detail'!E272)&gt;ABS(INDEX('Picks Detail'!F272:Q272,1,D37)-'Picks Detail'!E272),"L","T")),"T"))))</f>
        <v>-</v>
      </c>
      <c r="G37">
        <f t="shared" si="6"/>
        <v>0</v>
      </c>
      <c r="H37">
        <f t="shared" si="7"/>
        <v>0</v>
      </c>
      <c r="I37">
        <f t="shared" si="8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>IF(C38=0,"-",IF(C38&gt;E38,"W",IF(C38&lt;E38,"L",IF(AND('Picks Detail'!E272&lt;&gt;"",INDEX('Picks Detail'!F272:Q272,1,A38)&lt;&gt;"",INDEX('Picks Detail'!F272:Q272,1,D38)&lt;&gt;""),IF(ABS(INDEX('Picks Detail'!F272:Q272,1,A38)-'Picks Detail'!E272)&lt;ABS(INDEX('Picks Detail'!F272:Q272,1,D38)-'Picks Detail'!E272),"W",IF(ABS(INDEX('Picks Detail'!F272:Q272,1,A38)-'Picks Detail'!E272)&gt;ABS(INDEX('Picks Detail'!F272:Q272,1,D38)-'Picks Detail'!E272),"L","T")),"T"))))</f>
        <v>-</v>
      </c>
      <c r="G38">
        <f t="shared" si="6"/>
        <v>0</v>
      </c>
      <c r="H38">
        <f t="shared" si="7"/>
        <v>0</v>
      </c>
      <c r="I38">
        <f t="shared" si="8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>IF(C39=0,"-",IF(C39&gt;E39,"W",IF(C39&lt;E39,"L",IF(AND('Picks Detail'!E272&lt;&gt;"",INDEX('Picks Detail'!F272:Q272,1,A39)&lt;&gt;"",INDEX('Picks Detail'!F272:Q272,1,D39)&lt;&gt;""),IF(ABS(INDEX('Picks Detail'!F272:Q272,1,A39)-'Picks Detail'!E272)&lt;ABS(INDEX('Picks Detail'!F272:Q272,1,D39)-'Picks Detail'!E272),"W",IF(ABS(INDEX('Picks Detail'!F272:Q272,1,A39)-'Picks Detail'!E272)&gt;ABS(INDEX('Picks Detail'!F272:Q272,1,D39)-'Picks Detail'!E272),"L","T")),"T"))))</f>
        <v>-</v>
      </c>
      <c r="G39">
        <f t="shared" si="6"/>
        <v>0</v>
      </c>
      <c r="H39">
        <f t="shared" si="7"/>
        <v>0</v>
      </c>
      <c r="I39">
        <f t="shared" si="8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>IF(C40=0,"-",IF(C40&gt;E40,"W",IF(C40&lt;E40,"L",IF(AND('Picks Detail'!E272&lt;&gt;"",INDEX('Picks Detail'!F272:Q272,1,A40)&lt;&gt;"",INDEX('Picks Detail'!F272:Q272,1,D40)&lt;&gt;""),IF(ABS(INDEX('Picks Detail'!F272:Q272,1,A40)-'Picks Detail'!E272)&lt;ABS(INDEX('Picks Detail'!F272:Q272,1,D40)-'Picks Detail'!E272),"W",IF(ABS(INDEX('Picks Detail'!F272:Q272,1,A40)-'Picks Detail'!E272)&gt;ABS(INDEX('Picks Detail'!F272:Q272,1,D40)-'Picks Detail'!E272),"L","T")),"T"))))</f>
        <v>-</v>
      </c>
      <c r="G40">
        <f t="shared" si="6"/>
        <v>0</v>
      </c>
      <c r="H40">
        <f t="shared" si="7"/>
        <v>0</v>
      </c>
      <c r="I40">
        <f t="shared" si="8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>IF(C41=0,"-",IF(C41&gt;E41,"W",IF(C41&lt;E41,"L",IF(AND('Picks Detail'!E272&lt;&gt;"",INDEX('Picks Detail'!F272:Q272,1,A41)&lt;&gt;"",INDEX('Picks Detail'!F272:Q272,1,D41)&lt;&gt;""),IF(ABS(INDEX('Picks Detail'!F272:Q272,1,A41)-'Picks Detail'!E272)&lt;ABS(INDEX('Picks Detail'!F272:Q272,1,D41)-'Picks Detail'!E272),"W",IF(ABS(INDEX('Picks Detail'!F272:Q272,1,A41)-'Picks Detail'!E272)&gt;ABS(INDEX('Picks Detail'!F272:Q272,1,D41)-'Picks Detail'!E272),"L","T")),"T"))))</f>
        <v>-</v>
      </c>
      <c r="G41">
        <f t="shared" si="6"/>
        <v>0</v>
      </c>
      <c r="H41">
        <f t="shared" si="7"/>
        <v>0</v>
      </c>
      <c r="I41">
        <f t="shared" si="8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>IF(C42=0,"-",IF(C42&gt;E42,"W",IF(C42&lt;E42,"L",IF(AND('Picks Detail'!E272&lt;&gt;"",INDEX('Picks Detail'!F272:Q272,1,A42)&lt;&gt;"",INDEX('Picks Detail'!F272:Q272,1,D42)&lt;&gt;""),IF(ABS(INDEX('Picks Detail'!F272:Q272,1,A42)-'Picks Detail'!E272)&lt;ABS(INDEX('Picks Detail'!F272:Q272,1,D42)-'Picks Detail'!E272),"W",IF(ABS(INDEX('Picks Detail'!F272:Q272,1,A42)-'Picks Detail'!E272)&gt;ABS(INDEX('Picks Detail'!F272:Q272,1,D42)-'Picks Detail'!E272),"L","T")),"T"))))</f>
        <v>-</v>
      </c>
      <c r="G42">
        <f t="shared" si="6"/>
        <v>0</v>
      </c>
      <c r="H42">
        <f t="shared" si="7"/>
        <v>0</v>
      </c>
      <c r="I42">
        <f t="shared" si="8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>IF(C43=0,"-",IF(C43&gt;E43,"W",IF(C43&lt;E43,"L",IF(AND('Picks Detail'!E272&lt;&gt;"",INDEX('Picks Detail'!F272:Q272,1,A43)&lt;&gt;"",INDEX('Picks Detail'!F272:Q272,1,D43)&lt;&gt;""),IF(ABS(INDEX('Picks Detail'!F272:Q272,1,A43)-'Picks Detail'!E272)&lt;ABS(INDEX('Picks Detail'!F272:Q272,1,D43)-'Picks Detail'!E272),"W",IF(ABS(INDEX('Picks Detail'!F272:Q272,1,A43)-'Picks Detail'!E272)&gt;ABS(INDEX('Picks Detail'!F272:Q272,1,D43)-'Picks Detail'!E272),"L","T")),"T"))))</f>
        <v>-</v>
      </c>
      <c r="G43">
        <f t="shared" si="6"/>
        <v>0</v>
      </c>
      <c r="H43">
        <f t="shared" si="7"/>
        <v>0</v>
      </c>
      <c r="I43">
        <f t="shared" si="8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>IF(C44=0,"-",IF(C44&gt;E44,"W",IF(C44&lt;E44,"L",IF(AND('Picks Detail'!E272&lt;&gt;"",INDEX('Picks Detail'!F272:Q272,1,A44)&lt;&gt;"",INDEX('Picks Detail'!F272:Q272,1,D44)&lt;&gt;""),IF(ABS(INDEX('Picks Detail'!F272:Q272,1,A44)-'Picks Detail'!E272)&lt;ABS(INDEX('Picks Detail'!F272:Q272,1,D44)-'Picks Detail'!E272),"W",IF(ABS(INDEX('Picks Detail'!F272:Q272,1,A44)-'Picks Detail'!E272)&gt;ABS(INDEX('Picks Detail'!F272:Q272,1,D44)-'Picks Detail'!E272),"L","T")),"T"))))</f>
        <v>-</v>
      </c>
      <c r="G44">
        <f t="shared" si="6"/>
        <v>0</v>
      </c>
      <c r="H44">
        <f t="shared" si="7"/>
        <v>0</v>
      </c>
      <c r="I44">
        <f t="shared" si="8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>IF(C45=0,"-",IF(C45&gt;E45,"W",IF(C45&lt;E45,"L",IF(AND('Picks Detail'!E272&lt;&gt;"",INDEX('Picks Detail'!F272:Q272,1,A45)&lt;&gt;"",INDEX('Picks Detail'!F272:Q272,1,D45)&lt;&gt;""),IF(ABS(INDEX('Picks Detail'!F272:Q272,1,A45)-'Picks Detail'!E272)&lt;ABS(INDEX('Picks Detail'!F272:Q272,1,D45)-'Picks Detail'!E272),"W",IF(ABS(INDEX('Picks Detail'!F272:Q272,1,A45)-'Picks Detail'!E272)&gt;ABS(INDEX('Picks Detail'!F272:Q272,1,D45)-'Picks Detail'!E272),"L","T")),"T"))))</f>
        <v>-</v>
      </c>
      <c r="G45">
        <f t="shared" si="6"/>
        <v>0</v>
      </c>
      <c r="H45">
        <f t="shared" si="7"/>
        <v>0</v>
      </c>
      <c r="I45">
        <f t="shared" si="8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>IF(C46=0,"-",IF(C46&gt;E46,"W",IF(C46&lt;E46,"L",IF(AND('Picks Detail'!E272&lt;&gt;"",INDEX('Picks Detail'!F272:Q272,1,A46)&lt;&gt;"",INDEX('Picks Detail'!F272:Q272,1,D46)&lt;&gt;""),IF(ABS(INDEX('Picks Detail'!F272:Q272,1,A46)-'Picks Detail'!E272)&lt;ABS(INDEX('Picks Detail'!F272:Q272,1,D46)-'Picks Detail'!E272),"W",IF(ABS(INDEX('Picks Detail'!F272:Q272,1,A46)-'Picks Detail'!E272)&gt;ABS(INDEX('Picks Detail'!F272:Q272,1,D46)-'Picks Detail'!E272),"L","T")),"T"))))</f>
        <v>-</v>
      </c>
      <c r="G46">
        <f t="shared" si="6"/>
        <v>0</v>
      </c>
      <c r="H46">
        <f t="shared" si="7"/>
        <v>0</v>
      </c>
      <c r="I46">
        <f t="shared" si="8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>IF(C47=0,"-",IF(C47&gt;E47,"W",IF(C47&lt;E47,"L",IF(AND('Picks Detail'!E272&lt;&gt;"",INDEX('Picks Detail'!F272:Q272,1,A47)&lt;&gt;"",INDEX('Picks Detail'!F272:Q272,1,D47)&lt;&gt;""),IF(ABS(INDEX('Picks Detail'!F272:Q272,1,A47)-'Picks Detail'!E272)&lt;ABS(INDEX('Picks Detail'!F272:Q272,1,D47)-'Picks Detail'!E272),"W",IF(ABS(INDEX('Picks Detail'!F272:Q272,1,A47)-'Picks Detail'!E272)&gt;ABS(INDEX('Picks Detail'!F272:Q272,1,D47)-'Picks Detail'!E272),"L","T")),"T"))))</f>
        <v>-</v>
      </c>
      <c r="G47">
        <f t="shared" si="6"/>
        <v>0</v>
      </c>
      <c r="H47">
        <f t="shared" si="7"/>
        <v>0</v>
      </c>
      <c r="I47">
        <f t="shared" si="8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>IF(C51=0,"-",IF(C51&gt;E51,"W",IF(C51&lt;E51,"L",IF(AND('Picks Detail'!E291&lt;&gt;"",INDEX('Picks Detail'!F291:Q291,1,A51)&lt;&gt;"",INDEX('Picks Detail'!F291:Q291,1,D51)&lt;&gt;""),IF(ABS(INDEX('Picks Detail'!F291:Q291,1,A51)-'Picks Detail'!E291)&lt;ABS(INDEX('Picks Detail'!F291:Q291,1,D51)-'Picks Detail'!E291),"W",IF(ABS(INDEX('Picks Detail'!F291:Q291,1,A51)-'Picks Detail'!E291)&gt;ABS(INDEX('Picks Detail'!F291:Q291,1,D51)-'Picks Detail'!E291),"L","T")),"T"))))</f>
        <v>-</v>
      </c>
      <c r="G51">
        <f t="shared" ref="G51:G62" si="9">IF(F51="W",1,IF(F51="T",0.5,0))</f>
        <v>0</v>
      </c>
      <c r="H51">
        <f t="shared" ref="H51:H62" si="10">IF(F51="L",1,IF(F51="T",0.5,0))</f>
        <v>0</v>
      </c>
      <c r="I51">
        <f t="shared" ref="I51:I62" si="11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>IF(C52=0,"-",IF(C52&gt;E52,"W",IF(C52&lt;E52,"L",IF(AND('Picks Detail'!E291&lt;&gt;"",INDEX('Picks Detail'!F291:Q291,1,A52)&lt;&gt;"",INDEX('Picks Detail'!F291:Q291,1,D52)&lt;&gt;""),IF(ABS(INDEX('Picks Detail'!F291:Q291,1,A52)-'Picks Detail'!E291)&lt;ABS(INDEX('Picks Detail'!F291:Q291,1,D52)-'Picks Detail'!E291),"W",IF(ABS(INDEX('Picks Detail'!F291:Q291,1,A52)-'Picks Detail'!E291)&gt;ABS(INDEX('Picks Detail'!F291:Q291,1,D52)-'Picks Detail'!E291),"L","T")),"T"))))</f>
        <v>-</v>
      </c>
      <c r="G52">
        <f t="shared" si="9"/>
        <v>0</v>
      </c>
      <c r="H52">
        <f t="shared" si="10"/>
        <v>0</v>
      </c>
      <c r="I52">
        <f t="shared" si="11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>IF(C53=0,"-",IF(C53&gt;E53,"W",IF(C53&lt;E53,"L",IF(AND('Picks Detail'!E291&lt;&gt;"",INDEX('Picks Detail'!F291:Q291,1,A53)&lt;&gt;"",INDEX('Picks Detail'!F291:Q291,1,D53)&lt;&gt;""),IF(ABS(INDEX('Picks Detail'!F291:Q291,1,A53)-'Picks Detail'!E291)&lt;ABS(INDEX('Picks Detail'!F291:Q291,1,D53)-'Picks Detail'!E291),"W",IF(ABS(INDEX('Picks Detail'!F291:Q291,1,A53)-'Picks Detail'!E291)&gt;ABS(INDEX('Picks Detail'!F291:Q291,1,D53)-'Picks Detail'!E291),"L","T")),"T"))))</f>
        <v>-</v>
      </c>
      <c r="G53">
        <f t="shared" si="9"/>
        <v>0</v>
      </c>
      <c r="H53">
        <f t="shared" si="10"/>
        <v>0</v>
      </c>
      <c r="I53">
        <f t="shared" si="11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>IF(C54=0,"-",IF(C54&gt;E54,"W",IF(C54&lt;E54,"L",IF(AND('Picks Detail'!E291&lt;&gt;"",INDEX('Picks Detail'!F291:Q291,1,A54)&lt;&gt;"",INDEX('Picks Detail'!F291:Q291,1,D54)&lt;&gt;""),IF(ABS(INDEX('Picks Detail'!F291:Q291,1,A54)-'Picks Detail'!E291)&lt;ABS(INDEX('Picks Detail'!F291:Q291,1,D54)-'Picks Detail'!E291),"W",IF(ABS(INDEX('Picks Detail'!F291:Q291,1,A54)-'Picks Detail'!E291)&gt;ABS(INDEX('Picks Detail'!F291:Q291,1,D54)-'Picks Detail'!E291),"L","T")),"T"))))</f>
        <v>-</v>
      </c>
      <c r="G54">
        <f t="shared" si="9"/>
        <v>0</v>
      </c>
      <c r="H54">
        <f t="shared" si="10"/>
        <v>0</v>
      </c>
      <c r="I54">
        <f t="shared" si="11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>IF(C55=0,"-",IF(C55&gt;E55,"W",IF(C55&lt;E55,"L",IF(AND('Picks Detail'!E291&lt;&gt;"",INDEX('Picks Detail'!F291:Q291,1,A55)&lt;&gt;"",INDEX('Picks Detail'!F291:Q291,1,D55)&lt;&gt;""),IF(ABS(INDEX('Picks Detail'!F291:Q291,1,A55)-'Picks Detail'!E291)&lt;ABS(INDEX('Picks Detail'!F291:Q291,1,D55)-'Picks Detail'!E291),"W",IF(ABS(INDEX('Picks Detail'!F291:Q291,1,A55)-'Picks Detail'!E291)&gt;ABS(INDEX('Picks Detail'!F291:Q291,1,D55)-'Picks Detail'!E291),"L","T")),"T"))))</f>
        <v>-</v>
      </c>
      <c r="G55">
        <f t="shared" si="9"/>
        <v>0</v>
      </c>
      <c r="H55">
        <f t="shared" si="10"/>
        <v>0</v>
      </c>
      <c r="I55">
        <f t="shared" si="11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>IF(C56=0,"-",IF(C56&gt;E56,"W",IF(C56&lt;E56,"L",IF(AND('Picks Detail'!E291&lt;&gt;"",INDEX('Picks Detail'!F291:Q291,1,A56)&lt;&gt;"",INDEX('Picks Detail'!F291:Q291,1,D56)&lt;&gt;""),IF(ABS(INDEX('Picks Detail'!F291:Q291,1,A56)-'Picks Detail'!E291)&lt;ABS(INDEX('Picks Detail'!F291:Q291,1,D56)-'Picks Detail'!E291),"W",IF(ABS(INDEX('Picks Detail'!F291:Q291,1,A56)-'Picks Detail'!E291)&gt;ABS(INDEX('Picks Detail'!F291:Q291,1,D56)-'Picks Detail'!E291),"L","T")),"T"))))</f>
        <v>-</v>
      </c>
      <c r="G56">
        <f t="shared" si="9"/>
        <v>0</v>
      </c>
      <c r="H56">
        <f t="shared" si="10"/>
        <v>0</v>
      </c>
      <c r="I56">
        <f t="shared" si="11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>IF(C57=0,"-",IF(C57&gt;E57,"W",IF(C57&lt;E57,"L",IF(AND('Picks Detail'!E291&lt;&gt;"",INDEX('Picks Detail'!F291:Q291,1,A57)&lt;&gt;"",INDEX('Picks Detail'!F291:Q291,1,D57)&lt;&gt;""),IF(ABS(INDEX('Picks Detail'!F291:Q291,1,A57)-'Picks Detail'!E291)&lt;ABS(INDEX('Picks Detail'!F291:Q291,1,D57)-'Picks Detail'!E291),"W",IF(ABS(INDEX('Picks Detail'!F291:Q291,1,A57)-'Picks Detail'!E291)&gt;ABS(INDEX('Picks Detail'!F291:Q291,1,D57)-'Picks Detail'!E291),"L","T")),"T"))))</f>
        <v>-</v>
      </c>
      <c r="G57">
        <f t="shared" si="9"/>
        <v>0</v>
      </c>
      <c r="H57">
        <f t="shared" si="10"/>
        <v>0</v>
      </c>
      <c r="I57">
        <f t="shared" si="11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>IF(C58=0,"-",IF(C58&gt;E58,"W",IF(C58&lt;E58,"L",IF(AND('Picks Detail'!E291&lt;&gt;"",INDEX('Picks Detail'!F291:Q291,1,A58)&lt;&gt;"",INDEX('Picks Detail'!F291:Q291,1,D58)&lt;&gt;""),IF(ABS(INDEX('Picks Detail'!F291:Q291,1,A58)-'Picks Detail'!E291)&lt;ABS(INDEX('Picks Detail'!F291:Q291,1,D58)-'Picks Detail'!E291),"W",IF(ABS(INDEX('Picks Detail'!F291:Q291,1,A58)-'Picks Detail'!E291)&gt;ABS(INDEX('Picks Detail'!F291:Q291,1,D58)-'Picks Detail'!E291),"L","T")),"T"))))</f>
        <v>-</v>
      </c>
      <c r="G58">
        <f t="shared" si="9"/>
        <v>0</v>
      </c>
      <c r="H58">
        <f t="shared" si="10"/>
        <v>0</v>
      </c>
      <c r="I58">
        <f t="shared" si="11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>IF(C59=0,"-",IF(C59&gt;E59,"W",IF(C59&lt;E59,"L",IF(AND('Picks Detail'!E291&lt;&gt;"",INDEX('Picks Detail'!F291:Q291,1,A59)&lt;&gt;"",INDEX('Picks Detail'!F291:Q291,1,D59)&lt;&gt;""),IF(ABS(INDEX('Picks Detail'!F291:Q291,1,A59)-'Picks Detail'!E291)&lt;ABS(INDEX('Picks Detail'!F291:Q291,1,D59)-'Picks Detail'!E291),"W",IF(ABS(INDEX('Picks Detail'!F291:Q291,1,A59)-'Picks Detail'!E291)&gt;ABS(INDEX('Picks Detail'!F291:Q291,1,D59)-'Picks Detail'!E291),"L","T")),"T"))))</f>
        <v>-</v>
      </c>
      <c r="G59">
        <f t="shared" si="9"/>
        <v>0</v>
      </c>
      <c r="H59">
        <f t="shared" si="10"/>
        <v>0</v>
      </c>
      <c r="I59">
        <f t="shared" si="11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>IF(C60=0,"-",IF(C60&gt;E60,"W",IF(C60&lt;E60,"L",IF(AND('Picks Detail'!E291&lt;&gt;"",INDEX('Picks Detail'!F291:Q291,1,A60)&lt;&gt;"",INDEX('Picks Detail'!F291:Q291,1,D60)&lt;&gt;""),IF(ABS(INDEX('Picks Detail'!F291:Q291,1,A60)-'Picks Detail'!E291)&lt;ABS(INDEX('Picks Detail'!F291:Q291,1,D60)-'Picks Detail'!E291),"W",IF(ABS(INDEX('Picks Detail'!F291:Q291,1,A60)-'Picks Detail'!E291)&gt;ABS(INDEX('Picks Detail'!F291:Q291,1,D60)-'Picks Detail'!E291),"L","T")),"T"))))</f>
        <v>-</v>
      </c>
      <c r="G60">
        <f t="shared" si="9"/>
        <v>0</v>
      </c>
      <c r="H60">
        <f t="shared" si="10"/>
        <v>0</v>
      </c>
      <c r="I60">
        <f t="shared" si="11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>IF(C61=0,"-",IF(C61&gt;E61,"W",IF(C61&lt;E61,"L",IF(AND('Picks Detail'!E291&lt;&gt;"",INDEX('Picks Detail'!F291:Q291,1,A61)&lt;&gt;"",INDEX('Picks Detail'!F291:Q291,1,D61)&lt;&gt;""),IF(ABS(INDEX('Picks Detail'!F291:Q291,1,A61)-'Picks Detail'!E291)&lt;ABS(INDEX('Picks Detail'!F291:Q291,1,D61)-'Picks Detail'!E291),"W",IF(ABS(INDEX('Picks Detail'!F291:Q291,1,A61)-'Picks Detail'!E291)&gt;ABS(INDEX('Picks Detail'!F291:Q291,1,D61)-'Picks Detail'!E291),"L","T")),"T"))))</f>
        <v>-</v>
      </c>
      <c r="G61">
        <f t="shared" si="9"/>
        <v>0</v>
      </c>
      <c r="H61">
        <f t="shared" si="10"/>
        <v>0</v>
      </c>
      <c r="I61">
        <f t="shared" si="11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>IF(C62=0,"-",IF(C62&gt;E62,"W",IF(C62&lt;E62,"L",IF(AND('Picks Detail'!E291&lt;&gt;"",INDEX('Picks Detail'!F291:Q291,1,A62)&lt;&gt;"",INDEX('Picks Detail'!F291:Q291,1,D62)&lt;&gt;""),IF(ABS(INDEX('Picks Detail'!F291:Q291,1,A62)-'Picks Detail'!E291)&lt;ABS(INDEX('Picks Detail'!F291:Q291,1,D62)-'Picks Detail'!E291),"W",IF(ABS(INDEX('Picks Detail'!F291:Q291,1,A62)-'Picks Detail'!E291)&gt;ABS(INDEX('Picks Detail'!F291:Q291,1,D62)-'Picks Detail'!E291),"L","T")),"T"))))</f>
        <v>-</v>
      </c>
      <c r="G62">
        <f t="shared" si="9"/>
        <v>0</v>
      </c>
      <c r="H62">
        <f t="shared" si="10"/>
        <v>0</v>
      </c>
      <c r="I62">
        <f t="shared" si="11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>IF(C66=0,"-",IF(C66&gt;E66,"W",IF(C66&lt;E66,"L",IF(AND('Picks Detail'!E310&lt;&gt;"",INDEX('Picks Detail'!F310:Q310,1,A66)&lt;&gt;"",INDEX('Picks Detail'!F310:Q310,1,D66)&lt;&gt;""),IF(ABS(INDEX('Picks Detail'!F310:Q310,1,A66)-'Picks Detail'!E310)&lt;ABS(INDEX('Picks Detail'!F310:Q310,1,D66)-'Picks Detail'!E310),"W",IF(ABS(INDEX('Picks Detail'!F310:Q310,1,A66)-'Picks Detail'!E310)&gt;ABS(INDEX('Picks Detail'!F310:Q310,1,D66)-'Picks Detail'!E310),"L","T")),"T"))))</f>
        <v>-</v>
      </c>
      <c r="G66">
        <f t="shared" ref="G66:G77" si="12">IF(F66="W",1,IF(F66="T",0.5,0))</f>
        <v>0</v>
      </c>
      <c r="H66">
        <f t="shared" ref="H66:H77" si="13">IF(F66="L",1,IF(F66="T",0.5,0))</f>
        <v>0</v>
      </c>
      <c r="I66">
        <f t="shared" ref="I66:I77" si="14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>IF(C67=0,"-",IF(C67&gt;E67,"W",IF(C67&lt;E67,"L",IF(AND('Picks Detail'!E310&lt;&gt;"",INDEX('Picks Detail'!F310:Q310,1,A67)&lt;&gt;"",INDEX('Picks Detail'!F310:Q310,1,D67)&lt;&gt;""),IF(ABS(INDEX('Picks Detail'!F310:Q310,1,A67)-'Picks Detail'!E310)&lt;ABS(INDEX('Picks Detail'!F310:Q310,1,D67)-'Picks Detail'!E310),"W",IF(ABS(INDEX('Picks Detail'!F310:Q310,1,A67)-'Picks Detail'!E310)&gt;ABS(INDEX('Picks Detail'!F310:Q310,1,D67)-'Picks Detail'!E310),"L","T")),"T"))))</f>
        <v>-</v>
      </c>
      <c r="G67">
        <f t="shared" si="12"/>
        <v>0</v>
      </c>
      <c r="H67">
        <f t="shared" si="13"/>
        <v>0</v>
      </c>
      <c r="I67">
        <f t="shared" si="14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>IF(C68=0,"-",IF(C68&gt;E68,"W",IF(C68&lt;E68,"L",IF(AND('Picks Detail'!E310&lt;&gt;"",INDEX('Picks Detail'!F310:Q310,1,A68)&lt;&gt;"",INDEX('Picks Detail'!F310:Q310,1,D68)&lt;&gt;""),IF(ABS(INDEX('Picks Detail'!F310:Q310,1,A68)-'Picks Detail'!E310)&lt;ABS(INDEX('Picks Detail'!F310:Q310,1,D68)-'Picks Detail'!E310),"W",IF(ABS(INDEX('Picks Detail'!F310:Q310,1,A68)-'Picks Detail'!E310)&gt;ABS(INDEX('Picks Detail'!F310:Q310,1,D68)-'Picks Detail'!E310),"L","T")),"T"))))</f>
        <v>-</v>
      </c>
      <c r="G68">
        <f t="shared" si="12"/>
        <v>0</v>
      </c>
      <c r="H68">
        <f t="shared" si="13"/>
        <v>0</v>
      </c>
      <c r="I68">
        <f t="shared" si="14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>IF(C69=0,"-",IF(C69&gt;E69,"W",IF(C69&lt;E69,"L",IF(AND('Picks Detail'!E310&lt;&gt;"",INDEX('Picks Detail'!F310:Q310,1,A69)&lt;&gt;"",INDEX('Picks Detail'!F310:Q310,1,D69)&lt;&gt;""),IF(ABS(INDEX('Picks Detail'!F310:Q310,1,A69)-'Picks Detail'!E310)&lt;ABS(INDEX('Picks Detail'!F310:Q310,1,D69)-'Picks Detail'!E310),"W",IF(ABS(INDEX('Picks Detail'!F310:Q310,1,A69)-'Picks Detail'!E310)&gt;ABS(INDEX('Picks Detail'!F310:Q310,1,D69)-'Picks Detail'!E310),"L","T")),"T"))))</f>
        <v>-</v>
      </c>
      <c r="G69">
        <f t="shared" si="12"/>
        <v>0</v>
      </c>
      <c r="H69">
        <f t="shared" si="13"/>
        <v>0</v>
      </c>
      <c r="I69">
        <f t="shared" si="14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>IF(C70=0,"-",IF(C70&gt;E70,"W",IF(C70&lt;E70,"L",IF(AND('Picks Detail'!E310&lt;&gt;"",INDEX('Picks Detail'!F310:Q310,1,A70)&lt;&gt;"",INDEX('Picks Detail'!F310:Q310,1,D70)&lt;&gt;""),IF(ABS(INDEX('Picks Detail'!F310:Q310,1,A70)-'Picks Detail'!E310)&lt;ABS(INDEX('Picks Detail'!F310:Q310,1,D70)-'Picks Detail'!E310),"W",IF(ABS(INDEX('Picks Detail'!F310:Q310,1,A70)-'Picks Detail'!E310)&gt;ABS(INDEX('Picks Detail'!F310:Q310,1,D70)-'Picks Detail'!E310),"L","T")),"T"))))</f>
        <v>-</v>
      </c>
      <c r="G70">
        <f t="shared" si="12"/>
        <v>0</v>
      </c>
      <c r="H70">
        <f t="shared" si="13"/>
        <v>0</v>
      </c>
      <c r="I70">
        <f t="shared" si="14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>IF(C71=0,"-",IF(C71&gt;E71,"W",IF(C71&lt;E71,"L",IF(AND('Picks Detail'!E310&lt;&gt;"",INDEX('Picks Detail'!F310:Q310,1,A71)&lt;&gt;"",INDEX('Picks Detail'!F310:Q310,1,D71)&lt;&gt;""),IF(ABS(INDEX('Picks Detail'!F310:Q310,1,A71)-'Picks Detail'!E310)&lt;ABS(INDEX('Picks Detail'!F310:Q310,1,D71)-'Picks Detail'!E310),"W",IF(ABS(INDEX('Picks Detail'!F310:Q310,1,A71)-'Picks Detail'!E310)&gt;ABS(INDEX('Picks Detail'!F310:Q310,1,D71)-'Picks Detail'!E310),"L","T")),"T"))))</f>
        <v>-</v>
      </c>
      <c r="G71">
        <f t="shared" si="12"/>
        <v>0</v>
      </c>
      <c r="H71">
        <f t="shared" si="13"/>
        <v>0</v>
      </c>
      <c r="I71">
        <f t="shared" si="14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>IF(C72=0,"-",IF(C72&gt;E72,"W",IF(C72&lt;E72,"L",IF(AND('Picks Detail'!E310&lt;&gt;"",INDEX('Picks Detail'!F310:Q310,1,A72)&lt;&gt;"",INDEX('Picks Detail'!F310:Q310,1,D72)&lt;&gt;""),IF(ABS(INDEX('Picks Detail'!F310:Q310,1,A72)-'Picks Detail'!E310)&lt;ABS(INDEX('Picks Detail'!F310:Q310,1,D72)-'Picks Detail'!E310),"W",IF(ABS(INDEX('Picks Detail'!F310:Q310,1,A72)-'Picks Detail'!E310)&gt;ABS(INDEX('Picks Detail'!F310:Q310,1,D72)-'Picks Detail'!E310),"L","T")),"T"))))</f>
        <v>-</v>
      </c>
      <c r="G72">
        <f t="shared" si="12"/>
        <v>0</v>
      </c>
      <c r="H72">
        <f t="shared" si="13"/>
        <v>0</v>
      </c>
      <c r="I72">
        <f t="shared" si="14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>IF(C73=0,"-",IF(C73&gt;E73,"W",IF(C73&lt;E73,"L",IF(AND('Picks Detail'!E310&lt;&gt;"",INDEX('Picks Detail'!F310:Q310,1,A73)&lt;&gt;"",INDEX('Picks Detail'!F310:Q310,1,D73)&lt;&gt;""),IF(ABS(INDEX('Picks Detail'!F310:Q310,1,A73)-'Picks Detail'!E310)&lt;ABS(INDEX('Picks Detail'!F310:Q310,1,D73)-'Picks Detail'!E310),"W",IF(ABS(INDEX('Picks Detail'!F310:Q310,1,A73)-'Picks Detail'!E310)&gt;ABS(INDEX('Picks Detail'!F310:Q310,1,D73)-'Picks Detail'!E310),"L","T")),"T"))))</f>
        <v>-</v>
      </c>
      <c r="G73">
        <f t="shared" si="12"/>
        <v>0</v>
      </c>
      <c r="H73">
        <f t="shared" si="13"/>
        <v>0</v>
      </c>
      <c r="I73">
        <f t="shared" si="14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>IF(C74=0,"-",IF(C74&gt;E74,"W",IF(C74&lt;E74,"L",IF(AND('Picks Detail'!E310&lt;&gt;"",INDEX('Picks Detail'!F310:Q310,1,A74)&lt;&gt;"",INDEX('Picks Detail'!F310:Q310,1,D74)&lt;&gt;""),IF(ABS(INDEX('Picks Detail'!F310:Q310,1,A74)-'Picks Detail'!E310)&lt;ABS(INDEX('Picks Detail'!F310:Q310,1,D74)-'Picks Detail'!E310),"W",IF(ABS(INDEX('Picks Detail'!F310:Q310,1,A74)-'Picks Detail'!E310)&gt;ABS(INDEX('Picks Detail'!F310:Q310,1,D74)-'Picks Detail'!E310),"L","T")),"T"))))</f>
        <v>-</v>
      </c>
      <c r="G74">
        <f t="shared" si="12"/>
        <v>0</v>
      </c>
      <c r="H74">
        <f t="shared" si="13"/>
        <v>0</v>
      </c>
      <c r="I74">
        <f t="shared" si="14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>IF(C75=0,"-",IF(C75&gt;E75,"W",IF(C75&lt;E75,"L",IF(AND('Picks Detail'!E310&lt;&gt;"",INDEX('Picks Detail'!F310:Q310,1,A75)&lt;&gt;"",INDEX('Picks Detail'!F310:Q310,1,D75)&lt;&gt;""),IF(ABS(INDEX('Picks Detail'!F310:Q310,1,A75)-'Picks Detail'!E310)&lt;ABS(INDEX('Picks Detail'!F310:Q310,1,D75)-'Picks Detail'!E310),"W",IF(ABS(INDEX('Picks Detail'!F310:Q310,1,A75)-'Picks Detail'!E310)&gt;ABS(INDEX('Picks Detail'!F310:Q310,1,D75)-'Picks Detail'!E310),"L","T")),"T"))))</f>
        <v>-</v>
      </c>
      <c r="G75">
        <f t="shared" si="12"/>
        <v>0</v>
      </c>
      <c r="H75">
        <f t="shared" si="13"/>
        <v>0</v>
      </c>
      <c r="I75">
        <f t="shared" si="14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>IF(C76=0,"-",IF(C76&gt;E76,"W",IF(C76&lt;E76,"L",IF(AND('Picks Detail'!E310&lt;&gt;"",INDEX('Picks Detail'!F310:Q310,1,A76)&lt;&gt;"",INDEX('Picks Detail'!F310:Q310,1,D76)&lt;&gt;""),IF(ABS(INDEX('Picks Detail'!F310:Q310,1,A76)-'Picks Detail'!E310)&lt;ABS(INDEX('Picks Detail'!F310:Q310,1,D76)-'Picks Detail'!E310),"W",IF(ABS(INDEX('Picks Detail'!F310:Q310,1,A76)-'Picks Detail'!E310)&gt;ABS(INDEX('Picks Detail'!F310:Q310,1,D76)-'Picks Detail'!E310),"L","T")),"T"))))</f>
        <v>-</v>
      </c>
      <c r="G76">
        <f t="shared" si="12"/>
        <v>0</v>
      </c>
      <c r="H76">
        <f t="shared" si="13"/>
        <v>0</v>
      </c>
      <c r="I76">
        <f t="shared" si="14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>IF(C77=0,"-",IF(C77&gt;E77,"W",IF(C77&lt;E77,"L",IF(AND('Picks Detail'!E310&lt;&gt;"",INDEX('Picks Detail'!F310:Q310,1,A77)&lt;&gt;"",INDEX('Picks Detail'!F310:Q310,1,D77)&lt;&gt;""),IF(ABS(INDEX('Picks Detail'!F310:Q310,1,A77)-'Picks Detail'!E310)&lt;ABS(INDEX('Picks Detail'!F310:Q310,1,D77)-'Picks Detail'!E310),"W",IF(ABS(INDEX('Picks Detail'!F310:Q310,1,A77)-'Picks Detail'!E310)&gt;ABS(INDEX('Picks Detail'!F310:Q310,1,D77)-'Picks Detail'!E310),"L","T")),"T"))))</f>
        <v>-</v>
      </c>
      <c r="G77">
        <f t="shared" si="12"/>
        <v>0</v>
      </c>
      <c r="H77">
        <f t="shared" si="13"/>
        <v>0</v>
      </c>
      <c r="I77">
        <f t="shared" si="14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>IF(C81=0,"-",IF(C81&gt;E81,"W",IF(C81&lt;E81,"L",IF(AND('Picks Detail'!E329&lt;&gt;"",INDEX('Picks Detail'!F329:Q329,1,A81)&lt;&gt;"",INDEX('Picks Detail'!F329:Q329,1,D81)&lt;&gt;""),IF(ABS(INDEX('Picks Detail'!F329:Q329,1,A81)-'Picks Detail'!E329)&lt;ABS(INDEX('Picks Detail'!F329:Q329,1,D81)-'Picks Detail'!E329),"W",IF(ABS(INDEX('Picks Detail'!F329:Q329,1,A81)-'Picks Detail'!E329)&gt;ABS(INDEX('Picks Detail'!F329:Q329,1,D81)-'Picks Detail'!E329),"L","T")),"T"))))</f>
        <v>-</v>
      </c>
      <c r="G81">
        <f t="shared" ref="G81:G92" si="15">IF(F81="W",1,IF(F81="T",0.5,0))</f>
        <v>0</v>
      </c>
      <c r="H81">
        <f t="shared" ref="H81:H92" si="16">IF(F81="L",1,IF(F81="T",0.5,0))</f>
        <v>0</v>
      </c>
      <c r="I81">
        <f t="shared" ref="I81:I92" si="17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>IF(C82=0,"-",IF(C82&gt;E82,"W",IF(C82&lt;E82,"L",IF(AND('Picks Detail'!E329&lt;&gt;"",INDEX('Picks Detail'!F329:Q329,1,A82)&lt;&gt;"",INDEX('Picks Detail'!F329:Q329,1,D82)&lt;&gt;""),IF(ABS(INDEX('Picks Detail'!F329:Q329,1,A82)-'Picks Detail'!E329)&lt;ABS(INDEX('Picks Detail'!F329:Q329,1,D82)-'Picks Detail'!E329),"W",IF(ABS(INDEX('Picks Detail'!F329:Q329,1,A82)-'Picks Detail'!E329)&gt;ABS(INDEX('Picks Detail'!F329:Q329,1,D82)-'Picks Detail'!E329),"L","T")),"T"))))</f>
        <v>-</v>
      </c>
      <c r="G82">
        <f t="shared" si="15"/>
        <v>0</v>
      </c>
      <c r="H82">
        <f t="shared" si="16"/>
        <v>0</v>
      </c>
      <c r="I82">
        <f t="shared" si="17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>IF(C83=0,"-",IF(C83&gt;E83,"W",IF(C83&lt;E83,"L",IF(AND('Picks Detail'!E329&lt;&gt;"",INDEX('Picks Detail'!F329:Q329,1,A83)&lt;&gt;"",INDEX('Picks Detail'!F329:Q329,1,D83)&lt;&gt;""),IF(ABS(INDEX('Picks Detail'!F329:Q329,1,A83)-'Picks Detail'!E329)&lt;ABS(INDEX('Picks Detail'!F329:Q329,1,D83)-'Picks Detail'!E329),"W",IF(ABS(INDEX('Picks Detail'!F329:Q329,1,A83)-'Picks Detail'!E329)&gt;ABS(INDEX('Picks Detail'!F329:Q329,1,D83)-'Picks Detail'!E329),"L","T")),"T"))))</f>
        <v>-</v>
      </c>
      <c r="G83">
        <f t="shared" si="15"/>
        <v>0</v>
      </c>
      <c r="H83">
        <f t="shared" si="16"/>
        <v>0</v>
      </c>
      <c r="I83">
        <f t="shared" si="17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>IF(C84=0,"-",IF(C84&gt;E84,"W",IF(C84&lt;E84,"L",IF(AND('Picks Detail'!E329&lt;&gt;"",INDEX('Picks Detail'!F329:Q329,1,A84)&lt;&gt;"",INDEX('Picks Detail'!F329:Q329,1,D84)&lt;&gt;""),IF(ABS(INDEX('Picks Detail'!F329:Q329,1,A84)-'Picks Detail'!E329)&lt;ABS(INDEX('Picks Detail'!F329:Q329,1,D84)-'Picks Detail'!E329),"W",IF(ABS(INDEX('Picks Detail'!F329:Q329,1,A84)-'Picks Detail'!E329)&gt;ABS(INDEX('Picks Detail'!F329:Q329,1,D84)-'Picks Detail'!E329),"L","T")),"T"))))</f>
        <v>-</v>
      </c>
      <c r="G84">
        <f t="shared" si="15"/>
        <v>0</v>
      </c>
      <c r="H84">
        <f t="shared" si="16"/>
        <v>0</v>
      </c>
      <c r="I84">
        <f t="shared" si="17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>IF(C85=0,"-",IF(C85&gt;E85,"W",IF(C85&lt;E85,"L",IF(AND('Picks Detail'!E329&lt;&gt;"",INDEX('Picks Detail'!F329:Q329,1,A85)&lt;&gt;"",INDEX('Picks Detail'!F329:Q329,1,D85)&lt;&gt;""),IF(ABS(INDEX('Picks Detail'!F329:Q329,1,A85)-'Picks Detail'!E329)&lt;ABS(INDEX('Picks Detail'!F329:Q329,1,D85)-'Picks Detail'!E329),"W",IF(ABS(INDEX('Picks Detail'!F329:Q329,1,A85)-'Picks Detail'!E329)&gt;ABS(INDEX('Picks Detail'!F329:Q329,1,D85)-'Picks Detail'!E329),"L","T")),"T"))))</f>
        <v>-</v>
      </c>
      <c r="G85">
        <f t="shared" si="15"/>
        <v>0</v>
      </c>
      <c r="H85">
        <f t="shared" si="16"/>
        <v>0</v>
      </c>
      <c r="I85">
        <f t="shared" si="17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>IF(C86=0,"-",IF(C86&gt;E86,"W",IF(C86&lt;E86,"L",IF(AND('Picks Detail'!E329&lt;&gt;"",INDEX('Picks Detail'!F329:Q329,1,A86)&lt;&gt;"",INDEX('Picks Detail'!F329:Q329,1,D86)&lt;&gt;""),IF(ABS(INDEX('Picks Detail'!F329:Q329,1,A86)-'Picks Detail'!E329)&lt;ABS(INDEX('Picks Detail'!F329:Q329,1,D86)-'Picks Detail'!E329),"W",IF(ABS(INDEX('Picks Detail'!F329:Q329,1,A86)-'Picks Detail'!E329)&gt;ABS(INDEX('Picks Detail'!F329:Q329,1,D86)-'Picks Detail'!E329),"L","T")),"T"))))</f>
        <v>-</v>
      </c>
      <c r="G86">
        <f t="shared" si="15"/>
        <v>0</v>
      </c>
      <c r="H86">
        <f t="shared" si="16"/>
        <v>0</v>
      </c>
      <c r="I86">
        <f t="shared" si="17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>IF(C87=0,"-",IF(C87&gt;E87,"W",IF(C87&lt;E87,"L",IF(AND('Picks Detail'!E329&lt;&gt;"",INDEX('Picks Detail'!F329:Q329,1,A87)&lt;&gt;"",INDEX('Picks Detail'!F329:Q329,1,D87)&lt;&gt;""),IF(ABS(INDEX('Picks Detail'!F329:Q329,1,A87)-'Picks Detail'!E329)&lt;ABS(INDEX('Picks Detail'!F329:Q329,1,D87)-'Picks Detail'!E329),"W",IF(ABS(INDEX('Picks Detail'!F329:Q329,1,A87)-'Picks Detail'!E329)&gt;ABS(INDEX('Picks Detail'!F329:Q329,1,D87)-'Picks Detail'!E329),"L","T")),"T"))))</f>
        <v>-</v>
      </c>
      <c r="G87">
        <f t="shared" si="15"/>
        <v>0</v>
      </c>
      <c r="H87">
        <f t="shared" si="16"/>
        <v>0</v>
      </c>
      <c r="I87">
        <f t="shared" si="17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>IF(C88=0,"-",IF(C88&gt;E88,"W",IF(C88&lt;E88,"L",IF(AND('Picks Detail'!E329&lt;&gt;"",INDEX('Picks Detail'!F329:Q329,1,A88)&lt;&gt;"",INDEX('Picks Detail'!F329:Q329,1,D88)&lt;&gt;""),IF(ABS(INDEX('Picks Detail'!F329:Q329,1,A88)-'Picks Detail'!E329)&lt;ABS(INDEX('Picks Detail'!F329:Q329,1,D88)-'Picks Detail'!E329),"W",IF(ABS(INDEX('Picks Detail'!F329:Q329,1,A88)-'Picks Detail'!E329)&gt;ABS(INDEX('Picks Detail'!F329:Q329,1,D88)-'Picks Detail'!E329),"L","T")),"T"))))</f>
        <v>-</v>
      </c>
      <c r="G88">
        <f t="shared" si="15"/>
        <v>0</v>
      </c>
      <c r="H88">
        <f t="shared" si="16"/>
        <v>0</v>
      </c>
      <c r="I88">
        <f t="shared" si="17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>IF(C89=0,"-",IF(C89&gt;E89,"W",IF(C89&lt;E89,"L",IF(AND('Picks Detail'!E329&lt;&gt;"",INDEX('Picks Detail'!F329:Q329,1,A89)&lt;&gt;"",INDEX('Picks Detail'!F329:Q329,1,D89)&lt;&gt;""),IF(ABS(INDEX('Picks Detail'!F329:Q329,1,A89)-'Picks Detail'!E329)&lt;ABS(INDEX('Picks Detail'!F329:Q329,1,D89)-'Picks Detail'!E329),"W",IF(ABS(INDEX('Picks Detail'!F329:Q329,1,A89)-'Picks Detail'!E329)&gt;ABS(INDEX('Picks Detail'!F329:Q329,1,D89)-'Picks Detail'!E329),"L","T")),"T"))))</f>
        <v>-</v>
      </c>
      <c r="G89">
        <f t="shared" si="15"/>
        <v>0</v>
      </c>
      <c r="H89">
        <f t="shared" si="16"/>
        <v>0</v>
      </c>
      <c r="I89">
        <f t="shared" si="17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>IF(C90=0,"-",IF(C90&gt;E90,"W",IF(C90&lt;E90,"L",IF(AND('Picks Detail'!E329&lt;&gt;"",INDEX('Picks Detail'!F329:Q329,1,A90)&lt;&gt;"",INDEX('Picks Detail'!F329:Q329,1,D90)&lt;&gt;""),IF(ABS(INDEX('Picks Detail'!F329:Q329,1,A90)-'Picks Detail'!E329)&lt;ABS(INDEX('Picks Detail'!F329:Q329,1,D90)-'Picks Detail'!E329),"W",IF(ABS(INDEX('Picks Detail'!F329:Q329,1,A90)-'Picks Detail'!E329)&gt;ABS(INDEX('Picks Detail'!F329:Q329,1,D90)-'Picks Detail'!E329),"L","T")),"T"))))</f>
        <v>-</v>
      </c>
      <c r="G90">
        <f t="shared" si="15"/>
        <v>0</v>
      </c>
      <c r="H90">
        <f t="shared" si="16"/>
        <v>0</v>
      </c>
      <c r="I90">
        <f t="shared" si="17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>IF(C91=0,"-",IF(C91&gt;E91,"W",IF(C91&lt;E91,"L",IF(AND('Picks Detail'!E329&lt;&gt;"",INDEX('Picks Detail'!F329:Q329,1,A91)&lt;&gt;"",INDEX('Picks Detail'!F329:Q329,1,D91)&lt;&gt;""),IF(ABS(INDEX('Picks Detail'!F329:Q329,1,A91)-'Picks Detail'!E329)&lt;ABS(INDEX('Picks Detail'!F329:Q329,1,D91)-'Picks Detail'!E329),"W",IF(ABS(INDEX('Picks Detail'!F329:Q329,1,A91)-'Picks Detail'!E329)&gt;ABS(INDEX('Picks Detail'!F329:Q329,1,D91)-'Picks Detail'!E329),"L","T")),"T"))))</f>
        <v>-</v>
      </c>
      <c r="G91">
        <f t="shared" si="15"/>
        <v>0</v>
      </c>
      <c r="H91">
        <f t="shared" si="16"/>
        <v>0</v>
      </c>
      <c r="I91">
        <f t="shared" si="17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>IF(C92=0,"-",IF(C92&gt;E92,"W",IF(C92&lt;E92,"L",IF(AND('Picks Detail'!E329&lt;&gt;"",INDEX('Picks Detail'!F329:Q329,1,A92)&lt;&gt;"",INDEX('Picks Detail'!F329:Q329,1,D92)&lt;&gt;""),IF(ABS(INDEX('Picks Detail'!F329:Q329,1,A92)-'Picks Detail'!E329)&lt;ABS(INDEX('Picks Detail'!F329:Q329,1,D92)-'Picks Detail'!E329),"W",IF(ABS(INDEX('Picks Detail'!F329:Q329,1,A92)-'Picks Detail'!E329)&gt;ABS(INDEX('Picks Detail'!F329:Q329,1,D92)-'Picks Detail'!E329),"L","T")),"T"))))</f>
        <v>-</v>
      </c>
      <c r="G92">
        <f t="shared" si="15"/>
        <v>0</v>
      </c>
      <c r="H92">
        <f t="shared" si="16"/>
        <v>0</v>
      </c>
      <c r="I92">
        <f t="shared" si="17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9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2" t="s">
        <v>205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8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13</v>
      </c>
      <c r="J3">
        <f>Helper!J2</f>
        <v>0</v>
      </c>
      <c r="K3">
        <f>MAX(Helper!C2:H2)</f>
        <v>8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7</v>
      </c>
      <c r="D4">
        <f>Helper!D3</f>
        <v>7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14</v>
      </c>
      <c r="J4">
        <f>Helper!J3</f>
        <v>0</v>
      </c>
      <c r="K4">
        <f>MAX(Helper!C3:H3)</f>
        <v>7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14</v>
      </c>
      <c r="D5">
        <f>Helper!D4</f>
        <v>6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20</v>
      </c>
      <c r="J5">
        <f>Helper!J4</f>
        <v>1</v>
      </c>
      <c r="K5">
        <f>MAX(Helper!C4:H4)</f>
        <v>14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6</v>
      </c>
      <c r="D6">
        <f>Helper!D5</f>
        <v>8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14</v>
      </c>
      <c r="J6">
        <f>Helper!J5</f>
        <v>0</v>
      </c>
      <c r="K6">
        <f>MAX(Helper!C5:H5)</f>
        <v>8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6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22</v>
      </c>
      <c r="J7">
        <f>Helper!J6</f>
        <v>1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13</v>
      </c>
      <c r="D8">
        <f>Helper!D7</f>
        <v>6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19</v>
      </c>
      <c r="J8">
        <f>Helper!J7</f>
        <v>1</v>
      </c>
      <c r="K8">
        <f>MAX(Helper!C7:H7)</f>
        <v>13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5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12</v>
      </c>
      <c r="J9">
        <f>Helper!J8</f>
        <v>0</v>
      </c>
      <c r="K9">
        <f>MAX(Helper!C8:H8)</f>
        <v>7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4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12</v>
      </c>
      <c r="J10">
        <f>Helper!J9</f>
        <v>0</v>
      </c>
      <c r="K10">
        <f>MAX(Helper!C9:H9)</f>
        <v>8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7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15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8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25</v>
      </c>
      <c r="J12">
        <f>Helper!J11</f>
        <v>1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5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21</v>
      </c>
      <c r="J13">
        <f>Helper!J12</f>
        <v>1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15</v>
      </c>
      <c r="D14">
        <f>Helper!D13</f>
        <v>4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19</v>
      </c>
      <c r="J14">
        <f>Helper!J13</f>
        <v>1</v>
      </c>
      <c r="K14">
        <f>MAX(Helper!C13:H13)</f>
        <v>15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13</v>
      </c>
      <c r="D57">
        <f>Helper!R2</f>
        <v>0</v>
      </c>
      <c r="E57">
        <f>Helper!AC2</f>
        <v>0</v>
      </c>
      <c r="F57">
        <f>Helper!AE2</f>
        <v>13</v>
      </c>
      <c r="G57">
        <f>Helper!K2</f>
        <v>13.0001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14</v>
      </c>
      <c r="D58">
        <f>Helper!R3</f>
        <v>0</v>
      </c>
      <c r="E58">
        <f>Helper!AC3</f>
        <v>0</v>
      </c>
      <c r="F58">
        <f>Helper!AE3</f>
        <v>14</v>
      </c>
      <c r="G58">
        <f>Helper!K3</f>
        <v>14.0002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20</v>
      </c>
      <c r="D59">
        <f>Helper!R4</f>
        <v>0</v>
      </c>
      <c r="E59">
        <f>Helper!AC4</f>
        <v>0</v>
      </c>
      <c r="F59">
        <f>Helper!AE4</f>
        <v>20</v>
      </c>
      <c r="G59">
        <f>Helper!K4</f>
        <v>20.000299999999999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14</v>
      </c>
      <c r="D60">
        <f>Helper!R5</f>
        <v>0</v>
      </c>
      <c r="E60">
        <f>Helper!AC5</f>
        <v>0</v>
      </c>
      <c r="F60">
        <f>Helper!AE5</f>
        <v>14</v>
      </c>
      <c r="G60">
        <f>Helper!K5</f>
        <v>14.000400000000001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22</v>
      </c>
      <c r="D61">
        <f>Helper!R6</f>
        <v>0</v>
      </c>
      <c r="E61">
        <f>Helper!AC6</f>
        <v>0</v>
      </c>
      <c r="F61">
        <f>Helper!AE6</f>
        <v>22</v>
      </c>
      <c r="G61">
        <f>Helper!K6</f>
        <v>22.000499999999999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19</v>
      </c>
      <c r="D62">
        <f>Helper!R7</f>
        <v>0</v>
      </c>
      <c r="E62">
        <f>Helper!AC7</f>
        <v>0</v>
      </c>
      <c r="F62">
        <f>Helper!AE7</f>
        <v>19</v>
      </c>
      <c r="G62">
        <f>Helper!K7</f>
        <v>19.000599999999999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12</v>
      </c>
      <c r="D63">
        <f>Helper!R8</f>
        <v>0</v>
      </c>
      <c r="E63">
        <f>Helper!AC8</f>
        <v>0</v>
      </c>
      <c r="F63">
        <f>Helper!AE8</f>
        <v>12</v>
      </c>
      <c r="G63">
        <f>Helper!K8</f>
        <v>12.0007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12</v>
      </c>
      <c r="D64">
        <f>Helper!R9</f>
        <v>0</v>
      </c>
      <c r="E64">
        <f>Helper!AC9</f>
        <v>0</v>
      </c>
      <c r="F64">
        <f>Helper!AE9</f>
        <v>12</v>
      </c>
      <c r="G64">
        <f>Helper!K9</f>
        <v>12.0008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15</v>
      </c>
      <c r="D65">
        <f>Helper!R10</f>
        <v>0</v>
      </c>
      <c r="E65">
        <f>Helper!AC10</f>
        <v>0</v>
      </c>
      <c r="F65">
        <f>Helper!AE10</f>
        <v>15</v>
      </c>
      <c r="G65">
        <f>Helper!K10</f>
        <v>15.0009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25</v>
      </c>
      <c r="D66">
        <f>Helper!R11</f>
        <v>0</v>
      </c>
      <c r="E66">
        <f>Helper!AC11</f>
        <v>0</v>
      </c>
      <c r="F66">
        <f>Helper!AE11</f>
        <v>25</v>
      </c>
      <c r="G66">
        <f>Helper!K11</f>
        <v>25.001000000000001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21</v>
      </c>
      <c r="D67">
        <f>Helper!R12</f>
        <v>0</v>
      </c>
      <c r="E67">
        <f>Helper!AC12</f>
        <v>0</v>
      </c>
      <c r="F67">
        <f>Helper!AE12</f>
        <v>21</v>
      </c>
      <c r="G67">
        <f>Helper!K12</f>
        <v>21.001100000000001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19</v>
      </c>
      <c r="D68">
        <f>Helper!R13</f>
        <v>0</v>
      </c>
      <c r="E68">
        <f>Helper!AC13</f>
        <v>0</v>
      </c>
      <c r="F68">
        <f>Helper!AE13</f>
        <v>19</v>
      </c>
      <c r="G68">
        <f>Helper!K13</f>
        <v>19.001200000000001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Mikayla Simmons</v>
      </c>
      <c r="C13">
        <f>INDEX(I$40:I$51,MATCH(MAX(K$40:K$51),K$40:K$51,0))</f>
        <v>22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13</v>
      </c>
      <c r="J40" t="b">
        <f t="shared" ref="J40:J51" si="1">OR(H40=$E$5,H40=$E$6,H40=$E$7,H40=$E$8,H40=$E$9)</f>
        <v>0</v>
      </c>
      <c r="K40">
        <f>IF(J40,-1,I40+0.00001)</f>
        <v>13.00001</v>
      </c>
    </row>
    <row r="41" spans="1:11" ht="15" customHeight="1" x14ac:dyDescent="0.25">
      <c r="H41" t="str">
        <f>Roster!B4</f>
        <v>Chris Simmons</v>
      </c>
      <c r="I41">
        <f>Helper!AE3</f>
        <v>14</v>
      </c>
      <c r="J41" t="b">
        <f t="shared" si="1"/>
        <v>0</v>
      </c>
      <c r="K41">
        <f>IF(J41,-1,I41+0.00002)</f>
        <v>14.000019999999999</v>
      </c>
    </row>
    <row r="42" spans="1:11" ht="15" customHeight="1" x14ac:dyDescent="0.25">
      <c r="H42" t="str">
        <f>Roster!B5</f>
        <v>Jack Smith</v>
      </c>
      <c r="I42">
        <f>Helper!AE4</f>
        <v>20</v>
      </c>
      <c r="J42" t="b">
        <f t="shared" si="1"/>
        <v>0</v>
      </c>
      <c r="K42">
        <f>IF(J42,-1,I42+0.00003)</f>
        <v>20.000029999999999</v>
      </c>
    </row>
    <row r="43" spans="1:11" ht="15" customHeight="1" x14ac:dyDescent="0.25">
      <c r="H43" t="str">
        <f>Roster!B6</f>
        <v>Luke Ussery</v>
      </c>
      <c r="I43">
        <f>Helper!AE5</f>
        <v>14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22</v>
      </c>
      <c r="J44" t="b">
        <f t="shared" si="1"/>
        <v>0</v>
      </c>
      <c r="K44">
        <f>IF(J44,-1,I44+0.00005)</f>
        <v>22.000050000000002</v>
      </c>
    </row>
    <row r="45" spans="1:11" ht="15" customHeight="1" x14ac:dyDescent="0.25">
      <c r="H45" t="str">
        <f>Roster!B8</f>
        <v>Alan Loeser</v>
      </c>
      <c r="I45">
        <f>Helper!AE7</f>
        <v>19</v>
      </c>
      <c r="J45" t="b">
        <f t="shared" si="1"/>
        <v>0</v>
      </c>
      <c r="K45">
        <f>IF(J45,-1,I45+0.00006)</f>
        <v>19.000060000000001</v>
      </c>
    </row>
    <row r="46" spans="1:11" ht="15" customHeight="1" x14ac:dyDescent="0.25">
      <c r="H46" t="str">
        <f>Roster!B9</f>
        <v>Caleb Simmons</v>
      </c>
      <c r="I46">
        <f>Helper!AE8</f>
        <v>12</v>
      </c>
      <c r="J46" t="b">
        <f t="shared" si="1"/>
        <v>0</v>
      </c>
      <c r="K46">
        <f>IF(J46,-1,I46+0.00007)</f>
        <v>12.000069999999999</v>
      </c>
    </row>
    <row r="47" spans="1:11" ht="15" customHeight="1" x14ac:dyDescent="0.25">
      <c r="H47" t="str">
        <f>Roster!B10</f>
        <v>Larry Loeser</v>
      </c>
      <c r="I47">
        <f>Helper!AE9</f>
        <v>12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15</v>
      </c>
      <c r="J48" t="b">
        <f t="shared" si="1"/>
        <v>0</v>
      </c>
      <c r="K48">
        <f>IF(J48,-1,I48+0.00009)</f>
        <v>15.00009</v>
      </c>
    </row>
    <row r="49" spans="8:11" ht="15" customHeight="1" x14ac:dyDescent="0.25">
      <c r="H49" t="str">
        <f>Roster!B12</f>
        <v>Zach Zarra</v>
      </c>
      <c r="I49">
        <f>Helper!AE11</f>
        <v>25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21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19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O21" sqref="O21"/>
    </sheetView>
  </sheetViews>
  <sheetFormatPr defaultColWidth="8.7109375" defaultRowHeight="15" x14ac:dyDescent="0.25"/>
  <cols>
    <col min="1" max="1" width="27" bestFit="1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8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13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13.0001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13</v>
      </c>
      <c r="AF2">
        <f>AE2+0.0001</f>
        <v>13.0001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7</v>
      </c>
      <c r="D3">
        <f>IF(Roster!$B$16&gt;=2,'Wk 1-6 Input'!H22,0)+IF(Roster!$B$16&gt;2,'Wk 1-6 Input'!G22,0)</f>
        <v>7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14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14.0002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14</v>
      </c>
      <c r="AF3">
        <f>AE3+0.0002</f>
        <v>14.0002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14</v>
      </c>
      <c r="D4">
        <f>IF(Roster!$B$16&gt;=2,'Wk 1-6 Input'!H23,0)+IF(Roster!$B$16&gt;2,'Wk 1-6 Input'!G23,0)</f>
        <v>6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20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1</v>
      </c>
      <c r="K4">
        <f>I4+0.0003</f>
        <v>20.000299999999999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20</v>
      </c>
      <c r="AF4">
        <f>AE4+0.0003</f>
        <v>20.000299999999999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6</v>
      </c>
      <c r="D5">
        <f>IF(Roster!$B$16&gt;=2,'Wk 1-6 Input'!H24,0)+IF(Roster!$B$16&gt;2,'Wk 1-6 Input'!G24,0)</f>
        <v>8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14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14.000400000000001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14</v>
      </c>
      <c r="AF5">
        <f>AE5+0.0004</f>
        <v>14.000400000000001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6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22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1</v>
      </c>
      <c r="K6">
        <f>I6+0.0005</f>
        <v>22.000499999999999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22</v>
      </c>
      <c r="AF6">
        <f>AE6+0.0005</f>
        <v>22.000499999999999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13</v>
      </c>
      <c r="D7">
        <f>IF(Roster!$B$16&gt;=2,'Wk 1-6 Input'!H26,0)+IF(Roster!$B$16&gt;2,'Wk 1-6 Input'!G26,0)</f>
        <v>6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19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1</v>
      </c>
      <c r="K7">
        <f>I7+0.0006</f>
        <v>19.000599999999999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19</v>
      </c>
      <c r="AF7">
        <f>AE7+0.0006</f>
        <v>19.000599999999999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5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12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12.0007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12</v>
      </c>
      <c r="AF8">
        <f>AE8+0.0007</f>
        <v>12.0007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4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12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12.0008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12</v>
      </c>
      <c r="AF9">
        <f>AE9+0.0008</f>
        <v>12.0008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7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15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15.0009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15</v>
      </c>
      <c r="AF10">
        <f>AE10+0.0009</f>
        <v>15.0009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8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25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1</v>
      </c>
      <c r="K11">
        <f>I11+0.001</f>
        <v>25.001000000000001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25</v>
      </c>
      <c r="AF11">
        <f>AE11+0.001</f>
        <v>25.001000000000001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5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21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1</v>
      </c>
      <c r="K12">
        <f>I12+0.0011</f>
        <v>21.001100000000001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21</v>
      </c>
      <c r="AF12">
        <f>AE12+0.0011</f>
        <v>21.001100000000001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15</v>
      </c>
      <c r="D13">
        <f>IF(Roster!$B$16&gt;=2,'Wk 1-6 Input'!H32,0)+IF(Roster!$B$16&gt;2,'Wk 1-6 Input'!G32,0)</f>
        <v>4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19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1</v>
      </c>
      <c r="K13">
        <f>I13+0.0012</f>
        <v>19.001200000000001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19</v>
      </c>
      <c r="AF13">
        <f>AE13+0.0012</f>
        <v>19.001200000000001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2026-09-21T04:11:39Z</dcterms:modified>
  <dc:language>en-US</dc:language>
</cp:coreProperties>
</file>