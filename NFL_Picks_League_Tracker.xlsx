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6" documentId="11_416223A2F94643ECB25272486F73B9E12C0C35AB" xr6:coauthVersionLast="47" xr6:coauthVersionMax="47" xr10:uidLastSave="{08555DBE-0291-4356-8FEF-6F3263918EB2}"/>
  <bookViews>
    <workbookView xWindow="28680" yWindow="-120" windowWidth="29040" windowHeight="16440" tabRatio="848" activeTab="4" xr2:uid="{00000000-000D-0000-FFFF-FFFF00000000}"/>
  </bookViews>
  <sheets>
    <sheet name="Roster" sheetId="1" r:id="rId1"/>
    <sheet name="Schedule" sheetId="2" state="hidden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7" r:id="rId7"/>
    <sheet name="Playoff Picture" sheetId="8" r:id="rId8"/>
    <sheet name="Playoff Wild Card" sheetId="9" r:id="rId9"/>
    <sheet name="Playoff Finals" sheetId="10" r:id="rId10"/>
    <sheet name="Helper" sheetId="11" state="hidden" r:id="rId11"/>
    <sheet name="Updates" sheetId="12" r:id="rId12"/>
    <sheet name="Sheet1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7" i="11" l="1"/>
  <c r="AO17" i="11" s="1"/>
  <c r="AN16" i="11"/>
  <c r="AO16" i="11" s="1"/>
  <c r="AN15" i="11"/>
  <c r="AO15" i="11" s="1"/>
  <c r="AO14" i="11"/>
  <c r="AN14" i="11"/>
  <c r="AK13" i="11"/>
  <c r="B13" i="11"/>
  <c r="AN13" i="11" s="1"/>
  <c r="AK12" i="11"/>
  <c r="B12" i="11"/>
  <c r="AN12" i="11" s="1"/>
  <c r="AK11" i="11"/>
  <c r="B11" i="11"/>
  <c r="AN11" i="11" s="1"/>
  <c r="AK10" i="11"/>
  <c r="B10" i="11"/>
  <c r="AN10" i="11" s="1"/>
  <c r="AK9" i="11"/>
  <c r="B9" i="11"/>
  <c r="AN9" i="11" s="1"/>
  <c r="AK8" i="11"/>
  <c r="B8" i="11"/>
  <c r="AN8" i="11" s="1"/>
  <c r="AK7" i="11"/>
  <c r="B7" i="11"/>
  <c r="AN7" i="11" s="1"/>
  <c r="AK6" i="11"/>
  <c r="B6" i="11"/>
  <c r="AN6" i="11" s="1"/>
  <c r="AK5" i="11"/>
  <c r="B5" i="11"/>
  <c r="AN5" i="11" s="1"/>
  <c r="AK4" i="11"/>
  <c r="B4" i="11"/>
  <c r="AN4" i="11" s="1"/>
  <c r="AK3" i="11"/>
  <c r="B3" i="11"/>
  <c r="AN3" i="11" s="1"/>
  <c r="AK2" i="11"/>
  <c r="B2" i="11"/>
  <c r="AN2" i="11" s="1"/>
  <c r="C25" i="10"/>
  <c r="D25" i="10" s="1"/>
  <c r="D24" i="10"/>
  <c r="C24" i="10"/>
  <c r="D23" i="10"/>
  <c r="C23" i="10"/>
  <c r="D22" i="10"/>
  <c r="A22" i="10"/>
  <c r="L9" i="10"/>
  <c r="I9" i="10"/>
  <c r="J9" i="10" s="1"/>
  <c r="H9" i="10"/>
  <c r="F9" i="10"/>
  <c r="D9" i="10"/>
  <c r="B9" i="10"/>
  <c r="A9" i="10"/>
  <c r="A25" i="10" s="1"/>
  <c r="L8" i="10"/>
  <c r="I8" i="10"/>
  <c r="H8" i="10"/>
  <c r="F8" i="10"/>
  <c r="D8" i="10"/>
  <c r="B8" i="10"/>
  <c r="A8" i="10"/>
  <c r="A24" i="10" s="1"/>
  <c r="L7" i="10"/>
  <c r="H7" i="10"/>
  <c r="F7" i="10"/>
  <c r="D7" i="10"/>
  <c r="B7" i="10"/>
  <c r="I7" i="10" s="1"/>
  <c r="J7" i="10" s="1"/>
  <c r="A7" i="10"/>
  <c r="A23" i="10" s="1"/>
  <c r="L6" i="10"/>
  <c r="H6" i="10"/>
  <c r="F6" i="10"/>
  <c r="D6" i="10"/>
  <c r="B6" i="10"/>
  <c r="I6" i="10" s="1"/>
  <c r="J6" i="10" s="1"/>
  <c r="A6" i="10"/>
  <c r="C23" i="9"/>
  <c r="B23" i="9"/>
  <c r="C22" i="9"/>
  <c r="B22" i="9"/>
  <c r="C21" i="9"/>
  <c r="B21" i="9"/>
  <c r="C20" i="9"/>
  <c r="B20" i="9"/>
  <c r="F45" i="8"/>
  <c r="F44" i="8"/>
  <c r="F43" i="8"/>
  <c r="F42" i="8"/>
  <c r="F41" i="8"/>
  <c r="F40" i="8"/>
  <c r="F39" i="8"/>
  <c r="F38" i="8"/>
  <c r="F37" i="8"/>
  <c r="F36" i="8"/>
  <c r="F35" i="8"/>
  <c r="F34" i="8"/>
  <c r="F46" i="8" s="1"/>
  <c r="F33" i="8"/>
  <c r="F32" i="8"/>
  <c r="F31" i="8"/>
  <c r="F30" i="8"/>
  <c r="F10" i="8"/>
  <c r="F9" i="8"/>
  <c r="F8" i="8"/>
  <c r="F7" i="8"/>
  <c r="F6" i="8"/>
  <c r="H86" i="7"/>
  <c r="G86" i="7"/>
  <c r="H85" i="7"/>
  <c r="G85" i="7"/>
  <c r="H84" i="7"/>
  <c r="G84" i="7"/>
  <c r="H83" i="7"/>
  <c r="G83" i="7"/>
  <c r="K66" i="7"/>
  <c r="J66" i="7"/>
  <c r="L66" i="7" s="1"/>
  <c r="I66" i="7"/>
  <c r="H66" i="7"/>
  <c r="G66" i="7"/>
  <c r="F66" i="7"/>
  <c r="E66" i="7"/>
  <c r="D66" i="7"/>
  <c r="C66" i="7"/>
  <c r="B66" i="7"/>
  <c r="K65" i="7"/>
  <c r="J65" i="7"/>
  <c r="I65" i="7"/>
  <c r="L65" i="7" s="1"/>
  <c r="H65" i="7"/>
  <c r="G65" i="7"/>
  <c r="F65" i="7"/>
  <c r="E65" i="7"/>
  <c r="D65" i="7"/>
  <c r="C65" i="7"/>
  <c r="B65" i="7"/>
  <c r="L64" i="7"/>
  <c r="K64" i="7"/>
  <c r="J64" i="7"/>
  <c r="I64" i="7"/>
  <c r="H64" i="7"/>
  <c r="G64" i="7"/>
  <c r="F64" i="7"/>
  <c r="E64" i="7"/>
  <c r="D64" i="7"/>
  <c r="C64" i="7"/>
  <c r="B64" i="7"/>
  <c r="K63" i="7"/>
  <c r="J63" i="7"/>
  <c r="I63" i="7"/>
  <c r="L63" i="7" s="1"/>
  <c r="H63" i="7"/>
  <c r="G63" i="7"/>
  <c r="F63" i="7"/>
  <c r="E63" i="7"/>
  <c r="D63" i="7"/>
  <c r="C63" i="7"/>
  <c r="B63" i="7"/>
  <c r="I116" i="6"/>
  <c r="E116" i="6"/>
  <c r="F116" i="6" s="1"/>
  <c r="H116" i="6" s="1"/>
  <c r="B116" i="6"/>
  <c r="I115" i="6"/>
  <c r="E115" i="6"/>
  <c r="F115" i="6" s="1"/>
  <c r="B115" i="6"/>
  <c r="I114" i="6"/>
  <c r="G114" i="6"/>
  <c r="E114" i="6"/>
  <c r="F114" i="6" s="1"/>
  <c r="H114" i="6" s="1"/>
  <c r="B114" i="6"/>
  <c r="I113" i="6"/>
  <c r="E113" i="6"/>
  <c r="F113" i="6" s="1"/>
  <c r="B113" i="6"/>
  <c r="I112" i="6"/>
  <c r="E112" i="6"/>
  <c r="F112" i="6" s="1"/>
  <c r="B112" i="6"/>
  <c r="I111" i="6"/>
  <c r="E111" i="6"/>
  <c r="F111" i="6" s="1"/>
  <c r="B111" i="6"/>
  <c r="I110" i="6"/>
  <c r="H110" i="6"/>
  <c r="E110" i="6"/>
  <c r="F110" i="6" s="1"/>
  <c r="Z11" i="11" s="1"/>
  <c r="B110" i="6"/>
  <c r="I109" i="6"/>
  <c r="H109" i="6"/>
  <c r="E109" i="6"/>
  <c r="F109" i="6" s="1"/>
  <c r="Z10" i="11" s="1"/>
  <c r="B109" i="6"/>
  <c r="I108" i="6"/>
  <c r="H108" i="6"/>
  <c r="G108" i="6"/>
  <c r="E108" i="6"/>
  <c r="F108" i="6" s="1"/>
  <c r="Z9" i="11" s="1"/>
  <c r="B108" i="6"/>
  <c r="I107" i="6"/>
  <c r="F107" i="6"/>
  <c r="E107" i="6"/>
  <c r="B107" i="6"/>
  <c r="I106" i="6"/>
  <c r="G106" i="6"/>
  <c r="F106" i="6"/>
  <c r="E106" i="6"/>
  <c r="B106" i="6"/>
  <c r="I105" i="6"/>
  <c r="F105" i="6"/>
  <c r="E105" i="6"/>
  <c r="B105" i="6"/>
  <c r="I104" i="6"/>
  <c r="F104" i="6"/>
  <c r="E104" i="6"/>
  <c r="B104" i="6"/>
  <c r="I103" i="6"/>
  <c r="G103" i="6"/>
  <c r="F103" i="6"/>
  <c r="E103" i="6"/>
  <c r="B103" i="6"/>
  <c r="I102" i="6"/>
  <c r="F102" i="6"/>
  <c r="E102" i="6"/>
  <c r="B102" i="6"/>
  <c r="I101" i="6"/>
  <c r="F101" i="6"/>
  <c r="E101" i="6"/>
  <c r="B101" i="6"/>
  <c r="I97" i="6"/>
  <c r="G97" i="6"/>
  <c r="F97" i="6"/>
  <c r="H97" i="6" s="1"/>
  <c r="E97" i="6"/>
  <c r="B97" i="6"/>
  <c r="I96" i="6"/>
  <c r="F96" i="6"/>
  <c r="H96" i="6" s="1"/>
  <c r="E96" i="6"/>
  <c r="B96" i="6"/>
  <c r="I95" i="6"/>
  <c r="F95" i="6"/>
  <c r="H95" i="6" s="1"/>
  <c r="E95" i="6"/>
  <c r="B95" i="6"/>
  <c r="I94" i="6"/>
  <c r="G94" i="6"/>
  <c r="F94" i="6"/>
  <c r="H94" i="6" s="1"/>
  <c r="E94" i="6"/>
  <c r="B94" i="6"/>
  <c r="I93" i="6"/>
  <c r="F93" i="6"/>
  <c r="E93" i="6"/>
  <c r="B93" i="6"/>
  <c r="I92" i="6"/>
  <c r="F92" i="6"/>
  <c r="E92" i="6"/>
  <c r="B92" i="6"/>
  <c r="I91" i="6"/>
  <c r="G91" i="6"/>
  <c r="F91" i="6"/>
  <c r="E91" i="6"/>
  <c r="B91" i="6"/>
  <c r="I90" i="6"/>
  <c r="F90" i="6"/>
  <c r="E90" i="6"/>
  <c r="B90" i="6"/>
  <c r="I89" i="6"/>
  <c r="F89" i="6"/>
  <c r="E89" i="6"/>
  <c r="B89" i="6"/>
  <c r="I88" i="6"/>
  <c r="G88" i="6"/>
  <c r="F88" i="6"/>
  <c r="E88" i="6"/>
  <c r="B88" i="6"/>
  <c r="I87" i="6"/>
  <c r="F87" i="6"/>
  <c r="E87" i="6"/>
  <c r="B87" i="6"/>
  <c r="I86" i="6"/>
  <c r="F86" i="6"/>
  <c r="E86" i="6"/>
  <c r="B86" i="6"/>
  <c r="I85" i="6"/>
  <c r="F85" i="6"/>
  <c r="E85" i="6"/>
  <c r="B85" i="6"/>
  <c r="I84" i="6"/>
  <c r="F84" i="6"/>
  <c r="E84" i="6"/>
  <c r="B84" i="6"/>
  <c r="I83" i="6"/>
  <c r="E83" i="6"/>
  <c r="F83" i="6" s="1"/>
  <c r="B83" i="6"/>
  <c r="I82" i="6"/>
  <c r="G82" i="6"/>
  <c r="F82" i="6"/>
  <c r="E82" i="6"/>
  <c r="B82" i="6"/>
  <c r="I78" i="6"/>
  <c r="F78" i="6"/>
  <c r="H78" i="6" s="1"/>
  <c r="E78" i="6"/>
  <c r="B78" i="6"/>
  <c r="I77" i="6"/>
  <c r="F77" i="6"/>
  <c r="E77" i="6"/>
  <c r="B77" i="6"/>
  <c r="I76" i="6"/>
  <c r="E76" i="6"/>
  <c r="F76" i="6" s="1"/>
  <c r="B76" i="6"/>
  <c r="I75" i="6"/>
  <c r="F75" i="6"/>
  <c r="H75" i="6" s="1"/>
  <c r="E75" i="6"/>
  <c r="B75" i="6"/>
  <c r="I74" i="6"/>
  <c r="F74" i="6"/>
  <c r="E74" i="6"/>
  <c r="B74" i="6"/>
  <c r="I73" i="6"/>
  <c r="F73" i="6"/>
  <c r="X12" i="11" s="1"/>
  <c r="E73" i="6"/>
  <c r="B73" i="6"/>
  <c r="I72" i="6"/>
  <c r="E72" i="6"/>
  <c r="F72" i="6" s="1"/>
  <c r="B72" i="6"/>
  <c r="I71" i="6"/>
  <c r="H71" i="6"/>
  <c r="F71" i="6"/>
  <c r="G71" i="6" s="1"/>
  <c r="E71" i="6"/>
  <c r="B71" i="6"/>
  <c r="I70" i="6"/>
  <c r="E70" i="6"/>
  <c r="F70" i="6" s="1"/>
  <c r="G70" i="6" s="1"/>
  <c r="B70" i="6"/>
  <c r="I69" i="6"/>
  <c r="G69" i="6"/>
  <c r="F69" i="6"/>
  <c r="X8" i="11" s="1"/>
  <c r="E69" i="6"/>
  <c r="B69" i="6"/>
  <c r="I68" i="6"/>
  <c r="G68" i="6"/>
  <c r="F68" i="6"/>
  <c r="E68" i="6"/>
  <c r="B68" i="6"/>
  <c r="I67" i="6"/>
  <c r="F67" i="6"/>
  <c r="X6" i="11" s="1"/>
  <c r="E67" i="6"/>
  <c r="B67" i="6"/>
  <c r="I66" i="6"/>
  <c r="F66" i="6"/>
  <c r="E66" i="6"/>
  <c r="B66" i="6"/>
  <c r="I65" i="6"/>
  <c r="H65" i="6"/>
  <c r="F65" i="6"/>
  <c r="X4" i="11" s="1"/>
  <c r="E65" i="6"/>
  <c r="B65" i="6"/>
  <c r="I64" i="6"/>
  <c r="E64" i="6"/>
  <c r="F64" i="6" s="1"/>
  <c r="B64" i="6"/>
  <c r="I63" i="6"/>
  <c r="H63" i="6"/>
  <c r="G63" i="6"/>
  <c r="F63" i="6"/>
  <c r="X2" i="11" s="1"/>
  <c r="E63" i="6"/>
  <c r="B63" i="6"/>
  <c r="I59" i="6"/>
  <c r="F59" i="6"/>
  <c r="H59" i="6" s="1"/>
  <c r="E59" i="6"/>
  <c r="B59" i="6"/>
  <c r="I58" i="6"/>
  <c r="F58" i="6"/>
  <c r="H58" i="6" s="1"/>
  <c r="E58" i="6"/>
  <c r="B58" i="6"/>
  <c r="I57" i="6"/>
  <c r="E57" i="6"/>
  <c r="F57" i="6" s="1"/>
  <c r="B57" i="6"/>
  <c r="I56" i="6"/>
  <c r="H56" i="6"/>
  <c r="F56" i="6"/>
  <c r="G56" i="6" s="1"/>
  <c r="E56" i="6"/>
  <c r="B56" i="6"/>
  <c r="I55" i="6"/>
  <c r="G55" i="6"/>
  <c r="E55" i="6"/>
  <c r="F55" i="6" s="1"/>
  <c r="B55" i="6"/>
  <c r="I54" i="6"/>
  <c r="H54" i="6"/>
  <c r="G54" i="6"/>
  <c r="F54" i="6"/>
  <c r="W12" i="11" s="1"/>
  <c r="E54" i="6"/>
  <c r="B54" i="6"/>
  <c r="I53" i="6"/>
  <c r="F53" i="6"/>
  <c r="E53" i="6"/>
  <c r="B53" i="6"/>
  <c r="I52" i="6"/>
  <c r="G52" i="6"/>
  <c r="F52" i="6"/>
  <c r="E52" i="6"/>
  <c r="B52" i="6"/>
  <c r="I51" i="6"/>
  <c r="E51" i="6"/>
  <c r="F51" i="6" s="1"/>
  <c r="B51" i="6"/>
  <c r="I50" i="6"/>
  <c r="F50" i="6"/>
  <c r="E50" i="6"/>
  <c r="B50" i="6"/>
  <c r="I49" i="6"/>
  <c r="E49" i="6"/>
  <c r="F49" i="6" s="1"/>
  <c r="B49" i="6"/>
  <c r="I48" i="6"/>
  <c r="H48" i="6"/>
  <c r="G48" i="6"/>
  <c r="F48" i="6"/>
  <c r="W6" i="11" s="1"/>
  <c r="E48" i="6"/>
  <c r="B48" i="6"/>
  <c r="I47" i="6"/>
  <c r="E47" i="6"/>
  <c r="F47" i="6" s="1"/>
  <c r="B47" i="6"/>
  <c r="I46" i="6"/>
  <c r="G46" i="6"/>
  <c r="F46" i="6"/>
  <c r="W4" i="11" s="1"/>
  <c r="E46" i="6"/>
  <c r="B46" i="6"/>
  <c r="I45" i="6"/>
  <c r="E45" i="6"/>
  <c r="F45" i="6" s="1"/>
  <c r="B45" i="6"/>
  <c r="I44" i="6"/>
  <c r="F44" i="6"/>
  <c r="W2" i="11" s="1"/>
  <c r="E44" i="6"/>
  <c r="B44" i="6"/>
  <c r="I40" i="6"/>
  <c r="E40" i="6"/>
  <c r="F40" i="6" s="1"/>
  <c r="B40" i="6"/>
  <c r="I39" i="6"/>
  <c r="F39" i="6"/>
  <c r="H39" i="6" s="1"/>
  <c r="E39" i="6"/>
  <c r="B39" i="6"/>
  <c r="I38" i="6"/>
  <c r="E38" i="6"/>
  <c r="F38" i="6" s="1"/>
  <c r="B38" i="6"/>
  <c r="I37" i="6"/>
  <c r="F37" i="6"/>
  <c r="E37" i="6"/>
  <c r="B37" i="6"/>
  <c r="I36" i="6"/>
  <c r="E36" i="6"/>
  <c r="F36" i="6" s="1"/>
  <c r="B36" i="6"/>
  <c r="I35" i="6"/>
  <c r="F35" i="6"/>
  <c r="E35" i="6"/>
  <c r="B35" i="6"/>
  <c r="I34" i="6"/>
  <c r="E34" i="6"/>
  <c r="F34" i="6" s="1"/>
  <c r="B34" i="6"/>
  <c r="I33" i="6"/>
  <c r="F33" i="6"/>
  <c r="E33" i="6"/>
  <c r="B33" i="6"/>
  <c r="I32" i="6"/>
  <c r="E32" i="6"/>
  <c r="F32" i="6" s="1"/>
  <c r="B32" i="6"/>
  <c r="I31" i="6"/>
  <c r="F31" i="6"/>
  <c r="E31" i="6"/>
  <c r="B31" i="6"/>
  <c r="I30" i="6"/>
  <c r="E30" i="6"/>
  <c r="F30" i="6" s="1"/>
  <c r="B30" i="6"/>
  <c r="I29" i="6"/>
  <c r="F29" i="6"/>
  <c r="E29" i="6"/>
  <c r="B29" i="6"/>
  <c r="I28" i="6"/>
  <c r="E28" i="6"/>
  <c r="F28" i="6" s="1"/>
  <c r="B28" i="6"/>
  <c r="I27" i="6"/>
  <c r="F27" i="6"/>
  <c r="E27" i="6"/>
  <c r="B27" i="6"/>
  <c r="I26" i="6"/>
  <c r="E26" i="6"/>
  <c r="F26" i="6" s="1"/>
  <c r="B26" i="6"/>
  <c r="I25" i="6"/>
  <c r="E25" i="6"/>
  <c r="F25" i="6" s="1"/>
  <c r="B25" i="6"/>
  <c r="I21" i="6"/>
  <c r="E21" i="6"/>
  <c r="F21" i="6" s="1"/>
  <c r="B21" i="6"/>
  <c r="I20" i="6"/>
  <c r="E20" i="6"/>
  <c r="F20" i="6" s="1"/>
  <c r="B20" i="6"/>
  <c r="I19" i="6"/>
  <c r="E19" i="6"/>
  <c r="F19" i="6" s="1"/>
  <c r="B19" i="6"/>
  <c r="I18" i="6"/>
  <c r="G18" i="6"/>
  <c r="F18" i="6"/>
  <c r="H18" i="6" s="1"/>
  <c r="E18" i="6"/>
  <c r="B18" i="6"/>
  <c r="I17" i="6"/>
  <c r="E17" i="6"/>
  <c r="F17" i="6" s="1"/>
  <c r="B17" i="6"/>
  <c r="I16" i="6"/>
  <c r="AC12" i="11" s="1"/>
  <c r="E16" i="6"/>
  <c r="F16" i="6" s="1"/>
  <c r="B16" i="6"/>
  <c r="I15" i="6"/>
  <c r="AC11" i="11" s="1"/>
  <c r="E15" i="6"/>
  <c r="F15" i="6" s="1"/>
  <c r="B15" i="6"/>
  <c r="I14" i="6"/>
  <c r="AC10" i="11" s="1"/>
  <c r="E14" i="6"/>
  <c r="F14" i="6" s="1"/>
  <c r="B14" i="6"/>
  <c r="I13" i="6"/>
  <c r="AC9" i="11" s="1"/>
  <c r="E13" i="6"/>
  <c r="F13" i="6" s="1"/>
  <c r="B13" i="6"/>
  <c r="I12" i="6"/>
  <c r="AC8" i="11" s="1"/>
  <c r="G12" i="6"/>
  <c r="F12" i="6"/>
  <c r="E12" i="6"/>
  <c r="B12" i="6"/>
  <c r="I11" i="6"/>
  <c r="AC7" i="11" s="1"/>
  <c r="E11" i="6"/>
  <c r="F11" i="6" s="1"/>
  <c r="B11" i="6"/>
  <c r="I10" i="6"/>
  <c r="AC6" i="11" s="1"/>
  <c r="E10" i="6"/>
  <c r="F10" i="6" s="1"/>
  <c r="B10" i="6"/>
  <c r="I9" i="6"/>
  <c r="AC5" i="11" s="1"/>
  <c r="E9" i="6"/>
  <c r="F9" i="6" s="1"/>
  <c r="B9" i="6"/>
  <c r="I8" i="6"/>
  <c r="AC4" i="11" s="1"/>
  <c r="E8" i="6"/>
  <c r="F8" i="6" s="1"/>
  <c r="B8" i="6"/>
  <c r="I7" i="6"/>
  <c r="AC3" i="11" s="1"/>
  <c r="E7" i="6"/>
  <c r="F7" i="6" s="1"/>
  <c r="B7" i="6"/>
  <c r="I6" i="6"/>
  <c r="AC2" i="11" s="1"/>
  <c r="G6" i="6"/>
  <c r="F6" i="6"/>
  <c r="E6" i="6"/>
  <c r="B6" i="6"/>
  <c r="H116" i="5"/>
  <c r="E116" i="5"/>
  <c r="F116" i="5" s="1"/>
  <c r="G116" i="5" s="1"/>
  <c r="I116" i="5" s="1"/>
  <c r="B116" i="5"/>
  <c r="H115" i="5"/>
  <c r="E115" i="5"/>
  <c r="F115" i="5" s="1"/>
  <c r="G115" i="5" s="1"/>
  <c r="I115" i="5" s="1"/>
  <c r="B115" i="5"/>
  <c r="H114" i="5"/>
  <c r="E114" i="5"/>
  <c r="F114" i="5" s="1"/>
  <c r="G114" i="5" s="1"/>
  <c r="I114" i="5" s="1"/>
  <c r="B114" i="5"/>
  <c r="H113" i="5"/>
  <c r="G113" i="5"/>
  <c r="I113" i="5" s="1"/>
  <c r="F113" i="5"/>
  <c r="E113" i="5"/>
  <c r="B113" i="5"/>
  <c r="H112" i="5"/>
  <c r="E112" i="5"/>
  <c r="F112" i="5" s="1"/>
  <c r="G112" i="5" s="1"/>
  <c r="I112" i="5" s="1"/>
  <c r="Q13" i="11" s="1"/>
  <c r="B112" i="5"/>
  <c r="H111" i="5"/>
  <c r="F111" i="5"/>
  <c r="G111" i="5" s="1"/>
  <c r="I111" i="5" s="1"/>
  <c r="Q12" i="11" s="1"/>
  <c r="E111" i="5"/>
  <c r="B111" i="5"/>
  <c r="H110" i="5"/>
  <c r="E110" i="5"/>
  <c r="F110" i="5" s="1"/>
  <c r="G110" i="5" s="1"/>
  <c r="I110" i="5" s="1"/>
  <c r="Q11" i="11" s="1"/>
  <c r="B110" i="5"/>
  <c r="H109" i="5"/>
  <c r="G109" i="5"/>
  <c r="I109" i="5" s="1"/>
  <c r="Q10" i="11" s="1"/>
  <c r="F109" i="5"/>
  <c r="E109" i="5"/>
  <c r="B109" i="5"/>
  <c r="H108" i="5"/>
  <c r="E108" i="5"/>
  <c r="F108" i="5" s="1"/>
  <c r="G108" i="5" s="1"/>
  <c r="I108" i="5" s="1"/>
  <c r="Q9" i="11" s="1"/>
  <c r="B108" i="5"/>
  <c r="H107" i="5"/>
  <c r="E107" i="5"/>
  <c r="F107" i="5" s="1"/>
  <c r="G107" i="5" s="1"/>
  <c r="I107" i="5" s="1"/>
  <c r="Q8" i="11" s="1"/>
  <c r="B107" i="5"/>
  <c r="H106" i="5"/>
  <c r="E106" i="5"/>
  <c r="F106" i="5" s="1"/>
  <c r="G106" i="5" s="1"/>
  <c r="I106" i="5" s="1"/>
  <c r="Q7" i="11" s="1"/>
  <c r="B106" i="5"/>
  <c r="H105" i="5"/>
  <c r="G105" i="5"/>
  <c r="I105" i="5" s="1"/>
  <c r="Q6" i="11" s="1"/>
  <c r="F105" i="5"/>
  <c r="E105" i="5"/>
  <c r="B105" i="5"/>
  <c r="H104" i="5"/>
  <c r="E104" i="5"/>
  <c r="F104" i="5" s="1"/>
  <c r="G104" i="5" s="1"/>
  <c r="I104" i="5" s="1"/>
  <c r="Q5" i="11" s="1"/>
  <c r="B104" i="5"/>
  <c r="H103" i="5"/>
  <c r="E103" i="5"/>
  <c r="F103" i="5" s="1"/>
  <c r="G103" i="5" s="1"/>
  <c r="I103" i="5" s="1"/>
  <c r="Q4" i="11" s="1"/>
  <c r="B103" i="5"/>
  <c r="H102" i="5"/>
  <c r="E102" i="5"/>
  <c r="F102" i="5" s="1"/>
  <c r="G102" i="5" s="1"/>
  <c r="I102" i="5" s="1"/>
  <c r="Q3" i="11" s="1"/>
  <c r="B102" i="5"/>
  <c r="H101" i="5"/>
  <c r="G101" i="5"/>
  <c r="I101" i="5" s="1"/>
  <c r="Q2" i="11" s="1"/>
  <c r="F101" i="5"/>
  <c r="E101" i="5"/>
  <c r="B101" i="5"/>
  <c r="H97" i="5"/>
  <c r="E97" i="5"/>
  <c r="F97" i="5" s="1"/>
  <c r="G97" i="5" s="1"/>
  <c r="I97" i="5" s="1"/>
  <c r="B97" i="5"/>
  <c r="H96" i="5"/>
  <c r="E96" i="5"/>
  <c r="F96" i="5" s="1"/>
  <c r="G96" i="5" s="1"/>
  <c r="I96" i="5" s="1"/>
  <c r="B96" i="5"/>
  <c r="H95" i="5"/>
  <c r="E95" i="5"/>
  <c r="F95" i="5" s="1"/>
  <c r="G95" i="5" s="1"/>
  <c r="I95" i="5" s="1"/>
  <c r="B95" i="5"/>
  <c r="H94" i="5"/>
  <c r="G94" i="5"/>
  <c r="I94" i="5" s="1"/>
  <c r="F94" i="5"/>
  <c r="E94" i="5"/>
  <c r="B94" i="5"/>
  <c r="H93" i="5"/>
  <c r="E93" i="5"/>
  <c r="F93" i="5" s="1"/>
  <c r="G93" i="5" s="1"/>
  <c r="I93" i="5" s="1"/>
  <c r="P13" i="11" s="1"/>
  <c r="B93" i="5"/>
  <c r="H92" i="5"/>
  <c r="E92" i="5"/>
  <c r="F92" i="5" s="1"/>
  <c r="G92" i="5" s="1"/>
  <c r="I92" i="5" s="1"/>
  <c r="P12" i="11" s="1"/>
  <c r="B92" i="5"/>
  <c r="H91" i="5"/>
  <c r="E91" i="5"/>
  <c r="F91" i="5" s="1"/>
  <c r="G91" i="5" s="1"/>
  <c r="I91" i="5" s="1"/>
  <c r="P11" i="11" s="1"/>
  <c r="B91" i="5"/>
  <c r="H90" i="5"/>
  <c r="I90" i="5" s="1"/>
  <c r="P10" i="11" s="1"/>
  <c r="G90" i="5"/>
  <c r="F90" i="5"/>
  <c r="E90" i="5"/>
  <c r="B90" i="5"/>
  <c r="H89" i="5"/>
  <c r="E89" i="5"/>
  <c r="F89" i="5" s="1"/>
  <c r="G89" i="5" s="1"/>
  <c r="I89" i="5" s="1"/>
  <c r="P9" i="11" s="1"/>
  <c r="B89" i="5"/>
  <c r="H88" i="5"/>
  <c r="F88" i="5"/>
  <c r="G88" i="5" s="1"/>
  <c r="I88" i="5" s="1"/>
  <c r="P8" i="11" s="1"/>
  <c r="E88" i="5"/>
  <c r="B88" i="5"/>
  <c r="H87" i="5"/>
  <c r="E87" i="5"/>
  <c r="F87" i="5" s="1"/>
  <c r="G87" i="5" s="1"/>
  <c r="I87" i="5" s="1"/>
  <c r="P7" i="11" s="1"/>
  <c r="B87" i="5"/>
  <c r="H86" i="5"/>
  <c r="E86" i="5"/>
  <c r="F86" i="5" s="1"/>
  <c r="G86" i="5" s="1"/>
  <c r="I86" i="5" s="1"/>
  <c r="P6" i="11" s="1"/>
  <c r="B86" i="5"/>
  <c r="I85" i="5"/>
  <c r="P5" i="11" s="1"/>
  <c r="H85" i="5"/>
  <c r="G85" i="5"/>
  <c r="E85" i="5"/>
  <c r="F85" i="5" s="1"/>
  <c r="B85" i="5"/>
  <c r="H84" i="5"/>
  <c r="E84" i="5"/>
  <c r="F84" i="5" s="1"/>
  <c r="G84" i="5" s="1"/>
  <c r="I84" i="5" s="1"/>
  <c r="P4" i="11" s="1"/>
  <c r="B84" i="5"/>
  <c r="I83" i="5"/>
  <c r="P3" i="11" s="1"/>
  <c r="H83" i="5"/>
  <c r="G83" i="5"/>
  <c r="E83" i="5"/>
  <c r="F83" i="5" s="1"/>
  <c r="B83" i="5"/>
  <c r="H82" i="5"/>
  <c r="E82" i="5"/>
  <c r="F82" i="5" s="1"/>
  <c r="G82" i="5" s="1"/>
  <c r="I82" i="5" s="1"/>
  <c r="P2" i="11" s="1"/>
  <c r="B82" i="5"/>
  <c r="H78" i="5"/>
  <c r="I78" i="5" s="1"/>
  <c r="G78" i="5"/>
  <c r="E78" i="5"/>
  <c r="F78" i="5" s="1"/>
  <c r="B78" i="5"/>
  <c r="H77" i="5"/>
  <c r="G77" i="5"/>
  <c r="I77" i="5" s="1"/>
  <c r="F77" i="5"/>
  <c r="E77" i="5"/>
  <c r="B77" i="5"/>
  <c r="H76" i="5"/>
  <c r="G76" i="5"/>
  <c r="I76" i="5" s="1"/>
  <c r="E76" i="5"/>
  <c r="F76" i="5" s="1"/>
  <c r="B76" i="5"/>
  <c r="H75" i="5"/>
  <c r="F75" i="5"/>
  <c r="G75" i="5" s="1"/>
  <c r="I75" i="5" s="1"/>
  <c r="E75" i="5"/>
  <c r="B75" i="5"/>
  <c r="H74" i="5"/>
  <c r="E74" i="5"/>
  <c r="F74" i="5" s="1"/>
  <c r="G74" i="5" s="1"/>
  <c r="I74" i="5" s="1"/>
  <c r="O13" i="11" s="1"/>
  <c r="B74" i="5"/>
  <c r="H73" i="5"/>
  <c r="E73" i="5"/>
  <c r="F73" i="5" s="1"/>
  <c r="G73" i="5" s="1"/>
  <c r="I73" i="5" s="1"/>
  <c r="O12" i="11" s="1"/>
  <c r="B73" i="5"/>
  <c r="H72" i="5"/>
  <c r="E72" i="5"/>
  <c r="F72" i="5" s="1"/>
  <c r="G72" i="5" s="1"/>
  <c r="I72" i="5" s="1"/>
  <c r="O11" i="11" s="1"/>
  <c r="B72" i="5"/>
  <c r="H71" i="5"/>
  <c r="E71" i="5"/>
  <c r="F71" i="5" s="1"/>
  <c r="G71" i="5" s="1"/>
  <c r="I71" i="5" s="1"/>
  <c r="O10" i="11" s="1"/>
  <c r="B71" i="5"/>
  <c r="H70" i="5"/>
  <c r="E70" i="5"/>
  <c r="F70" i="5" s="1"/>
  <c r="G70" i="5" s="1"/>
  <c r="I70" i="5" s="1"/>
  <c r="O9" i="11" s="1"/>
  <c r="B70" i="5"/>
  <c r="I69" i="5"/>
  <c r="O8" i="11" s="1"/>
  <c r="H69" i="5"/>
  <c r="G69" i="5"/>
  <c r="F69" i="5"/>
  <c r="E69" i="5"/>
  <c r="B69" i="5"/>
  <c r="H68" i="5"/>
  <c r="E68" i="5"/>
  <c r="F68" i="5" s="1"/>
  <c r="G68" i="5" s="1"/>
  <c r="I68" i="5" s="1"/>
  <c r="O7" i="11" s="1"/>
  <c r="B68" i="5"/>
  <c r="H67" i="5"/>
  <c r="I67" i="5" s="1"/>
  <c r="O6" i="11" s="1"/>
  <c r="G67" i="5"/>
  <c r="F67" i="5"/>
  <c r="E67" i="5"/>
  <c r="B67" i="5"/>
  <c r="H66" i="5"/>
  <c r="G66" i="5"/>
  <c r="I66" i="5" s="1"/>
  <c r="O5" i="11" s="1"/>
  <c r="E66" i="5"/>
  <c r="F66" i="5" s="1"/>
  <c r="B66" i="5"/>
  <c r="H65" i="5"/>
  <c r="G65" i="5"/>
  <c r="I65" i="5" s="1"/>
  <c r="O4" i="11" s="1"/>
  <c r="F65" i="5"/>
  <c r="E65" i="5"/>
  <c r="B65" i="5"/>
  <c r="H64" i="5"/>
  <c r="G64" i="5"/>
  <c r="I64" i="5" s="1"/>
  <c r="O3" i="11" s="1"/>
  <c r="E64" i="5"/>
  <c r="F64" i="5" s="1"/>
  <c r="B64" i="5"/>
  <c r="H63" i="5"/>
  <c r="F63" i="5"/>
  <c r="G63" i="5" s="1"/>
  <c r="I63" i="5" s="1"/>
  <c r="O2" i="11" s="1"/>
  <c r="E63" i="5"/>
  <c r="B63" i="5"/>
  <c r="H59" i="5"/>
  <c r="E59" i="5"/>
  <c r="F59" i="5" s="1"/>
  <c r="G59" i="5" s="1"/>
  <c r="I59" i="5" s="1"/>
  <c r="B59" i="5"/>
  <c r="H58" i="5"/>
  <c r="E58" i="5"/>
  <c r="F58" i="5" s="1"/>
  <c r="G58" i="5" s="1"/>
  <c r="I58" i="5" s="1"/>
  <c r="B58" i="5"/>
  <c r="H57" i="5"/>
  <c r="E57" i="5"/>
  <c r="F57" i="5" s="1"/>
  <c r="G57" i="5" s="1"/>
  <c r="I57" i="5" s="1"/>
  <c r="B57" i="5"/>
  <c r="H56" i="5"/>
  <c r="E56" i="5"/>
  <c r="F56" i="5" s="1"/>
  <c r="G56" i="5" s="1"/>
  <c r="I56" i="5" s="1"/>
  <c r="B56" i="5"/>
  <c r="I55" i="5"/>
  <c r="N13" i="11" s="1"/>
  <c r="H55" i="5"/>
  <c r="G55" i="5"/>
  <c r="E55" i="5"/>
  <c r="F55" i="5" s="1"/>
  <c r="B55" i="5"/>
  <c r="H54" i="5"/>
  <c r="E54" i="5"/>
  <c r="F54" i="5" s="1"/>
  <c r="G54" i="5" s="1"/>
  <c r="I54" i="5" s="1"/>
  <c r="N12" i="11" s="1"/>
  <c r="B54" i="5"/>
  <c r="I53" i="5"/>
  <c r="N11" i="11" s="1"/>
  <c r="H53" i="5"/>
  <c r="G53" i="5"/>
  <c r="E53" i="5"/>
  <c r="F53" i="5" s="1"/>
  <c r="B53" i="5"/>
  <c r="H52" i="5"/>
  <c r="E52" i="5"/>
  <c r="F52" i="5" s="1"/>
  <c r="G52" i="5" s="1"/>
  <c r="I52" i="5" s="1"/>
  <c r="N10" i="11" s="1"/>
  <c r="B52" i="5"/>
  <c r="H51" i="5"/>
  <c r="I51" i="5" s="1"/>
  <c r="N9" i="11" s="1"/>
  <c r="G51" i="5"/>
  <c r="E51" i="5"/>
  <c r="F51" i="5" s="1"/>
  <c r="B51" i="5"/>
  <c r="H50" i="5"/>
  <c r="G50" i="5"/>
  <c r="I50" i="5" s="1"/>
  <c r="N8" i="11" s="1"/>
  <c r="F50" i="5"/>
  <c r="E50" i="5"/>
  <c r="B50" i="5"/>
  <c r="H49" i="5"/>
  <c r="G49" i="5"/>
  <c r="I49" i="5" s="1"/>
  <c r="N7" i="11" s="1"/>
  <c r="E49" i="5"/>
  <c r="F49" i="5" s="1"/>
  <c r="B49" i="5"/>
  <c r="H48" i="5"/>
  <c r="F48" i="5"/>
  <c r="G48" i="5" s="1"/>
  <c r="I48" i="5" s="1"/>
  <c r="N6" i="11" s="1"/>
  <c r="E48" i="5"/>
  <c r="B48" i="5"/>
  <c r="H47" i="5"/>
  <c r="E47" i="5"/>
  <c r="F47" i="5" s="1"/>
  <c r="G47" i="5" s="1"/>
  <c r="I47" i="5" s="1"/>
  <c r="N5" i="11" s="1"/>
  <c r="B47" i="5"/>
  <c r="H46" i="5"/>
  <c r="E46" i="5"/>
  <c r="F46" i="5" s="1"/>
  <c r="G46" i="5" s="1"/>
  <c r="I46" i="5" s="1"/>
  <c r="N4" i="11" s="1"/>
  <c r="B46" i="5"/>
  <c r="H45" i="5"/>
  <c r="E45" i="5"/>
  <c r="F45" i="5" s="1"/>
  <c r="G45" i="5" s="1"/>
  <c r="I45" i="5" s="1"/>
  <c r="N3" i="11" s="1"/>
  <c r="B45" i="5"/>
  <c r="H44" i="5"/>
  <c r="E44" i="5"/>
  <c r="F44" i="5" s="1"/>
  <c r="G44" i="5" s="1"/>
  <c r="I44" i="5" s="1"/>
  <c r="N2" i="11" s="1"/>
  <c r="B44" i="5"/>
  <c r="H40" i="5"/>
  <c r="E40" i="5"/>
  <c r="F40" i="5" s="1"/>
  <c r="G40" i="5" s="1"/>
  <c r="I40" i="5" s="1"/>
  <c r="B40" i="5"/>
  <c r="I39" i="5"/>
  <c r="H39" i="5"/>
  <c r="G39" i="5"/>
  <c r="F39" i="5"/>
  <c r="E39" i="5"/>
  <c r="B39" i="5"/>
  <c r="H38" i="5"/>
  <c r="E38" i="5"/>
  <c r="F38" i="5" s="1"/>
  <c r="G38" i="5" s="1"/>
  <c r="I38" i="5" s="1"/>
  <c r="B38" i="5"/>
  <c r="H37" i="5"/>
  <c r="I37" i="5" s="1"/>
  <c r="G37" i="5"/>
  <c r="F37" i="5"/>
  <c r="E37" i="5"/>
  <c r="B37" i="5"/>
  <c r="H36" i="5"/>
  <c r="G36" i="5"/>
  <c r="I36" i="5" s="1"/>
  <c r="M13" i="11" s="1"/>
  <c r="E36" i="5"/>
  <c r="F36" i="5" s="1"/>
  <c r="B36" i="5"/>
  <c r="H35" i="5"/>
  <c r="G35" i="5"/>
  <c r="I35" i="5" s="1"/>
  <c r="M12" i="11" s="1"/>
  <c r="F35" i="5"/>
  <c r="E35" i="5"/>
  <c r="B35" i="5"/>
  <c r="H34" i="5"/>
  <c r="G34" i="5"/>
  <c r="I34" i="5" s="1"/>
  <c r="M11" i="11" s="1"/>
  <c r="E34" i="5"/>
  <c r="F34" i="5" s="1"/>
  <c r="B34" i="5"/>
  <c r="H33" i="5"/>
  <c r="F33" i="5"/>
  <c r="G33" i="5" s="1"/>
  <c r="I33" i="5" s="1"/>
  <c r="M10" i="11" s="1"/>
  <c r="E33" i="5"/>
  <c r="B33" i="5"/>
  <c r="H32" i="5"/>
  <c r="E32" i="5"/>
  <c r="F32" i="5" s="1"/>
  <c r="G32" i="5" s="1"/>
  <c r="I32" i="5" s="1"/>
  <c r="M9" i="11" s="1"/>
  <c r="B32" i="5"/>
  <c r="H31" i="5"/>
  <c r="E31" i="5"/>
  <c r="F31" i="5" s="1"/>
  <c r="G31" i="5" s="1"/>
  <c r="I31" i="5" s="1"/>
  <c r="M8" i="11" s="1"/>
  <c r="B31" i="5"/>
  <c r="H30" i="5"/>
  <c r="E30" i="5"/>
  <c r="F30" i="5" s="1"/>
  <c r="G30" i="5" s="1"/>
  <c r="I30" i="5" s="1"/>
  <c r="M7" i="11" s="1"/>
  <c r="B30" i="5"/>
  <c r="H29" i="5"/>
  <c r="E29" i="5"/>
  <c r="F29" i="5" s="1"/>
  <c r="G29" i="5" s="1"/>
  <c r="I29" i="5" s="1"/>
  <c r="M6" i="11" s="1"/>
  <c r="B29" i="5"/>
  <c r="I28" i="5"/>
  <c r="M5" i="11" s="1"/>
  <c r="H28" i="5"/>
  <c r="G28" i="5"/>
  <c r="E28" i="5"/>
  <c r="F28" i="5" s="1"/>
  <c r="B28" i="5"/>
  <c r="H27" i="5"/>
  <c r="E27" i="5"/>
  <c r="F27" i="5" s="1"/>
  <c r="G27" i="5" s="1"/>
  <c r="I27" i="5" s="1"/>
  <c r="M4" i="11" s="1"/>
  <c r="B27" i="5"/>
  <c r="I26" i="5"/>
  <c r="M3" i="11" s="1"/>
  <c r="H26" i="5"/>
  <c r="G26" i="5"/>
  <c r="E26" i="5"/>
  <c r="F26" i="5" s="1"/>
  <c r="B26" i="5"/>
  <c r="H25" i="5"/>
  <c r="E25" i="5"/>
  <c r="F25" i="5" s="1"/>
  <c r="G25" i="5" s="1"/>
  <c r="I25" i="5" s="1"/>
  <c r="M2" i="11" s="1"/>
  <c r="B25" i="5"/>
  <c r="H21" i="5"/>
  <c r="I21" i="5" s="1"/>
  <c r="G21" i="5"/>
  <c r="E21" i="5"/>
  <c r="F21" i="5" s="1"/>
  <c r="B21" i="5"/>
  <c r="H20" i="5"/>
  <c r="G20" i="5"/>
  <c r="I20" i="5" s="1"/>
  <c r="F20" i="5"/>
  <c r="E20" i="5"/>
  <c r="B20" i="5"/>
  <c r="H19" i="5"/>
  <c r="G19" i="5"/>
  <c r="I19" i="5" s="1"/>
  <c r="E19" i="5"/>
  <c r="F19" i="5" s="1"/>
  <c r="B19" i="5"/>
  <c r="H18" i="5"/>
  <c r="F18" i="5"/>
  <c r="G18" i="5" s="1"/>
  <c r="I18" i="5" s="1"/>
  <c r="E18" i="5"/>
  <c r="B18" i="5"/>
  <c r="H17" i="5"/>
  <c r="E17" i="5"/>
  <c r="F17" i="5" s="1"/>
  <c r="S13" i="11" s="1"/>
  <c r="B17" i="5"/>
  <c r="H16" i="5"/>
  <c r="E16" i="5"/>
  <c r="F16" i="5" s="1"/>
  <c r="B16" i="5"/>
  <c r="H15" i="5"/>
  <c r="E15" i="5"/>
  <c r="F15" i="5" s="1"/>
  <c r="S11" i="11" s="1"/>
  <c r="B15" i="5"/>
  <c r="H14" i="5"/>
  <c r="E14" i="5"/>
  <c r="F14" i="5" s="1"/>
  <c r="B14" i="5"/>
  <c r="H13" i="5"/>
  <c r="E13" i="5"/>
  <c r="F13" i="5" s="1"/>
  <c r="S9" i="11" s="1"/>
  <c r="B13" i="5"/>
  <c r="I12" i="5"/>
  <c r="L8" i="11" s="1"/>
  <c r="H12" i="5"/>
  <c r="G12" i="5"/>
  <c r="F12" i="5"/>
  <c r="E12" i="5"/>
  <c r="B12" i="5"/>
  <c r="H11" i="5"/>
  <c r="E11" i="5"/>
  <c r="F11" i="5" s="1"/>
  <c r="S7" i="11" s="1"/>
  <c r="B11" i="5"/>
  <c r="H10" i="5"/>
  <c r="I10" i="5" s="1"/>
  <c r="L6" i="11" s="1"/>
  <c r="G10" i="5"/>
  <c r="F10" i="5"/>
  <c r="E10" i="5"/>
  <c r="B10" i="5"/>
  <c r="H9" i="5"/>
  <c r="G9" i="5"/>
  <c r="I9" i="5" s="1"/>
  <c r="L5" i="11" s="1"/>
  <c r="E9" i="5"/>
  <c r="F9" i="5" s="1"/>
  <c r="B9" i="5"/>
  <c r="H8" i="5"/>
  <c r="E8" i="5"/>
  <c r="F8" i="5" s="1"/>
  <c r="G8" i="5" s="1"/>
  <c r="I8" i="5" s="1"/>
  <c r="L4" i="11" s="1"/>
  <c r="B8" i="5"/>
  <c r="H7" i="5"/>
  <c r="G7" i="5"/>
  <c r="I7" i="5" s="1"/>
  <c r="L3" i="11" s="1"/>
  <c r="E7" i="5"/>
  <c r="F7" i="5" s="1"/>
  <c r="B7" i="5"/>
  <c r="H6" i="5"/>
  <c r="F6" i="5"/>
  <c r="E6" i="5"/>
  <c r="B6" i="5"/>
  <c r="H116" i="4"/>
  <c r="E116" i="4"/>
  <c r="F116" i="4" s="1"/>
  <c r="G116" i="4" s="1"/>
  <c r="I116" i="4" s="1"/>
  <c r="B116" i="4"/>
  <c r="H115" i="4"/>
  <c r="E115" i="4"/>
  <c r="F115" i="4" s="1"/>
  <c r="G115" i="4" s="1"/>
  <c r="I115" i="4" s="1"/>
  <c r="B115" i="4"/>
  <c r="H114" i="4"/>
  <c r="E114" i="4"/>
  <c r="F114" i="4" s="1"/>
  <c r="G114" i="4" s="1"/>
  <c r="I114" i="4" s="1"/>
  <c r="B114" i="4"/>
  <c r="H113" i="4"/>
  <c r="E113" i="4"/>
  <c r="F113" i="4" s="1"/>
  <c r="G113" i="4" s="1"/>
  <c r="I113" i="4" s="1"/>
  <c r="B113" i="4"/>
  <c r="I112" i="4"/>
  <c r="H13" i="11" s="1"/>
  <c r="H112" i="4"/>
  <c r="G112" i="4"/>
  <c r="E112" i="4"/>
  <c r="F112" i="4" s="1"/>
  <c r="B112" i="4"/>
  <c r="H111" i="4"/>
  <c r="E111" i="4"/>
  <c r="F111" i="4" s="1"/>
  <c r="G111" i="4" s="1"/>
  <c r="I111" i="4" s="1"/>
  <c r="H12" i="11" s="1"/>
  <c r="B111" i="4"/>
  <c r="I110" i="4"/>
  <c r="H11" i="11" s="1"/>
  <c r="H110" i="4"/>
  <c r="G110" i="4"/>
  <c r="F110" i="4"/>
  <c r="E110" i="4"/>
  <c r="B110" i="4"/>
  <c r="H109" i="4"/>
  <c r="E109" i="4"/>
  <c r="F109" i="4" s="1"/>
  <c r="G109" i="4" s="1"/>
  <c r="I109" i="4" s="1"/>
  <c r="H10" i="11" s="1"/>
  <c r="B109" i="4"/>
  <c r="I108" i="4"/>
  <c r="H9" i="11" s="1"/>
  <c r="H108" i="4"/>
  <c r="G108" i="4"/>
  <c r="F108" i="4"/>
  <c r="E108" i="4"/>
  <c r="B108" i="4"/>
  <c r="H107" i="4"/>
  <c r="E107" i="4"/>
  <c r="F107" i="4" s="1"/>
  <c r="G107" i="4" s="1"/>
  <c r="I107" i="4" s="1"/>
  <c r="H8" i="11" s="1"/>
  <c r="B107" i="4"/>
  <c r="I106" i="4"/>
  <c r="H7" i="11" s="1"/>
  <c r="H106" i="4"/>
  <c r="G106" i="4"/>
  <c r="F106" i="4"/>
  <c r="E106" i="4"/>
  <c r="B106" i="4"/>
  <c r="H105" i="4"/>
  <c r="E105" i="4"/>
  <c r="F105" i="4" s="1"/>
  <c r="G105" i="4" s="1"/>
  <c r="I105" i="4" s="1"/>
  <c r="H6" i="11" s="1"/>
  <c r="B105" i="4"/>
  <c r="I104" i="4"/>
  <c r="H5" i="11" s="1"/>
  <c r="H104" i="4"/>
  <c r="G104" i="4"/>
  <c r="F104" i="4"/>
  <c r="E104" i="4"/>
  <c r="B104" i="4"/>
  <c r="H103" i="4"/>
  <c r="E103" i="4"/>
  <c r="F103" i="4" s="1"/>
  <c r="G103" i="4" s="1"/>
  <c r="I103" i="4" s="1"/>
  <c r="H4" i="11" s="1"/>
  <c r="B103" i="4"/>
  <c r="I102" i="4"/>
  <c r="H3" i="11" s="1"/>
  <c r="H102" i="4"/>
  <c r="G102" i="4"/>
  <c r="F102" i="4"/>
  <c r="E102" i="4"/>
  <c r="B102" i="4"/>
  <c r="H101" i="4"/>
  <c r="E101" i="4"/>
  <c r="F101" i="4" s="1"/>
  <c r="G101" i="4" s="1"/>
  <c r="I101" i="4" s="1"/>
  <c r="H2" i="11" s="1"/>
  <c r="B101" i="4"/>
  <c r="I97" i="4"/>
  <c r="H97" i="4"/>
  <c r="G97" i="4"/>
  <c r="F97" i="4"/>
  <c r="E97" i="4"/>
  <c r="B97" i="4"/>
  <c r="H96" i="4"/>
  <c r="E96" i="4"/>
  <c r="F96" i="4" s="1"/>
  <c r="G96" i="4" s="1"/>
  <c r="I96" i="4" s="1"/>
  <c r="B96" i="4"/>
  <c r="I95" i="4"/>
  <c r="H95" i="4"/>
  <c r="G95" i="4"/>
  <c r="F95" i="4"/>
  <c r="E95" i="4"/>
  <c r="B95" i="4"/>
  <c r="H94" i="4"/>
  <c r="E94" i="4"/>
  <c r="F94" i="4" s="1"/>
  <c r="G94" i="4" s="1"/>
  <c r="I94" i="4" s="1"/>
  <c r="B94" i="4"/>
  <c r="I93" i="4"/>
  <c r="G13" i="11" s="1"/>
  <c r="H93" i="4"/>
  <c r="G93" i="4"/>
  <c r="F93" i="4"/>
  <c r="E93" i="4"/>
  <c r="B93" i="4"/>
  <c r="H92" i="4"/>
  <c r="E92" i="4"/>
  <c r="F92" i="4" s="1"/>
  <c r="G92" i="4" s="1"/>
  <c r="I92" i="4" s="1"/>
  <c r="G12" i="11" s="1"/>
  <c r="B92" i="4"/>
  <c r="I91" i="4"/>
  <c r="G11" i="11" s="1"/>
  <c r="H91" i="4"/>
  <c r="G91" i="4"/>
  <c r="F91" i="4"/>
  <c r="E91" i="4"/>
  <c r="B91" i="4"/>
  <c r="H90" i="4"/>
  <c r="E90" i="4"/>
  <c r="F90" i="4" s="1"/>
  <c r="G90" i="4" s="1"/>
  <c r="I90" i="4" s="1"/>
  <c r="G10" i="11" s="1"/>
  <c r="B90" i="4"/>
  <c r="I89" i="4"/>
  <c r="G9" i="11" s="1"/>
  <c r="H89" i="4"/>
  <c r="G89" i="4"/>
  <c r="F89" i="4"/>
  <c r="E89" i="4"/>
  <c r="B89" i="4"/>
  <c r="H88" i="4"/>
  <c r="E88" i="4"/>
  <c r="F88" i="4" s="1"/>
  <c r="G88" i="4" s="1"/>
  <c r="I88" i="4" s="1"/>
  <c r="G8" i="11" s="1"/>
  <c r="B88" i="4"/>
  <c r="I87" i="4"/>
  <c r="G7" i="11" s="1"/>
  <c r="H87" i="4"/>
  <c r="G87" i="4"/>
  <c r="F87" i="4"/>
  <c r="E87" i="4"/>
  <c r="B87" i="4"/>
  <c r="H86" i="4"/>
  <c r="E86" i="4"/>
  <c r="F86" i="4" s="1"/>
  <c r="G86" i="4" s="1"/>
  <c r="I86" i="4" s="1"/>
  <c r="G6" i="11" s="1"/>
  <c r="B86" i="4"/>
  <c r="I85" i="4"/>
  <c r="G5" i="11" s="1"/>
  <c r="H85" i="4"/>
  <c r="G85" i="4"/>
  <c r="F85" i="4"/>
  <c r="E85" i="4"/>
  <c r="B85" i="4"/>
  <c r="H84" i="4"/>
  <c r="E84" i="4"/>
  <c r="F84" i="4" s="1"/>
  <c r="G84" i="4" s="1"/>
  <c r="I84" i="4" s="1"/>
  <c r="G4" i="11" s="1"/>
  <c r="B84" i="4"/>
  <c r="I83" i="4"/>
  <c r="G3" i="11" s="1"/>
  <c r="H83" i="4"/>
  <c r="G83" i="4"/>
  <c r="F83" i="4"/>
  <c r="E83" i="4"/>
  <c r="B83" i="4"/>
  <c r="H82" i="4"/>
  <c r="E82" i="4"/>
  <c r="F82" i="4" s="1"/>
  <c r="G82" i="4" s="1"/>
  <c r="I82" i="4" s="1"/>
  <c r="G2" i="11" s="1"/>
  <c r="B82" i="4"/>
  <c r="I78" i="4"/>
  <c r="H78" i="4"/>
  <c r="G78" i="4"/>
  <c r="F78" i="4"/>
  <c r="E78" i="4"/>
  <c r="B78" i="4"/>
  <c r="H77" i="4"/>
  <c r="E77" i="4"/>
  <c r="F77" i="4" s="1"/>
  <c r="G77" i="4" s="1"/>
  <c r="I77" i="4" s="1"/>
  <c r="B77" i="4"/>
  <c r="I76" i="4"/>
  <c r="H76" i="4"/>
  <c r="G76" i="4"/>
  <c r="F76" i="4"/>
  <c r="E76" i="4"/>
  <c r="B76" i="4"/>
  <c r="H75" i="4"/>
  <c r="E75" i="4"/>
  <c r="F75" i="4" s="1"/>
  <c r="G75" i="4" s="1"/>
  <c r="I75" i="4" s="1"/>
  <c r="B75" i="4"/>
  <c r="I74" i="4"/>
  <c r="F13" i="11" s="1"/>
  <c r="H74" i="4"/>
  <c r="G74" i="4"/>
  <c r="F74" i="4"/>
  <c r="E74" i="4"/>
  <c r="B74" i="4"/>
  <c r="H73" i="4"/>
  <c r="E73" i="4"/>
  <c r="F73" i="4" s="1"/>
  <c r="G73" i="4" s="1"/>
  <c r="I73" i="4" s="1"/>
  <c r="F12" i="11" s="1"/>
  <c r="B73" i="4"/>
  <c r="I72" i="4"/>
  <c r="F11" i="11" s="1"/>
  <c r="H72" i="4"/>
  <c r="G72" i="4"/>
  <c r="F72" i="4"/>
  <c r="E72" i="4"/>
  <c r="B72" i="4"/>
  <c r="H71" i="4"/>
  <c r="E71" i="4"/>
  <c r="F71" i="4" s="1"/>
  <c r="G71" i="4" s="1"/>
  <c r="I71" i="4" s="1"/>
  <c r="F10" i="11" s="1"/>
  <c r="B71" i="4"/>
  <c r="I70" i="4"/>
  <c r="F9" i="11" s="1"/>
  <c r="H70" i="4"/>
  <c r="G70" i="4"/>
  <c r="F70" i="4"/>
  <c r="E70" i="4"/>
  <c r="B70" i="4"/>
  <c r="H69" i="4"/>
  <c r="E69" i="4"/>
  <c r="F69" i="4" s="1"/>
  <c r="G69" i="4" s="1"/>
  <c r="I69" i="4" s="1"/>
  <c r="F8" i="11" s="1"/>
  <c r="B69" i="4"/>
  <c r="I68" i="4"/>
  <c r="F7" i="11" s="1"/>
  <c r="H68" i="4"/>
  <c r="G68" i="4"/>
  <c r="F68" i="4"/>
  <c r="E68" i="4"/>
  <c r="B68" i="4"/>
  <c r="H67" i="4"/>
  <c r="E67" i="4"/>
  <c r="F67" i="4" s="1"/>
  <c r="G67" i="4" s="1"/>
  <c r="I67" i="4" s="1"/>
  <c r="F6" i="11" s="1"/>
  <c r="B67" i="4"/>
  <c r="I66" i="4"/>
  <c r="F5" i="11" s="1"/>
  <c r="H66" i="4"/>
  <c r="G66" i="4"/>
  <c r="F66" i="4"/>
  <c r="E66" i="4"/>
  <c r="B66" i="4"/>
  <c r="H65" i="4"/>
  <c r="E65" i="4"/>
  <c r="F65" i="4" s="1"/>
  <c r="G65" i="4" s="1"/>
  <c r="I65" i="4" s="1"/>
  <c r="F4" i="11" s="1"/>
  <c r="B65" i="4"/>
  <c r="I64" i="4"/>
  <c r="F3" i="11" s="1"/>
  <c r="H64" i="4"/>
  <c r="G64" i="4"/>
  <c r="F64" i="4"/>
  <c r="E64" i="4"/>
  <c r="B64" i="4"/>
  <c r="H63" i="4"/>
  <c r="E63" i="4"/>
  <c r="F63" i="4" s="1"/>
  <c r="G63" i="4" s="1"/>
  <c r="I63" i="4" s="1"/>
  <c r="F2" i="11" s="1"/>
  <c r="B63" i="4"/>
  <c r="I59" i="4"/>
  <c r="H59" i="4"/>
  <c r="G59" i="4"/>
  <c r="F59" i="4"/>
  <c r="E59" i="4"/>
  <c r="B59" i="4"/>
  <c r="H58" i="4"/>
  <c r="E58" i="4"/>
  <c r="F58" i="4" s="1"/>
  <c r="G58" i="4" s="1"/>
  <c r="I58" i="4" s="1"/>
  <c r="B58" i="4"/>
  <c r="I57" i="4"/>
  <c r="H57" i="4"/>
  <c r="G57" i="4"/>
  <c r="F57" i="4"/>
  <c r="E57" i="4"/>
  <c r="B57" i="4"/>
  <c r="H56" i="4"/>
  <c r="E56" i="4"/>
  <c r="F56" i="4" s="1"/>
  <c r="G56" i="4" s="1"/>
  <c r="I56" i="4" s="1"/>
  <c r="B56" i="4"/>
  <c r="I55" i="4"/>
  <c r="E13" i="11" s="1"/>
  <c r="H55" i="4"/>
  <c r="G55" i="4"/>
  <c r="F55" i="4"/>
  <c r="E55" i="4"/>
  <c r="B55" i="4"/>
  <c r="H54" i="4"/>
  <c r="E54" i="4"/>
  <c r="F54" i="4" s="1"/>
  <c r="G54" i="4" s="1"/>
  <c r="I54" i="4" s="1"/>
  <c r="E12" i="11" s="1"/>
  <c r="B54" i="4"/>
  <c r="I53" i="4"/>
  <c r="E11" i="11" s="1"/>
  <c r="H53" i="4"/>
  <c r="G53" i="4"/>
  <c r="F53" i="4"/>
  <c r="E53" i="4"/>
  <c r="B53" i="4"/>
  <c r="H52" i="4"/>
  <c r="E52" i="4"/>
  <c r="F52" i="4" s="1"/>
  <c r="G52" i="4" s="1"/>
  <c r="I52" i="4" s="1"/>
  <c r="E10" i="11" s="1"/>
  <c r="B52" i="4"/>
  <c r="I51" i="4"/>
  <c r="E9" i="11" s="1"/>
  <c r="H51" i="4"/>
  <c r="G51" i="4"/>
  <c r="F51" i="4"/>
  <c r="E51" i="4"/>
  <c r="B51" i="4"/>
  <c r="H50" i="4"/>
  <c r="E50" i="4"/>
  <c r="F50" i="4" s="1"/>
  <c r="G50" i="4" s="1"/>
  <c r="I50" i="4" s="1"/>
  <c r="E8" i="11" s="1"/>
  <c r="B50" i="4"/>
  <c r="I49" i="4"/>
  <c r="E7" i="11" s="1"/>
  <c r="H49" i="4"/>
  <c r="G49" i="4"/>
  <c r="F49" i="4"/>
  <c r="E49" i="4"/>
  <c r="B49" i="4"/>
  <c r="H48" i="4"/>
  <c r="E48" i="4"/>
  <c r="F48" i="4" s="1"/>
  <c r="G48" i="4" s="1"/>
  <c r="I48" i="4" s="1"/>
  <c r="E6" i="11" s="1"/>
  <c r="B48" i="4"/>
  <c r="I47" i="4"/>
  <c r="E5" i="11" s="1"/>
  <c r="H47" i="4"/>
  <c r="G47" i="4"/>
  <c r="F47" i="4"/>
  <c r="E47" i="4"/>
  <c r="B47" i="4"/>
  <c r="H46" i="4"/>
  <c r="E46" i="4"/>
  <c r="F46" i="4" s="1"/>
  <c r="G46" i="4" s="1"/>
  <c r="I46" i="4" s="1"/>
  <c r="E4" i="11" s="1"/>
  <c r="B46" i="4"/>
  <c r="I45" i="4"/>
  <c r="E3" i="11" s="1"/>
  <c r="H45" i="4"/>
  <c r="G45" i="4"/>
  <c r="F45" i="4"/>
  <c r="E45" i="4"/>
  <c r="B45" i="4"/>
  <c r="H44" i="4"/>
  <c r="E44" i="4"/>
  <c r="F44" i="4" s="1"/>
  <c r="G44" i="4" s="1"/>
  <c r="I44" i="4" s="1"/>
  <c r="E2" i="11" s="1"/>
  <c r="B44" i="4"/>
  <c r="I40" i="4"/>
  <c r="H40" i="4"/>
  <c r="G40" i="4"/>
  <c r="F40" i="4"/>
  <c r="E40" i="4"/>
  <c r="B40" i="4"/>
  <c r="H39" i="4"/>
  <c r="E39" i="4"/>
  <c r="F39" i="4" s="1"/>
  <c r="G39" i="4" s="1"/>
  <c r="I39" i="4" s="1"/>
  <c r="B39" i="4"/>
  <c r="I38" i="4"/>
  <c r="H38" i="4"/>
  <c r="G38" i="4"/>
  <c r="F38" i="4"/>
  <c r="E38" i="4"/>
  <c r="B38" i="4"/>
  <c r="H37" i="4"/>
  <c r="E37" i="4"/>
  <c r="F37" i="4" s="1"/>
  <c r="G37" i="4" s="1"/>
  <c r="I37" i="4" s="1"/>
  <c r="B37" i="4"/>
  <c r="I36" i="4"/>
  <c r="D13" i="11" s="1"/>
  <c r="H36" i="4"/>
  <c r="G36" i="4"/>
  <c r="F36" i="4"/>
  <c r="E36" i="4"/>
  <c r="B36" i="4"/>
  <c r="H35" i="4"/>
  <c r="E35" i="4"/>
  <c r="F35" i="4" s="1"/>
  <c r="G35" i="4" s="1"/>
  <c r="I35" i="4" s="1"/>
  <c r="D12" i="11" s="1"/>
  <c r="B35" i="4"/>
  <c r="I34" i="4"/>
  <c r="D11" i="11" s="1"/>
  <c r="H34" i="4"/>
  <c r="G34" i="4"/>
  <c r="F34" i="4"/>
  <c r="E34" i="4"/>
  <c r="B34" i="4"/>
  <c r="H33" i="4"/>
  <c r="E33" i="4"/>
  <c r="F33" i="4" s="1"/>
  <c r="G33" i="4" s="1"/>
  <c r="I33" i="4" s="1"/>
  <c r="D10" i="11" s="1"/>
  <c r="B33" i="4"/>
  <c r="I32" i="4"/>
  <c r="D9" i="11" s="1"/>
  <c r="H32" i="4"/>
  <c r="G32" i="4"/>
  <c r="F32" i="4"/>
  <c r="E32" i="4"/>
  <c r="B32" i="4"/>
  <c r="H31" i="4"/>
  <c r="E31" i="4"/>
  <c r="F31" i="4" s="1"/>
  <c r="G31" i="4" s="1"/>
  <c r="I31" i="4" s="1"/>
  <c r="D8" i="11" s="1"/>
  <c r="B31" i="4"/>
  <c r="I30" i="4"/>
  <c r="D7" i="11" s="1"/>
  <c r="H30" i="4"/>
  <c r="G30" i="4"/>
  <c r="F30" i="4"/>
  <c r="E30" i="4"/>
  <c r="B30" i="4"/>
  <c r="H29" i="4"/>
  <c r="E29" i="4"/>
  <c r="F29" i="4" s="1"/>
  <c r="G29" i="4" s="1"/>
  <c r="I29" i="4" s="1"/>
  <c r="D6" i="11" s="1"/>
  <c r="B29" i="4"/>
  <c r="I28" i="4"/>
  <c r="D5" i="11" s="1"/>
  <c r="H28" i="4"/>
  <c r="G28" i="4"/>
  <c r="F28" i="4"/>
  <c r="E28" i="4"/>
  <c r="B28" i="4"/>
  <c r="H27" i="4"/>
  <c r="E27" i="4"/>
  <c r="F27" i="4" s="1"/>
  <c r="G27" i="4" s="1"/>
  <c r="I27" i="4" s="1"/>
  <c r="D4" i="11" s="1"/>
  <c r="B27" i="4"/>
  <c r="I26" i="4"/>
  <c r="D3" i="11" s="1"/>
  <c r="H26" i="4"/>
  <c r="G26" i="4"/>
  <c r="F26" i="4"/>
  <c r="E26" i="4"/>
  <c r="B26" i="4"/>
  <c r="H25" i="4"/>
  <c r="E25" i="4"/>
  <c r="F25" i="4" s="1"/>
  <c r="G25" i="4" s="1"/>
  <c r="I25" i="4" s="1"/>
  <c r="D2" i="11" s="1"/>
  <c r="B25" i="4"/>
  <c r="I21" i="4"/>
  <c r="H21" i="4"/>
  <c r="G21" i="4"/>
  <c r="F21" i="4"/>
  <c r="E21" i="4"/>
  <c r="B21" i="4"/>
  <c r="H20" i="4"/>
  <c r="E20" i="4"/>
  <c r="F20" i="4" s="1"/>
  <c r="G20" i="4" s="1"/>
  <c r="I20" i="4" s="1"/>
  <c r="B20" i="4"/>
  <c r="I19" i="4"/>
  <c r="H19" i="4"/>
  <c r="G19" i="4"/>
  <c r="F19" i="4"/>
  <c r="E19" i="4"/>
  <c r="B19" i="4"/>
  <c r="H18" i="4"/>
  <c r="E18" i="4"/>
  <c r="F18" i="4" s="1"/>
  <c r="G18" i="4" s="1"/>
  <c r="I18" i="4" s="1"/>
  <c r="B18" i="4"/>
  <c r="I17" i="4"/>
  <c r="C13" i="11" s="1"/>
  <c r="H17" i="4"/>
  <c r="G17" i="4"/>
  <c r="F17" i="4"/>
  <c r="J13" i="11" s="1"/>
  <c r="E17" i="4"/>
  <c r="B17" i="4"/>
  <c r="H16" i="4"/>
  <c r="E16" i="4"/>
  <c r="F16" i="4" s="1"/>
  <c r="B16" i="4"/>
  <c r="I15" i="4"/>
  <c r="C11" i="11" s="1"/>
  <c r="H15" i="4"/>
  <c r="G15" i="4"/>
  <c r="F15" i="4"/>
  <c r="J11" i="11" s="1"/>
  <c r="E15" i="4"/>
  <c r="B15" i="4"/>
  <c r="H14" i="4"/>
  <c r="E14" i="4"/>
  <c r="F14" i="4" s="1"/>
  <c r="B14" i="4"/>
  <c r="I13" i="4"/>
  <c r="C9" i="11" s="1"/>
  <c r="H13" i="4"/>
  <c r="G13" i="4"/>
  <c r="F13" i="4"/>
  <c r="J9" i="11" s="1"/>
  <c r="E13" i="4"/>
  <c r="B13" i="4"/>
  <c r="H12" i="4"/>
  <c r="E12" i="4"/>
  <c r="F12" i="4" s="1"/>
  <c r="B12" i="4"/>
  <c r="H11" i="4"/>
  <c r="F11" i="4"/>
  <c r="J7" i="11" s="1"/>
  <c r="E11" i="4"/>
  <c r="B11" i="4"/>
  <c r="H10" i="4"/>
  <c r="E10" i="4"/>
  <c r="F10" i="4" s="1"/>
  <c r="B10" i="4"/>
  <c r="H9" i="4"/>
  <c r="F9" i="4"/>
  <c r="J5" i="11" s="1"/>
  <c r="E9" i="4"/>
  <c r="B9" i="4"/>
  <c r="H8" i="4"/>
  <c r="E8" i="4"/>
  <c r="F8" i="4" s="1"/>
  <c r="B8" i="4"/>
  <c r="H7" i="4"/>
  <c r="F7" i="4"/>
  <c r="J3" i="11" s="1"/>
  <c r="E7" i="4"/>
  <c r="B7" i="4"/>
  <c r="H6" i="4"/>
  <c r="E6" i="4"/>
  <c r="F6" i="4" s="1"/>
  <c r="B6" i="4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U12" i="11" l="1"/>
  <c r="H16" i="6"/>
  <c r="G16" i="6"/>
  <c r="AI6" i="11"/>
  <c r="R6" i="11"/>
  <c r="AI4" i="11"/>
  <c r="R4" i="11"/>
  <c r="S10" i="11"/>
  <c r="G14" i="5"/>
  <c r="I14" i="5" s="1"/>
  <c r="L10" i="11" s="1"/>
  <c r="J8" i="11"/>
  <c r="G12" i="4"/>
  <c r="I12" i="4" s="1"/>
  <c r="C8" i="11" s="1"/>
  <c r="H20" i="6"/>
  <c r="G20" i="6"/>
  <c r="J2" i="11"/>
  <c r="G6" i="4"/>
  <c r="I6" i="4" s="1"/>
  <c r="C2" i="11" s="1"/>
  <c r="U6" i="11"/>
  <c r="H10" i="6"/>
  <c r="G10" i="6"/>
  <c r="AI5" i="11"/>
  <c r="R5" i="11"/>
  <c r="U10" i="11"/>
  <c r="H14" i="6"/>
  <c r="G14" i="6"/>
  <c r="J4" i="11"/>
  <c r="G8" i="4"/>
  <c r="I8" i="4" s="1"/>
  <c r="C4" i="11" s="1"/>
  <c r="S12" i="11"/>
  <c r="G16" i="5"/>
  <c r="I16" i="5" s="1"/>
  <c r="L12" i="11" s="1"/>
  <c r="J6" i="11"/>
  <c r="G10" i="4"/>
  <c r="I10" i="4" s="1"/>
  <c r="C6" i="11" s="1"/>
  <c r="J12" i="11"/>
  <c r="G16" i="4"/>
  <c r="I16" i="4" s="1"/>
  <c r="C12" i="11" s="1"/>
  <c r="AI3" i="11"/>
  <c r="R3" i="11"/>
  <c r="V2" i="11"/>
  <c r="H25" i="6"/>
  <c r="G25" i="6"/>
  <c r="J10" i="11"/>
  <c r="G14" i="4"/>
  <c r="I14" i="4" s="1"/>
  <c r="C10" i="11" s="1"/>
  <c r="U4" i="11"/>
  <c r="H8" i="6"/>
  <c r="G8" i="6"/>
  <c r="S2" i="11"/>
  <c r="S4" i="11"/>
  <c r="U2" i="11"/>
  <c r="H6" i="6"/>
  <c r="U5" i="11"/>
  <c r="H9" i="6"/>
  <c r="G9" i="6"/>
  <c r="U8" i="11"/>
  <c r="H12" i="6"/>
  <c r="U11" i="11"/>
  <c r="H15" i="6"/>
  <c r="G15" i="6"/>
  <c r="H21" i="6"/>
  <c r="G21" i="6"/>
  <c r="V4" i="11"/>
  <c r="H27" i="6"/>
  <c r="G27" i="6"/>
  <c r="V11" i="11"/>
  <c r="H34" i="6"/>
  <c r="G34" i="6"/>
  <c r="H47" i="6"/>
  <c r="G47" i="6"/>
  <c r="W5" i="11"/>
  <c r="H64" i="6"/>
  <c r="X3" i="11"/>
  <c r="G64" i="6"/>
  <c r="AG9" i="11"/>
  <c r="I9" i="11"/>
  <c r="G17" i="5"/>
  <c r="I17" i="5" s="1"/>
  <c r="L13" i="11" s="1"/>
  <c r="G15" i="5"/>
  <c r="I15" i="5" s="1"/>
  <c r="L11" i="11" s="1"/>
  <c r="V5" i="11"/>
  <c r="H28" i="6"/>
  <c r="G28" i="6"/>
  <c r="H102" i="6"/>
  <c r="Z3" i="11"/>
  <c r="H107" i="6"/>
  <c r="Z8" i="11"/>
  <c r="G107" i="6"/>
  <c r="G13" i="5"/>
  <c r="I13" i="5" s="1"/>
  <c r="L9" i="11" s="1"/>
  <c r="U3" i="11"/>
  <c r="H7" i="6"/>
  <c r="G7" i="6"/>
  <c r="U9" i="11"/>
  <c r="H13" i="6"/>
  <c r="G13" i="6"/>
  <c r="H19" i="6"/>
  <c r="G19" i="6"/>
  <c r="V12" i="11"/>
  <c r="H35" i="6"/>
  <c r="G35" i="6"/>
  <c r="W3" i="11"/>
  <c r="H45" i="6"/>
  <c r="G45" i="6"/>
  <c r="W9" i="11"/>
  <c r="H51" i="6"/>
  <c r="G51" i="6"/>
  <c r="G102" i="6"/>
  <c r="S5" i="11"/>
  <c r="G11" i="5"/>
  <c r="I11" i="5" s="1"/>
  <c r="L7" i="11" s="1"/>
  <c r="V9" i="11"/>
  <c r="H32" i="6"/>
  <c r="G32" i="6"/>
  <c r="X7" i="11"/>
  <c r="H68" i="6"/>
  <c r="AG11" i="11"/>
  <c r="I11" i="11"/>
  <c r="H76" i="6"/>
  <c r="G76" i="6"/>
  <c r="S3" i="11"/>
  <c r="H77" i="6"/>
  <c r="G77" i="6"/>
  <c r="Y3" i="11"/>
  <c r="H83" i="6"/>
  <c r="G83" i="6"/>
  <c r="V6" i="11"/>
  <c r="H29" i="6"/>
  <c r="G29" i="6"/>
  <c r="V13" i="11"/>
  <c r="H36" i="6"/>
  <c r="G36" i="6"/>
  <c r="H57" i="6"/>
  <c r="G57" i="6"/>
  <c r="AI8" i="11"/>
  <c r="R8" i="11"/>
  <c r="W11" i="11"/>
  <c r="H53" i="6"/>
  <c r="G53" i="6"/>
  <c r="G6" i="5"/>
  <c r="I6" i="5" s="1"/>
  <c r="L2" i="11" s="1"/>
  <c r="V8" i="11"/>
  <c r="H31" i="6"/>
  <c r="G31" i="6"/>
  <c r="X9" i="11"/>
  <c r="H70" i="6"/>
  <c r="U7" i="11"/>
  <c r="H11" i="6"/>
  <c r="G11" i="6"/>
  <c r="U13" i="11"/>
  <c r="H17" i="6"/>
  <c r="G17" i="6"/>
  <c r="V3" i="11"/>
  <c r="H26" i="6"/>
  <c r="G26" i="6"/>
  <c r="W10" i="11"/>
  <c r="H52" i="6"/>
  <c r="H38" i="6"/>
  <c r="G38" i="6"/>
  <c r="V10" i="11"/>
  <c r="H33" i="6"/>
  <c r="G33" i="6"/>
  <c r="H40" i="6"/>
  <c r="G40" i="6"/>
  <c r="W7" i="11"/>
  <c r="H49" i="6"/>
  <c r="G49" i="6"/>
  <c r="H66" i="6"/>
  <c r="X5" i="11"/>
  <c r="G66" i="6"/>
  <c r="Y12" i="11"/>
  <c r="H92" i="6"/>
  <c r="G92" i="6"/>
  <c r="AG13" i="11"/>
  <c r="I13" i="11"/>
  <c r="W8" i="11"/>
  <c r="H50" i="6"/>
  <c r="G50" i="6"/>
  <c r="S8" i="11"/>
  <c r="V7" i="11"/>
  <c r="H30" i="6"/>
  <c r="G30" i="6"/>
  <c r="W13" i="11"/>
  <c r="H55" i="6"/>
  <c r="Y7" i="11"/>
  <c r="H87" i="6"/>
  <c r="G7" i="4"/>
  <c r="I7" i="4" s="1"/>
  <c r="C3" i="11" s="1"/>
  <c r="G9" i="4"/>
  <c r="I9" i="4" s="1"/>
  <c r="C5" i="11" s="1"/>
  <c r="G11" i="4"/>
  <c r="I11" i="4" s="1"/>
  <c r="C7" i="11" s="1"/>
  <c r="S6" i="11"/>
  <c r="H37" i="6"/>
  <c r="G37" i="6"/>
  <c r="X11" i="11"/>
  <c r="H72" i="6"/>
  <c r="G72" i="6"/>
  <c r="G87" i="6"/>
  <c r="Y5" i="11"/>
  <c r="H85" i="6"/>
  <c r="H113" i="6"/>
  <c r="G113" i="6"/>
  <c r="G39" i="6"/>
  <c r="G44" i="6"/>
  <c r="G75" i="6"/>
  <c r="G85" i="6"/>
  <c r="Y10" i="11"/>
  <c r="H90" i="6"/>
  <c r="Z6" i="11"/>
  <c r="H105" i="6"/>
  <c r="F16" i="10"/>
  <c r="B13" i="10"/>
  <c r="E14" i="10"/>
  <c r="H44" i="6"/>
  <c r="H46" i="6"/>
  <c r="G59" i="6"/>
  <c r="G73" i="6"/>
  <c r="G90" i="6"/>
  <c r="G105" i="6"/>
  <c r="G13" i="10"/>
  <c r="X10" i="11"/>
  <c r="H73" i="6"/>
  <c r="Y8" i="11"/>
  <c r="H88" i="6"/>
  <c r="G95" i="6"/>
  <c r="H103" i="6"/>
  <c r="Z4" i="11"/>
  <c r="Y13" i="11"/>
  <c r="H93" i="6"/>
  <c r="G67" i="6"/>
  <c r="H69" i="6"/>
  <c r="G78" i="6"/>
  <c r="Y6" i="11"/>
  <c r="H86" i="6"/>
  <c r="G93" i="6"/>
  <c r="H101" i="6"/>
  <c r="Z2" i="11"/>
  <c r="Z12" i="11"/>
  <c r="G111" i="6"/>
  <c r="G65" i="6"/>
  <c r="H67" i="6"/>
  <c r="G86" i="6"/>
  <c r="Y11" i="11"/>
  <c r="H91" i="6"/>
  <c r="G101" i="6"/>
  <c r="Z7" i="11"/>
  <c r="H106" i="6"/>
  <c r="H111" i="6"/>
  <c r="X13" i="11"/>
  <c r="H74" i="6"/>
  <c r="Y4" i="11"/>
  <c r="H84" i="6"/>
  <c r="H115" i="6"/>
  <c r="G115" i="6"/>
  <c r="G58" i="6"/>
  <c r="G74" i="6"/>
  <c r="G84" i="6"/>
  <c r="Y9" i="11"/>
  <c r="H89" i="6"/>
  <c r="G96" i="6"/>
  <c r="Z5" i="11"/>
  <c r="H104" i="6"/>
  <c r="AC13" i="11"/>
  <c r="Y2" i="11"/>
  <c r="H82" i="6"/>
  <c r="G89" i="6"/>
  <c r="G104" i="6"/>
  <c r="G109" i="6"/>
  <c r="Z13" i="11"/>
  <c r="G112" i="6"/>
  <c r="H112" i="6"/>
  <c r="G110" i="6"/>
  <c r="J8" i="10"/>
  <c r="F14" i="10" s="1"/>
  <c r="G116" i="6"/>
  <c r="G14" i="10" l="1"/>
  <c r="D13" i="10"/>
  <c r="AG5" i="11"/>
  <c r="I5" i="11"/>
  <c r="AI13" i="11"/>
  <c r="R13" i="11"/>
  <c r="AG8" i="11"/>
  <c r="I8" i="11"/>
  <c r="B15" i="10"/>
  <c r="D15" i="10"/>
  <c r="AG3" i="11"/>
  <c r="I3" i="11"/>
  <c r="K13" i="11"/>
  <c r="AH13" i="11"/>
  <c r="AB3" i="11"/>
  <c r="AA3" i="11"/>
  <c r="K9" i="11"/>
  <c r="AH9" i="11"/>
  <c r="AB5" i="11"/>
  <c r="AA5" i="11"/>
  <c r="C15" i="10"/>
  <c r="B14" i="10"/>
  <c r="AB13" i="11"/>
  <c r="AA13" i="11"/>
  <c r="AI9" i="11"/>
  <c r="R9" i="11"/>
  <c r="AE9" i="11" s="1"/>
  <c r="AJ3" i="11"/>
  <c r="T3" i="11"/>
  <c r="AB10" i="11"/>
  <c r="AA10" i="11"/>
  <c r="AI10" i="11"/>
  <c r="R10" i="11"/>
  <c r="AG7" i="11"/>
  <c r="I7" i="11"/>
  <c r="R2" i="11"/>
  <c r="AI2" i="11"/>
  <c r="AI11" i="11"/>
  <c r="R11" i="11"/>
  <c r="E16" i="10"/>
  <c r="E15" i="10"/>
  <c r="B16" i="10"/>
  <c r="AJ8" i="11"/>
  <c r="T8" i="11"/>
  <c r="AB2" i="11"/>
  <c r="AA2" i="11"/>
  <c r="AJ5" i="11"/>
  <c r="T5" i="11"/>
  <c r="R7" i="11"/>
  <c r="AI7" i="11"/>
  <c r="F13" i="10"/>
  <c r="C13" i="10"/>
  <c r="AG6" i="11"/>
  <c r="I6" i="11"/>
  <c r="AJ6" i="11"/>
  <c r="T6" i="11"/>
  <c r="AJ4" i="11"/>
  <c r="T4" i="11"/>
  <c r="AB7" i="11"/>
  <c r="AA7" i="11"/>
  <c r="G15" i="10"/>
  <c r="AA6" i="11"/>
  <c r="AB6" i="11"/>
  <c r="D16" i="10"/>
  <c r="C14" i="10"/>
  <c r="E13" i="10"/>
  <c r="AB11" i="11"/>
  <c r="AA11" i="11"/>
  <c r="AB4" i="11"/>
  <c r="AA4" i="11"/>
  <c r="R12" i="11"/>
  <c r="AI12" i="11"/>
  <c r="AG2" i="11"/>
  <c r="I2" i="11"/>
  <c r="AG12" i="11"/>
  <c r="I12" i="11"/>
  <c r="F15" i="10"/>
  <c r="G16" i="10"/>
  <c r="C16" i="10"/>
  <c r="AG10" i="11"/>
  <c r="I10" i="11"/>
  <c r="D14" i="10"/>
  <c r="K11" i="11"/>
  <c r="AH11" i="11"/>
  <c r="AE11" i="11"/>
  <c r="AB9" i="11"/>
  <c r="AA9" i="11"/>
  <c r="AB8" i="11"/>
  <c r="AA8" i="11"/>
  <c r="AG4" i="11"/>
  <c r="I4" i="11"/>
  <c r="AA12" i="11"/>
  <c r="AB12" i="11"/>
  <c r="AM9" i="11" l="1"/>
  <c r="AO9" i="11" s="1"/>
  <c r="AF9" i="11"/>
  <c r="AH7" i="11"/>
  <c r="AE7" i="11"/>
  <c r="K7" i="11"/>
  <c r="AH3" i="11"/>
  <c r="AE3" i="11"/>
  <c r="K3" i="11"/>
  <c r="AD5" i="11"/>
  <c r="AL5" i="11"/>
  <c r="AL12" i="11"/>
  <c r="AD12" i="11"/>
  <c r="AD2" i="11"/>
  <c r="AL2" i="11"/>
  <c r="AD10" i="11"/>
  <c r="AL10" i="11"/>
  <c r="AH8" i="11"/>
  <c r="AE8" i="11"/>
  <c r="K8" i="11"/>
  <c r="AD11" i="11"/>
  <c r="AL11" i="11"/>
  <c r="K6" i="11"/>
  <c r="AH6" i="11"/>
  <c r="AE6" i="11"/>
  <c r="T13" i="11"/>
  <c r="AJ13" i="11"/>
  <c r="AL8" i="11"/>
  <c r="AD8" i="11"/>
  <c r="AL3" i="11"/>
  <c r="AD3" i="11"/>
  <c r="T11" i="11"/>
  <c r="AJ11" i="11"/>
  <c r="AJ9" i="11"/>
  <c r="T9" i="11"/>
  <c r="AH5" i="11"/>
  <c r="AE5" i="11"/>
  <c r="K5" i="11"/>
  <c r="K4" i="11"/>
  <c r="AH4" i="11"/>
  <c r="AE4" i="11"/>
  <c r="AE2" i="11"/>
  <c r="K2" i="11"/>
  <c r="AH2" i="11"/>
  <c r="AL6" i="11"/>
  <c r="AD6" i="11"/>
  <c r="AE13" i="11"/>
  <c r="AD4" i="11"/>
  <c r="AL4" i="11"/>
  <c r="AH10" i="11"/>
  <c r="AE10" i="11"/>
  <c r="K10" i="11"/>
  <c r="AJ10" i="11"/>
  <c r="T10" i="11"/>
  <c r="AD9" i="11"/>
  <c r="AL9" i="11"/>
  <c r="AM11" i="11"/>
  <c r="AO11" i="11" s="1"/>
  <c r="AF11" i="11"/>
  <c r="AJ7" i="11"/>
  <c r="T7" i="11"/>
  <c r="AD13" i="11"/>
  <c r="AL13" i="11"/>
  <c r="AJ12" i="11"/>
  <c r="T12" i="11"/>
  <c r="AH12" i="11"/>
  <c r="K12" i="11"/>
  <c r="AE12" i="11"/>
  <c r="AD7" i="11"/>
  <c r="AL7" i="11"/>
  <c r="AJ2" i="11"/>
  <c r="T2" i="11"/>
  <c r="J32" i="7" l="1"/>
  <c r="H31" i="7"/>
  <c r="F30" i="7"/>
  <c r="D29" i="7"/>
  <c r="B28" i="7"/>
  <c r="J26" i="7"/>
  <c r="H25" i="7"/>
  <c r="F24" i="7"/>
  <c r="D23" i="7"/>
  <c r="B22" i="7"/>
  <c r="H37" i="7"/>
  <c r="F32" i="7"/>
  <c r="D31" i="7"/>
  <c r="B30" i="7"/>
  <c r="J28" i="7"/>
  <c r="H27" i="7"/>
  <c r="F26" i="7"/>
  <c r="D25" i="7"/>
  <c r="B24" i="7"/>
  <c r="J22" i="7"/>
  <c r="D37" i="7"/>
  <c r="B32" i="7"/>
  <c r="J30" i="7"/>
  <c r="H29" i="7"/>
  <c r="F28" i="7"/>
  <c r="D27" i="7"/>
  <c r="B26" i="7"/>
  <c r="J24" i="7"/>
  <c r="H23" i="7"/>
  <c r="F22" i="7"/>
  <c r="I37" i="7"/>
  <c r="C32" i="7"/>
  <c r="G30" i="7"/>
  <c r="E27" i="7"/>
  <c r="I25" i="7"/>
  <c r="C24" i="7"/>
  <c r="G22" i="7"/>
  <c r="G37" i="7"/>
  <c r="E30" i="7"/>
  <c r="I28" i="7"/>
  <c r="C27" i="7"/>
  <c r="G25" i="7"/>
  <c r="E22" i="7"/>
  <c r="F37" i="7"/>
  <c r="J31" i="7"/>
  <c r="D30" i="7"/>
  <c r="H28" i="7"/>
  <c r="B27" i="7"/>
  <c r="F25" i="7"/>
  <c r="J23" i="7"/>
  <c r="D22" i="7"/>
  <c r="E37" i="7"/>
  <c r="I31" i="7"/>
  <c r="C30" i="7"/>
  <c r="G28" i="7"/>
  <c r="E25" i="7"/>
  <c r="I23" i="7"/>
  <c r="C22" i="7"/>
  <c r="C37" i="7"/>
  <c r="K37" i="7" s="1"/>
  <c r="G31" i="7"/>
  <c r="E28" i="7"/>
  <c r="I26" i="7"/>
  <c r="C25" i="7"/>
  <c r="G23" i="7"/>
  <c r="B37" i="7"/>
  <c r="F31" i="7"/>
  <c r="J29" i="7"/>
  <c r="D28" i="7"/>
  <c r="H26" i="7"/>
  <c r="B25" i="7"/>
  <c r="F23" i="7"/>
  <c r="E31" i="7"/>
  <c r="I29" i="7"/>
  <c r="C28" i="7"/>
  <c r="G26" i="7"/>
  <c r="E23" i="7"/>
  <c r="I32" i="7"/>
  <c r="C31" i="7"/>
  <c r="G29" i="7"/>
  <c r="E26" i="7"/>
  <c r="I24" i="7"/>
  <c r="C23" i="7"/>
  <c r="H32" i="7"/>
  <c r="B31" i="7"/>
  <c r="F29" i="7"/>
  <c r="J27" i="7"/>
  <c r="D26" i="7"/>
  <c r="H24" i="7"/>
  <c r="B23" i="7"/>
  <c r="J37" i="7"/>
  <c r="D32" i="7"/>
  <c r="H30" i="7"/>
  <c r="B29" i="7"/>
  <c r="F27" i="7"/>
  <c r="J25" i="7"/>
  <c r="D24" i="7"/>
  <c r="H22" i="7"/>
  <c r="C26" i="7"/>
  <c r="G24" i="7"/>
  <c r="E24" i="7"/>
  <c r="G32" i="7"/>
  <c r="E32" i="7"/>
  <c r="I22" i="7"/>
  <c r="I30" i="7"/>
  <c r="E29" i="7"/>
  <c r="C29" i="7"/>
  <c r="G27" i="7"/>
  <c r="I27" i="7"/>
  <c r="AF5" i="11"/>
  <c r="AM5" i="11"/>
  <c r="AO5" i="11" s="1"/>
  <c r="AM12" i="11"/>
  <c r="AO12" i="11" s="1"/>
  <c r="AF12" i="11"/>
  <c r="AF13" i="11"/>
  <c r="AM13" i="11"/>
  <c r="AO13" i="11" s="1"/>
  <c r="J13" i="7"/>
  <c r="H12" i="7"/>
  <c r="F11" i="7"/>
  <c r="D10" i="7"/>
  <c r="B9" i="7"/>
  <c r="J7" i="7"/>
  <c r="H6" i="7"/>
  <c r="F5" i="7"/>
  <c r="D4" i="7"/>
  <c r="B3" i="7"/>
  <c r="H14" i="7"/>
  <c r="F13" i="7"/>
  <c r="D12" i="7"/>
  <c r="B11" i="7"/>
  <c r="J9" i="7"/>
  <c r="H8" i="7"/>
  <c r="F7" i="7"/>
  <c r="D6" i="7"/>
  <c r="B5" i="7"/>
  <c r="J3" i="7"/>
  <c r="D14" i="7"/>
  <c r="B13" i="7"/>
  <c r="J11" i="7"/>
  <c r="H10" i="7"/>
  <c r="F9" i="7"/>
  <c r="D8" i="7"/>
  <c r="B7" i="7"/>
  <c r="J5" i="7"/>
  <c r="E12" i="7"/>
  <c r="I10" i="7"/>
  <c r="C9" i="7"/>
  <c r="G7" i="7"/>
  <c r="F4" i="7"/>
  <c r="I13" i="7"/>
  <c r="C12" i="7"/>
  <c r="G10" i="7"/>
  <c r="E7" i="7"/>
  <c r="I5" i="7"/>
  <c r="E4" i="7"/>
  <c r="H13" i="7"/>
  <c r="B12" i="7"/>
  <c r="F10" i="7"/>
  <c r="J8" i="7"/>
  <c r="D7" i="7"/>
  <c r="H5" i="7"/>
  <c r="C4" i="7"/>
  <c r="G13" i="7"/>
  <c r="E10" i="7"/>
  <c r="I8" i="7"/>
  <c r="C7" i="7"/>
  <c r="G5" i="7"/>
  <c r="B4" i="7"/>
  <c r="E13" i="7"/>
  <c r="I11" i="7"/>
  <c r="C10" i="7"/>
  <c r="G8" i="7"/>
  <c r="E5" i="7"/>
  <c r="J14" i="7"/>
  <c r="D13" i="7"/>
  <c r="H11" i="7"/>
  <c r="B10" i="7"/>
  <c r="F8" i="7"/>
  <c r="J6" i="7"/>
  <c r="D5" i="7"/>
  <c r="I3" i="7"/>
  <c r="I14" i="7"/>
  <c r="C13" i="7"/>
  <c r="G11" i="7"/>
  <c r="E8" i="7"/>
  <c r="I6" i="7"/>
  <c r="C5" i="7"/>
  <c r="H3" i="7"/>
  <c r="G14" i="7"/>
  <c r="E11" i="7"/>
  <c r="I9" i="7"/>
  <c r="C8" i="7"/>
  <c r="G6" i="7"/>
  <c r="G3" i="7"/>
  <c r="F14" i="7"/>
  <c r="J12" i="7"/>
  <c r="D11" i="7"/>
  <c r="H9" i="7"/>
  <c r="B8" i="7"/>
  <c r="F6" i="7"/>
  <c r="J4" i="7"/>
  <c r="F3" i="7"/>
  <c r="B14" i="7"/>
  <c r="F12" i="7"/>
  <c r="J10" i="7"/>
  <c r="D9" i="7"/>
  <c r="H7" i="7"/>
  <c r="B6" i="7"/>
  <c r="G4" i="7"/>
  <c r="C3" i="7"/>
  <c r="G9" i="7"/>
  <c r="E9" i="7"/>
  <c r="I7" i="7"/>
  <c r="E6" i="7"/>
  <c r="C6" i="7"/>
  <c r="E14" i="7"/>
  <c r="I4" i="7"/>
  <c r="C14" i="7"/>
  <c r="H4" i="7"/>
  <c r="I12" i="7"/>
  <c r="E3" i="7"/>
  <c r="G12" i="7"/>
  <c r="D3" i="7"/>
  <c r="C11" i="7"/>
  <c r="AF3" i="11"/>
  <c r="AM3" i="11"/>
  <c r="AO3" i="11" s="1"/>
  <c r="AM8" i="11"/>
  <c r="AO8" i="11" s="1"/>
  <c r="AF8" i="11"/>
  <c r="AF2" i="11"/>
  <c r="AM2" i="11"/>
  <c r="AM4" i="11"/>
  <c r="AO4" i="11" s="1"/>
  <c r="AF4" i="11"/>
  <c r="K57" i="7"/>
  <c r="J56" i="7"/>
  <c r="I59" i="7"/>
  <c r="H58" i="7"/>
  <c r="G57" i="7"/>
  <c r="F56" i="7"/>
  <c r="E59" i="7"/>
  <c r="D58" i="7"/>
  <c r="C57" i="7"/>
  <c r="B56" i="7"/>
  <c r="F59" i="7"/>
  <c r="G56" i="7"/>
  <c r="D59" i="7"/>
  <c r="J57" i="7"/>
  <c r="E56" i="7"/>
  <c r="C59" i="7"/>
  <c r="I57" i="7"/>
  <c r="L57" i="7" s="1"/>
  <c r="D56" i="7"/>
  <c r="B59" i="7"/>
  <c r="H57" i="7"/>
  <c r="C56" i="7"/>
  <c r="K58" i="7"/>
  <c r="F57" i="7"/>
  <c r="J58" i="7"/>
  <c r="E57" i="7"/>
  <c r="I58" i="7"/>
  <c r="L58" i="7" s="1"/>
  <c r="D57" i="7"/>
  <c r="G58" i="7"/>
  <c r="B57" i="7"/>
  <c r="K59" i="7"/>
  <c r="F58" i="7"/>
  <c r="G59" i="7"/>
  <c r="B58" i="7"/>
  <c r="H56" i="7"/>
  <c r="E58" i="7"/>
  <c r="C58" i="7"/>
  <c r="K56" i="7"/>
  <c r="I56" i="7"/>
  <c r="L56" i="7" s="1"/>
  <c r="J59" i="7"/>
  <c r="H59" i="7"/>
  <c r="AF10" i="11"/>
  <c r="AM10" i="11"/>
  <c r="AO10" i="11" s="1"/>
  <c r="E45" i="7"/>
  <c r="D44" i="7"/>
  <c r="C43" i="7"/>
  <c r="B42" i="7"/>
  <c r="K43" i="7"/>
  <c r="J42" i="7"/>
  <c r="I45" i="7"/>
  <c r="L45" i="7" s="1"/>
  <c r="H44" i="7"/>
  <c r="G43" i="7"/>
  <c r="F42" i="7"/>
  <c r="I44" i="7"/>
  <c r="L44" i="7" s="1"/>
  <c r="D43" i="7"/>
  <c r="G44" i="7"/>
  <c r="B43" i="7"/>
  <c r="K45" i="7"/>
  <c r="F44" i="7"/>
  <c r="J45" i="7"/>
  <c r="E44" i="7"/>
  <c r="K42" i="7"/>
  <c r="H45" i="7"/>
  <c r="C44" i="7"/>
  <c r="I42" i="7"/>
  <c r="L42" i="7" s="1"/>
  <c r="G45" i="7"/>
  <c r="B44" i="7"/>
  <c r="H42" i="7"/>
  <c r="F45" i="7"/>
  <c r="G42" i="7"/>
  <c r="D45" i="7"/>
  <c r="J43" i="7"/>
  <c r="E42" i="7"/>
  <c r="C45" i="7"/>
  <c r="I43" i="7"/>
  <c r="L43" i="7" s="1"/>
  <c r="D42" i="7"/>
  <c r="J44" i="7"/>
  <c r="E43" i="7"/>
  <c r="H43" i="7"/>
  <c r="F43" i="7"/>
  <c r="C42" i="7"/>
  <c r="B45" i="7"/>
  <c r="K44" i="7"/>
  <c r="AM6" i="11"/>
  <c r="AO6" i="11" s="1"/>
  <c r="AF6" i="11"/>
  <c r="I52" i="7"/>
  <c r="L52" i="7" s="1"/>
  <c r="H51" i="7"/>
  <c r="G50" i="7"/>
  <c r="F49" i="7"/>
  <c r="E52" i="7"/>
  <c r="D51" i="7"/>
  <c r="C50" i="7"/>
  <c r="B49" i="7"/>
  <c r="K50" i="7"/>
  <c r="J49" i="7"/>
  <c r="B52" i="7"/>
  <c r="H50" i="7"/>
  <c r="C49" i="7"/>
  <c r="K51" i="7"/>
  <c r="F50" i="7"/>
  <c r="J51" i="7"/>
  <c r="E50" i="7"/>
  <c r="I51" i="7"/>
  <c r="L51" i="7" s="1"/>
  <c r="D50" i="7"/>
  <c r="G51" i="7"/>
  <c r="B50" i="7"/>
  <c r="K52" i="7"/>
  <c r="F51" i="7"/>
  <c r="J52" i="7"/>
  <c r="E51" i="7"/>
  <c r="K49" i="7"/>
  <c r="H52" i="7"/>
  <c r="C51" i="7"/>
  <c r="I49" i="7"/>
  <c r="G52" i="7"/>
  <c r="B51" i="7"/>
  <c r="H49" i="7"/>
  <c r="C52" i="7"/>
  <c r="I50" i="7"/>
  <c r="L50" i="7" s="1"/>
  <c r="D49" i="7"/>
  <c r="F52" i="7"/>
  <c r="D52" i="7"/>
  <c r="J50" i="7"/>
  <c r="G49" i="7"/>
  <c r="E49" i="7"/>
  <c r="AF7" i="11"/>
  <c r="AM7" i="11"/>
  <c r="AO7" i="11" s="1"/>
  <c r="K14" i="7" l="1"/>
  <c r="K8" i="7"/>
  <c r="K11" i="7"/>
  <c r="K24" i="7"/>
  <c r="K29" i="7"/>
  <c r="K23" i="7"/>
  <c r="K22" i="7"/>
  <c r="K6" i="7"/>
  <c r="K7" i="7"/>
  <c r="K32" i="7"/>
  <c r="K31" i="7"/>
  <c r="K30" i="7"/>
  <c r="C80" i="7"/>
  <c r="E78" i="7"/>
  <c r="B75" i="7"/>
  <c r="D73" i="7"/>
  <c r="F71" i="7"/>
  <c r="D81" i="7"/>
  <c r="F79" i="7"/>
  <c r="C76" i="7"/>
  <c r="E74" i="7"/>
  <c r="B71" i="7"/>
  <c r="E82" i="7"/>
  <c r="B79" i="7"/>
  <c r="D77" i="7"/>
  <c r="F75" i="7"/>
  <c r="C72" i="7"/>
  <c r="D82" i="7"/>
  <c r="H82" i="7" s="1"/>
  <c r="B80" i="7"/>
  <c r="E75" i="7"/>
  <c r="C73" i="7"/>
  <c r="C82" i="7"/>
  <c r="G82" i="7" s="1"/>
  <c r="F77" i="7"/>
  <c r="D75" i="7"/>
  <c r="B73" i="7"/>
  <c r="B82" i="7"/>
  <c r="E77" i="7"/>
  <c r="C75" i="7"/>
  <c r="E79" i="7"/>
  <c r="C77" i="7"/>
  <c r="F72" i="7"/>
  <c r="F81" i="7"/>
  <c r="D79" i="7"/>
  <c r="B77" i="7"/>
  <c r="E72" i="7"/>
  <c r="E81" i="7"/>
  <c r="C79" i="7"/>
  <c r="F74" i="7"/>
  <c r="D72" i="7"/>
  <c r="C81" i="7"/>
  <c r="F76" i="7"/>
  <c r="D74" i="7"/>
  <c r="B72" i="7"/>
  <c r="B81" i="7"/>
  <c r="E76" i="7"/>
  <c r="C74" i="7"/>
  <c r="F78" i="7"/>
  <c r="D76" i="7"/>
  <c r="B74" i="7"/>
  <c r="F80" i="7"/>
  <c r="D78" i="7"/>
  <c r="B76" i="7"/>
  <c r="E71" i="7"/>
  <c r="F82" i="7"/>
  <c r="D80" i="7"/>
  <c r="B78" i="7"/>
  <c r="E73" i="7"/>
  <c r="C71" i="7"/>
  <c r="E80" i="7"/>
  <c r="C78" i="7"/>
  <c r="F73" i="7"/>
  <c r="D71" i="7"/>
  <c r="AO2" i="11"/>
  <c r="L49" i="7"/>
  <c r="L59" i="7"/>
  <c r="K5" i="7"/>
  <c r="K12" i="7"/>
  <c r="K27" i="7"/>
  <c r="K3" i="7"/>
  <c r="K4" i="7"/>
  <c r="K25" i="7"/>
  <c r="K26" i="7"/>
  <c r="K28" i="7"/>
  <c r="K13" i="7"/>
  <c r="K10" i="7"/>
  <c r="K9" i="7"/>
  <c r="G81" i="7" l="1"/>
  <c r="H78" i="7"/>
  <c r="H79" i="7"/>
  <c r="H81" i="7"/>
  <c r="H80" i="7"/>
  <c r="G72" i="7"/>
  <c r="G75" i="7"/>
  <c r="H72" i="7"/>
  <c r="H77" i="7"/>
  <c r="G80" i="7"/>
  <c r="H71" i="7"/>
  <c r="G79" i="7"/>
  <c r="G78" i="7"/>
  <c r="H75" i="7"/>
  <c r="G71" i="7"/>
  <c r="G76" i="7"/>
  <c r="H76" i="7"/>
  <c r="G73" i="7"/>
  <c r="G74" i="7"/>
  <c r="H74" i="7"/>
  <c r="G77" i="7"/>
  <c r="H73" i="7"/>
</calcChain>
</file>

<file path=xl/sharedStrings.xml><?xml version="1.0" encoding="utf-8"?>
<sst xmlns="http://schemas.openxmlformats.org/spreadsheetml/2006/main" count="2305" uniqueCount="378">
  <si>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</si>
  <si>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</si>
  <si>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</si>
  <si>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</si>
  <si>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</si>
  <si>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</si>
  <si>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</si>
  <si>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</si>
  <si>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</si>
  <si>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</si>
  <si>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</si>
  <si>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</si>
  <si>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</si>
  <si>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</si>
  <si>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</si>
  <si>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</si>
  <si>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</si>
  <si>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</si>
  <si>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</si>
  <si>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</si>
  <si>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</si>
  <si>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</si>
  <si>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</si>
  <si>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</si>
  <si>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</si>
  <si>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</si>
  <si>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</si>
  <si>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</si>
  <si>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</si>
  <si>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</si>
  <si>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</si>
  <si>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</si>
  <si>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</si>
  <si>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</si>
  <si>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</si>
  <si>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</si>
  <si>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</si>
  <si>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</si>
  <si>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</si>
  <si>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</si>
  <si>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</si>
  <si>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</si>
  <si>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</si>
  <si>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</si>
  <si>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</si>
  <si>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</si>
  <si>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</si>
  <si>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</si>
  <si>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</si>
  <si>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</si>
  <si>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</si>
  <si>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</si>
  <si>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</si>
  <si>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</si>
  <si>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</si>
  <si>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</si>
  <si>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</si>
  <si>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</si>
  <si>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</si>
  <si>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</si>
  <si>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</si>
  <si>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</si>
  <si>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</si>
  <si>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</si>
  <si>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</si>
  <si>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</si>
  <si>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</si>
  <si>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</si>
  <si>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</si>
  <si>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</si>
  <si>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</si>
  <si>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</si>
  <si>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</si>
  <si>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</si>
  <si>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</si>
  <si>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</si>
  <si>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</si>
  <si>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</si>
  <si>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</si>
  <si>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</si>
  <si>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</si>
  <si>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</si>
  <si>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</si>
  <si>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</si>
  <si>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</si>
  <si>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</si>
  <si>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</si>
  <si>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</si>
  <si>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</si>
  <si>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</si>
  <si>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</si>
  <si>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</si>
  <si>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</si>
  <si>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</si>
  <si>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</si>
  <si>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</si>
  <si>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</si>
  <si>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</si>
  <si>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</si>
  <si>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</si>
  <si>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</si>
  <si>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</si>
  <si>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</si>
  <si>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</si>
  <si>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</si>
  <si>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</si>
  <si>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</si>
  <si>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</si>
  <si>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</si>
  <si>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</si>
  <si>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</si>
  <si>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</si>
  <si>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</si>
  <si>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</si>
  <si>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</si>
  <si>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</si>
  <si>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</si>
  <si>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</si>
  <si>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</si>
  <si>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</si>
  <si>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</si>
  <si>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</si>
  <si>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</si>
  <si>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</si>
  <si>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</si>
  <si>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</si>
  <si>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</si>
  <si>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</si>
  <si>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</si>
  <si>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Sun Jan 17</t>
  </si>
  <si>
    <t>Week 20 (Divisional)</t>
  </si>
  <si>
    <t>Week 21 (Championship)</t>
  </si>
  <si>
    <t>Week 22 (SuperBowl)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</si>
  <si>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</si>
  <si>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</si>
  <si>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</si>
  <si>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</si>
  <si>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</si>
  <si>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</si>
  <si>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</si>
  <si>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</si>
  <si>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</si>
  <si>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</si>
  <si>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</si>
  <si>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</si>
  <si>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</si>
  <si>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</si>
  <si>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</si>
  <si>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</si>
  <si>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</si>
  <si>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</si>
  <si>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</si>
  <si>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</si>
  <si>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</si>
  <si>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</si>
  <si>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</si>
  <si>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Division D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</si>
  <si>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</si>
  <si>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</si>
  <si>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</si>
  <si>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</si>
  <si>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</si>
  <si>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</si>
  <si>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</si>
  <si>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</si>
  <si>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</si>
  <si>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</si>
  <si>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</si>
  <si>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</si>
  <si>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</si>
  <si>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</si>
  <si>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</si>
  <si>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</si>
  <si>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</si>
  <si>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</si>
  <si>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</si>
  <si>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</si>
  <si>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</si>
  <si>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</si>
  <si>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</si>
  <si>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</si>
  <si>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</si>
  <si>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</si>
  <si>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</si>
  <si>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</si>
  <si>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</si>
  <si>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</si>
  <si>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</si>
  <si>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</si>
  <si>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</si>
  <si>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</si>
  <si>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</si>
  <si>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</si>
  <si>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</si>
  <si>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</si>
  <si>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</si>
  <si>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</si>
  <si>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WEEKS 7-12 — WEEKLY INPUT (Weighted Picks &amp; H2H Results)</t>
  </si>
  <si>
    <t>Enter each player's weighted points (sum of confidence values for correct picks). H2H auto-calculated.</t>
  </si>
  <si>
    <t>Weighted Pts</t>
  </si>
  <si>
    <t>Opp Wtd Pts</t>
  </si>
  <si>
    <t>WEEKS 13-18 — WEEKLY INPUT (Division Play)</t>
  </si>
  <si>
    <t>Enter correct picks per player. H2H: most correct picks wins. Tie = .5W/.5L each.</t>
  </si>
  <si>
    <t>Wins</t>
  </si>
  <si>
    <t>Losses</t>
  </si>
  <si>
    <t>Total Picks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</si>
  <si>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</si>
  <si>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</si>
  <si>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</si>
  <si>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</si>
  <si>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</si>
  <si>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</si>
  <si>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</si>
  <si>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</si>
  <si>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</si>
  <si>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</si>
  <si>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</si>
  <si>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</si>
  <si>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</si>
  <si>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</si>
  <si>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</si>
  <si>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</si>
  <si>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</si>
  <si>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</si>
  <si>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</si>
  <si>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</si>
  <si>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</si>
  <si>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</si>
  <si>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</si>
  <si>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</si>
  <si>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</si>
  <si>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</si>
  <si>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</si>
  <si>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</si>
  <si>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</si>
  <si>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</si>
  <si>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</si>
  <si>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</si>
  <si>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</si>
  <si>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</si>
  <si>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</si>
  <si>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</si>
  <si>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</si>
  <si>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</si>
  <si>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</si>
  <si>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</si>
  <si>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</si>
  <si>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</si>
  <si>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</si>
  <si>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</si>
  <si>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</si>
  <si>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</si>
  <si>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</si>
  <si>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</si>
  <si>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</si>
  <si>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</si>
  <si>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</si>
  <si>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</si>
  <si>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</si>
  <si>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</si>
  <si>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</si>
  <si>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</si>
  <si>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</si>
  <si>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</si>
  <si>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</si>
  <si>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</si>
  <si>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</si>
  <si>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</si>
  <si>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</si>
  <si>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</si>
  <si>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</si>
  <si>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</si>
  <si>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</si>
  <si>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</si>
  <si>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</si>
  <si>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</si>
  <si>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</si>
  <si>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</si>
  <si>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</si>
  <si>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</si>
  <si>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</si>
  <si>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</si>
  <si>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Div A</t>
  </si>
  <si>
    <t>Div B</t>
  </si>
  <si>
    <t>Div C</t>
  </si>
  <si>
    <t>EARNINGS TRACKER</t>
  </si>
  <si>
    <t>Segment $</t>
  </si>
  <si>
    <t>Division $</t>
  </si>
  <si>
    <t>Playoff $</t>
  </si>
  <si>
    <t>Total Earned</t>
  </si>
  <si>
    <t>WILD CARD ROUND — INPUT</t>
  </si>
  <si>
    <t>All 6 players pick all games ATS, weighted 1-4 confidence.</t>
  </si>
  <si>
    <t>Adj Score</t>
  </si>
  <si>
    <t>Weekly TB Rank</t>
  </si>
  <si>
    <t>AFC WC Pts</t>
  </si>
  <si>
    <t>NFC WC Pts</t>
  </si>
  <si>
    <t>Sort Score</t>
  </si>
  <si>
    <t>WILD CARD RESULTS — TOP 4 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</si>
  <si>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</si>
  <si>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</si>
  <si>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</si>
  <si>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</si>
  <si>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</si>
  <si>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</si>
  <si>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</si>
  <si>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</si>
  <si>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</si>
  <si>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</si>
  <si>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</si>
  <si>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</si>
  <si>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</si>
  <si>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</si>
  <si>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</si>
  <si>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</si>
  <si>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</si>
  <si>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</si>
  <si>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</si>
  <si>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</si>
  <si>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</si>
  <si>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</si>
  <si>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</si>
  <si>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</si>
  <si>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</si>
  <si>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</si>
  <si>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</si>
  <si>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</si>
  <si>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</si>
  <si>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</si>
  <si>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</si>
  <si>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</si>
  <si>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</si>
  <si>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</si>
  <si>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</si>
  <si>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</si>
  <si>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</si>
  <si>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</si>
  <si>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</si>
  <si>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</si>
  <si>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</si>
  <si>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</si>
  <si>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</si>
  <si>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</si>
  <si>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</si>
  <si>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</si>
  <si>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</si>
  <si>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</si>
  <si>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</si>
  <si>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</si>
  <si>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</si>
  <si>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</si>
  <si>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</si>
  <si>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</si>
  <si>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</si>
  <si>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</si>
  <si>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</si>
  <si>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</si>
  <si>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</si>
  <si>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</si>
  <si>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</si>
  <si>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</si>
  <si>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</si>
  <si>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</si>
  <si>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</si>
  <si>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</si>
  <si>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</si>
  <si>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</si>
  <si>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</si>
  <si>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</si>
  <si>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</si>
  <si>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</si>
  <si>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</si>
  <si>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</si>
  <si>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</si>
  <si>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</si>
  <si>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</si>
  <si>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</si>
  <si>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Evan</t>
  </si>
  <si>
    <t>Larry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</si>
</sst>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  <font>
      <b/>
      <sz val="12"/>
      <name val="Calibri"/>
    </font>
    <font>
      <b/>
      <sz val="11"/>
      <name val="Calibri"/>
    </font>
    <font>
      <b/>
      <sz val="14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indexed="64"/>
      </bottom>
      <diagonal/>
    </border>
    <border>
      <left style="thin">
        <color rgb="FF30363D"/>
      </left>
      <right style="thin">
        <color rgb="FF30363D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18" fontId="0" fillId="0" borderId="5" xfId="0" applyNumberForma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32" fillId="5" borderId="1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0" fontId="32" fillId="0" borderId="0" xfId="0" applyFont="1"/>
    <xf numFmtId="0" fontId="33" fillId="2" borderId="1" xfId="0" applyFont="1" applyFill="1" applyBorder="1" applyAlignment="1">
      <alignment horizontal="center" vertical="center" wrapText="1"/>
    </xf>
    <xf numFmtId="0" fontId="32" fillId="8" borderId="1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/>
    </xf>
    <xf numFmtId="0" fontId="32" fillId="3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2" fillId="21" borderId="1" xfId="0" applyFont="1" applyFill="1" applyBorder="1" applyAlignment="1">
      <alignment horizontal="center" vertical="center" wrapText="1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I21" sqref="I21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3" t="s">
        <v>133</v>
      </c>
    </row>
    <row r="2" spans="1:4" ht="15" customHeight="1" x14ac:dyDescent="0.25">
      <c r="A2" s="2" t="s">
        <v>134</v>
      </c>
      <c r="B2" s="2" t="s">
        <v>135</v>
      </c>
      <c r="C2" s="2" t="s">
        <v>136</v>
      </c>
      <c r="D2" s="2" t="s">
        <v>137</v>
      </c>
    </row>
    <row r="3" spans="1:4" ht="15" customHeight="1" x14ac:dyDescent="0.25">
      <c r="A3" s="3">
        <v>1</v>
      </c>
      <c r="B3" s="4" t="s">
        <v>376</v>
      </c>
      <c r="C3" s="3" t="s">
        <v>139</v>
      </c>
      <c r="D3" s="3" t="s">
        <v>140</v>
      </c>
    </row>
    <row r="4" spans="1:4" ht="15" customHeight="1" x14ac:dyDescent="0.25">
      <c r="A4" s="3">
        <v>2</v>
      </c>
      <c r="B4" s="4" t="s">
        <v>141</v>
      </c>
      <c r="C4" s="3" t="s">
        <v>139</v>
      </c>
      <c r="D4" s="3" t="s">
        <v>140</v>
      </c>
    </row>
    <row r="5" spans="1:4" ht="15" customHeight="1" x14ac:dyDescent="0.25">
      <c r="A5" s="3">
        <v>3</v>
      </c>
      <c r="B5" s="4" t="s">
        <v>142</v>
      </c>
      <c r="C5" s="3" t="s">
        <v>139</v>
      </c>
      <c r="D5" s="3" t="s">
        <v>140</v>
      </c>
    </row>
    <row r="6" spans="1:4" ht="15" customHeight="1" x14ac:dyDescent="0.25">
      <c r="A6" s="3">
        <v>4</v>
      </c>
      <c r="B6" s="4" t="s">
        <v>143</v>
      </c>
      <c r="C6" s="3" t="s">
        <v>139</v>
      </c>
      <c r="D6" s="3" t="s">
        <v>140</v>
      </c>
    </row>
    <row r="7" spans="1:4" ht="15" customHeight="1" x14ac:dyDescent="0.25">
      <c r="A7" s="3">
        <v>5</v>
      </c>
      <c r="B7" s="4" t="s">
        <v>144</v>
      </c>
      <c r="C7" s="3" t="s">
        <v>145</v>
      </c>
      <c r="D7" s="3" t="s">
        <v>146</v>
      </c>
    </row>
    <row r="8" spans="1:4" ht="15" customHeight="1" x14ac:dyDescent="0.25">
      <c r="A8" s="3">
        <v>6</v>
      </c>
      <c r="B8" s="4" t="s">
        <v>147</v>
      </c>
      <c r="C8" s="3" t="s">
        <v>145</v>
      </c>
      <c r="D8" s="3" t="s">
        <v>146</v>
      </c>
    </row>
    <row r="9" spans="1:4" ht="15" customHeight="1" x14ac:dyDescent="0.25">
      <c r="A9" s="3">
        <v>7</v>
      </c>
      <c r="B9" s="4" t="s">
        <v>148</v>
      </c>
      <c r="C9" s="3" t="s">
        <v>145</v>
      </c>
      <c r="D9" s="3" t="s">
        <v>146</v>
      </c>
    </row>
    <row r="10" spans="1:4" ht="15" customHeight="1" x14ac:dyDescent="0.25">
      <c r="A10" s="3">
        <v>8</v>
      </c>
      <c r="B10" s="4" t="s">
        <v>377</v>
      </c>
      <c r="C10" s="3" t="s">
        <v>145</v>
      </c>
      <c r="D10" s="3" t="s">
        <v>146</v>
      </c>
    </row>
    <row r="11" spans="1:4" ht="15" customHeight="1" x14ac:dyDescent="0.25">
      <c r="A11" s="3">
        <v>9</v>
      </c>
      <c r="B11" s="4" t="s">
        <v>150</v>
      </c>
      <c r="C11" s="3" t="s">
        <v>151</v>
      </c>
      <c r="D11" s="3" t="s">
        <v>152</v>
      </c>
    </row>
    <row r="12" spans="1:4" ht="15" customHeight="1" x14ac:dyDescent="0.25">
      <c r="A12" s="3">
        <v>10</v>
      </c>
      <c r="B12" s="4" t="s">
        <v>153</v>
      </c>
      <c r="C12" s="3" t="s">
        <v>151</v>
      </c>
      <c r="D12" s="3" t="s">
        <v>152</v>
      </c>
    </row>
    <row r="13" spans="1:4" ht="15" customHeight="1" x14ac:dyDescent="0.25">
      <c r="A13" s="3">
        <v>11</v>
      </c>
      <c r="B13" s="4" t="s">
        <v>154</v>
      </c>
      <c r="C13" s="3" t="s">
        <v>151</v>
      </c>
      <c r="D13" s="3" t="s">
        <v>152</v>
      </c>
    </row>
    <row r="14" spans="1:4" ht="15" customHeight="1" x14ac:dyDescent="0.25">
      <c r="A14" s="3">
        <v>12</v>
      </c>
      <c r="B14" s="4" t="s">
        <v>155</v>
      </c>
      <c r="C14" s="3" t="s">
        <v>151</v>
      </c>
      <c r="D14" s="3" t="s">
        <v>152</v>
      </c>
    </row>
    <row r="15" spans="1:4" ht="15" customHeight="1" x14ac:dyDescent="0.25">
      <c r="A15" s="3"/>
      <c r="B15" s="4"/>
      <c r="C15" s="3"/>
      <c r="D15" s="3" t="s">
        <v>156</v>
      </c>
    </row>
    <row r="16" spans="1:4" ht="15" customHeight="1" x14ac:dyDescent="0.25">
      <c r="A16" s="3"/>
      <c r="B16" s="4"/>
      <c r="C16" s="3"/>
      <c r="D16" s="3" t="s">
        <v>156</v>
      </c>
    </row>
    <row r="17" spans="1:4" ht="15" customHeight="1" x14ac:dyDescent="0.25">
      <c r="A17" s="3"/>
      <c r="B17" s="4"/>
      <c r="C17" s="3"/>
      <c r="D17" s="3" t="s">
        <v>156</v>
      </c>
    </row>
    <row r="18" spans="1:4" ht="15" customHeight="1" x14ac:dyDescent="0.25">
      <c r="A18" s="3"/>
      <c r="B18" s="4"/>
      <c r="C18" s="3"/>
      <c r="D18" s="3" t="s">
        <v>156</v>
      </c>
    </row>
    <row r="20" spans="1:4" ht="15" customHeight="1" x14ac:dyDescent="0.25">
      <c r="A20" s="5" t="s">
        <v>157</v>
      </c>
      <c r="B20" s="6">
        <v>1</v>
      </c>
    </row>
    <row r="21" spans="1:4" ht="15" customHeight="1" x14ac:dyDescent="0.25">
      <c r="A21" s="7" t="s">
        <v>158</v>
      </c>
    </row>
    <row r="23" spans="1:4" ht="15" customHeight="1" x14ac:dyDescent="0.25">
      <c r="A23" s="8" t="s">
        <v>159</v>
      </c>
    </row>
    <row r="24" spans="1:4" ht="15" customHeight="1" x14ac:dyDescent="0.25">
      <c r="A24" s="8" t="s">
        <v>160</v>
      </c>
    </row>
    <row r="25" spans="1:4" ht="15" customHeight="1" x14ac:dyDescent="0.25">
      <c r="A25" s="8" t="s">
        <v>161</v>
      </c>
    </row>
    <row r="26" spans="1:4" ht="15" customHeight="1" x14ac:dyDescent="0.25">
      <c r="A26" s="8" t="s">
        <v>162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83" t="s">
        <v>163</v>
      </c>
    </row>
    <row r="2" spans="1:6" ht="15" customHeight="1" x14ac:dyDescent="0.25">
      <c r="A2" s="84" t="s">
        <v>164</v>
      </c>
    </row>
    <row r="3" spans="1:6" ht="15" customHeight="1" x14ac:dyDescent="0.25">
      <c r="A3" s="9" t="s">
        <v>165</v>
      </c>
      <c r="B3" s="9" t="s">
        <v>166</v>
      </c>
      <c r="C3" s="9" t="s">
        <v>167</v>
      </c>
      <c r="D3" s="9" t="s">
        <v>168</v>
      </c>
      <c r="E3" s="9" t="s">
        <v>166</v>
      </c>
      <c r="F3" s="9" t="s">
        <v>167</v>
      </c>
    </row>
    <row r="4" spans="1:6" ht="15" customHeight="1" x14ac:dyDescent="0.25">
      <c r="A4" s="10">
        <v>1</v>
      </c>
      <c r="B4" s="10">
        <v>1</v>
      </c>
      <c r="C4" s="10" t="s">
        <v>138</v>
      </c>
      <c r="D4" s="11" t="s">
        <v>168</v>
      </c>
      <c r="E4" s="10">
        <v>12</v>
      </c>
      <c r="F4" s="10" t="s">
        <v>155</v>
      </c>
    </row>
    <row r="5" spans="1:6" ht="15" customHeight="1" x14ac:dyDescent="0.25">
      <c r="A5" s="10">
        <v>2</v>
      </c>
      <c r="B5" s="10">
        <v>2</v>
      </c>
      <c r="C5" s="10" t="s">
        <v>141</v>
      </c>
      <c r="D5" s="11" t="s">
        <v>168</v>
      </c>
      <c r="E5" s="10">
        <v>11</v>
      </c>
      <c r="F5" s="10" t="s">
        <v>154</v>
      </c>
    </row>
    <row r="6" spans="1:6" ht="15" customHeight="1" x14ac:dyDescent="0.25">
      <c r="A6" s="10">
        <v>3</v>
      </c>
      <c r="B6" s="10">
        <v>3</v>
      </c>
      <c r="C6" s="10" t="s">
        <v>142</v>
      </c>
      <c r="D6" s="11" t="s">
        <v>168</v>
      </c>
      <c r="E6" s="10">
        <v>10</v>
      </c>
      <c r="F6" s="10" t="s">
        <v>153</v>
      </c>
    </row>
    <row r="7" spans="1:6" ht="15" customHeight="1" x14ac:dyDescent="0.25">
      <c r="A7" s="10">
        <v>4</v>
      </c>
      <c r="B7" s="10">
        <v>4</v>
      </c>
      <c r="C7" s="10" t="s">
        <v>143</v>
      </c>
      <c r="D7" s="11" t="s">
        <v>168</v>
      </c>
      <c r="E7" s="10">
        <v>9</v>
      </c>
      <c r="F7" s="10" t="s">
        <v>150</v>
      </c>
    </row>
    <row r="8" spans="1:6" ht="15" customHeight="1" x14ac:dyDescent="0.25">
      <c r="A8" s="10">
        <v>5</v>
      </c>
      <c r="B8" s="10">
        <v>5</v>
      </c>
      <c r="C8" s="10" t="s">
        <v>144</v>
      </c>
      <c r="D8" s="11" t="s">
        <v>168</v>
      </c>
      <c r="E8" s="10">
        <v>8</v>
      </c>
      <c r="F8" s="10" t="s">
        <v>149</v>
      </c>
    </row>
    <row r="9" spans="1:6" ht="15" customHeight="1" x14ac:dyDescent="0.25">
      <c r="A9" s="10">
        <v>6</v>
      </c>
      <c r="B9" s="10">
        <v>6</v>
      </c>
      <c r="C9" s="10" t="s">
        <v>147</v>
      </c>
      <c r="D9" s="11" t="s">
        <v>168</v>
      </c>
      <c r="E9" s="10">
        <v>7</v>
      </c>
      <c r="F9" s="10" t="s">
        <v>148</v>
      </c>
    </row>
    <row r="10" spans="1:6" ht="15" customHeight="1" x14ac:dyDescent="0.25">
      <c r="A10" s="10"/>
      <c r="B10" s="10"/>
      <c r="C10" s="10"/>
      <c r="D10" s="11"/>
      <c r="E10" s="10"/>
      <c r="F10" s="10"/>
    </row>
    <row r="11" spans="1:6" ht="15" customHeight="1" x14ac:dyDescent="0.25">
      <c r="A11" s="85" t="s">
        <v>169</v>
      </c>
      <c r="B11" s="10"/>
      <c r="C11" s="10"/>
      <c r="D11" s="11"/>
      <c r="E11" s="10"/>
      <c r="F11" s="10"/>
    </row>
    <row r="12" spans="1:6" x14ac:dyDescent="0.25">
      <c r="A12" t="s">
        <v>165</v>
      </c>
      <c r="B12" t="s">
        <v>166</v>
      </c>
      <c r="C12" t="s">
        <v>167</v>
      </c>
      <c r="D12" t="s">
        <v>168</v>
      </c>
      <c r="E12" t="s">
        <v>166</v>
      </c>
      <c r="F12" t="s">
        <v>167</v>
      </c>
    </row>
    <row r="13" spans="1:6" ht="15" customHeight="1" x14ac:dyDescent="0.25">
      <c r="A13" s="74">
        <v>1</v>
      </c>
      <c r="B13">
        <v>1</v>
      </c>
      <c r="C13" t="s">
        <v>138</v>
      </c>
      <c r="D13" t="s">
        <v>168</v>
      </c>
      <c r="E13">
        <v>11</v>
      </c>
      <c r="F13" t="s">
        <v>154</v>
      </c>
    </row>
    <row r="14" spans="1:6" ht="15" customHeight="1" x14ac:dyDescent="0.25">
      <c r="A14" s="9">
        <v>2</v>
      </c>
      <c r="B14" s="9">
        <v>2</v>
      </c>
      <c r="C14" s="9" t="s">
        <v>141</v>
      </c>
      <c r="D14" s="9" t="s">
        <v>168</v>
      </c>
      <c r="E14" s="9">
        <v>10</v>
      </c>
      <c r="F14" s="9" t="s">
        <v>153</v>
      </c>
    </row>
    <row r="15" spans="1:6" ht="15" customHeight="1" x14ac:dyDescent="0.25">
      <c r="A15" s="10">
        <v>3</v>
      </c>
      <c r="B15" s="10">
        <v>3</v>
      </c>
      <c r="C15" s="10" t="s">
        <v>142</v>
      </c>
      <c r="D15" s="11" t="s">
        <v>168</v>
      </c>
      <c r="E15" s="10">
        <v>9</v>
      </c>
      <c r="F15" s="10" t="s">
        <v>150</v>
      </c>
    </row>
    <row r="16" spans="1:6" ht="15" customHeight="1" x14ac:dyDescent="0.25">
      <c r="A16" s="10">
        <v>4</v>
      </c>
      <c r="B16" s="10">
        <v>4</v>
      </c>
      <c r="C16" s="10" t="s">
        <v>143</v>
      </c>
      <c r="D16" s="11" t="s">
        <v>168</v>
      </c>
      <c r="E16" s="10">
        <v>8</v>
      </c>
      <c r="F16" s="10" t="s">
        <v>149</v>
      </c>
    </row>
    <row r="17" spans="1:6" ht="15" customHeight="1" x14ac:dyDescent="0.25">
      <c r="A17" s="10">
        <v>5</v>
      </c>
      <c r="B17" s="10">
        <v>5</v>
      </c>
      <c r="C17" s="10" t="s">
        <v>144</v>
      </c>
      <c r="D17" s="11" t="s">
        <v>168</v>
      </c>
      <c r="E17" s="10">
        <v>7</v>
      </c>
      <c r="F17" s="10" t="s">
        <v>148</v>
      </c>
    </row>
    <row r="18" spans="1:6" ht="15" customHeight="1" x14ac:dyDescent="0.25">
      <c r="A18" s="10">
        <v>6</v>
      </c>
      <c r="B18" s="10">
        <v>6</v>
      </c>
      <c r="C18" s="10" t="s">
        <v>147</v>
      </c>
      <c r="D18" s="11" t="s">
        <v>168</v>
      </c>
      <c r="E18" s="10">
        <v>12</v>
      </c>
      <c r="F18" s="10" t="s">
        <v>155</v>
      </c>
    </row>
    <row r="19" spans="1:6" ht="15" customHeight="1" x14ac:dyDescent="0.25">
      <c r="A19" s="10"/>
      <c r="B19" s="10"/>
      <c r="C19" s="10"/>
      <c r="D19" s="11"/>
      <c r="E19" s="10"/>
      <c r="F19" s="10"/>
    </row>
    <row r="20" spans="1:6" ht="15" customHeight="1" x14ac:dyDescent="0.25">
      <c r="A20" s="85" t="s">
        <v>170</v>
      </c>
      <c r="B20" s="10"/>
      <c r="C20" s="10"/>
      <c r="D20" s="11"/>
      <c r="E20" s="10"/>
      <c r="F20" s="10"/>
    </row>
    <row r="21" spans="1:6" ht="15" customHeight="1" x14ac:dyDescent="0.25">
      <c r="A21" s="10" t="s">
        <v>165</v>
      </c>
      <c r="B21" s="10" t="s">
        <v>166</v>
      </c>
      <c r="C21" s="10" t="s">
        <v>167</v>
      </c>
      <c r="D21" s="11" t="s">
        <v>168</v>
      </c>
      <c r="E21" s="10" t="s">
        <v>166</v>
      </c>
      <c r="F21" s="10" t="s">
        <v>167</v>
      </c>
    </row>
    <row r="22" spans="1:6" ht="15" customHeight="1" x14ac:dyDescent="0.25">
      <c r="A22" s="10">
        <v>1</v>
      </c>
      <c r="B22" s="10">
        <v>1</v>
      </c>
      <c r="C22" s="10" t="s">
        <v>138</v>
      </c>
      <c r="D22" s="11" t="s">
        <v>168</v>
      </c>
      <c r="E22" s="10">
        <v>10</v>
      </c>
      <c r="F22" s="10" t="s">
        <v>153</v>
      </c>
    </row>
    <row r="23" spans="1:6" x14ac:dyDescent="0.25">
      <c r="A23">
        <v>2</v>
      </c>
      <c r="B23">
        <v>2</v>
      </c>
      <c r="C23" t="s">
        <v>141</v>
      </c>
      <c r="D23" t="s">
        <v>168</v>
      </c>
      <c r="E23">
        <v>9</v>
      </c>
      <c r="F23" t="s">
        <v>150</v>
      </c>
    </row>
    <row r="24" spans="1:6" ht="15" customHeight="1" x14ac:dyDescent="0.25">
      <c r="A24" s="74">
        <v>3</v>
      </c>
      <c r="B24">
        <v>3</v>
      </c>
      <c r="C24" t="s">
        <v>142</v>
      </c>
      <c r="D24" t="s">
        <v>168</v>
      </c>
      <c r="E24">
        <v>8</v>
      </c>
      <c r="F24" t="s">
        <v>149</v>
      </c>
    </row>
    <row r="25" spans="1:6" ht="15" customHeight="1" x14ac:dyDescent="0.25">
      <c r="A25" s="9">
        <v>4</v>
      </c>
      <c r="B25" s="9">
        <v>4</v>
      </c>
      <c r="C25" s="9" t="s">
        <v>143</v>
      </c>
      <c r="D25" s="9" t="s">
        <v>168</v>
      </c>
      <c r="E25" s="9">
        <v>7</v>
      </c>
      <c r="F25" s="9" t="s">
        <v>148</v>
      </c>
    </row>
    <row r="26" spans="1:6" ht="15" customHeight="1" x14ac:dyDescent="0.25">
      <c r="A26" s="10">
        <v>5</v>
      </c>
      <c r="B26" s="10">
        <v>5</v>
      </c>
      <c r="C26" s="10" t="s">
        <v>144</v>
      </c>
      <c r="D26" s="11" t="s">
        <v>168</v>
      </c>
      <c r="E26" s="10">
        <v>12</v>
      </c>
      <c r="F26" s="10" t="s">
        <v>155</v>
      </c>
    </row>
    <row r="27" spans="1:6" ht="15" customHeight="1" x14ac:dyDescent="0.25">
      <c r="A27" s="10">
        <v>6</v>
      </c>
      <c r="B27" s="10">
        <v>6</v>
      </c>
      <c r="C27" s="10" t="s">
        <v>147</v>
      </c>
      <c r="D27" s="11" t="s">
        <v>168</v>
      </c>
      <c r="E27" s="10">
        <v>11</v>
      </c>
      <c r="F27" s="10" t="s">
        <v>154</v>
      </c>
    </row>
    <row r="28" spans="1:6" ht="15" customHeight="1" x14ac:dyDescent="0.25">
      <c r="A28" s="10"/>
      <c r="B28" s="10"/>
      <c r="C28" s="10"/>
      <c r="D28" s="11"/>
      <c r="E28" s="10"/>
      <c r="F28" s="10"/>
    </row>
    <row r="29" spans="1:6" ht="15" customHeight="1" x14ac:dyDescent="0.25">
      <c r="A29" s="85" t="s">
        <v>171</v>
      </c>
      <c r="B29" s="10"/>
      <c r="C29" s="10"/>
      <c r="D29" s="11"/>
      <c r="E29" s="10"/>
      <c r="F29" s="10"/>
    </row>
    <row r="30" spans="1:6" ht="15" customHeight="1" x14ac:dyDescent="0.25">
      <c r="A30" s="10" t="s">
        <v>165</v>
      </c>
      <c r="B30" s="10" t="s">
        <v>166</v>
      </c>
      <c r="C30" s="10" t="s">
        <v>167</v>
      </c>
      <c r="D30" s="11" t="s">
        <v>168</v>
      </c>
      <c r="E30" s="10" t="s">
        <v>166</v>
      </c>
      <c r="F30" s="10" t="s">
        <v>167</v>
      </c>
    </row>
    <row r="31" spans="1:6" ht="15" customHeight="1" x14ac:dyDescent="0.25">
      <c r="A31" s="10">
        <v>1</v>
      </c>
      <c r="B31" s="10">
        <v>1</v>
      </c>
      <c r="C31" s="10" t="s">
        <v>138</v>
      </c>
      <c r="D31" s="11" t="s">
        <v>168</v>
      </c>
      <c r="E31" s="10">
        <v>9</v>
      </c>
      <c r="F31" s="10" t="s">
        <v>150</v>
      </c>
    </row>
    <row r="32" spans="1:6" ht="15" customHeight="1" x14ac:dyDescent="0.25">
      <c r="A32" s="10">
        <v>2</v>
      </c>
      <c r="B32" s="10">
        <v>2</v>
      </c>
      <c r="C32" s="10" t="s">
        <v>141</v>
      </c>
      <c r="D32" s="11" t="s">
        <v>168</v>
      </c>
      <c r="E32" s="10">
        <v>8</v>
      </c>
      <c r="F32" s="10" t="s">
        <v>149</v>
      </c>
    </row>
    <row r="33" spans="1:6" ht="15" customHeight="1" x14ac:dyDescent="0.25">
      <c r="A33" s="10">
        <v>3</v>
      </c>
      <c r="B33" s="10">
        <v>3</v>
      </c>
      <c r="C33" s="10" t="s">
        <v>142</v>
      </c>
      <c r="D33" s="11" t="s">
        <v>168</v>
      </c>
      <c r="E33" s="10">
        <v>7</v>
      </c>
      <c r="F33" s="10" t="s">
        <v>148</v>
      </c>
    </row>
    <row r="34" spans="1:6" x14ac:dyDescent="0.25">
      <c r="A34">
        <v>4</v>
      </c>
      <c r="B34">
        <v>4</v>
      </c>
      <c r="C34" t="s">
        <v>143</v>
      </c>
      <c r="D34" t="s">
        <v>168</v>
      </c>
      <c r="E34">
        <v>12</v>
      </c>
      <c r="F34" t="s">
        <v>155</v>
      </c>
    </row>
    <row r="35" spans="1:6" ht="15" customHeight="1" x14ac:dyDescent="0.25">
      <c r="A35" s="74">
        <v>5</v>
      </c>
      <c r="B35">
        <v>5</v>
      </c>
      <c r="C35" t="s">
        <v>144</v>
      </c>
      <c r="D35" t="s">
        <v>168</v>
      </c>
      <c r="E35">
        <v>11</v>
      </c>
      <c r="F35" t="s">
        <v>154</v>
      </c>
    </row>
    <row r="36" spans="1:6" ht="15" customHeight="1" x14ac:dyDescent="0.25">
      <c r="A36" s="9">
        <v>6</v>
      </c>
      <c r="B36" s="9">
        <v>6</v>
      </c>
      <c r="C36" s="9" t="s">
        <v>147</v>
      </c>
      <c r="D36" s="9" t="s">
        <v>168</v>
      </c>
      <c r="E36" s="9">
        <v>10</v>
      </c>
      <c r="F36" s="9" t="s">
        <v>153</v>
      </c>
    </row>
    <row r="37" spans="1:6" ht="15" customHeight="1" x14ac:dyDescent="0.25">
      <c r="A37" s="10"/>
      <c r="B37" s="10"/>
      <c r="C37" s="10"/>
      <c r="D37" s="11"/>
      <c r="E37" s="10"/>
      <c r="F37" s="10"/>
    </row>
    <row r="38" spans="1:6" ht="15" customHeight="1" x14ac:dyDescent="0.25">
      <c r="A38" s="85" t="s">
        <v>172</v>
      </c>
      <c r="B38" s="10"/>
      <c r="C38" s="10"/>
      <c r="D38" s="11"/>
      <c r="E38" s="10"/>
      <c r="F38" s="10"/>
    </row>
    <row r="39" spans="1:6" ht="15" customHeight="1" x14ac:dyDescent="0.25">
      <c r="A39" s="10" t="s">
        <v>165</v>
      </c>
      <c r="B39" s="10" t="s">
        <v>166</v>
      </c>
      <c r="C39" s="10" t="s">
        <v>167</v>
      </c>
      <c r="D39" s="11" t="s">
        <v>168</v>
      </c>
      <c r="E39" s="10" t="s">
        <v>166</v>
      </c>
      <c r="F39" s="10" t="s">
        <v>167</v>
      </c>
    </row>
    <row r="40" spans="1:6" ht="15" customHeight="1" x14ac:dyDescent="0.25">
      <c r="A40" s="10">
        <v>1</v>
      </c>
      <c r="B40" s="10">
        <v>1</v>
      </c>
      <c r="C40" s="10" t="s">
        <v>138</v>
      </c>
      <c r="D40" s="11" t="s">
        <v>168</v>
      </c>
      <c r="E40" s="10">
        <v>8</v>
      </c>
      <c r="F40" s="10" t="s">
        <v>149</v>
      </c>
    </row>
    <row r="41" spans="1:6" ht="15" customHeight="1" x14ac:dyDescent="0.25">
      <c r="A41" s="10">
        <v>2</v>
      </c>
      <c r="B41" s="10">
        <v>2</v>
      </c>
      <c r="C41" s="10" t="s">
        <v>141</v>
      </c>
      <c r="D41" s="11" t="s">
        <v>168</v>
      </c>
      <c r="E41" s="10">
        <v>7</v>
      </c>
      <c r="F41" s="10" t="s">
        <v>148</v>
      </c>
    </row>
    <row r="42" spans="1:6" ht="15" customHeight="1" x14ac:dyDescent="0.25">
      <c r="A42" s="10">
        <v>3</v>
      </c>
      <c r="B42" s="10">
        <v>3</v>
      </c>
      <c r="C42" s="10" t="s">
        <v>142</v>
      </c>
      <c r="D42" s="11" t="s">
        <v>168</v>
      </c>
      <c r="E42" s="10">
        <v>12</v>
      </c>
      <c r="F42" s="10" t="s">
        <v>155</v>
      </c>
    </row>
    <row r="43" spans="1:6" ht="15" customHeight="1" x14ac:dyDescent="0.25">
      <c r="A43" s="10">
        <v>4</v>
      </c>
      <c r="B43" s="10">
        <v>4</v>
      </c>
      <c r="C43" s="10" t="s">
        <v>143</v>
      </c>
      <c r="D43" s="11" t="s">
        <v>168</v>
      </c>
      <c r="E43" s="10">
        <v>11</v>
      </c>
      <c r="F43" s="10" t="s">
        <v>154</v>
      </c>
    </row>
    <row r="44" spans="1:6" ht="15" customHeight="1" x14ac:dyDescent="0.25">
      <c r="A44" s="10">
        <v>5</v>
      </c>
      <c r="B44" s="10">
        <v>5</v>
      </c>
      <c r="C44" s="10" t="s">
        <v>144</v>
      </c>
      <c r="D44" s="11" t="s">
        <v>168</v>
      </c>
      <c r="E44" s="10">
        <v>10</v>
      </c>
      <c r="F44" s="10" t="s">
        <v>153</v>
      </c>
    </row>
    <row r="45" spans="1:6" x14ac:dyDescent="0.25">
      <c r="A45">
        <v>6</v>
      </c>
      <c r="B45">
        <v>6</v>
      </c>
      <c r="C45" t="s">
        <v>147</v>
      </c>
      <c r="D45" t="s">
        <v>168</v>
      </c>
      <c r="E45">
        <v>9</v>
      </c>
      <c r="F45" t="s">
        <v>150</v>
      </c>
    </row>
    <row r="46" spans="1:6" ht="15" customHeight="1" x14ac:dyDescent="0.25">
      <c r="A46" s="74"/>
    </row>
    <row r="47" spans="1:6" ht="15" customHeight="1" x14ac:dyDescent="0.25">
      <c r="A47" s="86" t="s">
        <v>173</v>
      </c>
      <c r="B47" s="9"/>
      <c r="C47" s="9"/>
      <c r="D47" s="9"/>
      <c r="E47" s="9"/>
      <c r="F47" s="9"/>
    </row>
    <row r="48" spans="1:6" ht="15" customHeight="1" x14ac:dyDescent="0.25">
      <c r="A48" s="10" t="s">
        <v>165</v>
      </c>
      <c r="B48" s="10" t="s">
        <v>166</v>
      </c>
      <c r="C48" s="10" t="s">
        <v>167</v>
      </c>
      <c r="D48" s="11" t="s">
        <v>168</v>
      </c>
      <c r="E48" s="10" t="s">
        <v>166</v>
      </c>
      <c r="F48" s="10" t="s">
        <v>167</v>
      </c>
    </row>
    <row r="49" spans="1:6" ht="15" customHeight="1" x14ac:dyDescent="0.25">
      <c r="A49" s="10">
        <v>1</v>
      </c>
      <c r="B49" s="10">
        <v>1</v>
      </c>
      <c r="C49" s="10" t="s">
        <v>138</v>
      </c>
      <c r="D49" s="11" t="s">
        <v>168</v>
      </c>
      <c r="E49" s="10">
        <v>7</v>
      </c>
      <c r="F49" s="10" t="s">
        <v>148</v>
      </c>
    </row>
    <row r="50" spans="1:6" ht="15" customHeight="1" x14ac:dyDescent="0.25">
      <c r="A50" s="10">
        <v>2</v>
      </c>
      <c r="B50" s="10">
        <v>2</v>
      </c>
      <c r="C50" s="10" t="s">
        <v>141</v>
      </c>
      <c r="D50" s="11" t="s">
        <v>168</v>
      </c>
      <c r="E50" s="10">
        <v>12</v>
      </c>
      <c r="F50" s="10" t="s">
        <v>155</v>
      </c>
    </row>
    <row r="51" spans="1:6" ht="15" customHeight="1" x14ac:dyDescent="0.25">
      <c r="A51" s="10">
        <v>3</v>
      </c>
      <c r="B51" s="10">
        <v>3</v>
      </c>
      <c r="C51" s="10" t="s">
        <v>142</v>
      </c>
      <c r="D51" s="11" t="s">
        <v>168</v>
      </c>
      <c r="E51" s="10">
        <v>11</v>
      </c>
      <c r="F51" s="10" t="s">
        <v>154</v>
      </c>
    </row>
    <row r="52" spans="1:6" ht="15" customHeight="1" x14ac:dyDescent="0.25">
      <c r="A52" s="10">
        <v>4</v>
      </c>
      <c r="B52" s="10">
        <v>4</v>
      </c>
      <c r="C52" s="10" t="s">
        <v>143</v>
      </c>
      <c r="D52" s="11" t="s">
        <v>168</v>
      </c>
      <c r="E52" s="10">
        <v>10</v>
      </c>
      <c r="F52" s="10" t="s">
        <v>153</v>
      </c>
    </row>
    <row r="53" spans="1:6" ht="15" customHeight="1" x14ac:dyDescent="0.25">
      <c r="A53" s="10">
        <v>5</v>
      </c>
      <c r="B53" s="10">
        <v>5</v>
      </c>
      <c r="C53" s="10" t="s">
        <v>144</v>
      </c>
      <c r="D53" s="11" t="s">
        <v>168</v>
      </c>
      <c r="E53" s="10">
        <v>9</v>
      </c>
      <c r="F53" s="10" t="s">
        <v>150</v>
      </c>
    </row>
    <row r="54" spans="1:6" ht="15" customHeight="1" x14ac:dyDescent="0.25">
      <c r="A54" s="10">
        <v>6</v>
      </c>
      <c r="B54" s="10">
        <v>6</v>
      </c>
      <c r="C54" s="10" t="s">
        <v>147</v>
      </c>
      <c r="D54" s="11" t="s">
        <v>168</v>
      </c>
      <c r="E54" s="10">
        <v>8</v>
      </c>
      <c r="F54" s="10" t="s">
        <v>149</v>
      </c>
    </row>
    <row r="55" spans="1:6" ht="15" customHeight="1" x14ac:dyDescent="0.25">
      <c r="A55" s="10"/>
      <c r="B55" s="10"/>
      <c r="C55" s="10"/>
      <c r="D55" s="11"/>
      <c r="E55" s="10"/>
      <c r="F55" s="10"/>
    </row>
    <row r="56" spans="1:6" ht="15.75" x14ac:dyDescent="0.25">
      <c r="A56" s="87" t="s">
        <v>174</v>
      </c>
    </row>
    <row r="57" spans="1:6" ht="15" customHeight="1" x14ac:dyDescent="0.25">
      <c r="A57" s="84" t="s">
        <v>175</v>
      </c>
    </row>
    <row r="58" spans="1:6" ht="15" customHeight="1" x14ac:dyDescent="0.25">
      <c r="A58" s="9" t="s">
        <v>165</v>
      </c>
      <c r="B58" s="9" t="s">
        <v>166</v>
      </c>
      <c r="C58" s="9" t="s">
        <v>167</v>
      </c>
      <c r="D58" s="9" t="s">
        <v>168</v>
      </c>
      <c r="E58" s="9" t="s">
        <v>166</v>
      </c>
      <c r="F58" s="9" t="s">
        <v>167</v>
      </c>
    </row>
    <row r="59" spans="1:6" ht="15" customHeight="1" x14ac:dyDescent="0.25">
      <c r="A59" s="10">
        <v>1</v>
      </c>
      <c r="B59" s="10">
        <v>1</v>
      </c>
      <c r="C59" s="10" t="s">
        <v>138</v>
      </c>
      <c r="D59" s="11" t="s">
        <v>168</v>
      </c>
      <c r="E59" s="10">
        <v>6</v>
      </c>
      <c r="F59" s="10" t="s">
        <v>147</v>
      </c>
    </row>
    <row r="60" spans="1:6" ht="15" customHeight="1" x14ac:dyDescent="0.25">
      <c r="A60" s="10">
        <v>2</v>
      </c>
      <c r="B60" s="10">
        <v>2</v>
      </c>
      <c r="C60" s="10" t="s">
        <v>141</v>
      </c>
      <c r="D60" s="11" t="s">
        <v>168</v>
      </c>
      <c r="E60" s="10">
        <v>5</v>
      </c>
      <c r="F60" s="10" t="s">
        <v>144</v>
      </c>
    </row>
    <row r="61" spans="1:6" ht="15" customHeight="1" x14ac:dyDescent="0.25">
      <c r="A61" s="10">
        <v>3</v>
      </c>
      <c r="B61" s="10">
        <v>3</v>
      </c>
      <c r="C61" s="10" t="s">
        <v>142</v>
      </c>
      <c r="D61" s="11" t="s">
        <v>168</v>
      </c>
      <c r="E61" s="10">
        <v>4</v>
      </c>
      <c r="F61" s="10" t="s">
        <v>143</v>
      </c>
    </row>
    <row r="62" spans="1:6" ht="15" customHeight="1" x14ac:dyDescent="0.25">
      <c r="A62" s="10">
        <v>4</v>
      </c>
      <c r="B62" s="10">
        <v>7</v>
      </c>
      <c r="C62" s="10" t="s">
        <v>148</v>
      </c>
      <c r="D62" s="11" t="s">
        <v>168</v>
      </c>
      <c r="E62" s="10">
        <v>12</v>
      </c>
      <c r="F62" s="10" t="s">
        <v>155</v>
      </c>
    </row>
    <row r="63" spans="1:6" ht="15" customHeight="1" x14ac:dyDescent="0.25">
      <c r="A63" s="10">
        <v>5</v>
      </c>
      <c r="B63" s="10">
        <v>8</v>
      </c>
      <c r="C63" s="10" t="s">
        <v>149</v>
      </c>
      <c r="D63" s="11" t="s">
        <v>168</v>
      </c>
      <c r="E63" s="10">
        <v>11</v>
      </c>
      <c r="F63" s="10" t="s">
        <v>154</v>
      </c>
    </row>
    <row r="64" spans="1:6" ht="15" customHeight="1" x14ac:dyDescent="0.25">
      <c r="A64" s="10">
        <v>6</v>
      </c>
      <c r="B64" s="10">
        <v>9</v>
      </c>
      <c r="C64" s="10" t="s">
        <v>150</v>
      </c>
      <c r="D64" s="11" t="s">
        <v>168</v>
      </c>
      <c r="E64" s="10">
        <v>10</v>
      </c>
      <c r="F64" s="10" t="s">
        <v>153</v>
      </c>
    </row>
    <row r="65" spans="1:6" ht="15" customHeight="1" x14ac:dyDescent="0.25">
      <c r="A65" s="10"/>
      <c r="B65" s="10"/>
      <c r="C65" s="10"/>
      <c r="D65" s="11"/>
      <c r="E65" s="10"/>
      <c r="F65" s="10"/>
    </row>
    <row r="66" spans="1:6" ht="15" customHeight="1" x14ac:dyDescent="0.25">
      <c r="A66" s="85" t="s">
        <v>176</v>
      </c>
      <c r="B66" s="10"/>
      <c r="C66" s="10"/>
      <c r="D66" s="11"/>
      <c r="E66" s="10"/>
      <c r="F66" s="10"/>
    </row>
    <row r="67" spans="1:6" x14ac:dyDescent="0.25">
      <c r="A67" t="s">
        <v>165</v>
      </c>
      <c r="B67" t="s">
        <v>166</v>
      </c>
      <c r="C67" t="s">
        <v>167</v>
      </c>
      <c r="D67" t="s">
        <v>168</v>
      </c>
      <c r="E67" t="s">
        <v>166</v>
      </c>
      <c r="F67" t="s">
        <v>167</v>
      </c>
    </row>
    <row r="68" spans="1:6" ht="17.25" customHeight="1" x14ac:dyDescent="0.25">
      <c r="A68" s="75">
        <v>1</v>
      </c>
      <c r="B68">
        <v>1</v>
      </c>
      <c r="C68" t="s">
        <v>138</v>
      </c>
      <c r="D68" t="s">
        <v>168</v>
      </c>
      <c r="E68">
        <v>5</v>
      </c>
      <c r="F68" t="s">
        <v>144</v>
      </c>
    </row>
    <row r="69" spans="1:6" ht="15" customHeight="1" x14ac:dyDescent="0.25">
      <c r="A69" s="74">
        <v>2</v>
      </c>
      <c r="B69">
        <v>2</v>
      </c>
      <c r="C69" t="s">
        <v>141</v>
      </c>
      <c r="D69" t="s">
        <v>168</v>
      </c>
      <c r="E69">
        <v>4</v>
      </c>
      <c r="F69" t="s">
        <v>143</v>
      </c>
    </row>
    <row r="70" spans="1:6" ht="15" customHeight="1" x14ac:dyDescent="0.25">
      <c r="A70" s="9">
        <v>3</v>
      </c>
      <c r="B70" s="9">
        <v>3</v>
      </c>
      <c r="C70" s="9" t="s">
        <v>142</v>
      </c>
      <c r="D70" s="9" t="s">
        <v>168</v>
      </c>
      <c r="E70" s="9">
        <v>6</v>
      </c>
      <c r="F70" s="9" t="s">
        <v>147</v>
      </c>
    </row>
    <row r="71" spans="1:6" ht="15" customHeight="1" x14ac:dyDescent="0.25">
      <c r="A71" s="10">
        <v>4</v>
      </c>
      <c r="B71" s="10">
        <v>7</v>
      </c>
      <c r="C71" s="10" t="s">
        <v>148</v>
      </c>
      <c r="D71" s="11" t="s">
        <v>168</v>
      </c>
      <c r="E71" s="10">
        <v>11</v>
      </c>
      <c r="F71" s="10" t="s">
        <v>154</v>
      </c>
    </row>
    <row r="72" spans="1:6" ht="15" customHeight="1" x14ac:dyDescent="0.25">
      <c r="A72" s="10">
        <v>5</v>
      </c>
      <c r="B72" s="10">
        <v>8</v>
      </c>
      <c r="C72" s="10" t="s">
        <v>149</v>
      </c>
      <c r="D72" s="11" t="s">
        <v>168</v>
      </c>
      <c r="E72" s="10">
        <v>10</v>
      </c>
      <c r="F72" s="10" t="s">
        <v>153</v>
      </c>
    </row>
    <row r="73" spans="1:6" ht="15" customHeight="1" x14ac:dyDescent="0.25">
      <c r="A73" s="10">
        <v>6</v>
      </c>
      <c r="B73" s="10">
        <v>9</v>
      </c>
      <c r="C73" s="10" t="s">
        <v>150</v>
      </c>
      <c r="D73" s="11" t="s">
        <v>168</v>
      </c>
      <c r="E73" s="10">
        <v>12</v>
      </c>
      <c r="F73" s="10" t="s">
        <v>155</v>
      </c>
    </row>
    <row r="74" spans="1:6" ht="15" customHeight="1" x14ac:dyDescent="0.25">
      <c r="A74" s="10"/>
      <c r="B74" s="10"/>
      <c r="C74" s="10"/>
      <c r="D74" s="11"/>
      <c r="E74" s="10"/>
      <c r="F74" s="10"/>
    </row>
    <row r="75" spans="1:6" ht="15" customHeight="1" x14ac:dyDescent="0.25">
      <c r="A75" s="85" t="s">
        <v>177</v>
      </c>
      <c r="B75" s="10"/>
      <c r="C75" s="10"/>
      <c r="D75" s="11"/>
      <c r="E75" s="10"/>
      <c r="F75" s="10"/>
    </row>
    <row r="76" spans="1:6" ht="15" customHeight="1" x14ac:dyDescent="0.25">
      <c r="A76" s="10" t="s">
        <v>165</v>
      </c>
      <c r="B76" s="10" t="s">
        <v>166</v>
      </c>
      <c r="C76" s="10" t="s">
        <v>167</v>
      </c>
      <c r="D76" s="11" t="s">
        <v>168</v>
      </c>
      <c r="E76" s="10" t="s">
        <v>166</v>
      </c>
      <c r="F76" s="10" t="s">
        <v>167</v>
      </c>
    </row>
    <row r="77" spans="1:6" ht="15" customHeight="1" x14ac:dyDescent="0.25">
      <c r="A77" s="10">
        <v>1</v>
      </c>
      <c r="B77" s="10">
        <v>1</v>
      </c>
      <c r="C77" s="10" t="s">
        <v>138</v>
      </c>
      <c r="D77" s="11" t="s">
        <v>168</v>
      </c>
      <c r="E77" s="10">
        <v>4</v>
      </c>
      <c r="F77" s="10" t="s">
        <v>143</v>
      </c>
    </row>
    <row r="78" spans="1:6" ht="15" customHeight="1" x14ac:dyDescent="0.25">
      <c r="A78" s="10">
        <v>2</v>
      </c>
      <c r="B78" s="10">
        <v>2</v>
      </c>
      <c r="C78" s="10" t="s">
        <v>141</v>
      </c>
      <c r="D78" s="11" t="s">
        <v>168</v>
      </c>
      <c r="E78" s="10">
        <v>3</v>
      </c>
      <c r="F78" s="10" t="s">
        <v>142</v>
      </c>
    </row>
    <row r="79" spans="1:6" x14ac:dyDescent="0.25">
      <c r="A79">
        <v>3</v>
      </c>
      <c r="B79">
        <v>5</v>
      </c>
      <c r="C79" t="s">
        <v>144</v>
      </c>
      <c r="D79" t="s">
        <v>168</v>
      </c>
      <c r="E79">
        <v>6</v>
      </c>
      <c r="F79" t="s">
        <v>147</v>
      </c>
    </row>
    <row r="80" spans="1:6" ht="15" customHeight="1" x14ac:dyDescent="0.25">
      <c r="A80" s="74">
        <v>4</v>
      </c>
      <c r="B80">
        <v>7</v>
      </c>
      <c r="C80" t="s">
        <v>148</v>
      </c>
      <c r="D80" t="s">
        <v>168</v>
      </c>
      <c r="E80">
        <v>10</v>
      </c>
      <c r="F80" t="s">
        <v>153</v>
      </c>
    </row>
    <row r="81" spans="1:6" ht="15" customHeight="1" x14ac:dyDescent="0.25">
      <c r="A81" s="9">
        <v>5</v>
      </c>
      <c r="B81" s="9">
        <v>8</v>
      </c>
      <c r="C81" s="9" t="s">
        <v>149</v>
      </c>
      <c r="D81" s="9" t="s">
        <v>168</v>
      </c>
      <c r="E81" s="9">
        <v>9</v>
      </c>
      <c r="F81" s="9" t="s">
        <v>150</v>
      </c>
    </row>
    <row r="82" spans="1:6" ht="15" customHeight="1" x14ac:dyDescent="0.25">
      <c r="A82" s="10">
        <v>6</v>
      </c>
      <c r="B82" s="10">
        <v>11</v>
      </c>
      <c r="C82" s="10" t="s">
        <v>154</v>
      </c>
      <c r="D82" s="11" t="s">
        <v>168</v>
      </c>
      <c r="E82" s="10">
        <v>12</v>
      </c>
      <c r="F82" s="10" t="s">
        <v>155</v>
      </c>
    </row>
    <row r="83" spans="1:6" ht="15" customHeight="1" x14ac:dyDescent="0.25">
      <c r="A83" s="10"/>
      <c r="B83" s="10"/>
      <c r="C83" s="10"/>
      <c r="D83" s="11"/>
      <c r="E83" s="10"/>
      <c r="F83" s="10"/>
    </row>
    <row r="84" spans="1:6" ht="15" customHeight="1" x14ac:dyDescent="0.25">
      <c r="A84" s="85" t="s">
        <v>178</v>
      </c>
      <c r="B84" s="10"/>
      <c r="C84" s="10"/>
      <c r="D84" s="11"/>
      <c r="E84" s="10"/>
      <c r="F84" s="10"/>
    </row>
    <row r="85" spans="1:6" ht="15" customHeight="1" x14ac:dyDescent="0.25">
      <c r="A85" s="10" t="s">
        <v>165</v>
      </c>
      <c r="B85" s="10" t="s">
        <v>166</v>
      </c>
      <c r="C85" s="10" t="s">
        <v>167</v>
      </c>
      <c r="D85" s="11" t="s">
        <v>168</v>
      </c>
      <c r="E85" s="10" t="s">
        <v>166</v>
      </c>
      <c r="F85" s="10" t="s">
        <v>167</v>
      </c>
    </row>
    <row r="86" spans="1:6" ht="15" customHeight="1" x14ac:dyDescent="0.25">
      <c r="A86" s="10">
        <v>1</v>
      </c>
      <c r="B86" s="10">
        <v>1</v>
      </c>
      <c r="C86" s="10" t="s">
        <v>138</v>
      </c>
      <c r="D86" s="11" t="s">
        <v>168</v>
      </c>
      <c r="E86" s="10">
        <v>3</v>
      </c>
      <c r="F86" s="10" t="s">
        <v>142</v>
      </c>
    </row>
    <row r="87" spans="1:6" ht="15" customHeight="1" x14ac:dyDescent="0.25">
      <c r="A87" s="10">
        <v>2</v>
      </c>
      <c r="B87" s="10">
        <v>2</v>
      </c>
      <c r="C87" s="10" t="s">
        <v>141</v>
      </c>
      <c r="D87" s="11" t="s">
        <v>168</v>
      </c>
      <c r="E87" s="10">
        <v>6</v>
      </c>
      <c r="F87" s="10" t="s">
        <v>147</v>
      </c>
    </row>
    <row r="88" spans="1:6" ht="15" customHeight="1" x14ac:dyDescent="0.25">
      <c r="A88" s="10">
        <v>3</v>
      </c>
      <c r="B88" s="10">
        <v>4</v>
      </c>
      <c r="C88" s="10" t="s">
        <v>143</v>
      </c>
      <c r="D88" s="11" t="s">
        <v>168</v>
      </c>
      <c r="E88" s="10">
        <v>5</v>
      </c>
      <c r="F88" s="10" t="s">
        <v>144</v>
      </c>
    </row>
    <row r="89" spans="1:6" ht="15" customHeight="1" x14ac:dyDescent="0.25">
      <c r="A89" s="10">
        <v>4</v>
      </c>
      <c r="B89" s="10">
        <v>7</v>
      </c>
      <c r="C89" s="10" t="s">
        <v>148</v>
      </c>
      <c r="D89" s="11" t="s">
        <v>168</v>
      </c>
      <c r="E89" s="10">
        <v>9</v>
      </c>
      <c r="F89" s="10" t="s">
        <v>150</v>
      </c>
    </row>
    <row r="90" spans="1:6" x14ac:dyDescent="0.25">
      <c r="A90">
        <v>5</v>
      </c>
      <c r="B90">
        <v>8</v>
      </c>
      <c r="C90" t="s">
        <v>149</v>
      </c>
      <c r="D90" t="s">
        <v>168</v>
      </c>
      <c r="E90">
        <v>12</v>
      </c>
      <c r="F90" t="s">
        <v>155</v>
      </c>
    </row>
    <row r="91" spans="1:6" ht="15" customHeight="1" x14ac:dyDescent="0.25">
      <c r="A91" s="74">
        <v>6</v>
      </c>
      <c r="B91">
        <v>10</v>
      </c>
      <c r="C91" t="s">
        <v>153</v>
      </c>
      <c r="D91" t="s">
        <v>168</v>
      </c>
      <c r="E91">
        <v>11</v>
      </c>
      <c r="F91" t="s">
        <v>154</v>
      </c>
    </row>
    <row r="92" spans="1:6" ht="15" customHeight="1" x14ac:dyDescent="0.25">
      <c r="A92" s="9"/>
      <c r="B92" s="9"/>
      <c r="C92" s="9"/>
      <c r="D92" s="9"/>
      <c r="E92" s="9"/>
      <c r="F92" s="9"/>
    </row>
    <row r="93" spans="1:6" ht="15" customHeight="1" x14ac:dyDescent="0.25">
      <c r="A93" s="85" t="s">
        <v>179</v>
      </c>
      <c r="B93" s="10"/>
      <c r="C93" s="10"/>
      <c r="D93" s="11"/>
      <c r="E93" s="10"/>
      <c r="F93" s="10"/>
    </row>
    <row r="94" spans="1:6" ht="15" customHeight="1" x14ac:dyDescent="0.25">
      <c r="A94" s="10" t="s">
        <v>165</v>
      </c>
      <c r="B94" s="10" t="s">
        <v>166</v>
      </c>
      <c r="C94" s="10" t="s">
        <v>167</v>
      </c>
      <c r="D94" s="11" t="s">
        <v>168</v>
      </c>
      <c r="E94" s="10" t="s">
        <v>166</v>
      </c>
      <c r="F94" s="10" t="s">
        <v>167</v>
      </c>
    </row>
    <row r="95" spans="1:6" ht="15" customHeight="1" x14ac:dyDescent="0.25">
      <c r="A95" s="10">
        <v>1</v>
      </c>
      <c r="B95" s="10">
        <v>1</v>
      </c>
      <c r="C95" s="10" t="s">
        <v>138</v>
      </c>
      <c r="D95" s="11" t="s">
        <v>168</v>
      </c>
      <c r="E95" s="10">
        <v>2</v>
      </c>
      <c r="F95" s="10" t="s">
        <v>141</v>
      </c>
    </row>
    <row r="96" spans="1:6" ht="15" customHeight="1" x14ac:dyDescent="0.25">
      <c r="A96" s="10">
        <v>2</v>
      </c>
      <c r="B96" s="10">
        <v>3</v>
      </c>
      <c r="C96" s="10" t="s">
        <v>142</v>
      </c>
      <c r="D96" s="11" t="s">
        <v>168</v>
      </c>
      <c r="E96" s="10">
        <v>5</v>
      </c>
      <c r="F96" s="10" t="s">
        <v>144</v>
      </c>
    </row>
    <row r="97" spans="1:6" ht="15" customHeight="1" x14ac:dyDescent="0.25">
      <c r="A97" s="10">
        <v>3</v>
      </c>
      <c r="B97" s="10">
        <v>4</v>
      </c>
      <c r="C97" s="10" t="s">
        <v>143</v>
      </c>
      <c r="D97" s="11" t="s">
        <v>168</v>
      </c>
      <c r="E97" s="10">
        <v>6</v>
      </c>
      <c r="F97" s="10" t="s">
        <v>147</v>
      </c>
    </row>
    <row r="98" spans="1:6" ht="15" customHeight="1" x14ac:dyDescent="0.25">
      <c r="A98" s="10">
        <v>4</v>
      </c>
      <c r="B98" s="10">
        <v>7</v>
      </c>
      <c r="C98" s="10" t="s">
        <v>148</v>
      </c>
      <c r="D98" s="11" t="s">
        <v>168</v>
      </c>
      <c r="E98" s="10">
        <v>8</v>
      </c>
      <c r="F98" s="10" t="s">
        <v>149</v>
      </c>
    </row>
    <row r="99" spans="1:6" ht="15" customHeight="1" x14ac:dyDescent="0.25">
      <c r="A99" s="10">
        <v>5</v>
      </c>
      <c r="B99" s="10">
        <v>9</v>
      </c>
      <c r="C99" s="10" t="s">
        <v>150</v>
      </c>
      <c r="D99" s="11" t="s">
        <v>168</v>
      </c>
      <c r="E99" s="10">
        <v>11</v>
      </c>
      <c r="F99" s="10" t="s">
        <v>154</v>
      </c>
    </row>
    <row r="100" spans="1:6" ht="15" customHeight="1" x14ac:dyDescent="0.25">
      <c r="A100" s="10">
        <v>6</v>
      </c>
      <c r="B100" s="10">
        <v>10</v>
      </c>
      <c r="C100" s="10" t="s">
        <v>153</v>
      </c>
      <c r="D100" s="11" t="s">
        <v>168</v>
      </c>
      <c r="E100" s="10">
        <v>12</v>
      </c>
      <c r="F100" s="10" t="s">
        <v>155</v>
      </c>
    </row>
    <row r="102" spans="1:6" ht="15" customHeight="1" x14ac:dyDescent="0.25">
      <c r="A102" s="84" t="s">
        <v>180</v>
      </c>
    </row>
    <row r="103" spans="1:6" ht="15" customHeight="1" x14ac:dyDescent="0.25">
      <c r="A103" s="9" t="s">
        <v>165</v>
      </c>
      <c r="B103" s="9" t="s">
        <v>166</v>
      </c>
      <c r="C103" s="9" t="s">
        <v>167</v>
      </c>
      <c r="D103" s="9" t="s">
        <v>168</v>
      </c>
      <c r="E103" s="9" t="s">
        <v>166</v>
      </c>
      <c r="F103" s="9" t="s">
        <v>167</v>
      </c>
    </row>
    <row r="104" spans="1:6" ht="15" customHeight="1" x14ac:dyDescent="0.25">
      <c r="A104" s="10">
        <v>1</v>
      </c>
      <c r="B104" s="10">
        <v>2</v>
      </c>
      <c r="C104" s="10" t="s">
        <v>141</v>
      </c>
      <c r="D104" s="11" t="s">
        <v>168</v>
      </c>
      <c r="E104" s="10">
        <v>4</v>
      </c>
      <c r="F104" s="10" t="s">
        <v>143</v>
      </c>
    </row>
    <row r="105" spans="1:6" ht="15" customHeight="1" x14ac:dyDescent="0.25">
      <c r="A105" s="10">
        <v>2</v>
      </c>
      <c r="B105" s="10">
        <v>1</v>
      </c>
      <c r="C105" s="10" t="s">
        <v>138</v>
      </c>
      <c r="D105" s="11" t="s">
        <v>168</v>
      </c>
      <c r="E105" s="10">
        <v>6</v>
      </c>
      <c r="F105" s="10" t="s">
        <v>147</v>
      </c>
    </row>
    <row r="106" spans="1:6" ht="15" customHeight="1" x14ac:dyDescent="0.25">
      <c r="A106" s="10">
        <v>3</v>
      </c>
      <c r="B106" s="10">
        <v>3</v>
      </c>
      <c r="C106" s="10" t="s">
        <v>142</v>
      </c>
      <c r="D106" s="11" t="s">
        <v>168</v>
      </c>
      <c r="E106" s="10">
        <v>5</v>
      </c>
      <c r="F106" s="10" t="s">
        <v>144</v>
      </c>
    </row>
    <row r="107" spans="1:6" ht="15" customHeight="1" x14ac:dyDescent="0.25">
      <c r="A107" s="10">
        <v>4</v>
      </c>
      <c r="B107" s="10">
        <v>8</v>
      </c>
      <c r="C107" s="10" t="s">
        <v>149</v>
      </c>
      <c r="D107" s="11" t="s">
        <v>168</v>
      </c>
      <c r="E107" s="10">
        <v>10</v>
      </c>
      <c r="F107" s="10" t="s">
        <v>153</v>
      </c>
    </row>
    <row r="108" spans="1:6" ht="15" customHeight="1" x14ac:dyDescent="0.25">
      <c r="A108" s="10">
        <v>5</v>
      </c>
      <c r="B108" s="10">
        <v>7</v>
      </c>
      <c r="C108" s="10" t="s">
        <v>148</v>
      </c>
      <c r="D108" s="11" t="s">
        <v>168</v>
      </c>
      <c r="E108" s="10">
        <v>12</v>
      </c>
      <c r="F108" s="10" t="s">
        <v>155</v>
      </c>
    </row>
    <row r="109" spans="1:6" ht="15" customHeight="1" x14ac:dyDescent="0.25">
      <c r="A109" s="10">
        <v>6</v>
      </c>
      <c r="B109" s="10">
        <v>9</v>
      </c>
      <c r="C109" s="10" t="s">
        <v>150</v>
      </c>
      <c r="D109" s="11" t="s">
        <v>168</v>
      </c>
      <c r="E109" s="10">
        <v>11</v>
      </c>
      <c r="F109" s="10" t="s">
        <v>154</v>
      </c>
    </row>
    <row r="110" spans="1:6" ht="15" customHeight="1" x14ac:dyDescent="0.25">
      <c r="A110" s="10"/>
      <c r="B110" s="10"/>
      <c r="C110" s="10"/>
      <c r="D110" s="11"/>
      <c r="E110" s="10"/>
      <c r="F110" s="10"/>
    </row>
    <row r="111" spans="1:6" ht="15" customHeight="1" x14ac:dyDescent="0.25">
      <c r="A111" s="88" t="s">
        <v>181</v>
      </c>
      <c r="B111" s="10"/>
      <c r="C111" s="10"/>
      <c r="D111" s="11"/>
      <c r="E111" s="10"/>
      <c r="F111" s="10"/>
    </row>
    <row r="112" spans="1:6" x14ac:dyDescent="0.25">
      <c r="A112" s="89" t="s">
        <v>182</v>
      </c>
    </row>
    <row r="113" spans="1:6" ht="15" customHeight="1" x14ac:dyDescent="0.25">
      <c r="A113" s="74" t="s">
        <v>165</v>
      </c>
      <c r="B113" t="s">
        <v>166</v>
      </c>
      <c r="C113" t="s">
        <v>167</v>
      </c>
      <c r="D113" t="s">
        <v>168</v>
      </c>
      <c r="E113" t="s">
        <v>166</v>
      </c>
      <c r="F113" t="s">
        <v>167</v>
      </c>
    </row>
    <row r="114" spans="1:6" ht="15" customHeight="1" x14ac:dyDescent="0.25">
      <c r="A114" s="9">
        <v>1</v>
      </c>
      <c r="B114" s="9">
        <v>1</v>
      </c>
      <c r="C114" s="9" t="s">
        <v>138</v>
      </c>
      <c r="D114" s="9" t="s">
        <v>168</v>
      </c>
      <c r="E114" s="9">
        <v>2</v>
      </c>
      <c r="F114" s="9" t="s">
        <v>141</v>
      </c>
    </row>
    <row r="115" spans="1:6" ht="15" customHeight="1" x14ac:dyDescent="0.25">
      <c r="A115" s="10">
        <v>2</v>
      </c>
      <c r="B115" s="10">
        <v>3</v>
      </c>
      <c r="C115" s="10" t="s">
        <v>142</v>
      </c>
      <c r="D115" s="11" t="s">
        <v>168</v>
      </c>
      <c r="E115" s="10">
        <v>4</v>
      </c>
      <c r="F115" s="10" t="s">
        <v>143</v>
      </c>
    </row>
    <row r="116" spans="1:6" ht="15" customHeight="1" x14ac:dyDescent="0.25">
      <c r="A116" s="10">
        <v>3</v>
      </c>
      <c r="B116" s="10">
        <v>5</v>
      </c>
      <c r="C116" s="10" t="s">
        <v>144</v>
      </c>
      <c r="D116" s="11" t="s">
        <v>168</v>
      </c>
      <c r="E116" s="10">
        <v>6</v>
      </c>
      <c r="F116" s="10" t="s">
        <v>147</v>
      </c>
    </row>
    <row r="117" spans="1:6" ht="15" customHeight="1" x14ac:dyDescent="0.25">
      <c r="A117" s="10">
        <v>4</v>
      </c>
      <c r="B117" s="10">
        <v>7</v>
      </c>
      <c r="C117" s="10" t="s">
        <v>148</v>
      </c>
      <c r="D117" s="11" t="s">
        <v>168</v>
      </c>
      <c r="E117" s="10">
        <v>8</v>
      </c>
      <c r="F117" s="10" t="s">
        <v>149</v>
      </c>
    </row>
    <row r="118" spans="1:6" ht="15" customHeight="1" x14ac:dyDescent="0.25">
      <c r="A118" s="10">
        <v>5</v>
      </c>
      <c r="B118" s="10">
        <v>9</v>
      </c>
      <c r="C118" s="10" t="s">
        <v>150</v>
      </c>
      <c r="D118" s="11" t="s">
        <v>168</v>
      </c>
      <c r="E118" s="10">
        <v>10</v>
      </c>
      <c r="F118" s="10" t="s">
        <v>153</v>
      </c>
    </row>
    <row r="119" spans="1:6" ht="15" customHeight="1" x14ac:dyDescent="0.25">
      <c r="A119" s="10">
        <v>6</v>
      </c>
      <c r="B119" s="10">
        <v>11</v>
      </c>
      <c r="C119" s="10" t="s">
        <v>154</v>
      </c>
      <c r="D119" s="11" t="s">
        <v>168</v>
      </c>
      <c r="E119" s="10">
        <v>12</v>
      </c>
      <c r="F119" s="10" t="s">
        <v>155</v>
      </c>
    </row>
    <row r="120" spans="1:6" ht="15" customHeight="1" x14ac:dyDescent="0.25">
      <c r="A120" s="10"/>
      <c r="B120" s="10"/>
      <c r="C120" s="10"/>
      <c r="D120" s="11"/>
      <c r="E120" s="10"/>
      <c r="F120" s="10"/>
    </row>
    <row r="121" spans="1:6" ht="15" customHeight="1" x14ac:dyDescent="0.25">
      <c r="A121" s="85" t="s">
        <v>183</v>
      </c>
      <c r="B121" s="10"/>
      <c r="C121" s="10"/>
      <c r="D121" s="11"/>
      <c r="E121" s="10"/>
      <c r="F121" s="10"/>
    </row>
    <row r="122" spans="1:6" ht="15" customHeight="1" x14ac:dyDescent="0.25">
      <c r="A122" s="10" t="s">
        <v>165</v>
      </c>
      <c r="B122" s="10" t="s">
        <v>166</v>
      </c>
      <c r="C122" s="10" t="s">
        <v>167</v>
      </c>
      <c r="D122" s="11" t="s">
        <v>168</v>
      </c>
      <c r="E122" s="10" t="s">
        <v>166</v>
      </c>
      <c r="F122" s="10" t="s">
        <v>167</v>
      </c>
    </row>
    <row r="123" spans="1:6" x14ac:dyDescent="0.25">
      <c r="A123">
        <v>1</v>
      </c>
      <c r="B123">
        <v>1</v>
      </c>
      <c r="C123" t="s">
        <v>138</v>
      </c>
      <c r="D123" t="s">
        <v>168</v>
      </c>
      <c r="E123">
        <v>3</v>
      </c>
      <c r="F123" t="s">
        <v>142</v>
      </c>
    </row>
    <row r="124" spans="1:6" ht="15" customHeight="1" x14ac:dyDescent="0.25">
      <c r="A124" s="74">
        <v>2</v>
      </c>
      <c r="B124">
        <v>2</v>
      </c>
      <c r="C124" t="s">
        <v>141</v>
      </c>
      <c r="D124" t="s">
        <v>168</v>
      </c>
      <c r="E124">
        <v>4</v>
      </c>
      <c r="F124" t="s">
        <v>143</v>
      </c>
    </row>
    <row r="125" spans="1:6" ht="15" customHeight="1" x14ac:dyDescent="0.25">
      <c r="A125" s="9">
        <v>3</v>
      </c>
      <c r="B125" s="9">
        <v>5</v>
      </c>
      <c r="C125" s="9" t="s">
        <v>144</v>
      </c>
      <c r="D125" s="9" t="s">
        <v>168</v>
      </c>
      <c r="E125" s="9">
        <v>7</v>
      </c>
      <c r="F125" s="9" t="s">
        <v>148</v>
      </c>
    </row>
    <row r="126" spans="1:6" ht="15" customHeight="1" x14ac:dyDescent="0.25">
      <c r="A126" s="10">
        <v>4</v>
      </c>
      <c r="B126" s="10">
        <v>6</v>
      </c>
      <c r="C126" s="10" t="s">
        <v>147</v>
      </c>
      <c r="D126" s="11" t="s">
        <v>168</v>
      </c>
      <c r="E126" s="10">
        <v>8</v>
      </c>
      <c r="F126" s="10" t="s">
        <v>149</v>
      </c>
    </row>
    <row r="127" spans="1:6" ht="15" customHeight="1" x14ac:dyDescent="0.25">
      <c r="A127" s="10">
        <v>5</v>
      </c>
      <c r="B127" s="10">
        <v>9</v>
      </c>
      <c r="C127" s="10" t="s">
        <v>150</v>
      </c>
      <c r="D127" s="11" t="s">
        <v>168</v>
      </c>
      <c r="E127" s="10">
        <v>11</v>
      </c>
      <c r="F127" s="10" t="s">
        <v>154</v>
      </c>
    </row>
    <row r="128" spans="1:6" ht="15" customHeight="1" x14ac:dyDescent="0.25">
      <c r="A128" s="10">
        <v>6</v>
      </c>
      <c r="B128" s="10">
        <v>10</v>
      </c>
      <c r="C128" s="10" t="s">
        <v>153</v>
      </c>
      <c r="D128" s="11" t="s">
        <v>168</v>
      </c>
      <c r="E128" s="10">
        <v>12</v>
      </c>
      <c r="F128" s="10" t="s">
        <v>155</v>
      </c>
    </row>
    <row r="129" spans="1:6" ht="15" customHeight="1" x14ac:dyDescent="0.25">
      <c r="A129" s="10"/>
      <c r="B129" s="10"/>
      <c r="C129" s="10"/>
      <c r="D129" s="11"/>
      <c r="E129" s="10"/>
      <c r="F129" s="10"/>
    </row>
    <row r="130" spans="1:6" ht="15" customHeight="1" x14ac:dyDescent="0.25">
      <c r="A130" s="85" t="s">
        <v>184</v>
      </c>
      <c r="B130" s="10"/>
      <c r="C130" s="10"/>
      <c r="D130" s="11"/>
      <c r="E130" s="10"/>
      <c r="F130" s="10"/>
    </row>
    <row r="131" spans="1:6" ht="15" customHeight="1" x14ac:dyDescent="0.25">
      <c r="A131" s="10" t="s">
        <v>165</v>
      </c>
      <c r="B131" s="10" t="s">
        <v>166</v>
      </c>
      <c r="C131" s="10" t="s">
        <v>167</v>
      </c>
      <c r="D131" s="11" t="s">
        <v>168</v>
      </c>
      <c r="E131" s="10" t="s">
        <v>166</v>
      </c>
      <c r="F131" s="10" t="s">
        <v>167</v>
      </c>
    </row>
    <row r="132" spans="1:6" ht="15" customHeight="1" x14ac:dyDescent="0.25">
      <c r="A132" s="10">
        <v>1</v>
      </c>
      <c r="B132" s="10">
        <v>1</v>
      </c>
      <c r="C132" s="10" t="s">
        <v>138</v>
      </c>
      <c r="D132" s="11" t="s">
        <v>168</v>
      </c>
      <c r="E132" s="10">
        <v>4</v>
      </c>
      <c r="F132" s="10" t="s">
        <v>143</v>
      </c>
    </row>
    <row r="133" spans="1:6" ht="15" customHeight="1" x14ac:dyDescent="0.25">
      <c r="A133" s="10">
        <v>2</v>
      </c>
      <c r="B133" s="10">
        <v>2</v>
      </c>
      <c r="C133" s="10" t="s">
        <v>141</v>
      </c>
      <c r="D133" s="11" t="s">
        <v>168</v>
      </c>
      <c r="E133" s="10">
        <v>3</v>
      </c>
      <c r="F133" s="10" t="s">
        <v>142</v>
      </c>
    </row>
    <row r="134" spans="1:6" x14ac:dyDescent="0.25">
      <c r="A134">
        <v>3</v>
      </c>
      <c r="B134">
        <v>5</v>
      </c>
      <c r="C134" t="s">
        <v>144</v>
      </c>
      <c r="D134" t="s">
        <v>168</v>
      </c>
      <c r="E134">
        <v>8</v>
      </c>
      <c r="F134" t="s">
        <v>149</v>
      </c>
    </row>
    <row r="135" spans="1:6" ht="17.25" customHeight="1" x14ac:dyDescent="0.25">
      <c r="A135" s="75">
        <v>4</v>
      </c>
      <c r="B135">
        <v>6</v>
      </c>
      <c r="C135" t="s">
        <v>147</v>
      </c>
      <c r="D135" t="s">
        <v>168</v>
      </c>
      <c r="E135">
        <v>7</v>
      </c>
      <c r="F135" t="s">
        <v>148</v>
      </c>
    </row>
    <row r="136" spans="1:6" ht="15" customHeight="1" x14ac:dyDescent="0.25">
      <c r="A136" s="74">
        <v>5</v>
      </c>
      <c r="B136">
        <v>9</v>
      </c>
      <c r="C136" t="s">
        <v>150</v>
      </c>
      <c r="D136" t="s">
        <v>168</v>
      </c>
      <c r="E136">
        <v>12</v>
      </c>
      <c r="F136" t="s">
        <v>155</v>
      </c>
    </row>
    <row r="137" spans="1:6" ht="15" customHeight="1" x14ac:dyDescent="0.25">
      <c r="A137" s="9">
        <v>6</v>
      </c>
      <c r="B137" s="9">
        <v>10</v>
      </c>
      <c r="C137" s="9" t="s">
        <v>153</v>
      </c>
      <c r="D137" s="9" t="s">
        <v>168</v>
      </c>
      <c r="E137" s="9">
        <v>11</v>
      </c>
      <c r="F137" s="9" t="s">
        <v>154</v>
      </c>
    </row>
    <row r="138" spans="1:6" ht="15" customHeight="1" x14ac:dyDescent="0.25">
      <c r="A138" s="10"/>
      <c r="B138" s="10"/>
      <c r="C138" s="10"/>
      <c r="D138" s="11"/>
      <c r="E138" s="10"/>
      <c r="F138" s="10"/>
    </row>
    <row r="139" spans="1:6" ht="15" customHeight="1" x14ac:dyDescent="0.25">
      <c r="A139" s="85" t="s">
        <v>185</v>
      </c>
      <c r="B139" s="10"/>
      <c r="C139" s="10"/>
      <c r="D139" s="11"/>
      <c r="E139" s="10"/>
      <c r="F139" s="10"/>
    </row>
    <row r="140" spans="1:6" ht="15" customHeight="1" x14ac:dyDescent="0.25">
      <c r="A140" s="10" t="s">
        <v>165</v>
      </c>
      <c r="B140" s="10" t="s">
        <v>166</v>
      </c>
      <c r="C140" s="10" t="s">
        <v>167</v>
      </c>
      <c r="D140" s="11" t="s">
        <v>168</v>
      </c>
      <c r="E140" s="10" t="s">
        <v>166</v>
      </c>
      <c r="F140" s="10" t="s">
        <v>167</v>
      </c>
    </row>
    <row r="141" spans="1:6" ht="15" customHeight="1" x14ac:dyDescent="0.25">
      <c r="A141" s="10">
        <v>1</v>
      </c>
      <c r="B141" s="10">
        <v>1</v>
      </c>
      <c r="C141" s="10" t="s">
        <v>138</v>
      </c>
      <c r="D141" s="11" t="s">
        <v>168</v>
      </c>
      <c r="E141" s="10">
        <v>2</v>
      </c>
      <c r="F141" s="10" t="s">
        <v>141</v>
      </c>
    </row>
    <row r="142" spans="1:6" ht="15" customHeight="1" x14ac:dyDescent="0.25">
      <c r="A142" s="10">
        <v>2</v>
      </c>
      <c r="B142" s="10">
        <v>3</v>
      </c>
      <c r="C142" s="10" t="s">
        <v>142</v>
      </c>
      <c r="D142" s="11" t="s">
        <v>168</v>
      </c>
      <c r="E142" s="10">
        <v>4</v>
      </c>
      <c r="F142" s="10" t="s">
        <v>143</v>
      </c>
    </row>
    <row r="143" spans="1:6" ht="15" customHeight="1" x14ac:dyDescent="0.25">
      <c r="A143" s="10">
        <v>3</v>
      </c>
      <c r="B143" s="10">
        <v>5</v>
      </c>
      <c r="C143" s="10" t="s">
        <v>144</v>
      </c>
      <c r="D143" s="11" t="s">
        <v>168</v>
      </c>
      <c r="E143" s="10">
        <v>6</v>
      </c>
      <c r="F143" s="10" t="s">
        <v>147</v>
      </c>
    </row>
    <row r="144" spans="1:6" ht="15" customHeight="1" x14ac:dyDescent="0.25">
      <c r="A144" s="10">
        <v>4</v>
      </c>
      <c r="B144" s="10">
        <v>7</v>
      </c>
      <c r="C144" s="10" t="s">
        <v>148</v>
      </c>
      <c r="D144" s="11" t="s">
        <v>168</v>
      </c>
      <c r="E144" s="10">
        <v>8</v>
      </c>
      <c r="F144" s="10" t="s">
        <v>149</v>
      </c>
    </row>
    <row r="145" spans="1:6" ht="15" customHeight="1" x14ac:dyDescent="0.25">
      <c r="A145" s="10">
        <v>5</v>
      </c>
      <c r="B145" s="10">
        <v>9</v>
      </c>
      <c r="C145" s="10" t="s">
        <v>150</v>
      </c>
      <c r="D145" s="11" t="s">
        <v>168</v>
      </c>
      <c r="E145" s="10">
        <v>10</v>
      </c>
      <c r="F145" s="10" t="s">
        <v>153</v>
      </c>
    </row>
    <row r="146" spans="1:6" x14ac:dyDescent="0.25">
      <c r="A146">
        <v>6</v>
      </c>
      <c r="B146">
        <v>11</v>
      </c>
      <c r="C146" t="s">
        <v>154</v>
      </c>
      <c r="D146" t="s">
        <v>168</v>
      </c>
      <c r="E146">
        <v>12</v>
      </c>
      <c r="F146" t="s">
        <v>155</v>
      </c>
    </row>
    <row r="147" spans="1:6" ht="15" customHeight="1" x14ac:dyDescent="0.25">
      <c r="A147" s="74"/>
    </row>
    <row r="148" spans="1:6" ht="15" customHeight="1" x14ac:dyDescent="0.25">
      <c r="A148" s="86" t="s">
        <v>186</v>
      </c>
      <c r="B148" s="9"/>
      <c r="C148" s="9"/>
      <c r="D148" s="9"/>
      <c r="E148" s="9"/>
      <c r="F148" s="9"/>
    </row>
    <row r="149" spans="1:6" ht="15" customHeight="1" x14ac:dyDescent="0.25">
      <c r="A149" s="10" t="s">
        <v>165</v>
      </c>
      <c r="B149" s="10" t="s">
        <v>166</v>
      </c>
      <c r="C149" s="10" t="s">
        <v>167</v>
      </c>
      <c r="D149" s="11" t="s">
        <v>168</v>
      </c>
      <c r="E149" s="10" t="s">
        <v>166</v>
      </c>
      <c r="F149" s="10" t="s">
        <v>167</v>
      </c>
    </row>
    <row r="150" spans="1:6" ht="15" customHeight="1" x14ac:dyDescent="0.25">
      <c r="A150" s="10">
        <v>1</v>
      </c>
      <c r="B150" s="10">
        <v>1</v>
      </c>
      <c r="C150" s="10" t="s">
        <v>138</v>
      </c>
      <c r="D150" s="11" t="s">
        <v>168</v>
      </c>
      <c r="E150" s="10">
        <v>3</v>
      </c>
      <c r="F150" s="10" t="s">
        <v>142</v>
      </c>
    </row>
    <row r="151" spans="1:6" ht="15" customHeight="1" x14ac:dyDescent="0.25">
      <c r="A151" s="10">
        <v>2</v>
      </c>
      <c r="B151" s="10">
        <v>2</v>
      </c>
      <c r="C151" s="10" t="s">
        <v>141</v>
      </c>
      <c r="D151" s="11" t="s">
        <v>168</v>
      </c>
      <c r="E151" s="10">
        <v>4</v>
      </c>
      <c r="F151" s="10" t="s">
        <v>143</v>
      </c>
    </row>
    <row r="152" spans="1:6" ht="15" customHeight="1" x14ac:dyDescent="0.25">
      <c r="A152" s="10">
        <v>3</v>
      </c>
      <c r="B152" s="10">
        <v>5</v>
      </c>
      <c r="C152" s="10" t="s">
        <v>144</v>
      </c>
      <c r="D152" s="11" t="s">
        <v>168</v>
      </c>
      <c r="E152" s="10">
        <v>7</v>
      </c>
      <c r="F152" s="10" t="s">
        <v>148</v>
      </c>
    </row>
    <row r="153" spans="1:6" ht="15" customHeight="1" x14ac:dyDescent="0.25">
      <c r="A153" s="10">
        <v>4</v>
      </c>
      <c r="B153" s="10">
        <v>6</v>
      </c>
      <c r="C153" s="10" t="s">
        <v>147</v>
      </c>
      <c r="D153" s="11" t="s">
        <v>168</v>
      </c>
      <c r="E153" s="10">
        <v>8</v>
      </c>
      <c r="F153" s="10" t="s">
        <v>149</v>
      </c>
    </row>
    <row r="154" spans="1:6" ht="15" customHeight="1" x14ac:dyDescent="0.25">
      <c r="A154" s="10">
        <v>5</v>
      </c>
      <c r="B154" s="10">
        <v>9</v>
      </c>
      <c r="C154" s="10" t="s">
        <v>150</v>
      </c>
      <c r="D154" s="11" t="s">
        <v>168</v>
      </c>
      <c r="E154" s="10">
        <v>11</v>
      </c>
      <c r="F154" s="10" t="s">
        <v>154</v>
      </c>
    </row>
    <row r="155" spans="1:6" ht="15" customHeight="1" x14ac:dyDescent="0.25">
      <c r="A155" s="10">
        <v>6</v>
      </c>
      <c r="B155" s="10">
        <v>10</v>
      </c>
      <c r="C155" s="10" t="s">
        <v>153</v>
      </c>
      <c r="D155" s="11" t="s">
        <v>168</v>
      </c>
      <c r="E155" s="10">
        <v>12</v>
      </c>
      <c r="F155" s="10" t="s">
        <v>155</v>
      </c>
    </row>
    <row r="156" spans="1:6" ht="15" customHeight="1" x14ac:dyDescent="0.25">
      <c r="A156" s="10"/>
      <c r="B156" s="10"/>
      <c r="C156" s="10"/>
      <c r="D156" s="11"/>
      <c r="E156" s="10"/>
      <c r="F156" s="10"/>
    </row>
    <row r="157" spans="1:6" x14ac:dyDescent="0.25">
      <c r="A157" s="89" t="s">
        <v>187</v>
      </c>
    </row>
    <row r="158" spans="1:6" ht="15" customHeight="1" x14ac:dyDescent="0.25">
      <c r="A158" s="74" t="s">
        <v>165</v>
      </c>
      <c r="B158" t="s">
        <v>166</v>
      </c>
      <c r="C158" t="s">
        <v>167</v>
      </c>
      <c r="D158" t="s">
        <v>168</v>
      </c>
      <c r="E158" t="s">
        <v>166</v>
      </c>
      <c r="F158" t="s">
        <v>167</v>
      </c>
    </row>
    <row r="159" spans="1:6" ht="15" customHeight="1" x14ac:dyDescent="0.25">
      <c r="A159" s="9">
        <v>1</v>
      </c>
      <c r="B159" s="9">
        <v>1</v>
      </c>
      <c r="C159" s="9" t="s">
        <v>138</v>
      </c>
      <c r="D159" s="9" t="s">
        <v>168</v>
      </c>
      <c r="E159" s="9">
        <v>4</v>
      </c>
      <c r="F159" s="9" t="s">
        <v>143</v>
      </c>
    </row>
    <row r="160" spans="1:6" ht="15" customHeight="1" x14ac:dyDescent="0.25">
      <c r="A160" s="10">
        <v>2</v>
      </c>
      <c r="B160" s="10">
        <v>2</v>
      </c>
      <c r="C160" s="10" t="s">
        <v>141</v>
      </c>
      <c r="D160" s="11" t="s">
        <v>168</v>
      </c>
      <c r="E160" s="10">
        <v>3</v>
      </c>
      <c r="F160" s="10" t="s">
        <v>142</v>
      </c>
    </row>
    <row r="161" spans="1:6" ht="15" customHeight="1" x14ac:dyDescent="0.25">
      <c r="A161" s="10">
        <v>3</v>
      </c>
      <c r="B161" s="10">
        <v>5</v>
      </c>
      <c r="C161" s="10" t="s">
        <v>144</v>
      </c>
      <c r="D161" s="11" t="s">
        <v>168</v>
      </c>
      <c r="E161" s="10">
        <v>8</v>
      </c>
      <c r="F161" s="10" t="s">
        <v>149</v>
      </c>
    </row>
    <row r="162" spans="1:6" ht="15" customHeight="1" x14ac:dyDescent="0.25">
      <c r="A162" s="10">
        <v>4</v>
      </c>
      <c r="B162" s="10">
        <v>6</v>
      </c>
      <c r="C162" s="10" t="s">
        <v>147</v>
      </c>
      <c r="D162" s="11" t="s">
        <v>168</v>
      </c>
      <c r="E162" s="10">
        <v>7</v>
      </c>
      <c r="F162" s="10" t="s">
        <v>148</v>
      </c>
    </row>
    <row r="163" spans="1:6" ht="15" customHeight="1" x14ac:dyDescent="0.25">
      <c r="A163" s="10">
        <v>5</v>
      </c>
      <c r="B163" s="10">
        <v>9</v>
      </c>
      <c r="C163" s="10" t="s">
        <v>150</v>
      </c>
      <c r="D163" s="11" t="s">
        <v>168</v>
      </c>
      <c r="E163" s="10">
        <v>12</v>
      </c>
      <c r="F163" s="10" t="s">
        <v>155</v>
      </c>
    </row>
    <row r="164" spans="1:6" ht="15" customHeight="1" x14ac:dyDescent="0.25">
      <c r="A164" s="10">
        <v>6</v>
      </c>
      <c r="B164" s="10">
        <v>10</v>
      </c>
      <c r="C164" s="10" t="s">
        <v>153</v>
      </c>
      <c r="D164" s="11" t="s">
        <v>168</v>
      </c>
      <c r="E164" s="10">
        <v>11</v>
      </c>
      <c r="F164" s="10" t="s">
        <v>154</v>
      </c>
    </row>
    <row r="165" spans="1:6" ht="15" customHeight="1" x14ac:dyDescent="0.25">
      <c r="A165" s="10"/>
      <c r="B165" s="10"/>
      <c r="C165" s="10"/>
      <c r="D165" s="11"/>
      <c r="E165" s="10"/>
      <c r="F165" s="10"/>
    </row>
    <row r="166" spans="1:6" ht="15" customHeight="1" x14ac:dyDescent="0.25">
      <c r="A166" s="10"/>
      <c r="B166" s="10"/>
      <c r="C166" s="10"/>
      <c r="D166" s="11"/>
      <c r="E166" s="10"/>
      <c r="F166" s="10"/>
    </row>
    <row r="167" spans="1:6" ht="15" customHeight="1" x14ac:dyDescent="0.25">
      <c r="A167" s="10"/>
      <c r="B167" s="10"/>
      <c r="C167" s="10"/>
      <c r="D167" s="11"/>
      <c r="E167" s="10"/>
      <c r="F167" s="10"/>
    </row>
    <row r="169" spans="1:6" ht="15" customHeight="1" x14ac:dyDescent="0.25">
      <c r="A169" s="74"/>
    </row>
    <row r="170" spans="1:6" ht="15" customHeight="1" x14ac:dyDescent="0.25">
      <c r="A170" s="9"/>
      <c r="B170" s="9"/>
      <c r="C170" s="9"/>
      <c r="D170" s="9"/>
      <c r="E170" s="9"/>
      <c r="F170" s="9"/>
    </row>
    <row r="171" spans="1:6" ht="15" customHeight="1" x14ac:dyDescent="0.25">
      <c r="A171" s="10"/>
      <c r="B171" s="10"/>
      <c r="C171" s="10"/>
      <c r="D171" s="11"/>
      <c r="E171" s="10"/>
      <c r="F171" s="10"/>
    </row>
    <row r="172" spans="1:6" ht="15" customHeight="1" x14ac:dyDescent="0.25">
      <c r="A172" s="10"/>
      <c r="B172" s="10"/>
      <c r="C172" s="10"/>
      <c r="D172" s="11"/>
      <c r="E172" s="10"/>
      <c r="F172" s="10"/>
    </row>
    <row r="173" spans="1:6" ht="15" customHeight="1" x14ac:dyDescent="0.25">
      <c r="A173" s="10"/>
      <c r="B173" s="10"/>
      <c r="C173" s="10"/>
      <c r="D173" s="11"/>
      <c r="E173" s="10"/>
      <c r="F173" s="10"/>
    </row>
    <row r="174" spans="1:6" ht="15" customHeight="1" x14ac:dyDescent="0.25">
      <c r="A174" s="10"/>
      <c r="B174" s="10"/>
      <c r="C174" s="10"/>
      <c r="D174" s="11"/>
      <c r="E174" s="10"/>
      <c r="F174" s="10"/>
    </row>
    <row r="175" spans="1:6" ht="15" customHeight="1" x14ac:dyDescent="0.25">
      <c r="A175" s="10"/>
      <c r="B175" s="10"/>
      <c r="C175" s="10"/>
      <c r="D175" s="11"/>
      <c r="E175" s="10"/>
      <c r="F175" s="10"/>
    </row>
    <row r="176" spans="1:6" ht="15" customHeight="1" x14ac:dyDescent="0.25">
      <c r="A176" s="10"/>
      <c r="B176" s="10"/>
      <c r="C176" s="10"/>
      <c r="D176" s="11"/>
      <c r="E176" s="10"/>
      <c r="F176" s="10"/>
    </row>
    <row r="177" spans="1:6" ht="15" customHeight="1" x14ac:dyDescent="0.25">
      <c r="A177" s="10"/>
      <c r="B177" s="10"/>
      <c r="C177" s="10"/>
      <c r="D177" s="11"/>
      <c r="E177" s="10"/>
      <c r="F177" s="10"/>
    </row>
    <row r="178" spans="1:6" ht="15" customHeight="1" x14ac:dyDescent="0.25">
      <c r="A178" s="10"/>
      <c r="B178" s="10"/>
      <c r="C178" s="10"/>
      <c r="D178" s="11"/>
      <c r="E178" s="10"/>
      <c r="F178" s="10"/>
    </row>
    <row r="180" spans="1:6" ht="15" customHeight="1" x14ac:dyDescent="0.25">
      <c r="A180" s="74"/>
    </row>
    <row r="181" spans="1:6" ht="15" customHeight="1" x14ac:dyDescent="0.25">
      <c r="A181" s="9"/>
      <c r="B181" s="9"/>
      <c r="C181" s="9"/>
      <c r="D181" s="9"/>
      <c r="E181" s="9"/>
      <c r="F181" s="9"/>
    </row>
    <row r="182" spans="1:6" ht="15" customHeight="1" x14ac:dyDescent="0.25">
      <c r="A182" s="10"/>
      <c r="B182" s="10"/>
      <c r="C182" s="10"/>
      <c r="D182" s="11"/>
      <c r="E182" s="10"/>
      <c r="F182" s="10"/>
    </row>
    <row r="183" spans="1:6" ht="15" customHeight="1" x14ac:dyDescent="0.25">
      <c r="A183" s="10"/>
      <c r="B183" s="10"/>
      <c r="C183" s="10"/>
      <c r="D183" s="11"/>
      <c r="E183" s="10"/>
      <c r="F183" s="10"/>
    </row>
    <row r="184" spans="1:6" ht="15" customHeight="1" x14ac:dyDescent="0.25">
      <c r="A184" s="10"/>
      <c r="B184" s="10"/>
      <c r="C184" s="10"/>
      <c r="D184" s="11"/>
      <c r="E184" s="10"/>
      <c r="F184" s="10"/>
    </row>
    <row r="185" spans="1:6" ht="15" customHeight="1" x14ac:dyDescent="0.25">
      <c r="A185" s="10"/>
      <c r="B185" s="10"/>
      <c r="C185" s="10"/>
      <c r="D185" s="11"/>
      <c r="E185" s="10"/>
      <c r="F185" s="10"/>
    </row>
    <row r="186" spans="1:6" ht="15" customHeight="1" x14ac:dyDescent="0.25">
      <c r="A186" s="10"/>
      <c r="B186" s="10"/>
      <c r="C186" s="10"/>
      <c r="D186" s="11"/>
      <c r="E186" s="10"/>
      <c r="F186" s="10"/>
    </row>
    <row r="187" spans="1:6" ht="15" customHeight="1" x14ac:dyDescent="0.25">
      <c r="A187" s="10"/>
      <c r="B187" s="10"/>
      <c r="C187" s="10"/>
      <c r="D187" s="11"/>
      <c r="E187" s="10"/>
      <c r="F187" s="10"/>
    </row>
    <row r="188" spans="1:6" ht="15" customHeight="1" x14ac:dyDescent="0.25">
      <c r="A188" s="10"/>
      <c r="B188" s="10"/>
      <c r="C188" s="10"/>
      <c r="D188" s="11"/>
      <c r="E188" s="10"/>
      <c r="F188" s="10"/>
    </row>
    <row r="189" spans="1:6" ht="15" customHeight="1" x14ac:dyDescent="0.25">
      <c r="A189" s="10"/>
      <c r="B189" s="10"/>
      <c r="C189" s="10"/>
      <c r="D189" s="11"/>
      <c r="E189" s="10"/>
      <c r="F189" s="10"/>
    </row>
    <row r="191" spans="1:6" ht="15" customHeight="1" x14ac:dyDescent="0.25">
      <c r="A191" s="74"/>
    </row>
    <row r="192" spans="1:6" ht="15" customHeight="1" x14ac:dyDescent="0.25">
      <c r="A192" s="9"/>
      <c r="B192" s="9"/>
      <c r="C192" s="9"/>
      <c r="D192" s="9"/>
      <c r="E192" s="9"/>
      <c r="F192" s="9"/>
    </row>
    <row r="193" spans="1:6" ht="15" customHeight="1" x14ac:dyDescent="0.25">
      <c r="A193" s="10"/>
      <c r="B193" s="10"/>
      <c r="C193" s="10"/>
      <c r="D193" s="11"/>
      <c r="E193" s="10"/>
      <c r="F193" s="10"/>
    </row>
    <row r="194" spans="1:6" ht="15" customHeight="1" x14ac:dyDescent="0.25">
      <c r="A194" s="10"/>
      <c r="B194" s="10"/>
      <c r="C194" s="10"/>
      <c r="D194" s="11"/>
      <c r="E194" s="10"/>
      <c r="F194" s="10"/>
    </row>
    <row r="195" spans="1:6" ht="15" customHeight="1" x14ac:dyDescent="0.25">
      <c r="A195" s="10"/>
      <c r="B195" s="10"/>
      <c r="C195" s="10"/>
      <c r="D195" s="11"/>
      <c r="E195" s="10"/>
      <c r="F195" s="10"/>
    </row>
    <row r="196" spans="1:6" ht="15" customHeight="1" x14ac:dyDescent="0.25">
      <c r="A196" s="10"/>
      <c r="B196" s="10"/>
      <c r="C196" s="10"/>
      <c r="D196" s="11"/>
      <c r="E196" s="10"/>
      <c r="F196" s="10"/>
    </row>
    <row r="197" spans="1:6" ht="15" customHeight="1" x14ac:dyDescent="0.25">
      <c r="A197" s="10"/>
      <c r="B197" s="10"/>
      <c r="C197" s="10"/>
      <c r="D197" s="11"/>
      <c r="E197" s="10"/>
      <c r="F197" s="10"/>
    </row>
    <row r="198" spans="1:6" ht="15" customHeight="1" x14ac:dyDescent="0.25">
      <c r="A198" s="10"/>
      <c r="B198" s="10"/>
      <c r="C198" s="10"/>
      <c r="D198" s="11"/>
      <c r="E198" s="10"/>
      <c r="F198" s="10"/>
    </row>
    <row r="199" spans="1:6" ht="15" customHeight="1" x14ac:dyDescent="0.25">
      <c r="A199" s="10"/>
      <c r="B199" s="10"/>
      <c r="C199" s="10"/>
      <c r="D199" s="11"/>
      <c r="E199" s="10"/>
      <c r="F199" s="10"/>
    </row>
    <row r="200" spans="1:6" ht="15" customHeight="1" x14ac:dyDescent="0.25">
      <c r="A200" s="10"/>
      <c r="B200" s="10"/>
      <c r="C200" s="10"/>
      <c r="D200" s="11"/>
      <c r="E200" s="10"/>
      <c r="F200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9"/>
  <sheetViews>
    <sheetView workbookViewId="0">
      <selection activeCell="T323" sqref="T323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96" t="s">
        <v>0</v>
      </c>
      <c r="B1" s="97"/>
      <c r="C1" s="97"/>
      <c r="D1" s="97"/>
      <c r="E1" s="97"/>
      <c r="F1" s="97"/>
      <c r="G1" s="97"/>
      <c r="H1" s="97"/>
      <c r="I1" s="97"/>
      <c r="J1" s="97"/>
    </row>
    <row r="2" spans="1:10" x14ac:dyDescent="0.25">
      <c r="A2" s="67" t="s">
        <v>1</v>
      </c>
      <c r="B2" s="67" t="s">
        <v>2</v>
      </c>
      <c r="C2" s="67" t="s">
        <v>3</v>
      </c>
      <c r="D2" s="67" t="s">
        <v>4</v>
      </c>
      <c r="E2" s="67" t="s">
        <v>5</v>
      </c>
      <c r="F2" s="67" t="s">
        <v>6</v>
      </c>
      <c r="G2" s="67" t="s">
        <v>7</v>
      </c>
      <c r="H2" s="67" t="s">
        <v>8</v>
      </c>
      <c r="I2" s="67" t="s">
        <v>9</v>
      </c>
      <c r="J2" s="67" t="s">
        <v>10</v>
      </c>
    </row>
    <row r="3" spans="1:10" x14ac:dyDescent="0.25">
      <c r="A3" s="68">
        <v>1</v>
      </c>
      <c r="B3" s="68" t="s">
        <v>11</v>
      </c>
      <c r="C3" s="68" t="s">
        <v>12</v>
      </c>
      <c r="D3" s="68" t="s">
        <v>13</v>
      </c>
      <c r="E3" s="68"/>
      <c r="F3" s="68" t="s">
        <v>14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15</v>
      </c>
      <c r="C4" s="68" t="s">
        <v>16</v>
      </c>
      <c r="D4" s="68" t="s">
        <v>17</v>
      </c>
      <c r="E4" s="68"/>
      <c r="F4" s="68" t="s">
        <v>18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19</v>
      </c>
      <c r="C5" s="68" t="s">
        <v>20</v>
      </c>
      <c r="D5" s="68" t="s">
        <v>21</v>
      </c>
      <c r="E5" s="68"/>
      <c r="F5" s="68" t="s">
        <v>22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19</v>
      </c>
      <c r="C6" s="68" t="s">
        <v>20</v>
      </c>
      <c r="D6" s="68" t="s">
        <v>23</v>
      </c>
      <c r="E6" s="68"/>
      <c r="F6" s="68" t="s">
        <v>24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19</v>
      </c>
      <c r="C7" s="68" t="s">
        <v>20</v>
      </c>
      <c r="D7" s="68" t="s">
        <v>25</v>
      </c>
      <c r="E7" s="68"/>
      <c r="F7" s="68" t="s">
        <v>26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19</v>
      </c>
      <c r="C8" s="68" t="s">
        <v>20</v>
      </c>
      <c r="D8" s="68" t="s">
        <v>27</v>
      </c>
      <c r="E8" s="68"/>
      <c r="F8" s="68" t="s">
        <v>28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19</v>
      </c>
      <c r="C9" s="68" t="s">
        <v>20</v>
      </c>
      <c r="D9" s="68" t="s">
        <v>29</v>
      </c>
      <c r="E9" s="68"/>
      <c r="F9" s="68" t="s">
        <v>30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19</v>
      </c>
      <c r="C10" s="68" t="s">
        <v>20</v>
      </c>
      <c r="D10" s="68" t="s">
        <v>31</v>
      </c>
      <c r="E10" s="68"/>
      <c r="F10" s="68" t="s">
        <v>32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19</v>
      </c>
      <c r="C11" s="68" t="s">
        <v>20</v>
      </c>
      <c r="D11" s="68" t="s">
        <v>33</v>
      </c>
      <c r="E11" s="68"/>
      <c r="F11" s="68" t="s">
        <v>34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19</v>
      </c>
      <c r="C12" s="68" t="s">
        <v>20</v>
      </c>
      <c r="D12" s="68" t="s">
        <v>35</v>
      </c>
      <c r="E12" s="68"/>
      <c r="F12" s="68" t="s">
        <v>36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19</v>
      </c>
      <c r="C13" s="68" t="s">
        <v>37</v>
      </c>
      <c r="D13" s="68" t="s">
        <v>38</v>
      </c>
      <c r="E13" s="68"/>
      <c r="F13" s="68" t="s">
        <v>39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19</v>
      </c>
      <c r="C14" s="68" t="s">
        <v>37</v>
      </c>
      <c r="D14" s="68" t="s">
        <v>40</v>
      </c>
      <c r="E14" s="68"/>
      <c r="F14" s="68" t="s">
        <v>41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19</v>
      </c>
      <c r="C15" s="68" t="s">
        <v>37</v>
      </c>
      <c r="D15" s="68" t="s">
        <v>42</v>
      </c>
      <c r="E15" s="68"/>
      <c r="F15" s="68" t="s">
        <v>43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19</v>
      </c>
      <c r="C16" s="68" t="s">
        <v>37</v>
      </c>
      <c r="D16" s="68" t="s">
        <v>44</v>
      </c>
      <c r="E16" s="68"/>
      <c r="F16" s="68" t="s">
        <v>45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19</v>
      </c>
      <c r="C17" s="68" t="s">
        <v>12</v>
      </c>
      <c r="D17" s="68" t="s">
        <v>46</v>
      </c>
      <c r="E17" s="68"/>
      <c r="F17" s="68" t="s">
        <v>47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48</v>
      </c>
      <c r="C18" s="68" t="s">
        <v>49</v>
      </c>
      <c r="D18" s="68" t="s">
        <v>50</v>
      </c>
      <c r="E18" s="68"/>
      <c r="F18" s="68" t="s">
        <v>51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96" t="s">
        <v>52</v>
      </c>
      <c r="B20" s="97"/>
      <c r="C20" s="97"/>
      <c r="D20" s="97"/>
      <c r="E20" s="97"/>
      <c r="F20" s="97"/>
      <c r="G20" s="97"/>
      <c r="H20" s="97"/>
      <c r="I20" s="97"/>
      <c r="J20" s="97"/>
    </row>
    <row r="21" spans="1:10" x14ac:dyDescent="0.25">
      <c r="A21" s="67" t="s">
        <v>1</v>
      </c>
      <c r="B21" s="67" t="s">
        <v>2</v>
      </c>
      <c r="C21" s="67" t="s">
        <v>3</v>
      </c>
      <c r="D21" s="67" t="s">
        <v>4</v>
      </c>
      <c r="E21" s="67" t="s">
        <v>5</v>
      </c>
      <c r="F21" s="67" t="s">
        <v>6</v>
      </c>
      <c r="G21" s="67" t="s">
        <v>7</v>
      </c>
      <c r="H21" s="67" t="s">
        <v>8</v>
      </c>
      <c r="I21" s="67" t="s">
        <v>9</v>
      </c>
      <c r="J21" s="67" t="s">
        <v>10</v>
      </c>
    </row>
    <row r="22" spans="1:10" x14ac:dyDescent="0.25">
      <c r="A22" s="68">
        <v>2</v>
      </c>
      <c r="B22" s="68" t="s">
        <v>53</v>
      </c>
      <c r="C22" s="68" t="s">
        <v>49</v>
      </c>
      <c r="D22" s="68" t="s">
        <v>26</v>
      </c>
      <c r="E22" s="68"/>
      <c r="F22" s="68" t="s">
        <v>27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54</v>
      </c>
      <c r="C23" s="68" t="s">
        <v>20</v>
      </c>
      <c r="D23" s="68" t="s">
        <v>22</v>
      </c>
      <c r="E23" s="68"/>
      <c r="F23" s="68" t="s">
        <v>33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54</v>
      </c>
      <c r="C24" s="68" t="s">
        <v>20</v>
      </c>
      <c r="D24" s="68" t="s">
        <v>25</v>
      </c>
      <c r="E24" s="68"/>
      <c r="F24" s="68" t="s">
        <v>29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54</v>
      </c>
      <c r="C25" s="68" t="s">
        <v>20</v>
      </c>
      <c r="D25" s="68" t="s">
        <v>43</v>
      </c>
      <c r="E25" s="68"/>
      <c r="F25" s="68" t="s">
        <v>21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54</v>
      </c>
      <c r="C26" s="68" t="s">
        <v>20</v>
      </c>
      <c r="D26" s="68" t="s">
        <v>24</v>
      </c>
      <c r="E26" s="68"/>
      <c r="F26" s="68" t="s">
        <v>28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54</v>
      </c>
      <c r="C27" s="68" t="s">
        <v>20</v>
      </c>
      <c r="D27" s="68" t="s">
        <v>34</v>
      </c>
      <c r="E27" s="68"/>
      <c r="F27" s="68" t="s">
        <v>13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54</v>
      </c>
      <c r="C28" s="68" t="s">
        <v>20</v>
      </c>
      <c r="D28" s="68" t="s">
        <v>42</v>
      </c>
      <c r="E28" s="68"/>
      <c r="F28" s="68" t="s">
        <v>35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54</v>
      </c>
      <c r="C29" s="68" t="s">
        <v>20</v>
      </c>
      <c r="D29" s="68" t="s">
        <v>31</v>
      </c>
      <c r="E29" s="68"/>
      <c r="F29" s="68" t="s">
        <v>23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54</v>
      </c>
      <c r="C30" s="68" t="s">
        <v>20</v>
      </c>
      <c r="D30" s="68" t="s">
        <v>45</v>
      </c>
      <c r="E30" s="68"/>
      <c r="F30" s="68" t="s">
        <v>36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54</v>
      </c>
      <c r="C31" s="68" t="s">
        <v>55</v>
      </c>
      <c r="D31" s="68" t="s">
        <v>32</v>
      </c>
      <c r="E31" s="68"/>
      <c r="F31" s="68" t="s">
        <v>50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54</v>
      </c>
      <c r="C32" s="68" t="s">
        <v>55</v>
      </c>
      <c r="D32" s="68" t="s">
        <v>41</v>
      </c>
      <c r="E32" s="68"/>
      <c r="F32" s="68" t="s">
        <v>39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54</v>
      </c>
      <c r="C33" s="68" t="s">
        <v>37</v>
      </c>
      <c r="D33" s="68" t="s">
        <v>14</v>
      </c>
      <c r="E33" s="68"/>
      <c r="F33" s="68" t="s">
        <v>38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54</v>
      </c>
      <c r="C34" s="68" t="s">
        <v>37</v>
      </c>
      <c r="D34" s="68" t="s">
        <v>44</v>
      </c>
      <c r="E34" s="68"/>
      <c r="F34" s="68" t="s">
        <v>46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54</v>
      </c>
      <c r="C35" s="68" t="s">
        <v>37</v>
      </c>
      <c r="D35" s="68" t="s">
        <v>40</v>
      </c>
      <c r="E35" s="68"/>
      <c r="F35" s="68" t="s">
        <v>17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54</v>
      </c>
      <c r="C36" s="68" t="s">
        <v>12</v>
      </c>
      <c r="D36" s="68" t="s">
        <v>30</v>
      </c>
      <c r="E36" s="68"/>
      <c r="F36" s="68" t="s">
        <v>51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56</v>
      </c>
      <c r="C37" s="68" t="s">
        <v>49</v>
      </c>
      <c r="D37" s="68" t="s">
        <v>47</v>
      </c>
      <c r="E37" s="68"/>
      <c r="F37" s="68" t="s">
        <v>18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96" t="s">
        <v>57</v>
      </c>
      <c r="B39" s="97"/>
      <c r="C39" s="97"/>
      <c r="D39" s="97"/>
      <c r="E39" s="97"/>
      <c r="F39" s="97"/>
      <c r="G39" s="97"/>
      <c r="H39" s="97"/>
      <c r="I39" s="97"/>
      <c r="J39" s="97"/>
    </row>
    <row r="40" spans="1:10" x14ac:dyDescent="0.25">
      <c r="A40" s="67" t="s">
        <v>1</v>
      </c>
      <c r="B40" s="67" t="s">
        <v>2</v>
      </c>
      <c r="C40" s="67" t="s">
        <v>3</v>
      </c>
      <c r="D40" s="67" t="s">
        <v>4</v>
      </c>
      <c r="E40" s="67" t="s">
        <v>5</v>
      </c>
      <c r="F40" s="67" t="s">
        <v>6</v>
      </c>
      <c r="G40" s="67" t="s">
        <v>7</v>
      </c>
      <c r="H40" s="67" t="s">
        <v>8</v>
      </c>
      <c r="I40" s="67" t="s">
        <v>9</v>
      </c>
      <c r="J40" s="67" t="s">
        <v>10</v>
      </c>
    </row>
    <row r="41" spans="1:10" x14ac:dyDescent="0.25">
      <c r="A41" s="68">
        <v>3</v>
      </c>
      <c r="B41" s="68" t="s">
        <v>58</v>
      </c>
      <c r="C41" s="68" t="s">
        <v>49</v>
      </c>
      <c r="D41" s="68" t="s">
        <v>33</v>
      </c>
      <c r="E41" s="68"/>
      <c r="F41" s="68" t="s">
        <v>42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59</v>
      </c>
      <c r="C42" s="68" t="s">
        <v>20</v>
      </c>
      <c r="D42" s="68" t="s">
        <v>39</v>
      </c>
      <c r="E42" s="68"/>
      <c r="F42" s="68" t="s">
        <v>27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59</v>
      </c>
      <c r="C43" s="68" t="s">
        <v>20</v>
      </c>
      <c r="D43" s="68" t="s">
        <v>22</v>
      </c>
      <c r="E43" s="68"/>
      <c r="F43" s="68" t="s">
        <v>31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59</v>
      </c>
      <c r="C44" s="68" t="s">
        <v>20</v>
      </c>
      <c r="D44" s="68" t="s">
        <v>35</v>
      </c>
      <c r="E44" s="68"/>
      <c r="F44" s="68" t="s">
        <v>26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59</v>
      </c>
      <c r="C45" s="68" t="s">
        <v>20</v>
      </c>
      <c r="D45" s="68" t="s">
        <v>28</v>
      </c>
      <c r="E45" s="68"/>
      <c r="F45" s="68" t="s">
        <v>30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59</v>
      </c>
      <c r="C46" s="68" t="s">
        <v>20</v>
      </c>
      <c r="D46" s="68" t="s">
        <v>51</v>
      </c>
      <c r="E46" s="68"/>
      <c r="F46" s="68" t="s">
        <v>40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59</v>
      </c>
      <c r="C47" s="68" t="s">
        <v>20</v>
      </c>
      <c r="D47" s="68" t="s">
        <v>36</v>
      </c>
      <c r="E47" s="68"/>
      <c r="F47" s="68" t="s">
        <v>47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59</v>
      </c>
      <c r="C48" s="68" t="s">
        <v>20</v>
      </c>
      <c r="D48" s="68" t="s">
        <v>24</v>
      </c>
      <c r="E48" s="68"/>
      <c r="F48" s="68" t="s">
        <v>34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59</v>
      </c>
      <c r="C49" s="68" t="s">
        <v>20</v>
      </c>
      <c r="D49" s="68" t="s">
        <v>14</v>
      </c>
      <c r="E49" s="68"/>
      <c r="F49" s="68" t="s">
        <v>44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59</v>
      </c>
      <c r="C50" s="68" t="s">
        <v>20</v>
      </c>
      <c r="D50" s="68" t="s">
        <v>13</v>
      </c>
      <c r="E50" s="68"/>
      <c r="F50" s="68" t="s">
        <v>32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59</v>
      </c>
      <c r="C51" s="68" t="s">
        <v>55</v>
      </c>
      <c r="D51" s="68" t="s">
        <v>38</v>
      </c>
      <c r="E51" s="68"/>
      <c r="F51" s="68" t="s">
        <v>17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59</v>
      </c>
      <c r="C52" s="68" t="s">
        <v>55</v>
      </c>
      <c r="D52" s="68" t="s">
        <v>43</v>
      </c>
      <c r="E52" s="68"/>
      <c r="F52" s="68" t="s">
        <v>23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59</v>
      </c>
      <c r="C53" s="68" t="s">
        <v>37</v>
      </c>
      <c r="D53" s="68" t="s">
        <v>29</v>
      </c>
      <c r="E53" s="68"/>
      <c r="F53" s="68" t="s">
        <v>46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59</v>
      </c>
      <c r="C54" s="68" t="s">
        <v>37</v>
      </c>
      <c r="D54" s="68" t="s">
        <v>41</v>
      </c>
      <c r="E54" s="68"/>
      <c r="F54" s="68" t="s">
        <v>25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59</v>
      </c>
      <c r="C55" s="68" t="s">
        <v>12</v>
      </c>
      <c r="D55" s="68" t="s">
        <v>18</v>
      </c>
      <c r="E55" s="68"/>
      <c r="F55" s="68" t="s">
        <v>50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60</v>
      </c>
      <c r="C56" s="68" t="s">
        <v>49</v>
      </c>
      <c r="D56" s="68" t="s">
        <v>45</v>
      </c>
      <c r="E56" s="68"/>
      <c r="F56" s="68" t="s">
        <v>21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96" t="s">
        <v>61</v>
      </c>
      <c r="B58" s="97"/>
      <c r="C58" s="97"/>
      <c r="D58" s="97"/>
      <c r="E58" s="97"/>
      <c r="F58" s="97"/>
      <c r="G58" s="97"/>
      <c r="H58" s="97"/>
      <c r="I58" s="97"/>
      <c r="J58" s="97"/>
    </row>
    <row r="59" spans="1:10" x14ac:dyDescent="0.25">
      <c r="A59" s="67" t="s">
        <v>1</v>
      </c>
      <c r="B59" s="67" t="s">
        <v>2</v>
      </c>
      <c r="C59" s="67" t="s">
        <v>3</v>
      </c>
      <c r="D59" s="67" t="s">
        <v>4</v>
      </c>
      <c r="E59" s="67" t="s">
        <v>5</v>
      </c>
      <c r="F59" s="67" t="s">
        <v>6</v>
      </c>
      <c r="G59" s="67" t="s">
        <v>7</v>
      </c>
      <c r="H59" s="67" t="s">
        <v>8</v>
      </c>
      <c r="I59" s="67" t="s">
        <v>9</v>
      </c>
      <c r="J59" s="67" t="s">
        <v>10</v>
      </c>
    </row>
    <row r="60" spans="1:10" x14ac:dyDescent="0.25">
      <c r="A60" s="68">
        <v>4</v>
      </c>
      <c r="B60" s="68" t="s">
        <v>62</v>
      </c>
      <c r="C60" s="68" t="s">
        <v>49</v>
      </c>
      <c r="D60" s="68" t="s">
        <v>34</v>
      </c>
      <c r="E60" s="68"/>
      <c r="F60" s="68" t="s">
        <v>31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63</v>
      </c>
      <c r="C61" s="68" t="s">
        <v>64</v>
      </c>
      <c r="D61" s="68" t="s">
        <v>30</v>
      </c>
      <c r="E61" s="68"/>
      <c r="F61" s="68" t="s">
        <v>44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63</v>
      </c>
      <c r="C62" s="68" t="s">
        <v>20</v>
      </c>
      <c r="D62" s="68" t="s">
        <v>13</v>
      </c>
      <c r="E62" s="68"/>
      <c r="F62" s="68" t="s">
        <v>27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63</v>
      </c>
      <c r="C63" s="68" t="s">
        <v>20</v>
      </c>
      <c r="D63" s="68" t="s">
        <v>35</v>
      </c>
      <c r="E63" s="68"/>
      <c r="F63" s="68" t="s">
        <v>21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63</v>
      </c>
      <c r="C64" s="68" t="s">
        <v>20</v>
      </c>
      <c r="D64" s="68" t="s">
        <v>32</v>
      </c>
      <c r="E64" s="68"/>
      <c r="F64" s="68" t="s">
        <v>24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63</v>
      </c>
      <c r="C65" s="68" t="s">
        <v>20</v>
      </c>
      <c r="D65" s="68" t="s">
        <v>38</v>
      </c>
      <c r="E65" s="68"/>
      <c r="F65" s="68" t="s">
        <v>47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63</v>
      </c>
      <c r="C66" s="68" t="s">
        <v>20</v>
      </c>
      <c r="D66" s="68" t="s">
        <v>18</v>
      </c>
      <c r="E66" s="68"/>
      <c r="F66" s="68" t="s">
        <v>45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63</v>
      </c>
      <c r="C67" s="68" t="s">
        <v>20</v>
      </c>
      <c r="D67" s="68" t="s">
        <v>42</v>
      </c>
      <c r="E67" s="68"/>
      <c r="F67" s="68" t="s">
        <v>23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63</v>
      </c>
      <c r="C68" s="68" t="s">
        <v>20</v>
      </c>
      <c r="D68" s="68" t="s">
        <v>36</v>
      </c>
      <c r="E68" s="68"/>
      <c r="F68" s="68" t="s">
        <v>29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63</v>
      </c>
      <c r="C69" s="68" t="s">
        <v>20</v>
      </c>
      <c r="D69" s="68" t="s">
        <v>46</v>
      </c>
      <c r="E69" s="68"/>
      <c r="F69" s="68" t="s">
        <v>28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63</v>
      </c>
      <c r="C70" s="68" t="s">
        <v>55</v>
      </c>
      <c r="D70" s="68" t="s">
        <v>40</v>
      </c>
      <c r="E70" s="68"/>
      <c r="F70" s="68" t="s">
        <v>43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63</v>
      </c>
      <c r="C71" s="68" t="s">
        <v>37</v>
      </c>
      <c r="D71" s="68" t="s">
        <v>51</v>
      </c>
      <c r="E71" s="68"/>
      <c r="F71" s="68" t="s">
        <v>41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63</v>
      </c>
      <c r="C72" s="68" t="s">
        <v>37</v>
      </c>
      <c r="D72" s="68" t="s">
        <v>50</v>
      </c>
      <c r="E72" s="68"/>
      <c r="F72" s="68" t="s">
        <v>17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63</v>
      </c>
      <c r="C73" s="68" t="s">
        <v>37</v>
      </c>
      <c r="D73" s="68" t="s">
        <v>39</v>
      </c>
      <c r="E73" s="68"/>
      <c r="F73" s="68" t="s">
        <v>14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63</v>
      </c>
      <c r="C74" s="68" t="s">
        <v>12</v>
      </c>
      <c r="D74" s="68" t="s">
        <v>26</v>
      </c>
      <c r="E74" s="68"/>
      <c r="F74" s="68" t="s">
        <v>22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65</v>
      </c>
      <c r="C75" s="68" t="s">
        <v>49</v>
      </c>
      <c r="D75" s="68" t="s">
        <v>33</v>
      </c>
      <c r="E75" s="68"/>
      <c r="F75" s="68" t="s">
        <v>25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96" t="s">
        <v>66</v>
      </c>
      <c r="B77" s="97"/>
      <c r="C77" s="97"/>
      <c r="D77" s="97"/>
      <c r="E77" s="97"/>
      <c r="F77" s="97"/>
      <c r="G77" s="97"/>
      <c r="H77" s="97"/>
      <c r="I77" s="97"/>
      <c r="J77" s="97"/>
    </row>
    <row r="78" spans="1:10" x14ac:dyDescent="0.25">
      <c r="A78" s="67" t="s">
        <v>1</v>
      </c>
      <c r="B78" s="67" t="s">
        <v>2</v>
      </c>
      <c r="C78" s="67" t="s">
        <v>3</v>
      </c>
      <c r="D78" s="67" t="s">
        <v>4</v>
      </c>
      <c r="E78" s="67" t="s">
        <v>5</v>
      </c>
      <c r="F78" s="67" t="s">
        <v>6</v>
      </c>
      <c r="G78" s="67" t="s">
        <v>7</v>
      </c>
      <c r="H78" s="67" t="s">
        <v>8</v>
      </c>
      <c r="I78" s="67" t="s">
        <v>9</v>
      </c>
      <c r="J78" s="67" t="s">
        <v>10</v>
      </c>
    </row>
    <row r="79" spans="1:10" x14ac:dyDescent="0.25">
      <c r="A79" s="68">
        <v>5</v>
      </c>
      <c r="B79" s="68" t="s">
        <v>67</v>
      </c>
      <c r="C79" s="68" t="s">
        <v>49</v>
      </c>
      <c r="D79" s="68" t="s">
        <v>23</v>
      </c>
      <c r="E79" s="68"/>
      <c r="F79" s="68" t="s">
        <v>46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68</v>
      </c>
      <c r="C80" s="68" t="s">
        <v>64</v>
      </c>
      <c r="D80" s="68" t="s">
        <v>45</v>
      </c>
      <c r="E80" s="68"/>
      <c r="F80" s="68" t="s">
        <v>32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68</v>
      </c>
      <c r="C81" s="68" t="s">
        <v>20</v>
      </c>
      <c r="D81" s="68" t="s">
        <v>28</v>
      </c>
      <c r="E81" s="68"/>
      <c r="F81" s="68" t="s">
        <v>36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68</v>
      </c>
      <c r="C82" s="68" t="s">
        <v>20</v>
      </c>
      <c r="D82" s="68" t="s">
        <v>24</v>
      </c>
      <c r="E82" s="68"/>
      <c r="F82" s="68" t="s">
        <v>40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68</v>
      </c>
      <c r="C83" s="68" t="s">
        <v>20</v>
      </c>
      <c r="D83" s="68" t="s">
        <v>41</v>
      </c>
      <c r="E83" s="68"/>
      <c r="F83" s="68" t="s">
        <v>13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68</v>
      </c>
      <c r="C84" s="68" t="s">
        <v>20</v>
      </c>
      <c r="D84" s="68" t="s">
        <v>43</v>
      </c>
      <c r="E84" s="68"/>
      <c r="F84" s="68" t="s">
        <v>25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68</v>
      </c>
      <c r="C85" s="68" t="s">
        <v>20</v>
      </c>
      <c r="D85" s="68" t="s">
        <v>31</v>
      </c>
      <c r="E85" s="68"/>
      <c r="F85" s="68" t="s">
        <v>35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68</v>
      </c>
      <c r="C86" s="68" t="s">
        <v>20</v>
      </c>
      <c r="D86" s="68" t="s">
        <v>30</v>
      </c>
      <c r="E86" s="68"/>
      <c r="F86" s="68" t="s">
        <v>34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68</v>
      </c>
      <c r="C87" s="68" t="s">
        <v>20</v>
      </c>
      <c r="D87" s="68" t="s">
        <v>47</v>
      </c>
      <c r="E87" s="68"/>
      <c r="F87" s="68" t="s">
        <v>44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68</v>
      </c>
      <c r="C88" s="68" t="s">
        <v>55</v>
      </c>
      <c r="D88" s="68" t="s">
        <v>50</v>
      </c>
      <c r="E88" s="68"/>
      <c r="F88" s="68" t="s">
        <v>39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68</v>
      </c>
      <c r="C89" s="68" t="s">
        <v>37</v>
      </c>
      <c r="D89" s="68" t="s">
        <v>21</v>
      </c>
      <c r="E89" s="68"/>
      <c r="F89" s="68" t="s">
        <v>42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68</v>
      </c>
      <c r="C90" s="68" t="s">
        <v>37</v>
      </c>
      <c r="D90" s="68" t="s">
        <v>26</v>
      </c>
      <c r="E90" s="68"/>
      <c r="F90" s="68" t="s">
        <v>38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68</v>
      </c>
      <c r="C91" s="68" t="s">
        <v>37</v>
      </c>
      <c r="D91" s="68" t="s">
        <v>17</v>
      </c>
      <c r="E91" s="68"/>
      <c r="F91" s="68" t="s">
        <v>14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68</v>
      </c>
      <c r="C92" s="68" t="s">
        <v>12</v>
      </c>
      <c r="D92" s="68" t="s">
        <v>29</v>
      </c>
      <c r="E92" s="68"/>
      <c r="F92" s="68" t="s">
        <v>33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69</v>
      </c>
      <c r="C93" s="68" t="s">
        <v>49</v>
      </c>
      <c r="D93" s="68" t="s">
        <v>27</v>
      </c>
      <c r="E93" s="68"/>
      <c r="F93" s="68" t="s">
        <v>18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96" t="s">
        <v>70</v>
      </c>
      <c r="B95" s="97"/>
      <c r="C95" s="97"/>
      <c r="D95" s="97"/>
      <c r="E95" s="97"/>
      <c r="F95" s="97"/>
      <c r="G95" s="97"/>
      <c r="H95" s="97"/>
      <c r="I95" s="97"/>
      <c r="J95" s="97"/>
    </row>
    <row r="96" spans="1:10" x14ac:dyDescent="0.25">
      <c r="A96" s="67" t="s">
        <v>1</v>
      </c>
      <c r="B96" s="67" t="s">
        <v>2</v>
      </c>
      <c r="C96" s="67" t="s">
        <v>3</v>
      </c>
      <c r="D96" s="67" t="s">
        <v>4</v>
      </c>
      <c r="E96" s="67" t="s">
        <v>5</v>
      </c>
      <c r="F96" s="67" t="s">
        <v>6</v>
      </c>
      <c r="G96" s="67" t="s">
        <v>7</v>
      </c>
      <c r="H96" s="67" t="s">
        <v>8</v>
      </c>
      <c r="I96" s="67" t="s">
        <v>9</v>
      </c>
      <c r="J96" s="67" t="s">
        <v>10</v>
      </c>
    </row>
    <row r="97" spans="1:10" x14ac:dyDescent="0.25">
      <c r="A97" s="68">
        <v>6</v>
      </c>
      <c r="B97" s="68" t="s">
        <v>71</v>
      </c>
      <c r="C97" s="68" t="s">
        <v>49</v>
      </c>
      <c r="D97" s="68" t="s">
        <v>14</v>
      </c>
      <c r="E97" s="68"/>
      <c r="F97" s="68" t="s">
        <v>50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72</v>
      </c>
      <c r="C98" s="68" t="s">
        <v>64</v>
      </c>
      <c r="D98" s="68" t="s">
        <v>28</v>
      </c>
      <c r="E98" s="68"/>
      <c r="F98" s="68" t="s">
        <v>32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72</v>
      </c>
      <c r="C99" s="68" t="s">
        <v>20</v>
      </c>
      <c r="D99" s="68" t="s">
        <v>21</v>
      </c>
      <c r="E99" s="68"/>
      <c r="F99" s="68" t="s">
        <v>33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72</v>
      </c>
      <c r="C100" s="68" t="s">
        <v>20</v>
      </c>
      <c r="D100" s="68" t="s">
        <v>29</v>
      </c>
      <c r="E100" s="68"/>
      <c r="F100" s="68" t="s">
        <v>31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72</v>
      </c>
      <c r="C101" s="68" t="s">
        <v>20</v>
      </c>
      <c r="D101" s="68" t="s">
        <v>36</v>
      </c>
      <c r="E101" s="68"/>
      <c r="F101" s="68" t="s">
        <v>30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72</v>
      </c>
      <c r="C102" s="68" t="s">
        <v>20</v>
      </c>
      <c r="D102" s="68" t="s">
        <v>35</v>
      </c>
      <c r="E102" s="68"/>
      <c r="F102" s="68" t="s">
        <v>13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72</v>
      </c>
      <c r="C103" s="68" t="s">
        <v>20</v>
      </c>
      <c r="D103" s="68" t="s">
        <v>25</v>
      </c>
      <c r="E103" s="68"/>
      <c r="F103" s="68" t="s">
        <v>47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72</v>
      </c>
      <c r="C104" s="68" t="s">
        <v>20</v>
      </c>
      <c r="D104" s="68" t="s">
        <v>22</v>
      </c>
      <c r="E104" s="68"/>
      <c r="F104" s="68" t="s">
        <v>45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72</v>
      </c>
      <c r="C105" s="68" t="s">
        <v>20</v>
      </c>
      <c r="D105" s="68" t="s">
        <v>34</v>
      </c>
      <c r="E105" s="68"/>
      <c r="F105" s="68" t="s">
        <v>23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72</v>
      </c>
      <c r="C106" s="68" t="s">
        <v>55</v>
      </c>
      <c r="D106" s="68" t="s">
        <v>38</v>
      </c>
      <c r="E106" s="68"/>
      <c r="F106" s="68" t="s">
        <v>39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72</v>
      </c>
      <c r="C107" s="68" t="s">
        <v>37</v>
      </c>
      <c r="D107" s="68" t="s">
        <v>18</v>
      </c>
      <c r="E107" s="68"/>
      <c r="F107" s="68" t="s">
        <v>51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72</v>
      </c>
      <c r="C108" s="68" t="s">
        <v>37</v>
      </c>
      <c r="D108" s="68" t="s">
        <v>27</v>
      </c>
      <c r="E108" s="68"/>
      <c r="F108" s="68" t="s">
        <v>41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72</v>
      </c>
      <c r="C109" s="68" t="s">
        <v>12</v>
      </c>
      <c r="D109" s="68" t="s">
        <v>46</v>
      </c>
      <c r="E109" s="68"/>
      <c r="F109" s="68" t="s">
        <v>42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73</v>
      </c>
      <c r="C110" s="68" t="s">
        <v>49</v>
      </c>
      <c r="D110" s="68" t="s">
        <v>44</v>
      </c>
      <c r="E110" s="68"/>
      <c r="F110" s="68" t="s">
        <v>17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96" t="s">
        <v>74</v>
      </c>
      <c r="B112" s="97"/>
      <c r="C112" s="97"/>
      <c r="D112" s="97"/>
      <c r="E112" s="97"/>
      <c r="F112" s="97"/>
      <c r="G112" s="97"/>
      <c r="H112" s="97"/>
      <c r="I112" s="97"/>
      <c r="J112" s="97"/>
    </row>
    <row r="113" spans="1:10" x14ac:dyDescent="0.25">
      <c r="A113" s="67" t="s">
        <v>1</v>
      </c>
      <c r="B113" s="67" t="s">
        <v>2</v>
      </c>
      <c r="C113" s="67" t="s">
        <v>3</v>
      </c>
      <c r="D113" s="67" t="s">
        <v>4</v>
      </c>
      <c r="E113" s="67" t="s">
        <v>5</v>
      </c>
      <c r="F113" s="67" t="s">
        <v>6</v>
      </c>
      <c r="G113" s="67" t="s">
        <v>7</v>
      </c>
      <c r="H113" s="67" t="s">
        <v>8</v>
      </c>
      <c r="I113" s="67" t="s">
        <v>9</v>
      </c>
      <c r="J113" s="67" t="s">
        <v>10</v>
      </c>
    </row>
    <row r="114" spans="1:10" x14ac:dyDescent="0.25">
      <c r="A114" s="68">
        <v>7</v>
      </c>
      <c r="B114" s="68" t="s">
        <v>75</v>
      </c>
      <c r="C114" s="68" t="s">
        <v>49</v>
      </c>
      <c r="D114" s="68" t="s">
        <v>13</v>
      </c>
      <c r="E114" s="68"/>
      <c r="F114" s="68" t="s">
        <v>21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76</v>
      </c>
      <c r="C115" s="68" t="s">
        <v>64</v>
      </c>
      <c r="D115" s="68" t="s">
        <v>34</v>
      </c>
      <c r="E115" s="68"/>
      <c r="F115" s="68" t="s">
        <v>25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76</v>
      </c>
      <c r="C116" s="68" t="s">
        <v>20</v>
      </c>
      <c r="D116" s="68" t="s">
        <v>17</v>
      </c>
      <c r="E116" s="68"/>
      <c r="F116" s="68" t="s">
        <v>33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76</v>
      </c>
      <c r="C117" s="68" t="s">
        <v>20</v>
      </c>
      <c r="D117" s="68" t="s">
        <v>31</v>
      </c>
      <c r="E117" s="68"/>
      <c r="F117" s="68" t="s">
        <v>36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76</v>
      </c>
      <c r="C118" s="68" t="s">
        <v>20</v>
      </c>
      <c r="D118" s="68" t="s">
        <v>30</v>
      </c>
      <c r="E118" s="68"/>
      <c r="F118" s="68" t="s">
        <v>43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76</v>
      </c>
      <c r="C119" s="68" t="s">
        <v>20</v>
      </c>
      <c r="D119" s="68" t="s">
        <v>40</v>
      </c>
      <c r="E119" s="68"/>
      <c r="F119" s="68" t="s">
        <v>35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76</v>
      </c>
      <c r="C120" s="68" t="s">
        <v>20</v>
      </c>
      <c r="D120" s="68" t="s">
        <v>23</v>
      </c>
      <c r="E120" s="68"/>
      <c r="F120" s="68" t="s">
        <v>22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76</v>
      </c>
      <c r="C121" s="68" t="s">
        <v>20</v>
      </c>
      <c r="D121" s="68" t="s">
        <v>24</v>
      </c>
      <c r="E121" s="68"/>
      <c r="F121" s="68" t="s">
        <v>29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76</v>
      </c>
      <c r="C122" s="68" t="s">
        <v>20</v>
      </c>
      <c r="D122" s="68" t="s">
        <v>47</v>
      </c>
      <c r="E122" s="68"/>
      <c r="F122" s="68" t="s">
        <v>28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76</v>
      </c>
      <c r="C123" s="68" t="s">
        <v>55</v>
      </c>
      <c r="D123" s="68" t="s">
        <v>50</v>
      </c>
      <c r="E123" s="68"/>
      <c r="F123" s="68" t="s">
        <v>38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76</v>
      </c>
      <c r="C124" s="68" t="s">
        <v>37</v>
      </c>
      <c r="D124" s="68" t="s">
        <v>42</v>
      </c>
      <c r="E124" s="68"/>
      <c r="F124" s="68" t="s">
        <v>26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76</v>
      </c>
      <c r="C125" s="68" t="s">
        <v>37</v>
      </c>
      <c r="D125" s="68" t="s">
        <v>18</v>
      </c>
      <c r="E125" s="68"/>
      <c r="F125" s="68" t="s">
        <v>41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76</v>
      </c>
      <c r="C126" s="68" t="s">
        <v>12</v>
      </c>
      <c r="D126" s="68" t="s">
        <v>51</v>
      </c>
      <c r="E126" s="68"/>
      <c r="F126" s="68" t="s">
        <v>14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77</v>
      </c>
      <c r="C127" s="68" t="s">
        <v>49</v>
      </c>
      <c r="D127" s="68" t="s">
        <v>46</v>
      </c>
      <c r="E127" s="68"/>
      <c r="F127" s="68" t="s">
        <v>45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96" t="s">
        <v>78</v>
      </c>
      <c r="B129" s="97"/>
      <c r="C129" s="97"/>
      <c r="D129" s="97"/>
      <c r="E129" s="97"/>
      <c r="F129" s="97"/>
      <c r="G129" s="97"/>
      <c r="H129" s="97"/>
      <c r="I129" s="97"/>
      <c r="J129" s="97"/>
    </row>
    <row r="130" spans="1:10" x14ac:dyDescent="0.25">
      <c r="A130" s="67" t="s">
        <v>1</v>
      </c>
      <c r="B130" s="67" t="s">
        <v>2</v>
      </c>
      <c r="C130" s="67" t="s">
        <v>3</v>
      </c>
      <c r="D130" s="67" t="s">
        <v>4</v>
      </c>
      <c r="E130" s="67" t="s">
        <v>5</v>
      </c>
      <c r="F130" s="67" t="s">
        <v>6</v>
      </c>
      <c r="G130" s="67" t="s">
        <v>7</v>
      </c>
      <c r="H130" s="67" t="s">
        <v>8</v>
      </c>
      <c r="I130" s="67" t="s">
        <v>9</v>
      </c>
      <c r="J130" s="67" t="s">
        <v>10</v>
      </c>
    </row>
    <row r="131" spans="1:10" x14ac:dyDescent="0.25">
      <c r="A131" s="68">
        <v>8</v>
      </c>
      <c r="B131" s="68" t="s">
        <v>79</v>
      </c>
      <c r="C131" s="68" t="s">
        <v>49</v>
      </c>
      <c r="D131" s="68" t="s">
        <v>22</v>
      </c>
      <c r="E131" s="68"/>
      <c r="F131" s="68" t="s">
        <v>42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80</v>
      </c>
      <c r="C132" s="68" t="s">
        <v>20</v>
      </c>
      <c r="D132" s="68" t="s">
        <v>29</v>
      </c>
      <c r="E132" s="68"/>
      <c r="F132" s="68" t="s">
        <v>27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80</v>
      </c>
      <c r="C133" s="68" t="s">
        <v>20</v>
      </c>
      <c r="D133" s="68" t="s">
        <v>36</v>
      </c>
      <c r="E133" s="68"/>
      <c r="F133" s="68" t="s">
        <v>24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80</v>
      </c>
      <c r="C134" s="68" t="s">
        <v>20</v>
      </c>
      <c r="D134" s="68" t="s">
        <v>38</v>
      </c>
      <c r="E134" s="68"/>
      <c r="F134" s="68" t="s">
        <v>46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80</v>
      </c>
      <c r="C135" s="68" t="s">
        <v>20</v>
      </c>
      <c r="D135" s="68" t="s">
        <v>43</v>
      </c>
      <c r="E135" s="68"/>
      <c r="F135" s="68" t="s">
        <v>26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80</v>
      </c>
      <c r="C136" s="68" t="s">
        <v>20</v>
      </c>
      <c r="D136" s="68" t="s">
        <v>41</v>
      </c>
      <c r="E136" s="68"/>
      <c r="F136" s="68" t="s">
        <v>35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80</v>
      </c>
      <c r="C137" s="68" t="s">
        <v>20</v>
      </c>
      <c r="D137" s="68" t="s">
        <v>31</v>
      </c>
      <c r="E137" s="68"/>
      <c r="F137" s="68" t="s">
        <v>34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80</v>
      </c>
      <c r="C138" s="68" t="s">
        <v>20</v>
      </c>
      <c r="D138" s="68" t="s">
        <v>33</v>
      </c>
      <c r="E138" s="68"/>
      <c r="F138" s="68" t="s">
        <v>23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80</v>
      </c>
      <c r="C139" s="68" t="s">
        <v>20</v>
      </c>
      <c r="D139" s="68" t="s">
        <v>30</v>
      </c>
      <c r="E139" s="68"/>
      <c r="F139" s="68" t="s">
        <v>32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80</v>
      </c>
      <c r="C140" s="68" t="s">
        <v>55</v>
      </c>
      <c r="D140" s="68" t="s">
        <v>18</v>
      </c>
      <c r="E140" s="68"/>
      <c r="F140" s="68" t="s">
        <v>39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80</v>
      </c>
      <c r="C141" s="68" t="s">
        <v>37</v>
      </c>
      <c r="D141" s="68" t="s">
        <v>51</v>
      </c>
      <c r="E141" s="68"/>
      <c r="F141" s="68" t="s">
        <v>50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80</v>
      </c>
      <c r="C142" s="68" t="s">
        <v>37</v>
      </c>
      <c r="D142" s="68" t="s">
        <v>13</v>
      </c>
      <c r="E142" s="68"/>
      <c r="F142" s="68" t="s">
        <v>40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80</v>
      </c>
      <c r="C143" s="68" t="s">
        <v>12</v>
      </c>
      <c r="D143" s="68" t="s">
        <v>45</v>
      </c>
      <c r="E143" s="68"/>
      <c r="F143" s="68" t="s">
        <v>44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81</v>
      </c>
      <c r="C144" s="68" t="s">
        <v>49</v>
      </c>
      <c r="D144" s="68" t="s">
        <v>21</v>
      </c>
      <c r="E144" s="68"/>
      <c r="F144" s="68" t="s">
        <v>14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96" t="s">
        <v>82</v>
      </c>
      <c r="B146" s="97"/>
      <c r="C146" s="97"/>
      <c r="D146" s="97"/>
      <c r="E146" s="97"/>
      <c r="F146" s="97"/>
      <c r="G146" s="97"/>
      <c r="H146" s="97"/>
      <c r="I146" s="97"/>
      <c r="J146" s="97"/>
    </row>
    <row r="147" spans="1:10" x14ac:dyDescent="0.25">
      <c r="A147" s="67" t="s">
        <v>1</v>
      </c>
      <c r="B147" s="67" t="s">
        <v>2</v>
      </c>
      <c r="C147" s="67" t="s">
        <v>3</v>
      </c>
      <c r="D147" s="67" t="s">
        <v>4</v>
      </c>
      <c r="E147" s="67" t="s">
        <v>5</v>
      </c>
      <c r="F147" s="67" t="s">
        <v>6</v>
      </c>
      <c r="G147" s="67" t="s">
        <v>7</v>
      </c>
      <c r="H147" s="67" t="s">
        <v>8</v>
      </c>
      <c r="I147" s="67" t="s">
        <v>9</v>
      </c>
      <c r="J147" s="67" t="s">
        <v>10</v>
      </c>
    </row>
    <row r="148" spans="1:10" x14ac:dyDescent="0.25">
      <c r="A148" s="68">
        <v>9</v>
      </c>
      <c r="B148" s="68" t="s">
        <v>83</v>
      </c>
      <c r="C148" s="68" t="s">
        <v>49</v>
      </c>
      <c r="D148" s="68" t="s">
        <v>32</v>
      </c>
      <c r="E148" s="68"/>
      <c r="F148" s="68" t="s">
        <v>29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84</v>
      </c>
      <c r="C149" s="68" t="s">
        <v>64</v>
      </c>
      <c r="D149" s="68" t="s">
        <v>24</v>
      </c>
      <c r="E149" s="68"/>
      <c r="F149" s="68" t="s">
        <v>33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84</v>
      </c>
      <c r="C150" s="68" t="s">
        <v>20</v>
      </c>
      <c r="D150" s="68" t="s">
        <v>46</v>
      </c>
      <c r="E150" s="68"/>
      <c r="F150" s="68" t="s">
        <v>30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84</v>
      </c>
      <c r="C151" s="68" t="s">
        <v>20</v>
      </c>
      <c r="D151" s="68" t="s">
        <v>35</v>
      </c>
      <c r="E151" s="68"/>
      <c r="F151" s="68" t="s">
        <v>51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84</v>
      </c>
      <c r="C152" s="68" t="s">
        <v>20</v>
      </c>
      <c r="D152" s="68" t="s">
        <v>26</v>
      </c>
      <c r="E152" s="68"/>
      <c r="F152" s="68" t="s">
        <v>40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84</v>
      </c>
      <c r="C153" s="68" t="s">
        <v>20</v>
      </c>
      <c r="D153" s="68" t="s">
        <v>31</v>
      </c>
      <c r="E153" s="68"/>
      <c r="F153" s="68" t="s">
        <v>25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84</v>
      </c>
      <c r="C154" s="68" t="s">
        <v>20</v>
      </c>
      <c r="D154" s="68" t="s">
        <v>47</v>
      </c>
      <c r="E154" s="68"/>
      <c r="F154" s="68" t="s">
        <v>45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84</v>
      </c>
      <c r="C155" s="68" t="s">
        <v>20</v>
      </c>
      <c r="D155" s="68" t="s">
        <v>18</v>
      </c>
      <c r="E155" s="68"/>
      <c r="F155" s="68" t="s">
        <v>44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84</v>
      </c>
      <c r="C156" s="68" t="s">
        <v>20</v>
      </c>
      <c r="D156" s="68" t="s">
        <v>50</v>
      </c>
      <c r="E156" s="68"/>
      <c r="F156" s="68" t="s">
        <v>22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84</v>
      </c>
      <c r="C157" s="68" t="s">
        <v>55</v>
      </c>
      <c r="D157" s="68" t="s">
        <v>28</v>
      </c>
      <c r="E157" s="68"/>
      <c r="F157" s="68" t="s">
        <v>39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84</v>
      </c>
      <c r="C158" s="68" t="s">
        <v>55</v>
      </c>
      <c r="D158" s="68" t="s">
        <v>41</v>
      </c>
      <c r="E158" s="68"/>
      <c r="F158" s="68" t="s">
        <v>17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84</v>
      </c>
      <c r="C159" s="68" t="s">
        <v>37</v>
      </c>
      <c r="D159" s="68" t="s">
        <v>42</v>
      </c>
      <c r="E159" s="68"/>
      <c r="F159" s="68" t="s">
        <v>13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84</v>
      </c>
      <c r="C160" s="68" t="s">
        <v>37</v>
      </c>
      <c r="D160" s="68" t="s">
        <v>38</v>
      </c>
      <c r="E160" s="68"/>
      <c r="F160" s="68" t="s">
        <v>14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84</v>
      </c>
      <c r="C161" s="68" t="s">
        <v>12</v>
      </c>
      <c r="D161" s="68" t="s">
        <v>23</v>
      </c>
      <c r="E161" s="68"/>
      <c r="F161" s="68" t="s">
        <v>21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85</v>
      </c>
      <c r="C162" s="68" t="s">
        <v>49</v>
      </c>
      <c r="D162" s="68" t="s">
        <v>27</v>
      </c>
      <c r="E162" s="68"/>
      <c r="F162" s="68" t="s">
        <v>43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96" t="s">
        <v>86</v>
      </c>
      <c r="B164" s="97"/>
      <c r="C164" s="97"/>
      <c r="D164" s="97"/>
      <c r="E164" s="97"/>
      <c r="F164" s="97"/>
      <c r="G164" s="97"/>
      <c r="H164" s="97"/>
      <c r="I164" s="97"/>
      <c r="J164" s="97"/>
    </row>
    <row r="165" spans="1:10" x14ac:dyDescent="0.25">
      <c r="A165" s="67" t="s">
        <v>1</v>
      </c>
      <c r="B165" s="67" t="s">
        <v>2</v>
      </c>
      <c r="C165" s="67" t="s">
        <v>3</v>
      </c>
      <c r="D165" s="67" t="s">
        <v>4</v>
      </c>
      <c r="E165" s="67" t="s">
        <v>5</v>
      </c>
      <c r="F165" s="67" t="s">
        <v>6</v>
      </c>
      <c r="G165" s="67" t="s">
        <v>7</v>
      </c>
      <c r="H165" s="67" t="s">
        <v>8</v>
      </c>
      <c r="I165" s="67" t="s">
        <v>9</v>
      </c>
      <c r="J165" s="67" t="s">
        <v>10</v>
      </c>
    </row>
    <row r="166" spans="1:10" x14ac:dyDescent="0.25">
      <c r="A166" s="68">
        <v>10</v>
      </c>
      <c r="B166" s="68" t="s">
        <v>87</v>
      </c>
      <c r="C166" s="68" t="s">
        <v>49</v>
      </c>
      <c r="D166" s="68" t="s">
        <v>44</v>
      </c>
      <c r="E166" s="68"/>
      <c r="F166" s="68" t="s">
        <v>47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88</v>
      </c>
      <c r="C167" s="68" t="s">
        <v>64</v>
      </c>
      <c r="D167" s="68" t="s">
        <v>13</v>
      </c>
      <c r="E167" s="68"/>
      <c r="F167" s="68" t="s">
        <v>26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88</v>
      </c>
      <c r="C168" s="68" t="s">
        <v>20</v>
      </c>
      <c r="D168" s="68" t="s">
        <v>51</v>
      </c>
      <c r="E168" s="68"/>
      <c r="F168" s="68" t="s">
        <v>33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88</v>
      </c>
      <c r="C169" s="68" t="s">
        <v>20</v>
      </c>
      <c r="D169" s="68" t="s">
        <v>28</v>
      </c>
      <c r="E169" s="68"/>
      <c r="F169" s="68" t="s">
        <v>31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88</v>
      </c>
      <c r="C170" s="68" t="s">
        <v>20</v>
      </c>
      <c r="D170" s="68" t="s">
        <v>43</v>
      </c>
      <c r="E170" s="68"/>
      <c r="F170" s="68" t="s">
        <v>42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88</v>
      </c>
      <c r="C171" s="68" t="s">
        <v>20</v>
      </c>
      <c r="D171" s="68" t="s">
        <v>32</v>
      </c>
      <c r="E171" s="68"/>
      <c r="F171" s="68" t="s">
        <v>36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88</v>
      </c>
      <c r="C172" s="68" t="s">
        <v>20</v>
      </c>
      <c r="D172" s="68" t="s">
        <v>40</v>
      </c>
      <c r="E172" s="68"/>
      <c r="F172" s="68" t="s">
        <v>30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88</v>
      </c>
      <c r="C173" s="68" t="s">
        <v>20</v>
      </c>
      <c r="D173" s="68" t="s">
        <v>22</v>
      </c>
      <c r="E173" s="68"/>
      <c r="F173" s="68" t="s">
        <v>25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88</v>
      </c>
      <c r="C174" s="68" t="s">
        <v>20</v>
      </c>
      <c r="D174" s="68" t="s">
        <v>27</v>
      </c>
      <c r="E174" s="68"/>
      <c r="F174" s="68" t="s">
        <v>35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88</v>
      </c>
      <c r="C175" s="68" t="s">
        <v>55</v>
      </c>
      <c r="D175" s="68" t="s">
        <v>14</v>
      </c>
      <c r="E175" s="68"/>
      <c r="F175" s="68" t="s">
        <v>41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88</v>
      </c>
      <c r="C176" s="68" t="s">
        <v>55</v>
      </c>
      <c r="D176" s="68" t="s">
        <v>18</v>
      </c>
      <c r="E176" s="68"/>
      <c r="F176" s="68" t="s">
        <v>38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88</v>
      </c>
      <c r="C177" s="68" t="s">
        <v>37</v>
      </c>
      <c r="D177" s="68" t="s">
        <v>17</v>
      </c>
      <c r="E177" s="68"/>
      <c r="F177" s="68" t="s">
        <v>46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88</v>
      </c>
      <c r="C178" s="68" t="s">
        <v>12</v>
      </c>
      <c r="D178" s="68" t="s">
        <v>34</v>
      </c>
      <c r="E178" s="68"/>
      <c r="F178" s="68" t="s">
        <v>24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89</v>
      </c>
      <c r="C179" s="68" t="s">
        <v>49</v>
      </c>
      <c r="D179" s="68" t="s">
        <v>39</v>
      </c>
      <c r="E179" s="68"/>
      <c r="F179" s="68" t="s">
        <v>29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96" t="s">
        <v>90</v>
      </c>
      <c r="B181" s="97"/>
      <c r="C181" s="97"/>
      <c r="D181" s="97"/>
      <c r="E181" s="97"/>
      <c r="F181" s="97"/>
      <c r="G181" s="97"/>
      <c r="H181" s="97"/>
      <c r="I181" s="97"/>
      <c r="J181" s="97"/>
    </row>
    <row r="182" spans="1:10" x14ac:dyDescent="0.25">
      <c r="A182" s="67" t="s">
        <v>1</v>
      </c>
      <c r="B182" s="67" t="s">
        <v>2</v>
      </c>
      <c r="C182" s="67" t="s">
        <v>3</v>
      </c>
      <c r="D182" s="67" t="s">
        <v>4</v>
      </c>
      <c r="E182" s="67" t="s">
        <v>5</v>
      </c>
      <c r="F182" s="67" t="s">
        <v>6</v>
      </c>
      <c r="G182" s="67" t="s">
        <v>7</v>
      </c>
      <c r="H182" s="67" t="s">
        <v>8</v>
      </c>
      <c r="I182" s="67" t="s">
        <v>9</v>
      </c>
      <c r="J182" s="67" t="s">
        <v>10</v>
      </c>
    </row>
    <row r="183" spans="1:10" x14ac:dyDescent="0.25">
      <c r="A183" s="68">
        <v>11</v>
      </c>
      <c r="B183" s="68" t="s">
        <v>91</v>
      </c>
      <c r="C183" s="68" t="s">
        <v>49</v>
      </c>
      <c r="D183" s="68" t="s">
        <v>30</v>
      </c>
      <c r="E183" s="68"/>
      <c r="F183" s="68" t="s">
        <v>28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92</v>
      </c>
      <c r="C184" s="68" t="s">
        <v>20</v>
      </c>
      <c r="D184" s="68" t="s">
        <v>40</v>
      </c>
      <c r="E184" s="68"/>
      <c r="F184" s="68" t="s">
        <v>27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92</v>
      </c>
      <c r="C185" s="68" t="s">
        <v>20</v>
      </c>
      <c r="D185" s="68" t="s">
        <v>25</v>
      </c>
      <c r="E185" s="68"/>
      <c r="F185" s="68" t="s">
        <v>21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92</v>
      </c>
      <c r="C186" s="68" t="s">
        <v>20</v>
      </c>
      <c r="D186" s="68" t="s">
        <v>36</v>
      </c>
      <c r="E186" s="68"/>
      <c r="F186" s="68" t="s">
        <v>46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92</v>
      </c>
      <c r="C187" s="68" t="s">
        <v>20</v>
      </c>
      <c r="D187" s="68" t="s">
        <v>23</v>
      </c>
      <c r="E187" s="68"/>
      <c r="F187" s="68" t="s">
        <v>26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92</v>
      </c>
      <c r="C188" s="68" t="s">
        <v>20</v>
      </c>
      <c r="D188" s="68" t="s">
        <v>38</v>
      </c>
      <c r="E188" s="68"/>
      <c r="F188" s="68" t="s">
        <v>51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92</v>
      </c>
      <c r="C189" s="68" t="s">
        <v>20</v>
      </c>
      <c r="D189" s="68" t="s">
        <v>32</v>
      </c>
      <c r="E189" s="68"/>
      <c r="F189" s="68" t="s">
        <v>47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92</v>
      </c>
      <c r="C190" s="68" t="s">
        <v>20</v>
      </c>
      <c r="D190" s="68" t="s">
        <v>29</v>
      </c>
      <c r="E190" s="68"/>
      <c r="F190" s="68" t="s">
        <v>22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92</v>
      </c>
      <c r="C191" s="68" t="s">
        <v>55</v>
      </c>
      <c r="D191" s="68" t="s">
        <v>35</v>
      </c>
      <c r="E191" s="68"/>
      <c r="F191" s="68" t="s">
        <v>39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92</v>
      </c>
      <c r="C192" s="68" t="s">
        <v>37</v>
      </c>
      <c r="D192" s="68" t="s">
        <v>41</v>
      </c>
      <c r="E192" s="68"/>
      <c r="F192" s="68" t="s">
        <v>50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92</v>
      </c>
      <c r="C193" s="68" t="s">
        <v>37</v>
      </c>
      <c r="D193" s="68" t="s">
        <v>34</v>
      </c>
      <c r="E193" s="68"/>
      <c r="F193" s="68" t="s">
        <v>45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92</v>
      </c>
      <c r="C194" s="68" t="s">
        <v>12</v>
      </c>
      <c r="D194" s="68" t="s">
        <v>43</v>
      </c>
      <c r="E194" s="68"/>
      <c r="F194" s="68" t="s">
        <v>17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93</v>
      </c>
      <c r="C195" s="68" t="s">
        <v>49</v>
      </c>
      <c r="D195" s="68" t="s">
        <v>24</v>
      </c>
      <c r="E195" s="68"/>
      <c r="F195" s="68" t="s">
        <v>44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96" t="s">
        <v>94</v>
      </c>
      <c r="B197" s="97"/>
      <c r="C197" s="97"/>
      <c r="D197" s="97"/>
      <c r="E197" s="97"/>
      <c r="F197" s="97"/>
      <c r="G197" s="97"/>
      <c r="H197" s="97"/>
      <c r="I197" s="97"/>
      <c r="J197" s="97"/>
    </row>
    <row r="198" spans="1:10" x14ac:dyDescent="0.25">
      <c r="A198" s="67" t="s">
        <v>1</v>
      </c>
      <c r="B198" s="67" t="s">
        <v>2</v>
      </c>
      <c r="C198" s="67" t="s">
        <v>3</v>
      </c>
      <c r="D198" s="67" t="s">
        <v>4</v>
      </c>
      <c r="E198" s="67" t="s">
        <v>5</v>
      </c>
      <c r="F198" s="67" t="s">
        <v>6</v>
      </c>
      <c r="G198" s="67" t="s">
        <v>7</v>
      </c>
      <c r="H198" s="67" t="s">
        <v>8</v>
      </c>
      <c r="I198" s="67" t="s">
        <v>9</v>
      </c>
      <c r="J198" s="67" t="s">
        <v>10</v>
      </c>
    </row>
    <row r="199" spans="1:10" x14ac:dyDescent="0.25">
      <c r="A199" s="68">
        <v>12</v>
      </c>
      <c r="B199" s="68" t="s">
        <v>95</v>
      </c>
      <c r="C199" s="68" t="s">
        <v>96</v>
      </c>
      <c r="D199" s="68" t="s">
        <v>42</v>
      </c>
      <c r="E199" s="68"/>
      <c r="F199" s="68" t="s">
        <v>18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97</v>
      </c>
      <c r="C200" s="68" t="s">
        <v>20</v>
      </c>
      <c r="D200" s="68" t="s">
        <v>21</v>
      </c>
      <c r="E200" s="68"/>
      <c r="F200" s="68" t="s">
        <v>26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97</v>
      </c>
      <c r="C201" s="68" t="s">
        <v>98</v>
      </c>
      <c r="D201" s="68" t="s">
        <v>45</v>
      </c>
      <c r="E201" s="68"/>
      <c r="F201" s="68" t="s">
        <v>46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97</v>
      </c>
      <c r="C202" s="68" t="s">
        <v>12</v>
      </c>
      <c r="D202" s="68" t="s">
        <v>51</v>
      </c>
      <c r="E202" s="68"/>
      <c r="F202" s="68" t="s">
        <v>27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99</v>
      </c>
      <c r="C203" s="68" t="s">
        <v>100</v>
      </c>
      <c r="D203" s="68" t="s">
        <v>50</v>
      </c>
      <c r="E203" s="68"/>
      <c r="F203" s="68" t="s">
        <v>34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101</v>
      </c>
      <c r="C204" s="68" t="s">
        <v>20</v>
      </c>
      <c r="D204" s="68" t="s">
        <v>25</v>
      </c>
      <c r="E204" s="68"/>
      <c r="F204" s="68" t="s">
        <v>24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101</v>
      </c>
      <c r="C205" s="68" t="s">
        <v>20</v>
      </c>
      <c r="D205" s="68" t="s">
        <v>41</v>
      </c>
      <c r="E205" s="68"/>
      <c r="F205" s="68" t="s">
        <v>31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101</v>
      </c>
      <c r="C206" s="68" t="s">
        <v>20</v>
      </c>
      <c r="D206" s="68" t="s">
        <v>47</v>
      </c>
      <c r="E206" s="68"/>
      <c r="F206" s="68" t="s">
        <v>30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101</v>
      </c>
      <c r="C207" s="68" t="s">
        <v>20</v>
      </c>
      <c r="D207" s="68" t="s">
        <v>35</v>
      </c>
      <c r="E207" s="68"/>
      <c r="F207" s="68" t="s">
        <v>40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101</v>
      </c>
      <c r="C208" s="68" t="s">
        <v>20</v>
      </c>
      <c r="D208" s="68" t="s">
        <v>33</v>
      </c>
      <c r="E208" s="68"/>
      <c r="F208" s="68" t="s">
        <v>43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101</v>
      </c>
      <c r="C209" s="68" t="s">
        <v>20</v>
      </c>
      <c r="D209" s="68" t="s">
        <v>29</v>
      </c>
      <c r="E209" s="68"/>
      <c r="F209" s="68" t="s">
        <v>28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101</v>
      </c>
      <c r="C210" s="68" t="s">
        <v>55</v>
      </c>
      <c r="D210" s="68" t="s">
        <v>36</v>
      </c>
      <c r="E210" s="68"/>
      <c r="F210" s="68" t="s">
        <v>32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101</v>
      </c>
      <c r="C211" s="68" t="s">
        <v>37</v>
      </c>
      <c r="D211" s="68" t="s">
        <v>44</v>
      </c>
      <c r="E211" s="68"/>
      <c r="F211" s="68" t="s">
        <v>38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101</v>
      </c>
      <c r="C212" s="68" t="s">
        <v>37</v>
      </c>
      <c r="D212" s="68" t="s">
        <v>14</v>
      </c>
      <c r="E212" s="68"/>
      <c r="F212" s="68" t="s">
        <v>17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101</v>
      </c>
      <c r="C213" s="68" t="s">
        <v>12</v>
      </c>
      <c r="D213" s="68" t="s">
        <v>13</v>
      </c>
      <c r="E213" s="68"/>
      <c r="F213" s="68" t="s">
        <v>39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102</v>
      </c>
      <c r="C214" s="68" t="s">
        <v>49</v>
      </c>
      <c r="D214" s="68" t="s">
        <v>22</v>
      </c>
      <c r="E214" s="68"/>
      <c r="F214" s="68" t="s">
        <v>23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96" t="s">
        <v>103</v>
      </c>
      <c r="B216" s="97"/>
      <c r="C216" s="97"/>
      <c r="D216" s="97"/>
      <c r="E216" s="97"/>
      <c r="F216" s="97"/>
      <c r="G216" s="97"/>
      <c r="H216" s="97"/>
      <c r="I216" s="97"/>
      <c r="J216" s="97"/>
    </row>
    <row r="217" spans="1:10" x14ac:dyDescent="0.25">
      <c r="A217" s="67" t="s">
        <v>1</v>
      </c>
      <c r="B217" s="67" t="s">
        <v>2</v>
      </c>
      <c r="C217" s="67" t="s">
        <v>3</v>
      </c>
      <c r="D217" s="67" t="s">
        <v>4</v>
      </c>
      <c r="E217" s="67" t="s">
        <v>5</v>
      </c>
      <c r="F217" s="67" t="s">
        <v>6</v>
      </c>
      <c r="G217" s="67" t="s">
        <v>7</v>
      </c>
      <c r="H217" s="67" t="s">
        <v>8</v>
      </c>
      <c r="I217" s="67" t="s">
        <v>9</v>
      </c>
      <c r="J217" s="67" t="s">
        <v>10</v>
      </c>
    </row>
    <row r="218" spans="1:10" x14ac:dyDescent="0.25">
      <c r="A218" s="68">
        <v>13</v>
      </c>
      <c r="B218" s="68" t="s">
        <v>104</v>
      </c>
      <c r="C218" s="68" t="s">
        <v>49</v>
      </c>
      <c r="D218" s="68" t="s">
        <v>51</v>
      </c>
      <c r="E218" s="68"/>
      <c r="F218" s="68" t="s">
        <v>39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105</v>
      </c>
      <c r="C219" s="68" t="s">
        <v>20</v>
      </c>
      <c r="D219" s="68" t="s">
        <v>26</v>
      </c>
      <c r="E219" s="68"/>
      <c r="F219" s="68" t="s">
        <v>33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105</v>
      </c>
      <c r="C220" s="68" t="s">
        <v>20</v>
      </c>
      <c r="D220" s="68" t="s">
        <v>32</v>
      </c>
      <c r="E220" s="68"/>
      <c r="F220" s="68" t="s">
        <v>21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105</v>
      </c>
      <c r="C221" s="68" t="s">
        <v>20</v>
      </c>
      <c r="D221" s="68" t="s">
        <v>24</v>
      </c>
      <c r="E221" s="68"/>
      <c r="F221" s="68" t="s">
        <v>31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105</v>
      </c>
      <c r="C222" s="68" t="s">
        <v>20</v>
      </c>
      <c r="D222" s="68" t="s">
        <v>44</v>
      </c>
      <c r="E222" s="68"/>
      <c r="F222" s="68" t="s">
        <v>36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105</v>
      </c>
      <c r="C223" s="68" t="s">
        <v>20</v>
      </c>
      <c r="D223" s="68" t="s">
        <v>42</v>
      </c>
      <c r="E223" s="68"/>
      <c r="F223" s="68" t="s">
        <v>25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105</v>
      </c>
      <c r="C224" s="68" t="s">
        <v>20</v>
      </c>
      <c r="D224" s="68" t="s">
        <v>17</v>
      </c>
      <c r="E224" s="68"/>
      <c r="F224" s="68" t="s">
        <v>47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105</v>
      </c>
      <c r="C225" s="68" t="s">
        <v>20</v>
      </c>
      <c r="D225" s="68" t="s">
        <v>18</v>
      </c>
      <c r="E225" s="68"/>
      <c r="F225" s="68" t="s">
        <v>23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105</v>
      </c>
      <c r="C226" s="68" t="s">
        <v>55</v>
      </c>
      <c r="D226" s="68" t="s">
        <v>40</v>
      </c>
      <c r="E226" s="68"/>
      <c r="F226" s="68" t="s">
        <v>50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105</v>
      </c>
      <c r="C227" s="68" t="s">
        <v>55</v>
      </c>
      <c r="D227" s="68" t="s">
        <v>45</v>
      </c>
      <c r="E227" s="68"/>
      <c r="F227" s="68" t="s">
        <v>38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105</v>
      </c>
      <c r="C228" s="68" t="s">
        <v>37</v>
      </c>
      <c r="D228" s="68" t="s">
        <v>22</v>
      </c>
      <c r="E228" s="68"/>
      <c r="F228" s="68" t="s">
        <v>43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105</v>
      </c>
      <c r="C229" s="68" t="s">
        <v>37</v>
      </c>
      <c r="D229" s="68" t="s">
        <v>27</v>
      </c>
      <c r="E229" s="68"/>
      <c r="F229" s="68" t="s">
        <v>13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105</v>
      </c>
      <c r="C230" s="68" t="s">
        <v>12</v>
      </c>
      <c r="D230" s="68" t="s">
        <v>28</v>
      </c>
      <c r="E230" s="68"/>
      <c r="F230" s="68" t="s">
        <v>34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106</v>
      </c>
      <c r="C231" s="68" t="s">
        <v>49</v>
      </c>
      <c r="D231" s="68" t="s">
        <v>46</v>
      </c>
      <c r="E231" s="68"/>
      <c r="F231" s="68" t="s">
        <v>14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96" t="s">
        <v>107</v>
      </c>
      <c r="B233" s="97"/>
      <c r="C233" s="97"/>
      <c r="D233" s="97"/>
      <c r="E233" s="97"/>
      <c r="F233" s="97"/>
      <c r="G233" s="97"/>
      <c r="H233" s="97"/>
      <c r="I233" s="97"/>
      <c r="J233" s="97"/>
    </row>
    <row r="234" spans="1:10" x14ac:dyDescent="0.25">
      <c r="A234" s="67" t="s">
        <v>1</v>
      </c>
      <c r="B234" s="67" t="s">
        <v>2</v>
      </c>
      <c r="C234" s="67" t="s">
        <v>3</v>
      </c>
      <c r="D234" s="67" t="s">
        <v>4</v>
      </c>
      <c r="E234" s="67" t="s">
        <v>5</v>
      </c>
      <c r="F234" s="67" t="s">
        <v>6</v>
      </c>
      <c r="G234" s="67" t="s">
        <v>7</v>
      </c>
      <c r="H234" s="67" t="s">
        <v>8</v>
      </c>
      <c r="I234" s="67" t="s">
        <v>9</v>
      </c>
      <c r="J234" s="67" t="s">
        <v>10</v>
      </c>
    </row>
    <row r="235" spans="1:10" x14ac:dyDescent="0.25">
      <c r="A235" s="68">
        <v>14</v>
      </c>
      <c r="B235" s="68" t="s">
        <v>108</v>
      </c>
      <c r="C235" s="68" t="s">
        <v>49</v>
      </c>
      <c r="D235" s="68" t="s">
        <v>43</v>
      </c>
      <c r="E235" s="68"/>
      <c r="F235" s="68" t="s">
        <v>13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109</v>
      </c>
      <c r="C236" s="68" t="s">
        <v>20</v>
      </c>
      <c r="D236" s="68" t="s">
        <v>33</v>
      </c>
      <c r="E236" s="68"/>
      <c r="F236" s="68" t="s">
        <v>31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109</v>
      </c>
      <c r="C237" s="68" t="s">
        <v>20</v>
      </c>
      <c r="D237" s="68" t="s">
        <v>36</v>
      </c>
      <c r="E237" s="68"/>
      <c r="F237" s="68" t="s">
        <v>26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109</v>
      </c>
      <c r="C238" s="68" t="s">
        <v>20</v>
      </c>
      <c r="D238" s="68" t="s">
        <v>21</v>
      </c>
      <c r="E238" s="68"/>
      <c r="F238" s="68" t="s">
        <v>40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109</v>
      </c>
      <c r="C239" s="68" t="s">
        <v>20</v>
      </c>
      <c r="D239" s="68" t="s">
        <v>50</v>
      </c>
      <c r="E239" s="68"/>
      <c r="F239" s="68" t="s">
        <v>35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109</v>
      </c>
      <c r="C240" s="68" t="s">
        <v>20</v>
      </c>
      <c r="D240" s="68" t="s">
        <v>30</v>
      </c>
      <c r="E240" s="68"/>
      <c r="F240" s="68" t="s">
        <v>45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109</v>
      </c>
      <c r="C241" s="68" t="s">
        <v>20</v>
      </c>
      <c r="D241" s="68" t="s">
        <v>28</v>
      </c>
      <c r="E241" s="68"/>
      <c r="F241" s="68" t="s">
        <v>44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109</v>
      </c>
      <c r="C242" s="68" t="s">
        <v>20</v>
      </c>
      <c r="D242" s="68" t="s">
        <v>25</v>
      </c>
      <c r="E242" s="68"/>
      <c r="F242" s="68" t="s">
        <v>22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109</v>
      </c>
      <c r="C243" s="68" t="s">
        <v>20</v>
      </c>
      <c r="D243" s="68" t="s">
        <v>23</v>
      </c>
      <c r="E243" s="68"/>
      <c r="F243" s="68" t="s">
        <v>29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109</v>
      </c>
      <c r="C244" s="68" t="s">
        <v>55</v>
      </c>
      <c r="D244" s="68" t="s">
        <v>39</v>
      </c>
      <c r="E244" s="68"/>
      <c r="F244" s="68" t="s">
        <v>41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109</v>
      </c>
      <c r="C245" s="68" t="s">
        <v>37</v>
      </c>
      <c r="D245" s="68" t="s">
        <v>51</v>
      </c>
      <c r="E245" s="68"/>
      <c r="F245" s="68" t="s">
        <v>24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109</v>
      </c>
      <c r="C246" s="68" t="s">
        <v>37</v>
      </c>
      <c r="D246" s="68" t="s">
        <v>18</v>
      </c>
      <c r="E246" s="68"/>
      <c r="F246" s="68" t="s">
        <v>17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109</v>
      </c>
      <c r="C247" s="68" t="s">
        <v>37</v>
      </c>
      <c r="D247" s="68" t="s">
        <v>47</v>
      </c>
      <c r="E247" s="68"/>
      <c r="F247" s="68" t="s">
        <v>14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109</v>
      </c>
      <c r="C248" s="68" t="s">
        <v>12</v>
      </c>
      <c r="D248" s="68" t="s">
        <v>27</v>
      </c>
      <c r="E248" s="68"/>
      <c r="F248" s="68" t="s">
        <v>42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110</v>
      </c>
      <c r="C249" s="68" t="s">
        <v>49</v>
      </c>
      <c r="D249" s="68" t="s">
        <v>34</v>
      </c>
      <c r="E249" s="68"/>
      <c r="F249" s="68" t="s">
        <v>32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96" t="s">
        <v>111</v>
      </c>
      <c r="B251" s="97"/>
      <c r="C251" s="97"/>
      <c r="D251" s="97"/>
      <c r="E251" s="97"/>
      <c r="F251" s="97"/>
      <c r="G251" s="97"/>
      <c r="H251" s="97"/>
      <c r="I251" s="97"/>
      <c r="J251" s="97"/>
    </row>
    <row r="252" spans="1:10" x14ac:dyDescent="0.25">
      <c r="A252" s="67" t="s">
        <v>1</v>
      </c>
      <c r="B252" s="67" t="s">
        <v>2</v>
      </c>
      <c r="C252" s="67" t="s">
        <v>3</v>
      </c>
      <c r="D252" s="67" t="s">
        <v>4</v>
      </c>
      <c r="E252" s="67" t="s">
        <v>5</v>
      </c>
      <c r="F252" s="67" t="s">
        <v>6</v>
      </c>
      <c r="G252" s="67" t="s">
        <v>7</v>
      </c>
      <c r="H252" s="67" t="s">
        <v>8</v>
      </c>
      <c r="I252" s="67" t="s">
        <v>9</v>
      </c>
      <c r="J252" s="67" t="s">
        <v>10</v>
      </c>
    </row>
    <row r="253" spans="1:10" x14ac:dyDescent="0.25">
      <c r="A253" s="68">
        <v>15</v>
      </c>
      <c r="B253" s="68" t="s">
        <v>112</v>
      </c>
      <c r="C253" s="68" t="s">
        <v>49</v>
      </c>
      <c r="D253" s="68" t="s">
        <v>17</v>
      </c>
      <c r="E253" s="68"/>
      <c r="F253" s="68" t="s">
        <v>39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113</v>
      </c>
      <c r="C254" s="68" t="s">
        <v>114</v>
      </c>
      <c r="D254" s="68" t="s">
        <v>14</v>
      </c>
      <c r="E254" s="68"/>
      <c r="F254" s="68" t="s">
        <v>45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113</v>
      </c>
      <c r="C255" s="68" t="s">
        <v>12</v>
      </c>
      <c r="D255" s="68" t="s">
        <v>21</v>
      </c>
      <c r="E255" s="68"/>
      <c r="F255" s="68" t="s">
        <v>27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115</v>
      </c>
      <c r="C256" s="68" t="s">
        <v>20</v>
      </c>
      <c r="D256" s="68" t="s">
        <v>40</v>
      </c>
      <c r="E256" s="68"/>
      <c r="F256" s="68" t="s">
        <v>42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115</v>
      </c>
      <c r="C257" s="68" t="s">
        <v>20</v>
      </c>
      <c r="D257" s="68" t="s">
        <v>30</v>
      </c>
      <c r="E257" s="68"/>
      <c r="F257" s="68" t="s">
        <v>36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115</v>
      </c>
      <c r="C258" s="68" t="s">
        <v>20</v>
      </c>
      <c r="D258" s="68" t="s">
        <v>31</v>
      </c>
      <c r="E258" s="68"/>
      <c r="F258" s="68" t="s">
        <v>47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115</v>
      </c>
      <c r="C259" s="68" t="s">
        <v>20</v>
      </c>
      <c r="D259" s="68" t="s">
        <v>29</v>
      </c>
      <c r="E259" s="68"/>
      <c r="F259" s="68" t="s">
        <v>34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115</v>
      </c>
      <c r="C260" s="68" t="s">
        <v>20</v>
      </c>
      <c r="D260" s="68" t="s">
        <v>25</v>
      </c>
      <c r="E260" s="68"/>
      <c r="F260" s="68" t="s">
        <v>23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115</v>
      </c>
      <c r="C261" s="68" t="s">
        <v>20</v>
      </c>
      <c r="D261" s="68" t="s">
        <v>33</v>
      </c>
      <c r="E261" s="68"/>
      <c r="F261" s="68" t="s">
        <v>44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115</v>
      </c>
      <c r="C262" s="68" t="s">
        <v>20</v>
      </c>
      <c r="D262" s="68" t="s">
        <v>24</v>
      </c>
      <c r="E262" s="68"/>
      <c r="F262" s="68" t="s">
        <v>22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115</v>
      </c>
      <c r="C263" s="68" t="s">
        <v>20</v>
      </c>
      <c r="D263" s="68" t="s">
        <v>32</v>
      </c>
      <c r="E263" s="68"/>
      <c r="F263" s="68" t="s">
        <v>28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115</v>
      </c>
      <c r="C264" s="68" t="s">
        <v>55</v>
      </c>
      <c r="D264" s="68" t="s">
        <v>35</v>
      </c>
      <c r="E264" s="68"/>
      <c r="F264" s="68" t="s">
        <v>38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115</v>
      </c>
      <c r="C265" s="68" t="s">
        <v>37</v>
      </c>
      <c r="D265" s="68" t="s">
        <v>50</v>
      </c>
      <c r="E265" s="68"/>
      <c r="F265" s="68" t="s">
        <v>41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115</v>
      </c>
      <c r="C266" s="68" t="s">
        <v>37</v>
      </c>
      <c r="D266" s="68" t="s">
        <v>46</v>
      </c>
      <c r="E266" s="68"/>
      <c r="F266" s="68" t="s">
        <v>18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115</v>
      </c>
      <c r="C267" s="68" t="s">
        <v>12</v>
      </c>
      <c r="D267" s="68" t="s">
        <v>26</v>
      </c>
      <c r="E267" s="68"/>
      <c r="F267" s="68" t="s">
        <v>43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116</v>
      </c>
      <c r="C268" s="68" t="s">
        <v>49</v>
      </c>
      <c r="D268" s="68" t="s">
        <v>13</v>
      </c>
      <c r="E268" s="68"/>
      <c r="F268" s="68" t="s">
        <v>51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96" t="s">
        <v>117</v>
      </c>
      <c r="B270" s="97"/>
      <c r="C270" s="97"/>
      <c r="D270" s="97"/>
      <c r="E270" s="97"/>
      <c r="F270" s="97"/>
      <c r="G270" s="97"/>
      <c r="H270" s="97"/>
      <c r="I270" s="97"/>
      <c r="J270" s="97"/>
    </row>
    <row r="271" spans="1:10" x14ac:dyDescent="0.25">
      <c r="A271" s="67" t="s">
        <v>1</v>
      </c>
      <c r="B271" s="67" t="s">
        <v>2</v>
      </c>
      <c r="C271" s="67" t="s">
        <v>3</v>
      </c>
      <c r="D271" s="67" t="s">
        <v>4</v>
      </c>
      <c r="E271" s="67" t="s">
        <v>5</v>
      </c>
      <c r="F271" s="67" t="s">
        <v>6</v>
      </c>
      <c r="G271" s="67" t="s">
        <v>7</v>
      </c>
      <c r="H271" s="67" t="s">
        <v>8</v>
      </c>
      <c r="I271" s="67" t="s">
        <v>9</v>
      </c>
      <c r="J271" s="67" t="s">
        <v>10</v>
      </c>
    </row>
    <row r="272" spans="1:10" x14ac:dyDescent="0.25">
      <c r="A272" s="68">
        <v>16</v>
      </c>
      <c r="B272" s="68" t="s">
        <v>118</v>
      </c>
      <c r="C272" s="68" t="s">
        <v>49</v>
      </c>
      <c r="D272" s="68" t="s">
        <v>28</v>
      </c>
      <c r="E272" s="68"/>
      <c r="F272" s="68" t="s">
        <v>45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119</v>
      </c>
      <c r="C273" s="68" t="s">
        <v>20</v>
      </c>
      <c r="D273" s="68" t="s">
        <v>42</v>
      </c>
      <c r="E273" s="68"/>
      <c r="F273" s="68" t="s">
        <v>21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119</v>
      </c>
      <c r="C274" s="68" t="s">
        <v>98</v>
      </c>
      <c r="D274" s="68" t="s">
        <v>27</v>
      </c>
      <c r="E274" s="68"/>
      <c r="F274" s="68" t="s">
        <v>50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119</v>
      </c>
      <c r="C275" s="68" t="s">
        <v>49</v>
      </c>
      <c r="D275" s="68" t="s">
        <v>18</v>
      </c>
      <c r="E275" s="68"/>
      <c r="F275" s="68" t="s">
        <v>14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120</v>
      </c>
      <c r="C276" s="68" t="s">
        <v>20</v>
      </c>
      <c r="D276" s="68" t="s">
        <v>39</v>
      </c>
      <c r="E276" s="68"/>
      <c r="F276" s="68" t="s">
        <v>40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120</v>
      </c>
      <c r="C277" s="68" t="s">
        <v>20</v>
      </c>
      <c r="D277" s="68" t="s">
        <v>38</v>
      </c>
      <c r="E277" s="68"/>
      <c r="F277" s="68" t="s">
        <v>25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120</v>
      </c>
      <c r="C278" s="68" t="s">
        <v>20</v>
      </c>
      <c r="D278" s="68" t="s">
        <v>13</v>
      </c>
      <c r="E278" s="68"/>
      <c r="F278" s="68" t="s">
        <v>35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120</v>
      </c>
      <c r="C279" s="68" t="s">
        <v>20</v>
      </c>
      <c r="D279" s="68" t="s">
        <v>31</v>
      </c>
      <c r="E279" s="68"/>
      <c r="F279" s="68" t="s">
        <v>29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120</v>
      </c>
      <c r="C280" s="68" t="s">
        <v>55</v>
      </c>
      <c r="D280" s="68" t="s">
        <v>36</v>
      </c>
      <c r="E280" s="68"/>
      <c r="F280" s="68" t="s">
        <v>41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120</v>
      </c>
      <c r="C281" s="68" t="s">
        <v>37</v>
      </c>
      <c r="D281" s="68" t="s">
        <v>17</v>
      </c>
      <c r="E281" s="68"/>
      <c r="F281" s="68" t="s">
        <v>51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120</v>
      </c>
      <c r="C282" s="68" t="s">
        <v>12</v>
      </c>
      <c r="D282" s="68" t="s">
        <v>32</v>
      </c>
      <c r="E282" s="68"/>
      <c r="F282" s="68" t="s">
        <v>46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121</v>
      </c>
      <c r="C283" s="68" t="s">
        <v>49</v>
      </c>
      <c r="D283" s="68" t="s">
        <v>47</v>
      </c>
      <c r="E283" s="68"/>
      <c r="F283" s="68" t="s">
        <v>26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122</v>
      </c>
      <c r="C284" s="68" t="s">
        <v>122</v>
      </c>
      <c r="D284" s="68" t="s">
        <v>23</v>
      </c>
      <c r="E284" s="68"/>
      <c r="F284" s="68" t="s">
        <v>33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122</v>
      </c>
      <c r="C285" s="68" t="s">
        <v>122</v>
      </c>
      <c r="D285" s="68" t="s">
        <v>24</v>
      </c>
      <c r="E285" s="68"/>
      <c r="F285" s="68" t="s">
        <v>30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122</v>
      </c>
      <c r="C286" s="68" t="s">
        <v>122</v>
      </c>
      <c r="D286" s="68" t="s">
        <v>44</v>
      </c>
      <c r="E286" s="68"/>
      <c r="F286" s="68" t="s">
        <v>43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122</v>
      </c>
      <c r="C287" s="68" t="s">
        <v>122</v>
      </c>
      <c r="D287" s="68" t="s">
        <v>22</v>
      </c>
      <c r="E287" s="68"/>
      <c r="F287" s="68" t="s">
        <v>34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96" t="s">
        <v>123</v>
      </c>
      <c r="B289" s="97"/>
      <c r="C289" s="97"/>
      <c r="D289" s="97"/>
      <c r="E289" s="97"/>
      <c r="F289" s="97"/>
      <c r="G289" s="97"/>
      <c r="H289" s="97"/>
      <c r="I289" s="97"/>
      <c r="J289" s="97"/>
    </row>
    <row r="290" spans="1:10" x14ac:dyDescent="0.25">
      <c r="A290" s="67" t="s">
        <v>1</v>
      </c>
      <c r="B290" s="67" t="s">
        <v>2</v>
      </c>
      <c r="C290" s="67" t="s">
        <v>3</v>
      </c>
      <c r="D290" s="67" t="s">
        <v>4</v>
      </c>
      <c r="E290" s="67" t="s">
        <v>5</v>
      </c>
      <c r="F290" s="67" t="s">
        <v>6</v>
      </c>
      <c r="G290" s="67" t="s">
        <v>7</v>
      </c>
      <c r="H290" s="67" t="s">
        <v>8</v>
      </c>
      <c r="I290" s="67" t="s">
        <v>9</v>
      </c>
      <c r="J290" s="67" t="s">
        <v>10</v>
      </c>
    </row>
    <row r="291" spans="1:10" x14ac:dyDescent="0.25">
      <c r="A291" s="68">
        <v>17</v>
      </c>
      <c r="B291" s="68" t="s">
        <v>124</v>
      </c>
      <c r="C291" s="68" t="s">
        <v>49</v>
      </c>
      <c r="D291" s="68" t="s">
        <v>29</v>
      </c>
      <c r="E291" s="68"/>
      <c r="F291" s="68" t="s">
        <v>24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125</v>
      </c>
      <c r="C292" s="68" t="s">
        <v>20</v>
      </c>
      <c r="D292" s="68" t="s">
        <v>25</v>
      </c>
      <c r="E292" s="68"/>
      <c r="F292" s="68" t="s">
        <v>33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125</v>
      </c>
      <c r="C293" s="68" t="s">
        <v>20</v>
      </c>
      <c r="D293" s="68" t="s">
        <v>30</v>
      </c>
      <c r="E293" s="68"/>
      <c r="F293" s="68" t="s">
        <v>31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125</v>
      </c>
      <c r="C294" s="68" t="s">
        <v>20</v>
      </c>
      <c r="D294" s="68" t="s">
        <v>47</v>
      </c>
      <c r="E294" s="68"/>
      <c r="F294" s="68" t="s">
        <v>46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125</v>
      </c>
      <c r="C295" s="68" t="s">
        <v>20</v>
      </c>
      <c r="D295" s="68" t="s">
        <v>34</v>
      </c>
      <c r="E295" s="68"/>
      <c r="F295" s="68" t="s">
        <v>36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125</v>
      </c>
      <c r="C296" s="68" t="s">
        <v>20</v>
      </c>
      <c r="D296" s="68" t="s">
        <v>27</v>
      </c>
      <c r="E296" s="68"/>
      <c r="F296" s="68" t="s">
        <v>40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125</v>
      </c>
      <c r="C297" s="68" t="s">
        <v>20</v>
      </c>
      <c r="D297" s="68" t="s">
        <v>43</v>
      </c>
      <c r="E297" s="68"/>
      <c r="F297" s="68" t="s">
        <v>35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125</v>
      </c>
      <c r="C298" s="68" t="s">
        <v>20</v>
      </c>
      <c r="D298" s="68" t="s">
        <v>14</v>
      </c>
      <c r="E298" s="68"/>
      <c r="F298" s="68" t="s">
        <v>22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125</v>
      </c>
      <c r="C299" s="68" t="s">
        <v>55</v>
      </c>
      <c r="D299" s="68" t="s">
        <v>41</v>
      </c>
      <c r="E299" s="68"/>
      <c r="F299" s="68" t="s">
        <v>38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125</v>
      </c>
      <c r="C300" s="68" t="s">
        <v>37</v>
      </c>
      <c r="D300" s="68" t="s">
        <v>26</v>
      </c>
      <c r="E300" s="68"/>
      <c r="F300" s="68" t="s">
        <v>21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125</v>
      </c>
      <c r="C301" s="68" t="s">
        <v>12</v>
      </c>
      <c r="D301" s="68" t="s">
        <v>45</v>
      </c>
      <c r="E301" s="68"/>
      <c r="F301" s="68" t="s">
        <v>17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126</v>
      </c>
      <c r="C302" s="68" t="s">
        <v>49</v>
      </c>
      <c r="D302" s="68" t="s">
        <v>28</v>
      </c>
      <c r="E302" s="68"/>
      <c r="F302" s="68" t="s">
        <v>42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122</v>
      </c>
      <c r="C303" s="68" t="s">
        <v>122</v>
      </c>
      <c r="D303" s="68" t="s">
        <v>50</v>
      </c>
      <c r="E303" s="68"/>
      <c r="F303" s="68" t="s">
        <v>13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122</v>
      </c>
      <c r="C304" s="68" t="s">
        <v>122</v>
      </c>
      <c r="D304" s="68" t="s">
        <v>51</v>
      </c>
      <c r="E304" s="68"/>
      <c r="F304" s="68" t="s">
        <v>39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122</v>
      </c>
      <c r="C305" s="68" t="s">
        <v>122</v>
      </c>
      <c r="D305" s="68" t="s">
        <v>18</v>
      </c>
      <c r="E305" s="68"/>
      <c r="F305" s="68" t="s">
        <v>23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122</v>
      </c>
      <c r="C306" s="68" t="s">
        <v>122</v>
      </c>
      <c r="D306" s="68" t="s">
        <v>44</v>
      </c>
      <c r="E306" s="68"/>
      <c r="F306" s="68" t="s">
        <v>32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96" t="s">
        <v>127</v>
      </c>
      <c r="B308" s="97"/>
      <c r="C308" s="97"/>
      <c r="D308" s="97"/>
      <c r="E308" s="97"/>
      <c r="F308" s="97"/>
      <c r="G308" s="97"/>
      <c r="H308" s="97"/>
      <c r="I308" s="97"/>
      <c r="J308" s="97"/>
    </row>
    <row r="309" spans="1:10" x14ac:dyDescent="0.25">
      <c r="A309" s="67" t="s">
        <v>1</v>
      </c>
      <c r="B309" s="67" t="s">
        <v>2</v>
      </c>
      <c r="C309" s="67" t="s">
        <v>3</v>
      </c>
      <c r="D309" s="67" t="s">
        <v>4</v>
      </c>
      <c r="E309" s="67" t="s">
        <v>5</v>
      </c>
      <c r="F309" s="67" t="s">
        <v>6</v>
      </c>
      <c r="G309" s="67" t="s">
        <v>7</v>
      </c>
      <c r="H309" s="67" t="s">
        <v>8</v>
      </c>
      <c r="I309" s="67" t="s">
        <v>9</v>
      </c>
      <c r="J309" s="67" t="s">
        <v>10</v>
      </c>
    </row>
    <row r="310" spans="1:10" x14ac:dyDescent="0.25">
      <c r="A310" s="68">
        <v>18</v>
      </c>
      <c r="B310" s="68" t="s">
        <v>122</v>
      </c>
      <c r="C310" s="68" t="s">
        <v>122</v>
      </c>
      <c r="D310" s="68" t="s">
        <v>35</v>
      </c>
      <c r="E310" s="68"/>
      <c r="F310" s="68" t="s">
        <v>27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122</v>
      </c>
      <c r="C311" s="68" t="s">
        <v>122</v>
      </c>
      <c r="D311" s="68" t="s">
        <v>31</v>
      </c>
      <c r="E311" s="68"/>
      <c r="F311" s="68" t="s">
        <v>24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122</v>
      </c>
      <c r="C312" s="68" t="s">
        <v>122</v>
      </c>
      <c r="D312" s="68" t="s">
        <v>18</v>
      </c>
      <c r="E312" s="68"/>
      <c r="F312" s="68" t="s">
        <v>50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122</v>
      </c>
      <c r="C313" s="68" t="s">
        <v>122</v>
      </c>
      <c r="D313" s="68" t="s">
        <v>26</v>
      </c>
      <c r="E313" s="68"/>
      <c r="F313" s="68" t="s">
        <v>42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122</v>
      </c>
      <c r="C314" s="68" t="s">
        <v>122</v>
      </c>
      <c r="D314" s="68" t="s">
        <v>32</v>
      </c>
      <c r="E314" s="68"/>
      <c r="F314" s="68" t="s">
        <v>30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122</v>
      </c>
      <c r="C315" s="68" t="s">
        <v>122</v>
      </c>
      <c r="D315" s="68" t="s">
        <v>41</v>
      </c>
      <c r="E315" s="68"/>
      <c r="F315" s="68" t="s">
        <v>51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122</v>
      </c>
      <c r="C316" s="68" t="s">
        <v>122</v>
      </c>
      <c r="D316" s="68" t="s">
        <v>14</v>
      </c>
      <c r="E316" s="68"/>
      <c r="F316" s="68" t="s">
        <v>39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122</v>
      </c>
      <c r="C317" s="68" t="s">
        <v>122</v>
      </c>
      <c r="D317" s="68" t="s">
        <v>21</v>
      </c>
      <c r="E317" s="68"/>
      <c r="F317" s="68" t="s">
        <v>43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122</v>
      </c>
      <c r="C318" s="68" t="s">
        <v>122</v>
      </c>
      <c r="D318" s="68" t="s">
        <v>40</v>
      </c>
      <c r="E318" s="68"/>
      <c r="F318" s="68" t="s">
        <v>13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122</v>
      </c>
      <c r="C319" s="68" t="s">
        <v>122</v>
      </c>
      <c r="D319" s="68" t="s">
        <v>23</v>
      </c>
      <c r="E319" s="68"/>
      <c r="F319" s="68" t="s">
        <v>25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122</v>
      </c>
      <c r="C320" s="68" t="s">
        <v>122</v>
      </c>
      <c r="D320" s="68" t="s">
        <v>45</v>
      </c>
      <c r="E320" s="68"/>
      <c r="F320" s="68" t="s">
        <v>47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122</v>
      </c>
      <c r="C321" s="68" t="s">
        <v>122</v>
      </c>
      <c r="D321" s="68" t="s">
        <v>17</v>
      </c>
      <c r="E321" s="68"/>
      <c r="F321" s="68" t="s">
        <v>38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122</v>
      </c>
      <c r="C322" s="68" t="s">
        <v>122</v>
      </c>
      <c r="D322" s="68" t="s">
        <v>46</v>
      </c>
      <c r="E322" s="68"/>
      <c r="F322" s="68" t="s">
        <v>44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122</v>
      </c>
      <c r="C323" s="68" t="s">
        <v>122</v>
      </c>
      <c r="D323" s="68" t="s">
        <v>33</v>
      </c>
      <c r="E323" s="68"/>
      <c r="F323" s="68" t="s">
        <v>22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122</v>
      </c>
      <c r="C324" s="68" t="s">
        <v>122</v>
      </c>
      <c r="D324" s="68" t="s">
        <v>34</v>
      </c>
      <c r="E324" s="68"/>
      <c r="F324" s="68" t="s">
        <v>29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122</v>
      </c>
      <c r="C325" s="68" t="s">
        <v>122</v>
      </c>
      <c r="D325" s="68" t="s">
        <v>36</v>
      </c>
      <c r="E325" s="68"/>
      <c r="F325" s="68" t="s">
        <v>28</v>
      </c>
      <c r="G325" s="68"/>
      <c r="H325" s="68"/>
      <c r="I325" s="68" t="str">
        <f t="shared" si="34"/>
        <v/>
      </c>
      <c r="J325" s="68" t="str">
        <f t="shared" si="35"/>
        <v/>
      </c>
    </row>
    <row r="327" spans="1:10" x14ac:dyDescent="0.25">
      <c r="A327" s="96" t="s">
        <v>128</v>
      </c>
      <c r="B327" s="97"/>
      <c r="C327" s="97"/>
      <c r="D327" s="97"/>
      <c r="E327" s="97"/>
      <c r="F327" s="97"/>
      <c r="G327" s="97"/>
      <c r="H327" s="97"/>
      <c r="I327" s="97"/>
      <c r="J327" s="97"/>
    </row>
    <row r="328" spans="1:10" x14ac:dyDescent="0.25">
      <c r="A328" s="67" t="s">
        <v>1</v>
      </c>
      <c r="B328" s="67" t="s">
        <v>2</v>
      </c>
      <c r="C328" s="67" t="s">
        <v>3</v>
      </c>
      <c r="D328" s="67" t="s">
        <v>4</v>
      </c>
      <c r="E328" s="67" t="s">
        <v>5</v>
      </c>
      <c r="F328" s="67" t="s">
        <v>6</v>
      </c>
      <c r="G328" s="67" t="s">
        <v>7</v>
      </c>
      <c r="H328" s="67" t="s">
        <v>8</v>
      </c>
      <c r="I328" s="67" t="s">
        <v>9</v>
      </c>
      <c r="J328" s="67" t="s">
        <v>10</v>
      </c>
    </row>
    <row r="329" spans="1:10" x14ac:dyDescent="0.25">
      <c r="A329" s="68">
        <v>19</v>
      </c>
      <c r="B329" s="68" t="s">
        <v>129</v>
      </c>
      <c r="C329" s="82">
        <v>0.6875</v>
      </c>
      <c r="D329" s="68" t="s">
        <v>28</v>
      </c>
      <c r="E329" s="68"/>
      <c r="F329" s="68" t="s">
        <v>32</v>
      </c>
      <c r="G329" s="68"/>
      <c r="H329" s="68"/>
      <c r="I329" s="68" t="str">
        <f>IF(OR(E329="",G329=""),"",IF(E329&gt;G329,D329,IF(G329&gt;E329,F329,"TIE")))</f>
        <v/>
      </c>
      <c r="J329" s="68" t="str">
        <f>IF(OR(E329="",G329="",H329=""),"",IF(E329+H329&gt;G329,D329,IF(E329+H329&lt;G329,F329,"PUSH")))</f>
        <v/>
      </c>
    </row>
    <row r="330" spans="1:10" x14ac:dyDescent="0.25">
      <c r="A330" s="68">
        <v>19</v>
      </c>
      <c r="B330" s="68" t="s">
        <v>122</v>
      </c>
      <c r="C330" s="68" t="s">
        <v>122</v>
      </c>
      <c r="D330" s="68"/>
      <c r="E330" s="68"/>
      <c r="F330" s="68"/>
      <c r="G330" s="68"/>
      <c r="H330" s="68"/>
      <c r="I330" s="68" t="str">
        <f>IF(OR(E330="",G330=""),"",IF(E330&gt;G330,D330,IF(G330&gt;E330,F330,"TIE")))</f>
        <v/>
      </c>
      <c r="J330" s="68" t="str">
        <f>IF(OR(E330="",G330="",H330=""),"",IF(E330+H330&gt;G330,D330,IF(E330+H330&lt;G330,F330,"PUSH")))</f>
        <v/>
      </c>
    </row>
    <row r="331" spans="1:10" x14ac:dyDescent="0.25">
      <c r="A331" s="68">
        <v>19</v>
      </c>
      <c r="B331" s="68" t="s">
        <v>122</v>
      </c>
      <c r="C331" s="68" t="s">
        <v>122</v>
      </c>
      <c r="D331" s="68"/>
      <c r="E331" s="68"/>
      <c r="F331" s="68"/>
      <c r="G331" s="68"/>
      <c r="H331" s="68"/>
      <c r="I331" s="68" t="str">
        <f>IF(OR(E331="",G331=""),"",IF(E331&gt;G331,D331,IF(G331&gt;E331,F331,"TIE")))</f>
        <v/>
      </c>
      <c r="J331" s="68" t="str">
        <f>IF(OR(E331="",G331="",H331=""),"",IF(E331+H331&gt;G331,D331,IF(E331+H331&lt;G331,F331,"PUSH")))</f>
        <v/>
      </c>
    </row>
    <row r="332" spans="1:10" x14ac:dyDescent="0.25">
      <c r="A332" s="71">
        <v>19</v>
      </c>
      <c r="B332" s="68" t="s">
        <v>122</v>
      </c>
      <c r="C332" s="68" t="s">
        <v>122</v>
      </c>
      <c r="D332" s="71"/>
      <c r="E332" s="71"/>
      <c r="F332" s="71"/>
      <c r="G332" s="71"/>
      <c r="H332" s="71"/>
      <c r="I332" s="71" t="str">
        <f>IF(OR(E332="",G332=""),"",IF(E332&gt;G332,D332,IF(G332&gt;E332,F332,"TIE")))</f>
        <v/>
      </c>
      <c r="J332" s="71" t="str">
        <f>IF(OR(E332="",G332="",H332=""),"",IF(E332+H332&gt;G332,D332,IF(E332+H332&lt;G332,F332,"PUSH")))</f>
        <v/>
      </c>
    </row>
    <row r="333" spans="1:10" x14ac:dyDescent="0.25">
      <c r="A333" s="70"/>
      <c r="B333" s="70"/>
      <c r="C333" s="70"/>
      <c r="D333" s="70"/>
      <c r="E333" s="70"/>
      <c r="F333" s="70"/>
      <c r="G333" s="70"/>
      <c r="H333" s="70"/>
      <c r="I333" s="70"/>
      <c r="J333" s="70"/>
    </row>
    <row r="334" spans="1:10" x14ac:dyDescent="0.25">
      <c r="A334" s="96" t="s">
        <v>130</v>
      </c>
      <c r="B334" s="97"/>
      <c r="C334" s="97"/>
      <c r="D334" s="97"/>
      <c r="E334" s="97"/>
      <c r="F334" s="97"/>
      <c r="G334" s="97"/>
      <c r="H334" s="97"/>
      <c r="I334" s="97"/>
      <c r="J334" s="97"/>
    </row>
    <row r="335" spans="1:10" x14ac:dyDescent="0.25">
      <c r="A335" s="67" t="s">
        <v>1</v>
      </c>
      <c r="B335" s="67" t="s">
        <v>2</v>
      </c>
      <c r="C335" s="67" t="s">
        <v>3</v>
      </c>
      <c r="D335" s="67" t="s">
        <v>4</v>
      </c>
      <c r="E335" s="67" t="s">
        <v>5</v>
      </c>
      <c r="F335" s="67" t="s">
        <v>6</v>
      </c>
      <c r="G335" s="67" t="s">
        <v>7</v>
      </c>
      <c r="H335" s="67" t="s">
        <v>8</v>
      </c>
      <c r="I335" s="67" t="s">
        <v>9</v>
      </c>
      <c r="J335" s="67" t="s">
        <v>10</v>
      </c>
    </row>
    <row r="336" spans="1:10" x14ac:dyDescent="0.25">
      <c r="A336" s="68">
        <v>20</v>
      </c>
      <c r="B336" s="68" t="s">
        <v>122</v>
      </c>
      <c r="C336" s="68" t="s">
        <v>122</v>
      </c>
      <c r="D336" s="68"/>
      <c r="E336" s="68"/>
      <c r="F336" s="68"/>
      <c r="G336" s="68"/>
      <c r="H336" s="68"/>
      <c r="I336" s="68" t="str">
        <f>IF(OR(E336="",G336=""),"",IF(E336&gt;G336,D336,IF(G336&gt;E336,F336,"TIE")))</f>
        <v/>
      </c>
      <c r="J336" s="68" t="str">
        <f>IF(OR(E336="",G336="",H336=""),"",IF(E336+H336&gt;G336,D336,IF(E336+H336&lt;G336,F336,"PUSH")))</f>
        <v/>
      </c>
    </row>
    <row r="337" spans="1:10" x14ac:dyDescent="0.25">
      <c r="A337" s="68">
        <v>20</v>
      </c>
      <c r="B337" s="68" t="s">
        <v>122</v>
      </c>
      <c r="C337" s="68" t="s">
        <v>122</v>
      </c>
      <c r="D337" s="68"/>
      <c r="E337" s="68"/>
      <c r="F337" s="68"/>
      <c r="G337" s="68"/>
      <c r="H337" s="68"/>
      <c r="I337" s="68" t="str">
        <f>IF(OR(E337="",G337=""),"",IF(E337&gt;G337,D337,IF(G337&gt;E337,F337,"TIE")))</f>
        <v/>
      </c>
      <c r="J337" s="68" t="str">
        <f>IF(OR(E337="",G337="",H337=""),"",IF(E337+H337&gt;G337,D337,IF(E337+H337&lt;G337,F337,"PUSH")))</f>
        <v/>
      </c>
    </row>
    <row r="338" spans="1:10" x14ac:dyDescent="0.25">
      <c r="A338" s="68">
        <v>20</v>
      </c>
      <c r="B338" s="68" t="s">
        <v>122</v>
      </c>
      <c r="C338" s="68" t="s">
        <v>122</v>
      </c>
      <c r="D338" s="68"/>
      <c r="E338" s="68"/>
      <c r="F338" s="68"/>
      <c r="G338" s="68"/>
      <c r="H338" s="68"/>
      <c r="I338" s="68" t="str">
        <f>IF(OR(E338="",G338=""),"",IF(E338&gt;G338,D338,IF(G338&gt;E338,F338,"TIE")))</f>
        <v/>
      </c>
      <c r="J338" s="68" t="str">
        <f>IF(OR(E338="",G338="",H338=""),"",IF(E338+H338&gt;G338,D338,IF(E338+H338&lt;G338,F338,"PUSH")))</f>
        <v/>
      </c>
    </row>
    <row r="339" spans="1:10" x14ac:dyDescent="0.25">
      <c r="A339" s="68">
        <v>20</v>
      </c>
      <c r="B339" s="68" t="s">
        <v>122</v>
      </c>
      <c r="C339" s="68" t="s">
        <v>122</v>
      </c>
      <c r="D339" s="71"/>
      <c r="E339" s="71"/>
      <c r="F339" s="71"/>
      <c r="G339" s="71"/>
      <c r="H339" s="71"/>
      <c r="I339" s="71" t="str">
        <f>IF(OR(E339="",G339=""),"",IF(E339&gt;G339,D339,IF(G339&gt;E339,F339,"TIE")))</f>
        <v/>
      </c>
      <c r="J339" s="71" t="str">
        <f>IF(OR(E339="",G339="",H339=""),"",IF(E339+H339&gt;G339,D339,IF(E339+H339&lt;G339,F339,"PUSH")))</f>
        <v/>
      </c>
    </row>
    <row r="340" spans="1:10" x14ac:dyDescent="0.25">
      <c r="A340" s="70"/>
      <c r="B340" s="70"/>
      <c r="C340" s="70"/>
      <c r="D340" s="70"/>
      <c r="E340" s="70"/>
      <c r="F340" s="70"/>
      <c r="G340" s="70"/>
      <c r="H340" s="70"/>
      <c r="I340" s="70"/>
      <c r="J340" s="70"/>
    </row>
    <row r="341" spans="1:10" x14ac:dyDescent="0.25">
      <c r="A341" s="96" t="s">
        <v>131</v>
      </c>
      <c r="B341" s="97"/>
      <c r="C341" s="97"/>
      <c r="D341" s="97"/>
      <c r="E341" s="97"/>
      <c r="F341" s="97"/>
      <c r="G341" s="97"/>
      <c r="H341" s="97"/>
      <c r="I341" s="97"/>
      <c r="J341" s="97"/>
    </row>
    <row r="342" spans="1:10" x14ac:dyDescent="0.25">
      <c r="A342" s="67" t="s">
        <v>1</v>
      </c>
      <c r="B342" s="67" t="s">
        <v>2</v>
      </c>
      <c r="C342" s="67" t="s">
        <v>3</v>
      </c>
      <c r="D342" s="67" t="s">
        <v>4</v>
      </c>
      <c r="E342" s="67" t="s">
        <v>5</v>
      </c>
      <c r="F342" s="67" t="s">
        <v>6</v>
      </c>
      <c r="G342" s="67" t="s">
        <v>7</v>
      </c>
      <c r="H342" s="67" t="s">
        <v>8</v>
      </c>
      <c r="I342" s="67" t="s">
        <v>9</v>
      </c>
      <c r="J342" s="67" t="s">
        <v>10</v>
      </c>
    </row>
    <row r="343" spans="1:10" x14ac:dyDescent="0.25">
      <c r="A343" s="69">
        <v>21</v>
      </c>
      <c r="B343" s="69" t="s">
        <v>122</v>
      </c>
      <c r="C343" s="69" t="s">
        <v>122</v>
      </c>
      <c r="D343" s="69"/>
      <c r="E343" s="69"/>
      <c r="F343" s="69"/>
      <c r="G343" s="69"/>
      <c r="H343" s="69"/>
      <c r="I343" s="69" t="str">
        <f>IF(OR(E343="",G343=""),"",IF(E343&gt;G343,D343,IF(G343&gt;E343,F343,"TIE")))</f>
        <v/>
      </c>
      <c r="J343" s="69" t="str">
        <f>IF(OR(E343="",G343="",H343=""),"",IF(E343+H343&gt;G343,D343,IF(E343+H343&lt;G343,F343,"PUSH")))</f>
        <v/>
      </c>
    </row>
    <row r="344" spans="1:10" x14ac:dyDescent="0.25">
      <c r="A344" s="72">
        <v>21</v>
      </c>
      <c r="B344" s="72" t="s">
        <v>122</v>
      </c>
      <c r="C344" s="72" t="s">
        <v>122</v>
      </c>
      <c r="D344" s="72"/>
      <c r="E344" s="72"/>
      <c r="F344" s="72"/>
      <c r="G344" s="72"/>
      <c r="H344" s="72"/>
      <c r="I344" s="72" t="str">
        <f>IF(OR(E344="",G344=""),"",IF(E344&gt;G344,D344,IF(G344&gt;E344,F344,"TIE")))</f>
        <v/>
      </c>
      <c r="J344" s="72" t="str">
        <f>IF(OR(E344="",G344="",H344=""),"",IF(E344+H344&gt;G344,D344,IF(E344+H344&lt;G344,F344,"PUSH")))</f>
        <v/>
      </c>
    </row>
    <row r="345" spans="1:10" x14ac:dyDescent="0.25">
      <c r="A345" s="70"/>
      <c r="B345" s="70"/>
      <c r="C345" s="70"/>
      <c r="D345" s="70"/>
      <c r="E345" s="70"/>
      <c r="F345" s="70"/>
      <c r="G345" s="70"/>
      <c r="H345" s="70"/>
      <c r="I345" s="70"/>
      <c r="J345" s="70"/>
    </row>
    <row r="346" spans="1:10" x14ac:dyDescent="0.25">
      <c r="A346" s="96" t="s">
        <v>132</v>
      </c>
      <c r="B346" s="97"/>
      <c r="C346" s="97"/>
      <c r="D346" s="97"/>
      <c r="E346" s="97"/>
      <c r="F346" s="97"/>
      <c r="G346" s="97"/>
      <c r="H346" s="97"/>
      <c r="I346" s="97"/>
      <c r="J346" s="97"/>
    </row>
    <row r="347" spans="1:10" x14ac:dyDescent="0.25">
      <c r="A347" s="67" t="s">
        <v>1</v>
      </c>
      <c r="B347" s="67" t="s">
        <v>2</v>
      </c>
      <c r="C347" s="67" t="s">
        <v>3</v>
      </c>
      <c r="D347" s="67" t="s">
        <v>4</v>
      </c>
      <c r="E347" s="67" t="s">
        <v>5</v>
      </c>
      <c r="F347" s="67" t="s">
        <v>6</v>
      </c>
      <c r="G347" s="67" t="s">
        <v>7</v>
      </c>
      <c r="H347" s="67" t="s">
        <v>8</v>
      </c>
      <c r="I347" s="67" t="s">
        <v>9</v>
      </c>
      <c r="J347" s="67" t="s">
        <v>10</v>
      </c>
    </row>
    <row r="348" spans="1:10" x14ac:dyDescent="0.25">
      <c r="A348" s="71">
        <v>22</v>
      </c>
      <c r="B348" s="71" t="s">
        <v>122</v>
      </c>
      <c r="C348" s="71" t="s">
        <v>122</v>
      </c>
      <c r="D348" s="71"/>
      <c r="E348" s="71"/>
      <c r="F348" s="71"/>
      <c r="G348" s="71"/>
      <c r="H348" s="71"/>
      <c r="I348" s="71" t="str">
        <f>IF(OR(E348="",G348=""),"",IF(E348&gt;G348,D348,IF(G348&gt;E348,F348,"TIE")))</f>
        <v/>
      </c>
      <c r="J348" s="71" t="str">
        <f>IF(OR(E348="",G348="",H348=""),"",IF(E348+H348&gt;G348,D348,IF(E348+H348&lt;G348,F348,"PUSH")))</f>
        <v/>
      </c>
    </row>
    <row r="349" spans="1:10" x14ac:dyDescent="0.25">
      <c r="A349" s="70"/>
      <c r="B349" s="70"/>
      <c r="C349" s="70"/>
      <c r="D349" s="70"/>
      <c r="E349" s="70"/>
      <c r="F349" s="70"/>
      <c r="G349" s="70"/>
      <c r="H349" s="70"/>
      <c r="I349" s="70"/>
      <c r="J349" s="70"/>
    </row>
  </sheetData>
  <mergeCells count="22">
    <mergeCell ref="A1:J1"/>
    <mergeCell ref="A334:J334"/>
    <mergeCell ref="A197:J197"/>
    <mergeCell ref="A146:J146"/>
    <mergeCell ref="A346:J346"/>
    <mergeCell ref="A164:J164"/>
    <mergeCell ref="A233:J233"/>
    <mergeCell ref="A341:J341"/>
    <mergeCell ref="A95:J95"/>
    <mergeCell ref="A251:J251"/>
    <mergeCell ref="A129:J129"/>
    <mergeCell ref="A181:J181"/>
    <mergeCell ref="A327:J327"/>
    <mergeCell ref="A20:J20"/>
    <mergeCell ref="A112:J112"/>
    <mergeCell ref="A308:J308"/>
    <mergeCell ref="A289:J289"/>
    <mergeCell ref="A58:J58"/>
    <mergeCell ref="A39:J39"/>
    <mergeCell ref="A77:J77"/>
    <mergeCell ref="A270:J270"/>
    <mergeCell ref="A216:J216"/>
  </mergeCells>
  <pageMargins left="0.75" right="0.75" top="1" bottom="1" header="0.5" footer="0.5"/>
  <pageSetup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D6A4F"/>
  </sheetPr>
  <dimension ref="A1:I116"/>
  <sheetViews>
    <sheetView zoomScaleNormal="100" workbookViewId="0">
      <selection activeCell="M17" sqref="M1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01" t="s">
        <v>188</v>
      </c>
      <c r="B1" s="99"/>
      <c r="C1" s="99"/>
      <c r="D1" s="99"/>
      <c r="E1" s="99"/>
      <c r="F1" s="99"/>
      <c r="G1" s="99"/>
      <c r="H1" s="99"/>
      <c r="I1" s="100"/>
    </row>
    <row r="2" spans="1:9" ht="15" customHeight="1" x14ac:dyDescent="0.25">
      <c r="A2" s="12" t="s">
        <v>189</v>
      </c>
    </row>
    <row r="4" spans="1:9" ht="15" customHeight="1" x14ac:dyDescent="0.25">
      <c r="A4" s="98" t="s">
        <v>0</v>
      </c>
      <c r="B4" s="99"/>
      <c r="C4" s="99"/>
      <c r="D4" s="99"/>
      <c r="E4" s="99"/>
      <c r="F4" s="99"/>
      <c r="G4" s="99"/>
      <c r="H4" s="99"/>
      <c r="I4" s="100"/>
    </row>
    <row r="5" spans="1:9" ht="15" customHeight="1" x14ac:dyDescent="0.25">
      <c r="A5" s="13" t="s">
        <v>134</v>
      </c>
      <c r="B5" s="13" t="s">
        <v>135</v>
      </c>
      <c r="C5" s="13" t="s">
        <v>190</v>
      </c>
      <c r="D5" s="13" t="s">
        <v>191</v>
      </c>
      <c r="E5" s="13" t="s">
        <v>192</v>
      </c>
      <c r="F5" s="13" t="s">
        <v>193</v>
      </c>
      <c r="G5" s="13" t="s">
        <v>194</v>
      </c>
      <c r="H5" s="13" t="s">
        <v>195</v>
      </c>
      <c r="I5" s="13" t="s">
        <v>196</v>
      </c>
    </row>
    <row r="6" spans="1:9" ht="15" customHeight="1" x14ac:dyDescent="0.25">
      <c r="A6" s="3">
        <v>1</v>
      </c>
      <c r="B6" s="14" t="str">
        <f>VLOOKUP(A6,Roster!$A$3:$B$18,2,FALSE())</f>
        <v>Evan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Larry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e">
        <f>VLOOKUP(A18,Roster!$A$3:$B$18,2,FALSE())</f>
        <v>#N/A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e">
        <f>VLOOKUP(A19,Roster!$A$3:$B$18,2,FALSE())</f>
        <v>#N/A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e">
        <f>VLOOKUP(A20,Roster!$A$3:$B$18,2,FALSE())</f>
        <v>#N/A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e">
        <f>VLOOKUP(A21,Roster!$A$3:$B$18,2,FALSE())</f>
        <v>#N/A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98" t="s">
        <v>52</v>
      </c>
      <c r="B23" s="99"/>
      <c r="C23" s="99"/>
      <c r="D23" s="99"/>
      <c r="E23" s="99"/>
      <c r="F23" s="99"/>
      <c r="G23" s="99"/>
      <c r="H23" s="99"/>
      <c r="I23" s="100"/>
    </row>
    <row r="24" spans="1:9" ht="15" customHeight="1" x14ac:dyDescent="0.25">
      <c r="A24" s="13" t="s">
        <v>134</v>
      </c>
      <c r="B24" s="13" t="s">
        <v>135</v>
      </c>
      <c r="C24" s="13" t="s">
        <v>190</v>
      </c>
      <c r="D24" s="13" t="s">
        <v>191</v>
      </c>
      <c r="E24" s="13" t="s">
        <v>192</v>
      </c>
      <c r="F24" s="13" t="s">
        <v>193</v>
      </c>
      <c r="G24" s="13" t="s">
        <v>194</v>
      </c>
      <c r="H24" s="13" t="s">
        <v>195</v>
      </c>
      <c r="I24" s="13" t="s">
        <v>196</v>
      </c>
    </row>
    <row r="25" spans="1:9" ht="15" customHeight="1" x14ac:dyDescent="0.25">
      <c r="A25" s="3">
        <v>1</v>
      </c>
      <c r="B25" s="14" t="str">
        <f>VLOOKUP(A25,Roster!$A$3:$B$18,2,FALSE())</f>
        <v>Evan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Larry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e">
        <f>VLOOKUP(A37,Roster!$A$3:$B$18,2,FALSE())</f>
        <v>#N/A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e">
        <f>VLOOKUP(A38,Roster!$A$3:$B$18,2,FALSE())</f>
        <v>#N/A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e">
        <f>VLOOKUP(A39,Roster!$A$3:$B$18,2,FALSE())</f>
        <v>#N/A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e">
        <f>VLOOKUP(A40,Roster!$A$3:$B$18,2,FALSE())</f>
        <v>#N/A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98" t="s">
        <v>57</v>
      </c>
      <c r="B42" s="99"/>
      <c r="C42" s="99"/>
      <c r="D42" s="99"/>
      <c r="E42" s="99"/>
      <c r="F42" s="99"/>
      <c r="G42" s="99"/>
      <c r="H42" s="99"/>
      <c r="I42" s="100"/>
    </row>
    <row r="43" spans="1:9" ht="15" customHeight="1" x14ac:dyDescent="0.25">
      <c r="A43" s="13" t="s">
        <v>134</v>
      </c>
      <c r="B43" s="13" t="s">
        <v>135</v>
      </c>
      <c r="C43" s="13" t="s">
        <v>190</v>
      </c>
      <c r="D43" s="13" t="s">
        <v>191</v>
      </c>
      <c r="E43" s="13" t="s">
        <v>192</v>
      </c>
      <c r="F43" s="13" t="s">
        <v>193</v>
      </c>
      <c r="G43" s="13" t="s">
        <v>194</v>
      </c>
      <c r="H43" s="13" t="s">
        <v>195</v>
      </c>
      <c r="I43" s="13" t="s">
        <v>196</v>
      </c>
    </row>
    <row r="44" spans="1:9" ht="15" customHeight="1" x14ac:dyDescent="0.25">
      <c r="A44" s="3">
        <v>1</v>
      </c>
      <c r="B44" s="14" t="str">
        <f>VLOOKUP(A44,Roster!$A$3:$B$18,2,FALSE())</f>
        <v>Evan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Larry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e">
        <f>VLOOKUP(A56,Roster!$A$3:$B$18,2,FALSE())</f>
        <v>#N/A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e">
        <f>VLOOKUP(A57,Roster!$A$3:$B$18,2,FALSE())</f>
        <v>#N/A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e">
        <f>VLOOKUP(A58,Roster!$A$3:$B$18,2,FALSE())</f>
        <v>#N/A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e">
        <f>VLOOKUP(A59,Roster!$A$3:$B$18,2,FALSE())</f>
        <v>#N/A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98" t="s">
        <v>61</v>
      </c>
      <c r="B61" s="99"/>
      <c r="C61" s="99"/>
      <c r="D61" s="99"/>
      <c r="E61" s="99"/>
      <c r="F61" s="99"/>
      <c r="G61" s="99"/>
      <c r="H61" s="99"/>
      <c r="I61" s="100"/>
    </row>
    <row r="62" spans="1:9" ht="15" customHeight="1" x14ac:dyDescent="0.25">
      <c r="A62" s="13" t="s">
        <v>134</v>
      </c>
      <c r="B62" s="13" t="s">
        <v>135</v>
      </c>
      <c r="C62" s="13" t="s">
        <v>190</v>
      </c>
      <c r="D62" s="13" t="s">
        <v>191</v>
      </c>
      <c r="E62" s="13" t="s">
        <v>192</v>
      </c>
      <c r="F62" s="13" t="s">
        <v>193</v>
      </c>
      <c r="G62" s="13" t="s">
        <v>194</v>
      </c>
      <c r="H62" s="13" t="s">
        <v>195</v>
      </c>
      <c r="I62" s="13" t="s">
        <v>196</v>
      </c>
    </row>
    <row r="63" spans="1:9" ht="15" customHeight="1" x14ac:dyDescent="0.25">
      <c r="A63" s="3">
        <v>1</v>
      </c>
      <c r="B63" s="14" t="str">
        <f>VLOOKUP(A63,Roster!$A$3:$B$18,2,FALSE())</f>
        <v>Evan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Larry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e">
        <f>VLOOKUP(A75,Roster!$A$3:$B$18,2,FALSE())</f>
        <v>#N/A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e">
        <f>VLOOKUP(A76,Roster!$A$3:$B$18,2,FALSE())</f>
        <v>#N/A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e">
        <f>VLOOKUP(A77,Roster!$A$3:$B$18,2,FALSE())</f>
        <v>#N/A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e">
        <f>VLOOKUP(A78,Roster!$A$3:$B$18,2,FALSE())</f>
        <v>#N/A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98" t="s">
        <v>66</v>
      </c>
      <c r="B80" s="99"/>
      <c r="C80" s="99"/>
      <c r="D80" s="99"/>
      <c r="E80" s="99"/>
      <c r="F80" s="99"/>
      <c r="G80" s="99"/>
      <c r="H80" s="99"/>
      <c r="I80" s="100"/>
    </row>
    <row r="81" spans="1:9" ht="15" customHeight="1" x14ac:dyDescent="0.25">
      <c r="A81" s="13" t="s">
        <v>134</v>
      </c>
      <c r="B81" s="13" t="s">
        <v>135</v>
      </c>
      <c r="C81" s="13" t="s">
        <v>190</v>
      </c>
      <c r="D81" s="13" t="s">
        <v>191</v>
      </c>
      <c r="E81" s="13" t="s">
        <v>192</v>
      </c>
      <c r="F81" s="13" t="s">
        <v>193</v>
      </c>
      <c r="G81" s="13" t="s">
        <v>194</v>
      </c>
      <c r="H81" s="13" t="s">
        <v>195</v>
      </c>
      <c r="I81" s="13" t="s">
        <v>196</v>
      </c>
    </row>
    <row r="82" spans="1:9" ht="15" customHeight="1" x14ac:dyDescent="0.25">
      <c r="A82" s="3">
        <v>1</v>
      </c>
      <c r="B82" s="14" t="str">
        <f>VLOOKUP(A82,Roster!$A$3:$B$18,2,FALSE())</f>
        <v>Evan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Larry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e">
        <f>VLOOKUP(A94,Roster!$A$3:$B$18,2,FALSE())</f>
        <v>#N/A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e">
        <f>VLOOKUP(A95,Roster!$A$3:$B$18,2,FALSE())</f>
        <v>#N/A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e">
        <f>VLOOKUP(A96,Roster!$A$3:$B$18,2,FALSE())</f>
        <v>#N/A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e">
        <f>VLOOKUP(A97,Roster!$A$3:$B$18,2,FALSE())</f>
        <v>#N/A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98" t="s">
        <v>70</v>
      </c>
      <c r="B99" s="99"/>
      <c r="C99" s="99"/>
      <c r="D99" s="99"/>
      <c r="E99" s="99"/>
      <c r="F99" s="99"/>
      <c r="G99" s="99"/>
      <c r="H99" s="99"/>
      <c r="I99" s="100"/>
    </row>
    <row r="100" spans="1:9" ht="15" customHeight="1" x14ac:dyDescent="0.25">
      <c r="A100" s="13" t="s">
        <v>134</v>
      </c>
      <c r="B100" s="13" t="s">
        <v>135</v>
      </c>
      <c r="C100" s="13" t="s">
        <v>190</v>
      </c>
      <c r="D100" s="13" t="s">
        <v>191</v>
      </c>
      <c r="E100" s="13" t="s">
        <v>192</v>
      </c>
      <c r="F100" s="13" t="s">
        <v>193</v>
      </c>
      <c r="G100" s="13" t="s">
        <v>194</v>
      </c>
      <c r="H100" s="13" t="s">
        <v>195</v>
      </c>
      <c r="I100" s="13" t="s">
        <v>196</v>
      </c>
    </row>
    <row r="101" spans="1:9" ht="15" customHeight="1" x14ac:dyDescent="0.25">
      <c r="A101" s="3">
        <v>1</v>
      </c>
      <c r="B101" s="14" t="str">
        <f>VLOOKUP(A101,Roster!$A$3:$B$18,2,FALSE())</f>
        <v>Evan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Larry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e">
        <f>VLOOKUP(A113,Roster!$A$3:$B$18,2,FALSE())</f>
        <v>#N/A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e">
        <f>VLOOKUP(A114,Roster!$A$3:$B$18,2,FALSE())</f>
        <v>#N/A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e">
        <f>VLOOKUP(A115,Roster!$A$3:$B$18,2,FALSE())</f>
        <v>#N/A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e">
        <f>VLOOKUP(A116,Roster!$A$3:$B$18,2,FALSE())</f>
        <v>#N/A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B5CF6"/>
  </sheetPr>
  <dimension ref="A1:I116"/>
  <sheetViews>
    <sheetView tabSelected="1" zoomScaleNormal="100" workbookViewId="0">
      <selection activeCell="N21" sqref="N21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01" t="s">
        <v>197</v>
      </c>
      <c r="B1" s="99"/>
      <c r="C1" s="99"/>
      <c r="D1" s="99"/>
      <c r="E1" s="99"/>
      <c r="F1" s="99"/>
      <c r="G1" s="99"/>
      <c r="H1" s="99"/>
      <c r="I1" s="100"/>
    </row>
    <row r="2" spans="1:9" ht="15" customHeight="1" x14ac:dyDescent="0.25">
      <c r="A2" s="12" t="s">
        <v>198</v>
      </c>
    </row>
    <row r="4" spans="1:9" ht="15" customHeight="1" x14ac:dyDescent="0.25">
      <c r="A4" s="98" t="s">
        <v>74</v>
      </c>
      <c r="B4" s="99"/>
      <c r="C4" s="99"/>
      <c r="D4" s="99"/>
      <c r="E4" s="99"/>
      <c r="F4" s="99"/>
      <c r="G4" s="99"/>
      <c r="H4" s="99"/>
      <c r="I4" s="100"/>
    </row>
    <row r="5" spans="1:9" ht="15" customHeight="1" x14ac:dyDescent="0.25">
      <c r="A5" s="13" t="s">
        <v>134</v>
      </c>
      <c r="B5" s="13" t="s">
        <v>135</v>
      </c>
      <c r="C5" s="13" t="s">
        <v>199</v>
      </c>
      <c r="D5" s="13" t="s">
        <v>191</v>
      </c>
      <c r="E5" s="13" t="s">
        <v>200</v>
      </c>
      <c r="F5" s="13" t="s">
        <v>193</v>
      </c>
      <c r="G5" s="13" t="s">
        <v>194</v>
      </c>
      <c r="H5" s="13" t="s">
        <v>195</v>
      </c>
      <c r="I5" s="13" t="s">
        <v>196</v>
      </c>
    </row>
    <row r="6" spans="1:9" ht="15" customHeight="1" x14ac:dyDescent="0.25">
      <c r="A6" s="3">
        <v>1</v>
      </c>
      <c r="B6" s="14" t="str">
        <f>VLOOKUP(A6,Roster!$A$3:$B$18,2,FALSE())</f>
        <v>Evan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Larry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e">
        <f>VLOOKUP(A18,Roster!$A$3:$B$18,2,FALSE())</f>
        <v>#N/A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e">
        <f>VLOOKUP(A19,Roster!$A$3:$B$18,2,FALSE())</f>
        <v>#N/A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e">
        <f>VLOOKUP(A20,Roster!$A$3:$B$18,2,FALSE())</f>
        <v>#N/A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e">
        <f>VLOOKUP(A21,Roster!$A$3:$B$18,2,FALSE())</f>
        <v>#N/A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98" t="s">
        <v>78</v>
      </c>
      <c r="B23" s="99"/>
      <c r="C23" s="99"/>
      <c r="D23" s="99"/>
      <c r="E23" s="99"/>
      <c r="F23" s="99"/>
      <c r="G23" s="99"/>
      <c r="H23" s="99"/>
      <c r="I23" s="100"/>
    </row>
    <row r="24" spans="1:9" ht="15" customHeight="1" x14ac:dyDescent="0.25">
      <c r="A24" s="13" t="s">
        <v>134</v>
      </c>
      <c r="B24" s="13" t="s">
        <v>135</v>
      </c>
      <c r="C24" s="13" t="s">
        <v>199</v>
      </c>
      <c r="D24" s="13" t="s">
        <v>191</v>
      </c>
      <c r="E24" s="13" t="s">
        <v>200</v>
      </c>
      <c r="F24" s="13" t="s">
        <v>193</v>
      </c>
      <c r="G24" s="13" t="s">
        <v>194</v>
      </c>
      <c r="H24" s="13" t="s">
        <v>195</v>
      </c>
      <c r="I24" s="13" t="s">
        <v>196</v>
      </c>
    </row>
    <row r="25" spans="1:9" ht="15" customHeight="1" x14ac:dyDescent="0.25">
      <c r="A25" s="3">
        <v>1</v>
      </c>
      <c r="B25" s="14" t="str">
        <f>VLOOKUP(A25,Roster!$A$3:$B$18,2,FALSE())</f>
        <v>Evan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Larry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e">
        <f>VLOOKUP(A37,Roster!$A$3:$B$18,2,FALSE())</f>
        <v>#N/A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e">
        <f>VLOOKUP(A38,Roster!$A$3:$B$18,2,FALSE())</f>
        <v>#N/A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e">
        <f>VLOOKUP(A39,Roster!$A$3:$B$18,2,FALSE())</f>
        <v>#N/A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e">
        <f>VLOOKUP(A40,Roster!$A$3:$B$18,2,FALSE())</f>
        <v>#N/A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98" t="s">
        <v>82</v>
      </c>
      <c r="B42" s="99"/>
      <c r="C42" s="99"/>
      <c r="D42" s="99"/>
      <c r="E42" s="99"/>
      <c r="F42" s="99"/>
      <c r="G42" s="99"/>
      <c r="H42" s="99"/>
      <c r="I42" s="100"/>
    </row>
    <row r="43" spans="1:9" ht="15" customHeight="1" x14ac:dyDescent="0.25">
      <c r="A43" s="13" t="s">
        <v>134</v>
      </c>
      <c r="B43" s="13" t="s">
        <v>135</v>
      </c>
      <c r="C43" s="13" t="s">
        <v>199</v>
      </c>
      <c r="D43" s="13" t="s">
        <v>191</v>
      </c>
      <c r="E43" s="13" t="s">
        <v>200</v>
      </c>
      <c r="F43" s="13" t="s">
        <v>193</v>
      </c>
      <c r="G43" s="13" t="s">
        <v>194</v>
      </c>
      <c r="H43" s="13" t="s">
        <v>195</v>
      </c>
      <c r="I43" s="13" t="s">
        <v>196</v>
      </c>
    </row>
    <row r="44" spans="1:9" ht="15" customHeight="1" x14ac:dyDescent="0.25">
      <c r="A44" s="3">
        <v>1</v>
      </c>
      <c r="B44" s="14" t="str">
        <f>VLOOKUP(A44,Roster!$A$3:$B$18,2,FALSE())</f>
        <v>Evan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Larry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e">
        <f>VLOOKUP(A56,Roster!$A$3:$B$18,2,FALSE())</f>
        <v>#N/A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e">
        <f>VLOOKUP(A57,Roster!$A$3:$B$18,2,FALSE())</f>
        <v>#N/A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e">
        <f>VLOOKUP(A58,Roster!$A$3:$B$18,2,FALSE())</f>
        <v>#N/A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e">
        <f>VLOOKUP(A59,Roster!$A$3:$B$18,2,FALSE())</f>
        <v>#N/A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98" t="s">
        <v>86</v>
      </c>
      <c r="B61" s="99"/>
      <c r="C61" s="99"/>
      <c r="D61" s="99"/>
      <c r="E61" s="99"/>
      <c r="F61" s="99"/>
      <c r="G61" s="99"/>
      <c r="H61" s="99"/>
      <c r="I61" s="100"/>
    </row>
    <row r="62" spans="1:9" ht="15" customHeight="1" x14ac:dyDescent="0.25">
      <c r="A62" s="13" t="s">
        <v>134</v>
      </c>
      <c r="B62" s="13" t="s">
        <v>135</v>
      </c>
      <c r="C62" s="13" t="s">
        <v>199</v>
      </c>
      <c r="D62" s="13" t="s">
        <v>191</v>
      </c>
      <c r="E62" s="13" t="s">
        <v>200</v>
      </c>
      <c r="F62" s="13" t="s">
        <v>193</v>
      </c>
      <c r="G62" s="13" t="s">
        <v>194</v>
      </c>
      <c r="H62" s="13" t="s">
        <v>195</v>
      </c>
      <c r="I62" s="13" t="s">
        <v>196</v>
      </c>
    </row>
    <row r="63" spans="1:9" ht="15" customHeight="1" x14ac:dyDescent="0.25">
      <c r="A63" s="3">
        <v>1</v>
      </c>
      <c r="B63" s="14" t="str">
        <f>VLOOKUP(A63,Roster!$A$3:$B$18,2,FALSE())</f>
        <v>Evan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Larry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e">
        <f>VLOOKUP(A75,Roster!$A$3:$B$18,2,FALSE())</f>
        <v>#N/A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e">
        <f>VLOOKUP(A76,Roster!$A$3:$B$18,2,FALSE())</f>
        <v>#N/A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e">
        <f>VLOOKUP(A77,Roster!$A$3:$B$18,2,FALSE())</f>
        <v>#N/A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e">
        <f>VLOOKUP(A78,Roster!$A$3:$B$18,2,FALSE())</f>
        <v>#N/A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98" t="s">
        <v>90</v>
      </c>
      <c r="B80" s="99"/>
      <c r="C80" s="99"/>
      <c r="D80" s="99"/>
      <c r="E80" s="99"/>
      <c r="F80" s="99"/>
      <c r="G80" s="99"/>
      <c r="H80" s="99"/>
      <c r="I80" s="100"/>
    </row>
    <row r="81" spans="1:9" ht="15" customHeight="1" x14ac:dyDescent="0.25">
      <c r="A81" s="13" t="s">
        <v>134</v>
      </c>
      <c r="B81" s="13" t="s">
        <v>135</v>
      </c>
      <c r="C81" s="13" t="s">
        <v>199</v>
      </c>
      <c r="D81" s="13" t="s">
        <v>191</v>
      </c>
      <c r="E81" s="13" t="s">
        <v>200</v>
      </c>
      <c r="F81" s="13" t="s">
        <v>193</v>
      </c>
      <c r="G81" s="13" t="s">
        <v>194</v>
      </c>
      <c r="H81" s="13" t="s">
        <v>195</v>
      </c>
      <c r="I81" s="13" t="s">
        <v>196</v>
      </c>
    </row>
    <row r="82" spans="1:9" ht="15" customHeight="1" x14ac:dyDescent="0.25">
      <c r="A82" s="3">
        <v>1</v>
      </c>
      <c r="B82" s="14" t="str">
        <f>VLOOKUP(A82,Roster!$A$3:$B$18,2,FALSE())</f>
        <v>Evan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Larry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e">
        <f>VLOOKUP(A94,Roster!$A$3:$B$18,2,FALSE())</f>
        <v>#N/A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e">
        <f>VLOOKUP(A95,Roster!$A$3:$B$18,2,FALSE())</f>
        <v>#N/A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e">
        <f>VLOOKUP(A96,Roster!$A$3:$B$18,2,FALSE())</f>
        <v>#N/A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e">
        <f>VLOOKUP(A97,Roster!$A$3:$B$18,2,FALSE())</f>
        <v>#N/A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98" t="s">
        <v>94</v>
      </c>
      <c r="B99" s="99"/>
      <c r="C99" s="99"/>
      <c r="D99" s="99"/>
      <c r="E99" s="99"/>
      <c r="F99" s="99"/>
      <c r="G99" s="99"/>
      <c r="H99" s="99"/>
      <c r="I99" s="100"/>
    </row>
    <row r="100" spans="1:9" ht="15" customHeight="1" x14ac:dyDescent="0.25">
      <c r="A100" s="13" t="s">
        <v>134</v>
      </c>
      <c r="B100" s="13" t="s">
        <v>135</v>
      </c>
      <c r="C100" s="13" t="s">
        <v>199</v>
      </c>
      <c r="D100" s="13" t="s">
        <v>191</v>
      </c>
      <c r="E100" s="13" t="s">
        <v>200</v>
      </c>
      <c r="F100" s="13" t="s">
        <v>193</v>
      </c>
      <c r="G100" s="13" t="s">
        <v>194</v>
      </c>
      <c r="H100" s="13" t="s">
        <v>195</v>
      </c>
      <c r="I100" s="13" t="s">
        <v>196</v>
      </c>
    </row>
    <row r="101" spans="1:9" ht="15" customHeight="1" x14ac:dyDescent="0.25">
      <c r="A101" s="3">
        <v>1</v>
      </c>
      <c r="B101" s="14" t="str">
        <f>VLOOKUP(A101,Roster!$A$3:$B$18,2,FALSE())</f>
        <v>Evan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Larry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e">
        <f>VLOOKUP(A113,Roster!$A$3:$B$18,2,FALSE())</f>
        <v>#N/A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e">
        <f>VLOOKUP(A114,Roster!$A$3:$B$18,2,FALSE())</f>
        <v>#N/A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e">
        <f>VLOOKUP(A115,Roster!$A$3:$B$18,2,FALSE())</f>
        <v>#N/A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e">
        <f>VLOOKUP(A116,Roster!$A$3:$B$18,2,FALSE())</f>
        <v>#N/A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0883E"/>
  </sheetPr>
  <dimension ref="A1:I116"/>
  <sheetViews>
    <sheetView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101" t="s">
        <v>201</v>
      </c>
      <c r="B1" s="99"/>
      <c r="C1" s="99"/>
      <c r="D1" s="99"/>
      <c r="E1" s="99"/>
      <c r="F1" s="99"/>
      <c r="G1" s="99"/>
      <c r="H1" s="99"/>
      <c r="I1" s="100"/>
    </row>
    <row r="2" spans="1:9" ht="15" customHeight="1" x14ac:dyDescent="0.25">
      <c r="A2" s="12" t="s">
        <v>202</v>
      </c>
    </row>
    <row r="4" spans="1:9" ht="15" customHeight="1" x14ac:dyDescent="0.25">
      <c r="A4" s="102" t="s">
        <v>103</v>
      </c>
      <c r="B4" s="99"/>
      <c r="C4" s="99"/>
      <c r="D4" s="99"/>
      <c r="E4" s="99"/>
      <c r="F4" s="99"/>
      <c r="G4" s="99"/>
      <c r="H4" s="99"/>
      <c r="I4" s="100"/>
    </row>
    <row r="5" spans="1:9" ht="15" customHeight="1" x14ac:dyDescent="0.25">
      <c r="A5" s="13" t="s">
        <v>134</v>
      </c>
      <c r="B5" s="13" t="s">
        <v>135</v>
      </c>
      <c r="C5" s="13" t="s">
        <v>190</v>
      </c>
      <c r="D5" s="13" t="s">
        <v>191</v>
      </c>
      <c r="E5" s="13" t="s">
        <v>192</v>
      </c>
      <c r="F5" s="13" t="s">
        <v>193</v>
      </c>
      <c r="G5" s="13" t="s">
        <v>203</v>
      </c>
      <c r="H5" s="13" t="s">
        <v>204</v>
      </c>
      <c r="I5" s="13" t="s">
        <v>205</v>
      </c>
    </row>
    <row r="6" spans="1:9" ht="15" customHeight="1" x14ac:dyDescent="0.25">
      <c r="A6" s="3">
        <v>1</v>
      </c>
      <c r="B6" s="14" t="str">
        <f>VLOOKUP(A6,Roster!$A$3:$B$18,2,FALSE())</f>
        <v>Evan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Larry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e">
        <f>VLOOKUP(A18,Roster!$A$3:$B$18,2,FALSE())</f>
        <v>#N/A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e">
        <f>VLOOKUP(A19,Roster!$A$3:$B$18,2,FALSE())</f>
        <v>#N/A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e">
        <f>VLOOKUP(A20,Roster!$A$3:$B$18,2,FALSE())</f>
        <v>#N/A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e">
        <f>VLOOKUP(A21,Roster!$A$3:$B$18,2,FALSE())</f>
        <v>#N/A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102" t="s">
        <v>107</v>
      </c>
      <c r="B23" s="99"/>
      <c r="C23" s="99"/>
      <c r="D23" s="99"/>
      <c r="E23" s="99"/>
      <c r="F23" s="99"/>
      <c r="G23" s="99"/>
      <c r="H23" s="99"/>
      <c r="I23" s="100"/>
    </row>
    <row r="24" spans="1:9" ht="15" customHeight="1" x14ac:dyDescent="0.25">
      <c r="A24" s="13" t="s">
        <v>134</v>
      </c>
      <c r="B24" s="13" t="s">
        <v>135</v>
      </c>
      <c r="C24" s="13" t="s">
        <v>190</v>
      </c>
      <c r="D24" s="13" t="s">
        <v>191</v>
      </c>
      <c r="E24" s="13" t="s">
        <v>192</v>
      </c>
      <c r="F24" s="13" t="s">
        <v>193</v>
      </c>
      <c r="G24" s="13" t="s">
        <v>203</v>
      </c>
      <c r="H24" s="13" t="s">
        <v>204</v>
      </c>
      <c r="I24" s="13" t="s">
        <v>205</v>
      </c>
    </row>
    <row r="25" spans="1:9" ht="15" customHeight="1" x14ac:dyDescent="0.25">
      <c r="A25" s="3">
        <v>1</v>
      </c>
      <c r="B25" s="14" t="str">
        <f>VLOOKUP(A25,Roster!$A$3:$B$18,2,FALSE())</f>
        <v>Evan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Larry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e">
        <f>VLOOKUP(A37,Roster!$A$3:$B$18,2,FALSE())</f>
        <v>#N/A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e">
        <f>VLOOKUP(A38,Roster!$A$3:$B$18,2,FALSE())</f>
        <v>#N/A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e">
        <f>VLOOKUP(A39,Roster!$A$3:$B$18,2,FALSE())</f>
        <v>#N/A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e">
        <f>VLOOKUP(A40,Roster!$A$3:$B$18,2,FALSE())</f>
        <v>#N/A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102" t="s">
        <v>111</v>
      </c>
      <c r="B42" s="99"/>
      <c r="C42" s="99"/>
      <c r="D42" s="99"/>
      <c r="E42" s="99"/>
      <c r="F42" s="99"/>
      <c r="G42" s="99"/>
      <c r="H42" s="99"/>
      <c r="I42" s="100"/>
    </row>
    <row r="43" spans="1:9" ht="15" customHeight="1" x14ac:dyDescent="0.25">
      <c r="A43" s="13" t="s">
        <v>134</v>
      </c>
      <c r="B43" s="13" t="s">
        <v>135</v>
      </c>
      <c r="C43" s="13" t="s">
        <v>190</v>
      </c>
      <c r="D43" s="13" t="s">
        <v>191</v>
      </c>
      <c r="E43" s="13" t="s">
        <v>192</v>
      </c>
      <c r="F43" s="13" t="s">
        <v>193</v>
      </c>
      <c r="G43" s="13" t="s">
        <v>203</v>
      </c>
      <c r="H43" s="13" t="s">
        <v>204</v>
      </c>
      <c r="I43" s="13" t="s">
        <v>205</v>
      </c>
    </row>
    <row r="44" spans="1:9" ht="15" customHeight="1" x14ac:dyDescent="0.25">
      <c r="A44" s="3">
        <v>1</v>
      </c>
      <c r="B44" s="14" t="str">
        <f>VLOOKUP(A44,Roster!$A$3:$B$18,2,FALSE())</f>
        <v>Evan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Larry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e">
        <f>VLOOKUP(A56,Roster!$A$3:$B$18,2,FALSE())</f>
        <v>#N/A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e">
        <f>VLOOKUP(A57,Roster!$A$3:$B$18,2,FALSE())</f>
        <v>#N/A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e">
        <f>VLOOKUP(A58,Roster!$A$3:$B$18,2,FALSE())</f>
        <v>#N/A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e">
        <f>VLOOKUP(A59,Roster!$A$3:$B$18,2,FALSE())</f>
        <v>#N/A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102" t="s">
        <v>117</v>
      </c>
      <c r="B61" s="99"/>
      <c r="C61" s="99"/>
      <c r="D61" s="99"/>
      <c r="E61" s="99"/>
      <c r="F61" s="99"/>
      <c r="G61" s="99"/>
      <c r="H61" s="99"/>
      <c r="I61" s="100"/>
    </row>
    <row r="62" spans="1:9" ht="15" customHeight="1" x14ac:dyDescent="0.25">
      <c r="A62" s="13" t="s">
        <v>134</v>
      </c>
      <c r="B62" s="13" t="s">
        <v>135</v>
      </c>
      <c r="C62" s="13" t="s">
        <v>190</v>
      </c>
      <c r="D62" s="13" t="s">
        <v>191</v>
      </c>
      <c r="E62" s="13" t="s">
        <v>192</v>
      </c>
      <c r="F62" s="13" t="s">
        <v>193</v>
      </c>
      <c r="G62" s="13" t="s">
        <v>203</v>
      </c>
      <c r="H62" s="13" t="s">
        <v>204</v>
      </c>
      <c r="I62" s="13" t="s">
        <v>205</v>
      </c>
    </row>
    <row r="63" spans="1:9" ht="15" customHeight="1" x14ac:dyDescent="0.25">
      <c r="A63" s="3">
        <v>1</v>
      </c>
      <c r="B63" s="14" t="str">
        <f>VLOOKUP(A63,Roster!$A$3:$B$18,2,FALSE())</f>
        <v>Evan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Larry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e">
        <f>VLOOKUP(A75,Roster!$A$3:$B$18,2,FALSE())</f>
        <v>#N/A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e">
        <f>VLOOKUP(A76,Roster!$A$3:$B$18,2,FALSE())</f>
        <v>#N/A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e">
        <f>VLOOKUP(A77,Roster!$A$3:$B$18,2,FALSE())</f>
        <v>#N/A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e">
        <f>VLOOKUP(A78,Roster!$A$3:$B$18,2,FALSE())</f>
        <v>#N/A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102" t="s">
        <v>123</v>
      </c>
      <c r="B80" s="99"/>
      <c r="C80" s="99"/>
      <c r="D80" s="99"/>
      <c r="E80" s="99"/>
      <c r="F80" s="99"/>
      <c r="G80" s="99"/>
      <c r="H80" s="99"/>
      <c r="I80" s="100"/>
    </row>
    <row r="81" spans="1:9" ht="15" customHeight="1" x14ac:dyDescent="0.25">
      <c r="A81" s="13" t="s">
        <v>134</v>
      </c>
      <c r="B81" s="13" t="s">
        <v>135</v>
      </c>
      <c r="C81" s="13" t="s">
        <v>190</v>
      </c>
      <c r="D81" s="13" t="s">
        <v>191</v>
      </c>
      <c r="E81" s="13" t="s">
        <v>192</v>
      </c>
      <c r="F81" s="13" t="s">
        <v>193</v>
      </c>
      <c r="G81" s="13" t="s">
        <v>203</v>
      </c>
      <c r="H81" s="13" t="s">
        <v>204</v>
      </c>
      <c r="I81" s="13" t="s">
        <v>205</v>
      </c>
    </row>
    <row r="82" spans="1:9" ht="15" customHeight="1" x14ac:dyDescent="0.25">
      <c r="A82" s="3">
        <v>1</v>
      </c>
      <c r="B82" s="14" t="str">
        <f>VLOOKUP(A82,Roster!$A$3:$B$18,2,FALSE())</f>
        <v>Evan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Larry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e">
        <f>VLOOKUP(A94,Roster!$A$3:$B$18,2,FALSE())</f>
        <v>#N/A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e">
        <f>VLOOKUP(A95,Roster!$A$3:$B$18,2,FALSE())</f>
        <v>#N/A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e">
        <f>VLOOKUP(A96,Roster!$A$3:$B$18,2,FALSE())</f>
        <v>#N/A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e">
        <f>VLOOKUP(A97,Roster!$A$3:$B$18,2,FALSE())</f>
        <v>#N/A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102" t="s">
        <v>127</v>
      </c>
      <c r="B99" s="99"/>
      <c r="C99" s="99"/>
      <c r="D99" s="99"/>
      <c r="E99" s="99"/>
      <c r="F99" s="99"/>
      <c r="G99" s="99"/>
      <c r="H99" s="99"/>
      <c r="I99" s="100"/>
    </row>
    <row r="100" spans="1:9" ht="15" customHeight="1" x14ac:dyDescent="0.25">
      <c r="A100" s="13" t="s">
        <v>134</v>
      </c>
      <c r="B100" s="13" t="s">
        <v>135</v>
      </c>
      <c r="C100" s="13" t="s">
        <v>190</v>
      </c>
      <c r="D100" s="13" t="s">
        <v>191</v>
      </c>
      <c r="E100" s="13" t="s">
        <v>192</v>
      </c>
      <c r="F100" s="13" t="s">
        <v>193</v>
      </c>
      <c r="G100" s="13" t="s">
        <v>203</v>
      </c>
      <c r="H100" s="13" t="s">
        <v>204</v>
      </c>
      <c r="I100" s="13" t="s">
        <v>205</v>
      </c>
    </row>
    <row r="101" spans="1:9" ht="15" customHeight="1" x14ac:dyDescent="0.25">
      <c r="A101" s="3">
        <v>1</v>
      </c>
      <c r="B101" s="14" t="str">
        <f>VLOOKUP(A101,Roster!$A$3:$B$18,2,FALSE())</f>
        <v>Evan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Larry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e">
        <f>VLOOKUP(A113,Roster!$A$3:$B$18,2,FALSE())</f>
        <v>#N/A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e">
        <f>VLOOKUP(A114,Roster!$A$3:$B$18,2,FALSE())</f>
        <v>#N/A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e">
        <f>VLOOKUP(A115,Roster!$A$3:$B$18,2,FALSE())</f>
        <v>#N/A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e">
        <f>VLOOKUP(A116,Roster!$A$3:$B$18,2,FALSE())</f>
        <v>#N/A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FB950"/>
  </sheetPr>
  <dimension ref="A1:L96"/>
  <sheetViews>
    <sheetView topLeftCell="A58" zoomScaleNormal="100" workbookViewId="0">
      <selection sqref="A1:K1"/>
    </sheetView>
  </sheetViews>
  <sheetFormatPr defaultColWidth="8.7109375" defaultRowHeight="15" x14ac:dyDescent="0.25"/>
  <cols>
    <col min="1" max="1" width="23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9" t="s">
        <v>206</v>
      </c>
    </row>
    <row r="2" spans="1:11" ht="15" customHeight="1" x14ac:dyDescent="0.25">
      <c r="A2" s="16" t="s">
        <v>207</v>
      </c>
      <c r="B2" s="16" t="s">
        <v>208</v>
      </c>
      <c r="C2" s="16" t="s">
        <v>209</v>
      </c>
      <c r="D2" s="16" t="s">
        <v>210</v>
      </c>
      <c r="E2" s="16" t="s">
        <v>211</v>
      </c>
      <c r="F2" s="16" t="s">
        <v>212</v>
      </c>
      <c r="G2" s="16" t="s">
        <v>213</v>
      </c>
      <c r="H2" s="16" t="s">
        <v>214</v>
      </c>
      <c r="I2" s="16" t="s">
        <v>215</v>
      </c>
      <c r="J2" s="16" t="s">
        <v>216</v>
      </c>
      <c r="K2" s="16" t="s">
        <v>217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12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4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11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10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9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Larry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7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6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5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4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3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2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Evan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/>
      <c r="B15" s="18"/>
      <c r="C15" s="19"/>
      <c r="D15" s="19"/>
      <c r="E15" s="19"/>
      <c r="F15" s="19"/>
      <c r="G15" s="19"/>
      <c r="H15" s="19"/>
      <c r="I15" s="16"/>
      <c r="J15" s="19"/>
      <c r="K15" s="19"/>
    </row>
    <row r="16" spans="1:11" ht="15" customHeight="1" x14ac:dyDescent="0.25">
      <c r="A16" s="22"/>
      <c r="B16" s="18"/>
      <c r="C16" s="19"/>
      <c r="D16" s="19"/>
      <c r="E16" s="19"/>
      <c r="F16" s="19"/>
      <c r="G16" s="19"/>
      <c r="H16" s="19"/>
      <c r="I16" s="16"/>
      <c r="J16" s="19"/>
      <c r="K16" s="19"/>
    </row>
    <row r="17" spans="1:11" ht="15" customHeight="1" x14ac:dyDescent="0.25">
      <c r="A17" s="22"/>
      <c r="B17" s="18"/>
      <c r="C17" s="19"/>
      <c r="D17" s="19"/>
      <c r="E17" s="19"/>
      <c r="F17" s="19"/>
      <c r="G17" s="19"/>
      <c r="H17" s="19"/>
      <c r="I17" s="16"/>
      <c r="J17" s="19"/>
      <c r="K17" s="19"/>
    </row>
    <row r="18" spans="1:11" ht="15" customHeight="1" x14ac:dyDescent="0.25">
      <c r="A18" s="22"/>
      <c r="B18" s="18"/>
      <c r="C18" s="19"/>
      <c r="D18" s="19"/>
      <c r="E18" s="19"/>
      <c r="F18" s="19"/>
      <c r="G18" s="19"/>
      <c r="H18" s="19"/>
      <c r="I18" s="16"/>
      <c r="J18" s="19"/>
      <c r="K18" s="19"/>
    </row>
    <row r="20" spans="1:11" ht="15" customHeight="1" x14ac:dyDescent="0.25">
      <c r="A20" s="77" t="s">
        <v>218</v>
      </c>
    </row>
    <row r="21" spans="1:11" ht="15" customHeight="1" x14ac:dyDescent="0.25">
      <c r="A21" s="23" t="s">
        <v>207</v>
      </c>
      <c r="B21" s="23" t="s">
        <v>208</v>
      </c>
      <c r="C21" s="23" t="s">
        <v>219</v>
      </c>
      <c r="D21" s="23" t="s">
        <v>220</v>
      </c>
      <c r="E21" s="23" t="s">
        <v>221</v>
      </c>
      <c r="F21" s="23" t="s">
        <v>222</v>
      </c>
      <c r="G21" s="23" t="s">
        <v>223</v>
      </c>
      <c r="H21" s="23" t="s">
        <v>224</v>
      </c>
      <c r="I21" s="23" t="s">
        <v>215</v>
      </c>
      <c r="J21" s="23" t="s">
        <v>216</v>
      </c>
      <c r="K21" s="23" t="s">
        <v>217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12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2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11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10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9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Larry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7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6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5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4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3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2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/>
      <c r="B33" s="18"/>
      <c r="C33" s="19"/>
      <c r="D33" s="19"/>
      <c r="E33" s="19"/>
      <c r="F33" s="19"/>
      <c r="G33" s="19"/>
      <c r="H33" s="19"/>
      <c r="I33" s="23"/>
      <c r="J33" s="19"/>
      <c r="K33" s="19"/>
    </row>
    <row r="34" spans="1:12" ht="15" customHeight="1" x14ac:dyDescent="0.25">
      <c r="A34" s="22"/>
      <c r="B34" s="18"/>
      <c r="C34" s="19"/>
      <c r="D34" s="19"/>
      <c r="E34" s="19"/>
      <c r="F34" s="19"/>
      <c r="G34" s="19"/>
      <c r="H34" s="19"/>
      <c r="I34" s="23"/>
      <c r="J34" s="19"/>
      <c r="K34" s="19"/>
    </row>
    <row r="35" spans="1:12" ht="15" customHeight="1" x14ac:dyDescent="0.25">
      <c r="A35" s="22"/>
      <c r="B35" s="18"/>
      <c r="C35" s="19"/>
      <c r="D35" s="19"/>
      <c r="E35" s="19"/>
      <c r="F35" s="19"/>
      <c r="G35" s="19"/>
      <c r="H35" s="19"/>
      <c r="I35" s="23"/>
      <c r="J35" s="19"/>
      <c r="K35" s="19"/>
    </row>
    <row r="36" spans="1:12" ht="15" customHeight="1" x14ac:dyDescent="0.25">
      <c r="A36" s="22"/>
      <c r="B36" s="18"/>
      <c r="C36" s="19"/>
      <c r="D36" s="19"/>
      <c r="E36" s="19"/>
      <c r="F36" s="19"/>
      <c r="G36" s="19"/>
      <c r="H36" s="19"/>
      <c r="I36" s="23"/>
      <c r="J36" s="19"/>
      <c r="K36" s="19"/>
    </row>
    <row r="37" spans="1:12" ht="15" customHeight="1" x14ac:dyDescent="0.25">
      <c r="A37" s="22">
        <v>16</v>
      </c>
      <c r="B37" s="18" t="e">
        <f>INDEX(Helper!$B$2:$B$17,MATCH(LARGE(Helper!$AJ$2:$AJ$17,16),Helper!$AJ$2:$AJ$17,0))</f>
        <v>#NUM!</v>
      </c>
      <c r="C37" s="19" t="e">
        <f>INDEX(Helper!$L$2:$L$17,MATCH(LARGE(Helper!$AJ$2:$AJ$17,16),Helper!$AJ$2:$AJ$17,0))</f>
        <v>#NUM!</v>
      </c>
      <c r="D37" s="19" t="e">
        <f>INDEX(Helper!$M$2:$M$17,MATCH(LARGE(Helper!$AJ$2:$AJ$17,16),Helper!$AJ$2:$AJ$17,0))</f>
        <v>#NUM!</v>
      </c>
      <c r="E37" s="19" t="e">
        <f>INDEX(Helper!$N$2:$N$17,MATCH(LARGE(Helper!$AJ$2:$AJ$17,16),Helper!$AJ$2:$AJ$17,0))</f>
        <v>#NUM!</v>
      </c>
      <c r="F37" s="19" t="e">
        <f>INDEX(Helper!$O$2:$O$17,MATCH(LARGE(Helper!$AJ$2:$AJ$17,16),Helper!$AJ$2:$AJ$17,0))</f>
        <v>#NUM!</v>
      </c>
      <c r="G37" s="19" t="e">
        <f>INDEX(Helper!$P$2:$P$17,MATCH(LARGE(Helper!$AJ$2:$AJ$17,16),Helper!$AJ$2:$AJ$17,0))</f>
        <v>#NUM!</v>
      </c>
      <c r="H37" s="19" t="e">
        <f>INDEX(Helper!$Q$2:$Q$17,MATCH(LARGE(Helper!$AJ$2:$AJ$17,16),Helper!$AJ$2:$AJ$17,0))</f>
        <v>#NUM!</v>
      </c>
      <c r="I37" s="23" t="e">
        <f>INDEX(Helper!$R$2:$R$17,MATCH(LARGE(Helper!$AJ$2:$AJ$17,16),Helper!$AJ$2:$AJ$17,0))</f>
        <v>#NUM!</v>
      </c>
      <c r="J37" s="19" t="e">
        <f>INDEX(Helper!$S$2:$S$17,MATCH(LARGE(Helper!$AJ$2:$AJ$17,16),Helper!$AJ$2:$AJ$17,0))</f>
        <v>#NUM!</v>
      </c>
      <c r="K37" s="19" t="e">
        <f>MAX(C37:H37)</f>
        <v>#NUM!</v>
      </c>
    </row>
    <row r="39" spans="1:12" ht="15" customHeight="1" x14ac:dyDescent="0.25">
      <c r="A39" s="80" t="s">
        <v>225</v>
      </c>
    </row>
    <row r="40" spans="1:12" ht="15" customHeight="1" x14ac:dyDescent="0.25">
      <c r="A40" s="76" t="s">
        <v>226</v>
      </c>
    </row>
    <row r="41" spans="1:12" ht="15" customHeight="1" x14ac:dyDescent="0.25">
      <c r="A41" s="24" t="s">
        <v>207</v>
      </c>
      <c r="B41" s="24" t="s">
        <v>208</v>
      </c>
      <c r="C41" s="24" t="s">
        <v>227</v>
      </c>
      <c r="D41" s="24" t="s">
        <v>228</v>
      </c>
      <c r="E41" s="24" t="s">
        <v>229</v>
      </c>
      <c r="F41" s="24" t="s">
        <v>230</v>
      </c>
      <c r="G41" s="24" t="s">
        <v>231</v>
      </c>
      <c r="H41" s="24" t="s">
        <v>232</v>
      </c>
      <c r="I41" s="24" t="s">
        <v>203</v>
      </c>
      <c r="J41" s="24" t="s">
        <v>204</v>
      </c>
      <c r="K41" s="24" t="s">
        <v>233</v>
      </c>
      <c r="L41" s="24" t="s">
        <v>234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Evan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6" t="s">
        <v>235</v>
      </c>
    </row>
    <row r="48" spans="1:12" ht="15" customHeight="1" x14ac:dyDescent="0.25">
      <c r="A48" s="24" t="s">
        <v>207</v>
      </c>
      <c r="B48" s="24" t="s">
        <v>208</v>
      </c>
      <c r="C48" s="24" t="s">
        <v>227</v>
      </c>
      <c r="D48" s="24" t="s">
        <v>228</v>
      </c>
      <c r="E48" s="24" t="s">
        <v>229</v>
      </c>
      <c r="F48" s="24" t="s">
        <v>230</v>
      </c>
      <c r="G48" s="24" t="s">
        <v>231</v>
      </c>
      <c r="H48" s="24" t="s">
        <v>232</v>
      </c>
      <c r="I48" s="24" t="s">
        <v>203</v>
      </c>
      <c r="J48" s="24" t="s">
        <v>204</v>
      </c>
      <c r="K48" s="24" t="s">
        <v>233</v>
      </c>
      <c r="L48" s="24" t="s">
        <v>234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Larry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6" t="s">
        <v>236</v>
      </c>
    </row>
    <row r="55" spans="1:12" ht="15" customHeight="1" x14ac:dyDescent="0.25">
      <c r="A55" s="24" t="s">
        <v>207</v>
      </c>
      <c r="B55" s="24" t="s">
        <v>208</v>
      </c>
      <c r="C55" s="24" t="s">
        <v>227</v>
      </c>
      <c r="D55" s="24" t="s">
        <v>228</v>
      </c>
      <c r="E55" s="24" t="s">
        <v>229</v>
      </c>
      <c r="F55" s="24" t="s">
        <v>230</v>
      </c>
      <c r="G55" s="24" t="s">
        <v>231</v>
      </c>
      <c r="H55" s="24" t="s">
        <v>232</v>
      </c>
      <c r="I55" s="24" t="s">
        <v>203</v>
      </c>
      <c r="J55" s="24" t="s">
        <v>204</v>
      </c>
      <c r="K55" s="24" t="s">
        <v>233</v>
      </c>
      <c r="L55" s="24" t="s">
        <v>234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6" t="s">
        <v>237</v>
      </c>
    </row>
    <row r="62" spans="1:12" ht="15" customHeight="1" x14ac:dyDescent="0.25">
      <c r="A62" s="24" t="s">
        <v>207</v>
      </c>
      <c r="B62" s="24" t="s">
        <v>208</v>
      </c>
      <c r="C62" s="24" t="s">
        <v>227</v>
      </c>
      <c r="D62" s="24" t="s">
        <v>228</v>
      </c>
      <c r="E62" s="24" t="s">
        <v>229</v>
      </c>
      <c r="F62" s="24" t="s">
        <v>230</v>
      </c>
      <c r="G62" s="24" t="s">
        <v>231</v>
      </c>
      <c r="H62" s="24" t="s">
        <v>232</v>
      </c>
      <c r="I62" s="24" t="s">
        <v>203</v>
      </c>
      <c r="J62" s="24" t="s">
        <v>204</v>
      </c>
      <c r="K62" s="24" t="s">
        <v>233</v>
      </c>
      <c r="L62" s="24" t="s">
        <v>234</v>
      </c>
    </row>
    <row r="63" spans="1:12" ht="15" customHeight="1" x14ac:dyDescent="0.25">
      <c r="A63" s="17">
        <v>1</v>
      </c>
      <c r="B63" s="18" t="e">
        <f>INDEX(Helper!$B$14:$B$17,MATCH(LARGE(Helper!$AL$14:$AL$17,1),Helper!$AL$14:$AL$17,0))</f>
        <v>#NUM!</v>
      </c>
      <c r="C63" s="19" t="e">
        <f>INDEX(Helper!$U$14:$U$17,MATCH(LARGE(Helper!$AL$14:$AL$17,1),Helper!$AL$14:$AL$17,0))</f>
        <v>#NUM!</v>
      </c>
      <c r="D63" s="19" t="e">
        <f>INDEX(Helper!$V$14:$V$17,MATCH(LARGE(Helper!$AL$14:$AL$17,1),Helper!$AL$14:$AL$17,0))</f>
        <v>#NUM!</v>
      </c>
      <c r="E63" s="19" t="e">
        <f>INDEX(Helper!$W$14:$W$17,MATCH(LARGE(Helper!$AL$14:$AL$17,1),Helper!$AL$14:$AL$17,0))</f>
        <v>#NUM!</v>
      </c>
      <c r="F63" s="19" t="e">
        <f>INDEX(Helper!$X$14:$X$17,MATCH(LARGE(Helper!$AL$14:$AL$17,1),Helper!$AL$14:$AL$17,0))</f>
        <v>#NUM!</v>
      </c>
      <c r="G63" s="19" t="e">
        <f>INDEX(Helper!$Y$14:$Y$17,MATCH(LARGE(Helper!$AL$14:$AL$17,1),Helper!$AL$14:$AL$17,0))</f>
        <v>#NUM!</v>
      </c>
      <c r="H63" s="19" t="e">
        <f>INDEX(Helper!$Z$14:$Z$17,MATCH(LARGE(Helper!$AL$14:$AL$17,1),Helper!$AL$14:$AL$17,0))</f>
        <v>#NUM!</v>
      </c>
      <c r="I63" s="24" t="e">
        <f>INDEX(Helper!$AA$14:$AA$17,MATCH(LARGE(Helper!$AL$14:$AL$17,1),Helper!$AL$14:$AL$17,0))</f>
        <v>#NUM!</v>
      </c>
      <c r="J63" s="19" t="e">
        <f>INDEX(Helper!$AB$14:$AB$17,MATCH(LARGE(Helper!$AL$14:$AL$17,1),Helper!$AL$14:$AL$17,0))</f>
        <v>#NUM!</v>
      </c>
      <c r="K63" s="19" t="e">
        <f>INDEX(Helper!$AC$14:$AC$17,MATCH(LARGE(Helper!$AL$14:$AL$17,1),Helper!$AL$14:$AL$17,0))</f>
        <v>#NUM!</v>
      </c>
      <c r="L63" s="25">
        <f>IFERROR(I63/(I63+J63),0)</f>
        <v>0</v>
      </c>
    </row>
    <row r="64" spans="1:12" ht="15" customHeight="1" x14ac:dyDescent="0.25">
      <c r="A64" s="20">
        <v>2</v>
      </c>
      <c r="B64" s="18" t="e">
        <f>INDEX(Helper!$B$14:$B$17,MATCH(LARGE(Helper!$AL$14:$AL$17,2),Helper!$AL$14:$AL$17,0))</f>
        <v>#NUM!</v>
      </c>
      <c r="C64" s="19" t="e">
        <f>INDEX(Helper!$U$14:$U$17,MATCH(LARGE(Helper!$AL$14:$AL$17,2),Helper!$AL$14:$AL$17,0))</f>
        <v>#NUM!</v>
      </c>
      <c r="D64" s="19" t="e">
        <f>INDEX(Helper!$V$14:$V$17,MATCH(LARGE(Helper!$AL$14:$AL$17,2),Helper!$AL$14:$AL$17,0))</f>
        <v>#NUM!</v>
      </c>
      <c r="E64" s="19" t="e">
        <f>INDEX(Helper!$W$14:$W$17,MATCH(LARGE(Helper!$AL$14:$AL$17,2),Helper!$AL$14:$AL$17,0))</f>
        <v>#NUM!</v>
      </c>
      <c r="F64" s="19" t="e">
        <f>INDEX(Helper!$X$14:$X$17,MATCH(LARGE(Helper!$AL$14:$AL$17,2),Helper!$AL$14:$AL$17,0))</f>
        <v>#NUM!</v>
      </c>
      <c r="G64" s="19" t="e">
        <f>INDEX(Helper!$Y$14:$Y$17,MATCH(LARGE(Helper!$AL$14:$AL$17,2),Helper!$AL$14:$AL$17,0))</f>
        <v>#NUM!</v>
      </c>
      <c r="H64" s="19" t="e">
        <f>INDEX(Helper!$Z$14:$Z$17,MATCH(LARGE(Helper!$AL$14:$AL$17,2),Helper!$AL$14:$AL$17,0))</f>
        <v>#NUM!</v>
      </c>
      <c r="I64" s="24" t="e">
        <f>INDEX(Helper!$AA$14:$AA$17,MATCH(LARGE(Helper!$AL$14:$AL$17,2),Helper!$AL$14:$AL$17,0))</f>
        <v>#NUM!</v>
      </c>
      <c r="J64" s="19" t="e">
        <f>INDEX(Helper!$AB$14:$AB$17,MATCH(LARGE(Helper!$AL$14:$AL$17,2),Helper!$AL$14:$AL$17,0))</f>
        <v>#NUM!</v>
      </c>
      <c r="K64" s="19" t="e">
        <f>INDEX(Helper!$AC$14:$AC$17,MATCH(LARGE(Helper!$AL$14:$AL$17,2),Helper!$AL$14:$AL$17,0))</f>
        <v>#NUM!</v>
      </c>
      <c r="L64" s="25">
        <f>IFERROR(I64/(I64+J64),0)</f>
        <v>0</v>
      </c>
    </row>
    <row r="65" spans="1:12" ht="15" customHeight="1" x14ac:dyDescent="0.25">
      <c r="A65" s="21">
        <v>3</v>
      </c>
      <c r="B65" s="18" t="e">
        <f>INDEX(Helper!$B$14:$B$17,MATCH(LARGE(Helper!$AL$14:$AL$17,3),Helper!$AL$14:$AL$17,0))</f>
        <v>#NUM!</v>
      </c>
      <c r="C65" s="19" t="e">
        <f>INDEX(Helper!$U$14:$U$17,MATCH(LARGE(Helper!$AL$14:$AL$17,3),Helper!$AL$14:$AL$17,0))</f>
        <v>#NUM!</v>
      </c>
      <c r="D65" s="19" t="e">
        <f>INDEX(Helper!$V$14:$V$17,MATCH(LARGE(Helper!$AL$14:$AL$17,3),Helper!$AL$14:$AL$17,0))</f>
        <v>#NUM!</v>
      </c>
      <c r="E65" s="19" t="e">
        <f>INDEX(Helper!$W$14:$W$17,MATCH(LARGE(Helper!$AL$14:$AL$17,3),Helper!$AL$14:$AL$17,0))</f>
        <v>#NUM!</v>
      </c>
      <c r="F65" s="19" t="e">
        <f>INDEX(Helper!$X$14:$X$17,MATCH(LARGE(Helper!$AL$14:$AL$17,3),Helper!$AL$14:$AL$17,0))</f>
        <v>#NUM!</v>
      </c>
      <c r="G65" s="19" t="e">
        <f>INDEX(Helper!$Y$14:$Y$17,MATCH(LARGE(Helper!$AL$14:$AL$17,3),Helper!$AL$14:$AL$17,0))</f>
        <v>#NUM!</v>
      </c>
      <c r="H65" s="19" t="e">
        <f>INDEX(Helper!$Z$14:$Z$17,MATCH(LARGE(Helper!$AL$14:$AL$17,3),Helper!$AL$14:$AL$17,0))</f>
        <v>#NUM!</v>
      </c>
      <c r="I65" s="24" t="e">
        <f>INDEX(Helper!$AA$14:$AA$17,MATCH(LARGE(Helper!$AL$14:$AL$17,3),Helper!$AL$14:$AL$17,0))</f>
        <v>#NUM!</v>
      </c>
      <c r="J65" s="19" t="e">
        <f>INDEX(Helper!$AB$14:$AB$17,MATCH(LARGE(Helper!$AL$14:$AL$17,3),Helper!$AL$14:$AL$17,0))</f>
        <v>#NUM!</v>
      </c>
      <c r="K65" s="19" t="e">
        <f>INDEX(Helper!$AC$14:$AC$17,MATCH(LARGE(Helper!$AL$14:$AL$17,3),Helper!$AL$14:$AL$17,0))</f>
        <v>#NUM!</v>
      </c>
      <c r="L65" s="25">
        <f>IFERROR(I65/(I65+J65),0)</f>
        <v>0</v>
      </c>
    </row>
    <row r="66" spans="1:12" ht="15" customHeight="1" x14ac:dyDescent="0.25">
      <c r="A66" s="22">
        <v>4</v>
      </c>
      <c r="B66" s="18" t="e">
        <f>INDEX(Helper!$B$14:$B$17,MATCH(LARGE(Helper!$AL$14:$AL$17,4),Helper!$AL$14:$AL$17,0))</f>
        <v>#NUM!</v>
      </c>
      <c r="C66" s="19" t="e">
        <f>INDEX(Helper!$U$14:$U$17,MATCH(LARGE(Helper!$AL$14:$AL$17,4),Helper!$AL$14:$AL$17,0))</f>
        <v>#NUM!</v>
      </c>
      <c r="D66" s="19" t="e">
        <f>INDEX(Helper!$V$14:$V$17,MATCH(LARGE(Helper!$AL$14:$AL$17,4),Helper!$AL$14:$AL$17,0))</f>
        <v>#NUM!</v>
      </c>
      <c r="E66" s="19" t="e">
        <f>INDEX(Helper!$W$14:$W$17,MATCH(LARGE(Helper!$AL$14:$AL$17,4),Helper!$AL$14:$AL$17,0))</f>
        <v>#NUM!</v>
      </c>
      <c r="F66" s="19" t="e">
        <f>INDEX(Helper!$X$14:$X$17,MATCH(LARGE(Helper!$AL$14:$AL$17,4),Helper!$AL$14:$AL$17,0))</f>
        <v>#NUM!</v>
      </c>
      <c r="G66" s="19" t="e">
        <f>INDEX(Helper!$Y$14:$Y$17,MATCH(LARGE(Helper!$AL$14:$AL$17,4),Helper!$AL$14:$AL$17,0))</f>
        <v>#NUM!</v>
      </c>
      <c r="H66" s="19" t="e">
        <f>INDEX(Helper!$Z$14:$Z$17,MATCH(LARGE(Helper!$AL$14:$AL$17,4),Helper!$AL$14:$AL$17,0))</f>
        <v>#NUM!</v>
      </c>
      <c r="I66" s="24" t="e">
        <f>INDEX(Helper!$AA$14:$AA$17,MATCH(LARGE(Helper!$AL$14:$AL$17,4),Helper!$AL$14:$AL$17,0))</f>
        <v>#NUM!</v>
      </c>
      <c r="J66" s="19" t="e">
        <f>INDEX(Helper!$AB$14:$AB$17,MATCH(LARGE(Helper!$AL$14:$AL$17,4),Helper!$AL$14:$AL$17,0))</f>
        <v>#NUM!</v>
      </c>
      <c r="K66" s="19" t="e">
        <f>INDEX(Helper!$AC$14:$AC$17,MATCH(LARGE(Helper!$AL$14:$AL$17,4),Helper!$AL$14:$AL$17,0))</f>
        <v>#NUM!</v>
      </c>
      <c r="L66" s="25">
        <f>IFERROR(I66/(I66+J66),0)</f>
        <v>0</v>
      </c>
    </row>
    <row r="69" spans="1:12" ht="15" customHeight="1" x14ac:dyDescent="0.25">
      <c r="A69" s="78" t="s">
        <v>238</v>
      </c>
    </row>
    <row r="70" spans="1:12" ht="21.75" customHeight="1" x14ac:dyDescent="0.25">
      <c r="A70" s="26" t="s">
        <v>207</v>
      </c>
      <c r="B70" s="26" t="s">
        <v>208</v>
      </c>
      <c r="C70" s="26" t="s">
        <v>239</v>
      </c>
      <c r="D70" s="26" t="s">
        <v>240</v>
      </c>
      <c r="E70" s="26" t="s">
        <v>241</v>
      </c>
      <c r="F70" s="26" t="s">
        <v>242</v>
      </c>
      <c r="G70" s="26" t="s">
        <v>243</v>
      </c>
      <c r="H70" s="26" t="s">
        <v>244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12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11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10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9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Larry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7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6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5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4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3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2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Evan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/>
      <c r="B83" s="18"/>
      <c r="C83" s="19"/>
      <c r="D83" s="19"/>
      <c r="E83" s="19"/>
      <c r="F83" s="16"/>
      <c r="G83" s="19" t="e">
        <f>RANK(C83,$C$83:$C$98,0)</f>
        <v>#N/A</v>
      </c>
      <c r="H83" s="19" t="e">
        <f>RANK(D83,$D$83:$D$98,0)</f>
        <v>#N/A</v>
      </c>
    </row>
    <row r="84" spans="1:8" ht="15" customHeight="1" x14ac:dyDescent="0.25">
      <c r="A84" s="22"/>
      <c r="B84" s="18"/>
      <c r="C84" s="19"/>
      <c r="D84" s="19"/>
      <c r="E84" s="19"/>
      <c r="F84" s="16"/>
      <c r="G84" s="19" t="e">
        <f>RANK(C84,$C$84:$C$99,0)</f>
        <v>#N/A</v>
      </c>
      <c r="H84" s="19" t="e">
        <f>RANK(D84,$D$84:$D$99,0)</f>
        <v>#N/A</v>
      </c>
    </row>
    <row r="85" spans="1:8" ht="15" customHeight="1" x14ac:dyDescent="0.25">
      <c r="A85" s="22"/>
      <c r="B85" s="18"/>
      <c r="C85" s="19"/>
      <c r="D85" s="19"/>
      <c r="E85" s="19"/>
      <c r="F85" s="16"/>
      <c r="G85" s="19" t="e">
        <f>RANK(C85,$C$85:$C$100,0)</f>
        <v>#N/A</v>
      </c>
      <c r="H85" s="19" t="e">
        <f>RANK(D85,$D$85:$D$100,0)</f>
        <v>#N/A</v>
      </c>
    </row>
    <row r="86" spans="1:8" ht="15" customHeight="1" x14ac:dyDescent="0.25">
      <c r="A86" s="22"/>
      <c r="B86" s="18"/>
      <c r="C86" s="19"/>
      <c r="D86" s="19"/>
      <c r="E86" s="19"/>
      <c r="F86" s="16"/>
      <c r="G86" s="19" t="e">
        <f>RANK(C86,$C$86:$C$101,0)</f>
        <v>#N/A</v>
      </c>
      <c r="H86" s="19" t="e">
        <f>RANK(D86,$D$86:$D$101,0)</f>
        <v>#N/A</v>
      </c>
    </row>
    <row r="89" spans="1:8" ht="15" customHeight="1" x14ac:dyDescent="0.25">
      <c r="A89" s="78" t="s">
        <v>245</v>
      </c>
    </row>
    <row r="90" spans="1:8" ht="15" customHeight="1" x14ac:dyDescent="0.25">
      <c r="A90" s="27" t="s">
        <v>246</v>
      </c>
      <c r="B90" s="28" t="s">
        <v>247</v>
      </c>
    </row>
    <row r="91" spans="1:8" ht="15" customHeight="1" x14ac:dyDescent="0.25">
      <c r="A91" s="27" t="s">
        <v>248</v>
      </c>
      <c r="B91" s="28" t="s">
        <v>247</v>
      </c>
    </row>
    <row r="92" spans="1:8" ht="15" customHeight="1" x14ac:dyDescent="0.25">
      <c r="A92" s="27" t="s">
        <v>249</v>
      </c>
      <c r="B92" s="28" t="s">
        <v>250</v>
      </c>
    </row>
    <row r="93" spans="1:8" ht="15" customHeight="1" x14ac:dyDescent="0.25">
      <c r="A93" s="27" t="s">
        <v>251</v>
      </c>
      <c r="B93" s="28" t="s">
        <v>252</v>
      </c>
    </row>
    <row r="94" spans="1:8" ht="15" customHeight="1" x14ac:dyDescent="0.25">
      <c r="A94" s="27" t="s">
        <v>253</v>
      </c>
      <c r="B94" s="28" t="s">
        <v>254</v>
      </c>
    </row>
    <row r="95" spans="1:8" ht="15" customHeight="1" x14ac:dyDescent="0.25">
      <c r="A95" s="27" t="s">
        <v>255</v>
      </c>
      <c r="B95" s="28" t="s">
        <v>256</v>
      </c>
    </row>
    <row r="96" spans="1:8" ht="15" customHeight="1" x14ac:dyDescent="0.25">
      <c r="A96" s="27" t="s">
        <v>257</v>
      </c>
      <c r="B96" s="28" t="s">
        <v>258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D700"/>
  </sheetPr>
  <dimension ref="A1:J50"/>
  <sheetViews>
    <sheetView zoomScaleNormal="100" workbookViewId="0">
      <selection activeCell="J34" sqref="J34"/>
    </sheetView>
  </sheetViews>
  <sheetFormatPr defaultColWidth="8.7109375" defaultRowHeight="15" x14ac:dyDescent="0.25"/>
  <cols>
    <col min="1" max="1" width="16" customWidth="1"/>
    <col min="2" max="2" width="18" customWidth="1"/>
    <col min="3" max="3" width="14.28515625" customWidth="1"/>
    <col min="4" max="8" width="12" customWidth="1"/>
  </cols>
  <sheetData>
    <row r="1" spans="1:10" ht="17.25" customHeight="1" x14ac:dyDescent="0.25">
      <c r="A1" s="90" t="s">
        <v>259</v>
      </c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91" t="s">
        <v>260</v>
      </c>
      <c r="H3" s="29"/>
      <c r="I3" s="29"/>
      <c r="J3" s="29"/>
    </row>
    <row r="4" spans="1:10" ht="24" customHeight="1" x14ac:dyDescent="0.25">
      <c r="A4" s="16" t="s">
        <v>261</v>
      </c>
      <c r="B4" s="16" t="s">
        <v>262</v>
      </c>
      <c r="C4" s="16" t="s">
        <v>263</v>
      </c>
      <c r="D4" s="16" t="s">
        <v>264</v>
      </c>
      <c r="E4" s="16" t="s">
        <v>265</v>
      </c>
      <c r="F4" s="16" t="s">
        <v>266</v>
      </c>
      <c r="G4" s="16"/>
      <c r="H4" s="29"/>
      <c r="I4" s="29"/>
      <c r="J4" s="29"/>
    </row>
    <row r="5" spans="1:10" ht="15" customHeight="1" x14ac:dyDescent="0.25">
      <c r="A5" s="30" t="s">
        <v>267</v>
      </c>
      <c r="B5" s="31"/>
      <c r="C5" s="32" t="s">
        <v>247</v>
      </c>
      <c r="D5" s="3" t="s">
        <v>268</v>
      </c>
      <c r="E5" s="33"/>
      <c r="F5" s="34" t="s">
        <v>269</v>
      </c>
      <c r="G5" s="29"/>
      <c r="H5" s="29"/>
      <c r="I5" s="29"/>
      <c r="J5" s="29"/>
    </row>
    <row r="6" spans="1:10" ht="15" customHeight="1" x14ac:dyDescent="0.25">
      <c r="A6" s="30" t="s">
        <v>270</v>
      </c>
      <c r="B6" s="31"/>
      <c r="C6" s="32" t="s">
        <v>247</v>
      </c>
      <c r="D6" s="3" t="s">
        <v>271</v>
      </c>
      <c r="E6" s="33"/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272</v>
      </c>
      <c r="B7" s="31"/>
      <c r="C7" s="32" t="s">
        <v>273</v>
      </c>
      <c r="D7" s="3" t="s">
        <v>140</v>
      </c>
      <c r="E7" s="33"/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274</v>
      </c>
      <c r="B8" s="31"/>
      <c r="C8" s="32" t="s">
        <v>273</v>
      </c>
      <c r="D8" s="3" t="s">
        <v>146</v>
      </c>
      <c r="E8" s="33"/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275</v>
      </c>
      <c r="B9" s="31"/>
      <c r="C9" s="32" t="s">
        <v>273</v>
      </c>
      <c r="D9" s="3" t="s">
        <v>152</v>
      </c>
      <c r="E9" s="33"/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/>
      <c r="B10" s="31"/>
      <c r="C10" s="32"/>
      <c r="D10" s="3"/>
      <c r="E10" s="33"/>
      <c r="F10" s="34" t="str">
        <f>IF(B10=E10,"QUALIFIED","PASS → "&amp;E10)</f>
        <v>QUALIFIED</v>
      </c>
      <c r="G10" s="29"/>
      <c r="H10" s="29"/>
      <c r="I10" s="29"/>
      <c r="J10" s="29"/>
    </row>
    <row r="11" spans="1:10" ht="15" customHeight="1" x14ac:dyDescent="0.25">
      <c r="A11" s="92" t="s">
        <v>276</v>
      </c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1" t="s">
        <v>261</v>
      </c>
      <c r="B12" t="s">
        <v>208</v>
      </c>
      <c r="C12" t="s">
        <v>277</v>
      </c>
      <c r="D12" t="s">
        <v>264</v>
      </c>
      <c r="H12" s="29"/>
      <c r="I12" s="29"/>
      <c r="J12" s="29"/>
    </row>
    <row r="13" spans="1:10" ht="15" customHeight="1" x14ac:dyDescent="0.25">
      <c r="A13" s="38" t="s">
        <v>278</v>
      </c>
      <c r="B13" s="38"/>
      <c r="C13" s="38">
        <v>0</v>
      </c>
      <c r="D13" s="38" t="s">
        <v>279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/>
      <c r="B14" s="39"/>
      <c r="C14" s="3"/>
      <c r="D14" s="3"/>
      <c r="E14" s="37"/>
      <c r="F14" s="29"/>
      <c r="G14" s="29"/>
      <c r="H14" s="29"/>
      <c r="I14" s="29"/>
      <c r="J14" s="29"/>
    </row>
    <row r="15" spans="1:10" ht="25.5" customHeight="1" x14ac:dyDescent="0.25">
      <c r="A15" s="93" t="s">
        <v>280</v>
      </c>
      <c r="B15" s="39"/>
      <c r="C15" s="3"/>
      <c r="D15" s="3"/>
      <c r="E15" s="37"/>
      <c r="F15" s="29"/>
      <c r="G15" s="29"/>
      <c r="H15" s="29"/>
      <c r="I15" s="29"/>
      <c r="J15" s="29"/>
    </row>
    <row r="16" spans="1:10" ht="28.5" x14ac:dyDescent="0.25">
      <c r="A16" s="36" t="s">
        <v>165</v>
      </c>
      <c r="B16" s="37" t="s">
        <v>208</v>
      </c>
      <c r="C16" s="37" t="s">
        <v>281</v>
      </c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8">
        <v>1</v>
      </c>
      <c r="C17" t="s">
        <v>268</v>
      </c>
      <c r="F17" s="29"/>
      <c r="G17" s="29"/>
      <c r="H17" s="29"/>
      <c r="I17" s="29"/>
      <c r="J17" s="29"/>
    </row>
    <row r="18" spans="1:10" ht="15" customHeight="1" x14ac:dyDescent="0.25">
      <c r="A18" s="40">
        <v>2</v>
      </c>
      <c r="B18" s="26"/>
      <c r="C18" s="26" t="s">
        <v>271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3</v>
      </c>
      <c r="B19" s="41"/>
      <c r="C19" s="3" t="s">
        <v>282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4</v>
      </c>
      <c r="B20" s="41"/>
      <c r="C20" s="3" t="s">
        <v>283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5</v>
      </c>
      <c r="B21" s="41"/>
      <c r="C21" s="3" t="s">
        <v>284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6</v>
      </c>
      <c r="B22" s="41"/>
      <c r="C22" s="3" t="s">
        <v>278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/>
      <c r="B23" s="41"/>
      <c r="C23" s="3"/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94" t="s">
        <v>285</v>
      </c>
      <c r="B24" s="41"/>
      <c r="C24" s="3"/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 t="s">
        <v>165</v>
      </c>
      <c r="B25" s="41" t="s">
        <v>208</v>
      </c>
      <c r="C25" s="3" t="s">
        <v>286</v>
      </c>
      <c r="D25" s="29" t="s">
        <v>287</v>
      </c>
      <c r="E25" s="29" t="s">
        <v>288</v>
      </c>
      <c r="F25" s="29"/>
      <c r="G25" s="29"/>
      <c r="H25" s="29"/>
      <c r="I25" s="29"/>
      <c r="J25" s="29"/>
    </row>
    <row r="26" spans="1:10" ht="15" customHeight="1" x14ac:dyDescent="0.25">
      <c r="A26" s="3">
        <v>1</v>
      </c>
      <c r="B26" s="41" t="s">
        <v>138</v>
      </c>
      <c r="C26" s="3">
        <v>0</v>
      </c>
      <c r="D26" s="29">
        <v>0</v>
      </c>
      <c r="E26" s="29">
        <v>0</v>
      </c>
      <c r="F26" s="29"/>
      <c r="G26" s="29"/>
      <c r="H26" s="29"/>
      <c r="I26" s="29"/>
      <c r="J26" s="29"/>
    </row>
    <row r="27" spans="1:10" ht="15" customHeight="1" x14ac:dyDescent="0.25">
      <c r="A27" s="37">
        <v>2</v>
      </c>
      <c r="B27" s="37" t="s">
        <v>141</v>
      </c>
      <c r="C27" s="37">
        <v>0</v>
      </c>
      <c r="D27" s="29">
        <v>0</v>
      </c>
      <c r="E27" s="29">
        <v>0</v>
      </c>
      <c r="F27" s="29"/>
      <c r="G27" s="29"/>
      <c r="H27" s="29"/>
      <c r="I27" s="29"/>
      <c r="J27" s="29"/>
    </row>
    <row r="28" spans="1:10" ht="15" customHeight="1" x14ac:dyDescent="0.25">
      <c r="A28" s="79">
        <v>3</v>
      </c>
      <c r="B28" t="s">
        <v>142</v>
      </c>
      <c r="C28">
        <v>0</v>
      </c>
      <c r="D28">
        <v>0</v>
      </c>
      <c r="E28">
        <v>0</v>
      </c>
      <c r="G28" s="29"/>
      <c r="H28" s="29"/>
      <c r="I28" s="29"/>
      <c r="J28" s="29"/>
    </row>
    <row r="29" spans="1:10" ht="15" customHeight="1" x14ac:dyDescent="0.25">
      <c r="A29" s="16">
        <v>4</v>
      </c>
      <c r="B29" s="16" t="s">
        <v>143</v>
      </c>
      <c r="C29" s="16">
        <v>0</v>
      </c>
      <c r="D29" s="16">
        <v>0</v>
      </c>
      <c r="E29" s="16">
        <v>0</v>
      </c>
      <c r="F29" s="16" t="s">
        <v>289</v>
      </c>
      <c r="G29" s="29"/>
      <c r="H29" s="29"/>
      <c r="I29" s="29"/>
      <c r="J29" s="29"/>
    </row>
    <row r="30" spans="1:10" ht="15" customHeight="1" x14ac:dyDescent="0.25">
      <c r="A30" s="3">
        <v>5</v>
      </c>
      <c r="B30" s="42" t="s">
        <v>144</v>
      </c>
      <c r="C30" s="43">
        <v>0</v>
      </c>
      <c r="D30" s="43">
        <v>0</v>
      </c>
      <c r="E30" s="43">
        <v>0</v>
      </c>
      <c r="F30" s="44">
        <f t="shared" ref="F30:F45" si="0">C30+D30+E30</f>
        <v>0</v>
      </c>
      <c r="G30" s="29"/>
      <c r="H30" s="29"/>
      <c r="I30" s="29"/>
      <c r="J30" s="29"/>
    </row>
    <row r="31" spans="1:10" ht="15" customHeight="1" x14ac:dyDescent="0.25">
      <c r="A31" s="3">
        <v>6</v>
      </c>
      <c r="B31" s="42" t="s">
        <v>147</v>
      </c>
      <c r="C31" s="43">
        <v>0</v>
      </c>
      <c r="D31" s="43">
        <v>0</v>
      </c>
      <c r="E31" s="43">
        <v>0</v>
      </c>
      <c r="F31" s="44">
        <f t="shared" si="0"/>
        <v>0</v>
      </c>
      <c r="G31" s="29"/>
      <c r="H31" s="29"/>
      <c r="I31" s="29"/>
      <c r="J31" s="29"/>
    </row>
    <row r="32" spans="1:10" ht="15" customHeight="1" x14ac:dyDescent="0.25">
      <c r="A32" s="3">
        <v>7</v>
      </c>
      <c r="B32" s="42" t="s">
        <v>148</v>
      </c>
      <c r="C32" s="43">
        <v>0</v>
      </c>
      <c r="D32" s="43">
        <v>0</v>
      </c>
      <c r="E32" s="43">
        <v>0</v>
      </c>
      <c r="F32" s="44">
        <f t="shared" si="0"/>
        <v>0</v>
      </c>
      <c r="G32" s="29"/>
      <c r="H32" s="29"/>
      <c r="I32" s="29"/>
      <c r="J32" s="29"/>
    </row>
    <row r="33" spans="1:10" ht="15" customHeight="1" x14ac:dyDescent="0.25">
      <c r="A33" s="3">
        <v>8</v>
      </c>
      <c r="B33" s="42" t="s">
        <v>149</v>
      </c>
      <c r="C33" s="43">
        <v>0</v>
      </c>
      <c r="D33" s="43">
        <v>0</v>
      </c>
      <c r="E33" s="43">
        <v>0</v>
      </c>
      <c r="F33" s="44">
        <f t="shared" si="0"/>
        <v>0</v>
      </c>
      <c r="G33" s="29"/>
      <c r="H33" s="29"/>
      <c r="I33" s="29"/>
      <c r="J33" s="29"/>
    </row>
    <row r="34" spans="1:10" ht="15" customHeight="1" x14ac:dyDescent="0.25">
      <c r="A34" s="3">
        <v>9</v>
      </c>
      <c r="B34" s="42" t="s">
        <v>150</v>
      </c>
      <c r="C34" s="43">
        <v>0</v>
      </c>
      <c r="D34" s="43">
        <v>0</v>
      </c>
      <c r="E34" s="43">
        <v>0</v>
      </c>
      <c r="F34" s="44">
        <f t="shared" si="0"/>
        <v>0</v>
      </c>
      <c r="G34" s="29"/>
      <c r="H34" s="29"/>
      <c r="I34" s="29"/>
      <c r="J34" s="29"/>
    </row>
    <row r="35" spans="1:10" ht="15" customHeight="1" x14ac:dyDescent="0.25">
      <c r="A35" s="3">
        <v>10</v>
      </c>
      <c r="B35" s="42" t="s">
        <v>153</v>
      </c>
      <c r="C35" s="43">
        <v>0</v>
      </c>
      <c r="D35" s="43">
        <v>0</v>
      </c>
      <c r="E35" s="43">
        <v>0</v>
      </c>
      <c r="F35" s="44">
        <f t="shared" si="0"/>
        <v>0</v>
      </c>
      <c r="G35" s="29"/>
      <c r="H35" s="29"/>
      <c r="I35" s="29"/>
      <c r="J35" s="29"/>
    </row>
    <row r="36" spans="1:10" ht="15" customHeight="1" x14ac:dyDescent="0.25">
      <c r="A36" s="3">
        <v>11</v>
      </c>
      <c r="B36" s="42" t="s">
        <v>154</v>
      </c>
      <c r="C36" s="43">
        <v>0</v>
      </c>
      <c r="D36" s="43">
        <v>0</v>
      </c>
      <c r="E36" s="43">
        <v>0</v>
      </c>
      <c r="F36" s="44">
        <f t="shared" si="0"/>
        <v>0</v>
      </c>
      <c r="G36" s="29"/>
      <c r="H36" s="29"/>
      <c r="I36" s="29"/>
      <c r="J36" s="29"/>
    </row>
    <row r="37" spans="1:10" ht="15" customHeight="1" x14ac:dyDescent="0.25">
      <c r="A37" s="3">
        <v>12</v>
      </c>
      <c r="B37" s="42" t="s">
        <v>155</v>
      </c>
      <c r="C37" s="43">
        <v>0</v>
      </c>
      <c r="D37" s="43">
        <v>0</v>
      </c>
      <c r="E37" s="43">
        <v>0</v>
      </c>
      <c r="F37" s="44">
        <f t="shared" si="0"/>
        <v>0</v>
      </c>
      <c r="G37" s="29"/>
      <c r="H37" s="29"/>
      <c r="I37" s="29"/>
      <c r="J37" s="29"/>
    </row>
    <row r="38" spans="1:10" ht="15" customHeight="1" x14ac:dyDescent="0.25">
      <c r="A38" s="3"/>
      <c r="B38" s="42"/>
      <c r="C38" s="43"/>
      <c r="D38" s="43"/>
      <c r="E38" s="43"/>
      <c r="F38" s="44">
        <f t="shared" si="0"/>
        <v>0</v>
      </c>
      <c r="G38" s="29"/>
      <c r="H38" s="29"/>
      <c r="I38" s="29"/>
      <c r="J38" s="29"/>
    </row>
    <row r="39" spans="1:10" ht="15" customHeight="1" x14ac:dyDescent="0.25">
      <c r="A39" s="3"/>
      <c r="B39" s="42"/>
      <c r="C39" s="43"/>
      <c r="D39" s="43"/>
      <c r="E39" s="43"/>
      <c r="F39" s="44">
        <f t="shared" si="0"/>
        <v>0</v>
      </c>
      <c r="G39" s="29"/>
      <c r="H39" s="29"/>
      <c r="I39" s="29"/>
      <c r="J39" s="29"/>
    </row>
    <row r="40" spans="1:10" ht="15" customHeight="1" x14ac:dyDescent="0.25">
      <c r="A40" s="3"/>
      <c r="B40" s="42"/>
      <c r="C40" s="43"/>
      <c r="D40" s="43"/>
      <c r="E40" s="43"/>
      <c r="F40" s="44">
        <f t="shared" si="0"/>
        <v>0</v>
      </c>
      <c r="G40" s="29"/>
      <c r="H40" s="29"/>
      <c r="I40" s="29"/>
      <c r="J40" s="29"/>
    </row>
    <row r="41" spans="1:10" ht="15" customHeight="1" x14ac:dyDescent="0.25">
      <c r="A41" s="3"/>
      <c r="B41" s="42"/>
      <c r="C41" s="43"/>
      <c r="D41" s="43"/>
      <c r="E41" s="43"/>
      <c r="F41" s="44">
        <f t="shared" si="0"/>
        <v>0</v>
      </c>
      <c r="G41" s="29"/>
      <c r="H41" s="29"/>
      <c r="I41" s="29"/>
      <c r="J41" s="29"/>
    </row>
    <row r="42" spans="1:10" ht="15" customHeight="1" x14ac:dyDescent="0.25">
      <c r="A42" s="3"/>
      <c r="B42" s="42"/>
      <c r="C42" s="43"/>
      <c r="D42" s="43"/>
      <c r="E42" s="43"/>
      <c r="F42" s="44">
        <f t="shared" si="0"/>
        <v>0</v>
      </c>
      <c r="G42" s="29"/>
      <c r="H42" s="29"/>
      <c r="I42" s="29"/>
      <c r="J42" s="29"/>
    </row>
    <row r="43" spans="1:10" ht="15" customHeight="1" x14ac:dyDescent="0.25">
      <c r="A43" s="3"/>
      <c r="B43" s="42"/>
      <c r="C43" s="43"/>
      <c r="D43" s="43"/>
      <c r="E43" s="43"/>
      <c r="F43" s="44">
        <f t="shared" si="0"/>
        <v>0</v>
      </c>
      <c r="G43" s="29"/>
      <c r="H43" s="29"/>
      <c r="I43" s="29"/>
      <c r="J43" s="29"/>
    </row>
    <row r="44" spans="1:10" ht="15" customHeight="1" x14ac:dyDescent="0.25">
      <c r="A44" s="3"/>
      <c r="B44" s="42"/>
      <c r="C44" s="43"/>
      <c r="D44" s="43"/>
      <c r="E44" s="43"/>
      <c r="F44" s="44">
        <f t="shared" si="0"/>
        <v>0</v>
      </c>
      <c r="G44" s="29"/>
      <c r="H44" s="29"/>
      <c r="I44" s="29"/>
      <c r="J44" s="29"/>
    </row>
    <row r="45" spans="1:10" ht="15" customHeight="1" x14ac:dyDescent="0.25">
      <c r="A45" s="3"/>
      <c r="B45" s="42"/>
      <c r="C45" s="43"/>
      <c r="D45" s="43"/>
      <c r="E45" s="43"/>
      <c r="F45" s="44">
        <f t="shared" si="0"/>
        <v>0</v>
      </c>
      <c r="G45" s="29"/>
      <c r="H45" s="29"/>
      <c r="I45" s="29"/>
      <c r="J45" s="29"/>
    </row>
    <row r="46" spans="1:10" ht="15" customHeight="1" x14ac:dyDescent="0.25">
      <c r="A46" s="1"/>
      <c r="C46" s="43"/>
      <c r="D46" s="43"/>
      <c r="E46" s="43"/>
      <c r="F46" s="45">
        <f>SUM(F30:F45)</f>
        <v>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95" t="s">
        <v>290</v>
      </c>
    </row>
    <row r="2" spans="1:8" ht="15" customHeight="1" x14ac:dyDescent="0.25">
      <c r="A2" s="12" t="s">
        <v>291</v>
      </c>
    </row>
    <row r="4" spans="1:8" ht="15" customHeight="1" x14ac:dyDescent="0.25">
      <c r="A4" s="47" t="s">
        <v>165</v>
      </c>
      <c r="B4" s="23" t="s">
        <v>208</v>
      </c>
      <c r="C4" s="23" t="s">
        <v>199</v>
      </c>
      <c r="D4" s="23" t="s">
        <v>292</v>
      </c>
      <c r="E4" s="23" t="s">
        <v>293</v>
      </c>
      <c r="F4" s="23" t="s">
        <v>294</v>
      </c>
      <c r="G4" s="23" t="s">
        <v>295</v>
      </c>
      <c r="H4" s="23" t="s">
        <v>296</v>
      </c>
    </row>
    <row r="5" spans="1:8" ht="15" customHeight="1" x14ac:dyDescent="0.25">
      <c r="A5" s="3">
        <v>1</v>
      </c>
      <c r="B5" s="42"/>
      <c r="C5" s="15">
        <v>0</v>
      </c>
      <c r="D5" s="48">
        <v>1E-3</v>
      </c>
      <c r="E5" s="15">
        <v>0</v>
      </c>
      <c r="F5" s="15">
        <v>0</v>
      </c>
      <c r="G5" s="15">
        <v>0</v>
      </c>
      <c r="H5" s="48">
        <v>10000000.001</v>
      </c>
    </row>
    <row r="6" spans="1:8" ht="15" customHeight="1" x14ac:dyDescent="0.25">
      <c r="A6" s="3">
        <v>2</v>
      </c>
      <c r="B6" s="42"/>
      <c r="C6" s="15">
        <v>0</v>
      </c>
      <c r="D6" s="48">
        <v>2E-3</v>
      </c>
      <c r="E6" s="15">
        <v>0</v>
      </c>
      <c r="F6" s="15">
        <v>0</v>
      </c>
      <c r="G6" s="15">
        <v>0</v>
      </c>
      <c r="H6" s="48">
        <v>10000000.002</v>
      </c>
    </row>
    <row r="7" spans="1:8" ht="15" customHeight="1" x14ac:dyDescent="0.25">
      <c r="A7" s="3">
        <v>3</v>
      </c>
      <c r="B7" s="42"/>
      <c r="C7" s="15">
        <v>0</v>
      </c>
      <c r="D7" s="48">
        <v>3.0000000000000001E-3</v>
      </c>
      <c r="E7" s="15">
        <v>0</v>
      </c>
      <c r="F7" s="15">
        <v>0</v>
      </c>
      <c r="G7" s="15">
        <v>0</v>
      </c>
      <c r="H7" s="48">
        <v>10000000.003</v>
      </c>
    </row>
    <row r="8" spans="1:8" ht="15" customHeight="1" x14ac:dyDescent="0.25">
      <c r="A8" s="3">
        <v>4</v>
      </c>
      <c r="B8" s="42"/>
      <c r="C8" s="15">
        <v>0</v>
      </c>
      <c r="D8" s="48">
        <v>4.0000000000000001E-3</v>
      </c>
      <c r="E8" s="15">
        <v>0</v>
      </c>
      <c r="F8" s="15">
        <v>0</v>
      </c>
      <c r="G8" s="15">
        <v>0</v>
      </c>
      <c r="H8" s="48">
        <v>10000000.004000001</v>
      </c>
    </row>
    <row r="9" spans="1:8" ht="15" customHeight="1" x14ac:dyDescent="0.25">
      <c r="A9" s="3">
        <v>5</v>
      </c>
      <c r="B9" s="42"/>
      <c r="C9" s="15">
        <v>0</v>
      </c>
      <c r="D9" s="48">
        <v>5.0000000000000001E-3</v>
      </c>
      <c r="E9" s="15">
        <v>0</v>
      </c>
      <c r="F9" s="15">
        <v>0</v>
      </c>
      <c r="G9" s="15">
        <v>0</v>
      </c>
      <c r="H9" s="48">
        <v>10000000.005000001</v>
      </c>
    </row>
    <row r="10" spans="1:8" ht="15" customHeight="1" x14ac:dyDescent="0.25">
      <c r="A10" s="3">
        <v>6</v>
      </c>
      <c r="B10" s="42"/>
      <c r="C10" s="15">
        <v>0</v>
      </c>
      <c r="D10" s="48">
        <v>6.0000000000000001E-3</v>
      </c>
      <c r="E10" s="15">
        <v>0</v>
      </c>
      <c r="F10" s="15">
        <v>0</v>
      </c>
      <c r="G10" s="15">
        <v>0</v>
      </c>
      <c r="H10" s="48">
        <v>10000000.005999999</v>
      </c>
    </row>
    <row r="11" spans="1:8" ht="15" customHeight="1" x14ac:dyDescent="0.25">
      <c r="A11" s="3"/>
      <c r="B11" s="42"/>
      <c r="C11" s="15"/>
      <c r="D11" s="48"/>
      <c r="E11" s="15"/>
      <c r="F11" s="15"/>
      <c r="G11" s="15"/>
      <c r="H11" s="48"/>
    </row>
    <row r="12" spans="1:8" ht="15" customHeight="1" x14ac:dyDescent="0.25">
      <c r="A12" s="94" t="s">
        <v>297</v>
      </c>
      <c r="B12" s="42"/>
      <c r="C12" s="15"/>
      <c r="D12" s="48"/>
      <c r="E12" s="15"/>
      <c r="F12" s="15"/>
      <c r="G12" s="15"/>
      <c r="H12" s="48"/>
    </row>
    <row r="14" spans="1:8" ht="15" customHeight="1" x14ac:dyDescent="0.25">
      <c r="A14" s="78"/>
    </row>
    <row r="15" spans="1:8" ht="15" customHeight="1" x14ac:dyDescent="0.25">
      <c r="A15" s="26"/>
      <c r="B15" s="26"/>
      <c r="C15" s="26"/>
      <c r="D15" s="49"/>
      <c r="E15" s="26"/>
      <c r="F15" s="26"/>
      <c r="G15" s="26"/>
    </row>
    <row r="16" spans="1:8" ht="15" customHeight="1" x14ac:dyDescent="0.25">
      <c r="A16" s="41"/>
      <c r="B16" s="41"/>
      <c r="C16" s="3"/>
      <c r="D16" s="3"/>
      <c r="E16" s="33"/>
    </row>
    <row r="17" spans="1:5" ht="15" customHeight="1" x14ac:dyDescent="0.25">
      <c r="A17" s="41"/>
      <c r="B17" s="41"/>
      <c r="C17" s="3"/>
      <c r="D17" s="3"/>
      <c r="E17" s="33"/>
    </row>
    <row r="18" spans="1:5" ht="15" customHeight="1" x14ac:dyDescent="0.25">
      <c r="A18" s="41"/>
      <c r="B18" s="41"/>
      <c r="C18" s="3"/>
      <c r="D18" s="3"/>
      <c r="E18" s="33"/>
    </row>
    <row r="19" spans="1:5" ht="15" customHeight="1" x14ac:dyDescent="0.25">
      <c r="A19" s="41"/>
      <c r="B19" s="41"/>
      <c r="C19" s="3"/>
      <c r="D19" s="3"/>
      <c r="E19" s="33"/>
    </row>
    <row r="20" spans="1:5" ht="15" customHeight="1" x14ac:dyDescent="0.25">
      <c r="A20" s="41">
        <v>5</v>
      </c>
      <c r="B20" s="41">
        <f>INDEX($B$5:$B$12,MATCH(LARGE($H$5:$H$12,5),$H$5:$H$12,0))</f>
        <v>0</v>
      </c>
      <c r="C20" s="3">
        <f>INDEX($C$5:$C$12,MATCH(LARGE($H$5:$H$12,5),$H$5:$H$12,0))</f>
        <v>0</v>
      </c>
      <c r="D20" s="3"/>
      <c r="E20" s="50" t="s">
        <v>298</v>
      </c>
    </row>
    <row r="21" spans="1:5" ht="15" customHeight="1" x14ac:dyDescent="0.25">
      <c r="A21" s="41">
        <v>6</v>
      </c>
      <c r="B21" s="41">
        <f>INDEX($B$5:$B$12,MATCH(LARGE($H$5:$H$12,6),$H$5:$H$12,0))</f>
        <v>0</v>
      </c>
      <c r="C21" s="3">
        <f>INDEX($C$5:$C$12,MATCH(LARGE($H$5:$H$12,6),$H$5:$H$12,0))</f>
        <v>0</v>
      </c>
      <c r="D21" s="3"/>
      <c r="E21" s="50" t="s">
        <v>298</v>
      </c>
    </row>
    <row r="22" spans="1:5" ht="15" customHeight="1" x14ac:dyDescent="0.25">
      <c r="A22" s="41">
        <v>7</v>
      </c>
      <c r="B22" s="41" t="e">
        <f>INDEX($B$5:$B$12,MATCH(LARGE($H$5:$H$12,7),$H$5:$H$12,0))</f>
        <v>#NUM!</v>
      </c>
      <c r="C22" s="3" t="e">
        <f>INDEX($C$5:$C$12,MATCH(LARGE($H$5:$H$12,7),$H$5:$H$12,0))</f>
        <v>#NUM!</v>
      </c>
      <c r="D22" s="3"/>
      <c r="E22" s="50" t="s">
        <v>298</v>
      </c>
    </row>
    <row r="23" spans="1:5" ht="15" customHeight="1" x14ac:dyDescent="0.25">
      <c r="A23" s="41">
        <v>8</v>
      </c>
      <c r="B23" s="41" t="e">
        <f>INDEX($B$5:$B$12,MATCH(LARGE($H$5:$H$12,8),$H$5:$H$12,0))</f>
        <v>#NUM!</v>
      </c>
      <c r="C23" s="3" t="e">
        <f>INDEX($C$5:$C$12,MATCH(LARGE($H$5:$H$12,8),$H$5:$H$12,0))</f>
        <v>#NUM!</v>
      </c>
      <c r="D23" s="3"/>
      <c r="E23" s="50" t="s">
        <v>298</v>
      </c>
    </row>
    <row r="25" spans="1:5" ht="15" customHeight="1" x14ac:dyDescent="0.25">
      <c r="A25" s="12" t="s">
        <v>299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D700"/>
  </sheetPr>
  <dimension ref="A1:L25"/>
  <sheetViews>
    <sheetView zoomScaleNormal="100" workbookViewId="0">
      <selection activeCell="H15" sqref="H15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101" t="s">
        <v>300</v>
      </c>
      <c r="B1" s="99"/>
      <c r="C1" s="99"/>
      <c r="D1" s="99"/>
      <c r="E1" s="99"/>
      <c r="F1" s="99"/>
      <c r="G1" s="99"/>
      <c r="H1" s="100"/>
    </row>
    <row r="2" spans="1:12" ht="15" customHeight="1" x14ac:dyDescent="0.25">
      <c r="A2" s="12" t="s">
        <v>301</v>
      </c>
    </row>
    <row r="4" spans="1:12" ht="15" customHeight="1" x14ac:dyDescent="0.25">
      <c r="A4" s="98" t="s">
        <v>302</v>
      </c>
      <c r="B4" s="99"/>
      <c r="C4" s="99"/>
      <c r="D4" s="99"/>
      <c r="E4" s="99"/>
      <c r="F4" s="99"/>
      <c r="G4" s="99"/>
      <c r="H4" s="100"/>
    </row>
    <row r="5" spans="1:12" ht="15" customHeight="1" x14ac:dyDescent="0.25">
      <c r="A5" s="26" t="s">
        <v>208</v>
      </c>
      <c r="B5" s="26" t="s">
        <v>303</v>
      </c>
      <c r="C5" s="26" t="s">
        <v>304</v>
      </c>
      <c r="D5" s="26" t="s">
        <v>305</v>
      </c>
      <c r="E5" s="26" t="s">
        <v>306</v>
      </c>
      <c r="F5" s="26" t="s">
        <v>307</v>
      </c>
      <c r="G5" s="26" t="s">
        <v>308</v>
      </c>
      <c r="H5" s="26" t="s">
        <v>309</v>
      </c>
      <c r="I5" s="26" t="s">
        <v>310</v>
      </c>
      <c r="K5" s="26" t="s">
        <v>311</v>
      </c>
      <c r="L5" s="26" t="s">
        <v>312</v>
      </c>
    </row>
    <row r="6" spans="1:12" ht="15" customHeight="1" x14ac:dyDescent="0.25">
      <c r="A6" s="51">
        <f>'Playoff Wild Card'!B16</f>
        <v>0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>
        <f>'Playoff Wild Card'!B17</f>
        <v>0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>
        <f>'Playoff Wild Card'!B18</f>
        <v>0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>
        <f>'Playoff Wild Card'!B19</f>
        <v>0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103" t="s">
        <v>313</v>
      </c>
      <c r="B11" s="99"/>
      <c r="C11" s="99"/>
      <c r="D11" s="99"/>
      <c r="E11" s="99"/>
      <c r="F11" s="99"/>
      <c r="G11" s="99"/>
      <c r="H11" s="100"/>
    </row>
    <row r="12" spans="1:12" ht="15" customHeight="1" x14ac:dyDescent="0.25">
      <c r="A12" s="16" t="s">
        <v>314</v>
      </c>
      <c r="B12" s="16" t="s">
        <v>208</v>
      </c>
      <c r="C12" s="16" t="s">
        <v>303</v>
      </c>
      <c r="D12" s="16" t="s">
        <v>315</v>
      </c>
      <c r="E12" s="16" t="s">
        <v>316</v>
      </c>
      <c r="F12" s="16" t="s">
        <v>317</v>
      </c>
      <c r="G12" s="16" t="s">
        <v>318</v>
      </c>
      <c r="H12" s="16" t="s">
        <v>319</v>
      </c>
    </row>
    <row r="13" spans="1:12" ht="15" customHeight="1" x14ac:dyDescent="0.25">
      <c r="A13" s="57" t="s">
        <v>320</v>
      </c>
      <c r="B13" s="41">
        <f>INDEX($A$6:$A$9,MATCH(LARGE($J$6:$J$9,1),$J$6:$J$9,0))</f>
        <v>0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252</v>
      </c>
    </row>
    <row r="14" spans="1:12" ht="15" customHeight="1" x14ac:dyDescent="0.25">
      <c r="A14" s="59" t="s">
        <v>321</v>
      </c>
      <c r="B14" s="41">
        <f>INDEX($A$6:$A$9,MATCH(LARGE($J$6:$J$9,2),$J$6:$J$9,0))</f>
        <v>0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254</v>
      </c>
    </row>
    <row r="15" spans="1:12" ht="15" customHeight="1" x14ac:dyDescent="0.25">
      <c r="A15" s="60" t="s">
        <v>322</v>
      </c>
      <c r="B15" s="41">
        <f>INDEX($A$6:$A$9,MATCH(LARGE($J$6:$J$9,3),$J$6:$J$9,0))</f>
        <v>0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256</v>
      </c>
    </row>
    <row r="16" spans="1:12" ht="15" customHeight="1" x14ac:dyDescent="0.25">
      <c r="A16" s="61" t="s">
        <v>323</v>
      </c>
      <c r="B16" s="41">
        <f>INDEX($A$6:$A$9,MATCH(LARGE($J$6:$J$9,4),$J$6:$J$9,0))</f>
        <v>0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324</v>
      </c>
    </row>
    <row r="18" spans="1:4" ht="15" customHeight="1" x14ac:dyDescent="0.25">
      <c r="A18" s="12" t="s">
        <v>325</v>
      </c>
    </row>
    <row r="20" spans="1:4" ht="15" customHeight="1" x14ac:dyDescent="0.25">
      <c r="A20" s="104" t="s">
        <v>326</v>
      </c>
      <c r="B20" s="99"/>
      <c r="C20" s="99"/>
      <c r="D20" s="100"/>
    </row>
    <row r="21" spans="1:4" ht="21.75" customHeight="1" x14ac:dyDescent="0.25">
      <c r="A21" s="38" t="s">
        <v>208</v>
      </c>
      <c r="B21" s="38" t="s">
        <v>327</v>
      </c>
      <c r="C21" s="38" t="s">
        <v>328</v>
      </c>
      <c r="D21" s="38" t="s">
        <v>329</v>
      </c>
    </row>
    <row r="22" spans="1:4" ht="15" customHeight="1" x14ac:dyDescent="0.25">
      <c r="A22" s="42">
        <f>$A$6</f>
        <v>0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>
        <f>$A$7</f>
        <v>0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>
        <f>$A$8</f>
        <v>0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>
        <f>$A$9</f>
        <v>0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166</v>
      </c>
      <c r="B1" t="s">
        <v>167</v>
      </c>
      <c r="C1" t="s">
        <v>330</v>
      </c>
      <c r="D1" t="s">
        <v>331</v>
      </c>
      <c r="E1" t="s">
        <v>332</v>
      </c>
      <c r="F1" t="s">
        <v>333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L1" t="s">
        <v>339</v>
      </c>
      <c r="M1" t="s">
        <v>340</v>
      </c>
      <c r="N1" t="s">
        <v>341</v>
      </c>
      <c r="O1" t="s">
        <v>342</v>
      </c>
      <c r="P1" t="s">
        <v>343</v>
      </c>
      <c r="Q1" t="s">
        <v>344</v>
      </c>
      <c r="R1" t="s">
        <v>345</v>
      </c>
      <c r="S1" t="s">
        <v>346</v>
      </c>
      <c r="T1" t="s">
        <v>347</v>
      </c>
      <c r="U1" t="s">
        <v>348</v>
      </c>
      <c r="V1" t="s">
        <v>349</v>
      </c>
      <c r="W1" t="s">
        <v>350</v>
      </c>
      <c r="X1" t="s">
        <v>351</v>
      </c>
      <c r="Y1" t="s">
        <v>352</v>
      </c>
      <c r="Z1" t="s">
        <v>353</v>
      </c>
      <c r="AA1" t="s">
        <v>354</v>
      </c>
      <c r="AB1" t="s">
        <v>355</v>
      </c>
      <c r="AC1" t="s">
        <v>356</v>
      </c>
      <c r="AD1" t="s">
        <v>357</v>
      </c>
      <c r="AE1" t="s">
        <v>358</v>
      </c>
      <c r="AF1" t="s">
        <v>359</v>
      </c>
      <c r="AG1" t="s">
        <v>360</v>
      </c>
      <c r="AH1" t="s">
        <v>361</v>
      </c>
      <c r="AI1" t="s">
        <v>362</v>
      </c>
      <c r="AJ1" t="s">
        <v>363</v>
      </c>
      <c r="AK1" t="s">
        <v>364</v>
      </c>
      <c r="AL1" t="s">
        <v>365</v>
      </c>
      <c r="AM1" t="s">
        <v>366</v>
      </c>
      <c r="AN1" t="s">
        <v>367</v>
      </c>
      <c r="AO1" t="s">
        <v>368</v>
      </c>
    </row>
    <row r="2" spans="1:41" ht="15" customHeight="1" x14ac:dyDescent="0.25">
      <c r="A2">
        <v>1</v>
      </c>
      <c r="B2" t="str">
        <f>VLOOKUP(A2,Roster!$A$3:$B$18,2,FALSE())</f>
        <v>Evan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3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3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3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3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3" si="4">COUNTIF(U2:Z2,"W")+COUNTIF(U2:Z2,"T")*0.5</f>
        <v>0</v>
      </c>
      <c r="AB2">
        <f t="shared" ref="AB2:AB13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3" si="6">AA2+A2*0.0001</f>
        <v>1E-4</v>
      </c>
      <c r="AE2">
        <f t="shared" ref="AE2:AE13" si="7">I2+R2+AC2</f>
        <v>0</v>
      </c>
      <c r="AF2">
        <f t="shared" ref="AF2:AF13" si="8">AE2+A2*0.0001</f>
        <v>1E-4</v>
      </c>
      <c r="AG2">
        <f t="shared" ref="AG2:AG13" si="9">MAX(C2:H2)</f>
        <v>0</v>
      </c>
      <c r="AH2">
        <f t="shared" ref="AH2:AH13" si="10">I2*100000+AG2*1000+J2*10+A2*0.01</f>
        <v>0.01</v>
      </c>
      <c r="AI2">
        <f t="shared" ref="AI2:AI13" si="11">MAX(L2:Q2)</f>
        <v>0</v>
      </c>
      <c r="AJ2">
        <f t="shared" ref="AJ2:AJ13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3" si="13">AA2*100000+AC2*1000+AK2*10+A2*0.01</f>
        <v>0.01</v>
      </c>
      <c r="AM2">
        <f t="shared" ref="AM2:AM13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0</v>
      </c>
      <c r="AO5">
        <f t="shared" si="15"/>
        <v>0.04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Larry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0</v>
      </c>
      <c r="AO9">
        <f t="shared" si="15"/>
        <v>0.08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0</v>
      </c>
      <c r="AO13">
        <f t="shared" si="15"/>
        <v>0.12</v>
      </c>
    </row>
    <row r="14" spans="1:41" ht="15" customHeight="1" x14ac:dyDescent="0.25">
      <c r="AN14">
        <f>COUNTIF('Playoff Picture'!$E$5:$E$10,B14)</f>
        <v>0</v>
      </c>
      <c r="AO14">
        <f t="shared" si="15"/>
        <v>0</v>
      </c>
    </row>
    <row r="15" spans="1:41" ht="15" customHeight="1" x14ac:dyDescent="0.25">
      <c r="AN15">
        <f>COUNTIF('Playoff Picture'!$E$5:$E$10,B15)</f>
        <v>0</v>
      </c>
      <c r="AO15">
        <f t="shared" si="15"/>
        <v>0</v>
      </c>
    </row>
    <row r="16" spans="1:41" ht="15" customHeight="1" x14ac:dyDescent="0.25">
      <c r="AN16">
        <f>COUNTIF('Playoff Picture'!$E$5:$E$10,B16)</f>
        <v>0</v>
      </c>
      <c r="AO16">
        <f t="shared" si="15"/>
        <v>0</v>
      </c>
    </row>
    <row r="17" spans="40:41" ht="15" customHeight="1" x14ac:dyDescent="0.25">
      <c r="AN17">
        <f>COUNTIF('Playoff Picture'!$E$5:$E$10,B17)</f>
        <v>0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105" t="s">
        <v>369</v>
      </c>
      <c r="B1" s="97"/>
      <c r="C1" s="97"/>
      <c r="D1" s="97"/>
    </row>
    <row r="3" spans="1:4" x14ac:dyDescent="0.25">
      <c r="A3" s="62" t="s">
        <v>370</v>
      </c>
    </row>
    <row r="4" spans="1:4" x14ac:dyDescent="0.25">
      <c r="A4" s="106" t="s">
        <v>371</v>
      </c>
      <c r="B4" s="97"/>
      <c r="C4" s="97"/>
      <c r="D4" s="97"/>
    </row>
    <row r="6" spans="1:4" x14ac:dyDescent="0.25">
      <c r="A6" s="63" t="s">
        <v>372</v>
      </c>
      <c r="B6" s="63" t="s">
        <v>373</v>
      </c>
      <c r="C6" s="63" t="s">
        <v>374</v>
      </c>
    </row>
    <row r="7" spans="1:4" ht="27.95" customHeight="1" x14ac:dyDescent="0.25">
      <c r="A7" s="66"/>
      <c r="B7" s="64"/>
      <c r="C7" s="65" t="s">
        <v>375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2026-09-09T15:06:03Z</dcterms:modified>
  <dc:language>en-US</dc:language>
</cp:coreProperties>
</file>