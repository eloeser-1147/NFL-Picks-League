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023" documentId="11_C5FB6D5EBB7DB41C9C4944A345A03722CFCA9995" xr6:coauthVersionLast="47" xr6:coauthVersionMax="47" xr10:uidLastSave="{8502DABB-D82F-4129-8B00-917C1A4AEDB8}"/>
  <bookViews>
    <workbookView xWindow="-2892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D23" i="8"/>
  <c r="B23" i="8"/>
  <c r="F21" i="8"/>
  <c r="B21" i="8"/>
  <c r="F20" i="8"/>
  <c r="B20" i="8"/>
  <c r="B19" i="8"/>
  <c r="B18" i="8"/>
  <c r="B13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75" i="5" l="1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E72" i="5" l="1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70" i="5" l="1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<sst xmlns="http://schemas.openxmlformats.org/spreadsheetml/2006/main" count="4115" uniqueCount="346">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</sst>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5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60" zoomScaleNormal="100" workbookViewId="0">
      <selection activeCell="Q84" sqref="Q84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3" t="s">
        <v>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5" customHeight="1" x14ac:dyDescent="0.25">
      <c r="A2" s="24" t="s">
        <v>51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spans="1:17" ht="15" customHeight="1" x14ac:dyDescent="0.25">
      <c r="A4" s="22" t="s">
        <v>52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2" t="s">
        <v>90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2" t="s">
        <v>91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2" t="s">
        <v>92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2" t="s">
        <v>93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2" t="s">
        <v>94</v>
      </c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2" t="s">
        <v>95</v>
      </c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2" t="s">
        <v>96</v>
      </c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2" t="s">
        <v>97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2" t="s">
        <v>98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2" t="s">
        <v>99</v>
      </c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2" t="s">
        <v>100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2" t="s">
        <v>101</v>
      </c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2" t="s">
        <v>102</v>
      </c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2" t="s">
        <v>103</v>
      </c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2" t="s">
        <v>104</v>
      </c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2" t="s">
        <v>105</v>
      </c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2" t="s">
        <v>106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58" zoomScaleNormal="100" workbookViewId="0">
      <selection activeCell="H92" sqref="H92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48" zoomScaleNormal="100" workbookViewId="0">
      <selection activeCell="C77" sqref="C7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8</v>
      </c>
      <c r="D66">
        <v>11</v>
      </c>
      <c r="E66">
        <f>IFERROR(INDEX(C$66:C$77,MATCH(11,A$66:A$77,0)),0)</f>
        <v>4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8</v>
      </c>
      <c r="I66">
        <f t="shared" ref="I66:I77" si="14">G66+H66</f>
        <v>14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8</v>
      </c>
      <c r="D67">
        <v>12</v>
      </c>
      <c r="E67">
        <f>IFERROR(INDEX(C$66:C$77,MATCH(12,A$66:A$77,0)),0)</f>
        <v>3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8</v>
      </c>
      <c r="I67">
        <f t="shared" si="14"/>
        <v>14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4</v>
      </c>
      <c r="D68">
        <v>5</v>
      </c>
      <c r="E68">
        <f>IFERROR(INDEX(C$66:C$77,MATCH(5,A$66:A$77,0)),0)</f>
        <v>8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4</v>
      </c>
      <c r="I68">
        <f t="shared" si="14"/>
        <v>4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9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8</v>
      </c>
      <c r="D70">
        <v>3</v>
      </c>
      <c r="E70">
        <f>IFERROR(INDEX(C$66:C$77,MATCH(3,A$66:A$77,0)),0)</f>
        <v>4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8</v>
      </c>
      <c r="I70">
        <f t="shared" si="14"/>
        <v>14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9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9</v>
      </c>
      <c r="I71">
        <f t="shared" si="14"/>
        <v>15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6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L</v>
      </c>
      <c r="G72">
        <f t="shared" si="12"/>
        <v>0</v>
      </c>
      <c r="H72">
        <f t="shared" si="13"/>
        <v>6</v>
      </c>
      <c r="I72">
        <f t="shared" si="14"/>
        <v>6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6</v>
      </c>
      <c r="D73">
        <v>9</v>
      </c>
      <c r="E73">
        <f>IFERROR(INDEX(C$66:C$77,MATCH(9,A$66:A$77,0)),0)</f>
        <v>5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6</v>
      </c>
      <c r="I73">
        <f t="shared" si="14"/>
        <v>12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5</v>
      </c>
      <c r="D74">
        <v>8</v>
      </c>
      <c r="E74">
        <f>IFERROR(INDEX(C$66:C$77,MATCH(8,A$66:A$77,0)),0)</f>
        <v>6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5</v>
      </c>
      <c r="I74">
        <f t="shared" si="14"/>
        <v>5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6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W</v>
      </c>
      <c r="G75">
        <f t="shared" si="12"/>
        <v>6</v>
      </c>
      <c r="H75">
        <f t="shared" si="13"/>
        <v>7</v>
      </c>
      <c r="I75">
        <f t="shared" si="14"/>
        <v>13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4</v>
      </c>
      <c r="D76">
        <v>1</v>
      </c>
      <c r="E76">
        <f>IFERROR(INDEX(C$66:C$77,MATCH(1,A$66:A$77,0)),0)</f>
        <v>8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4</v>
      </c>
      <c r="I76">
        <f t="shared" si="14"/>
        <v>4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3</v>
      </c>
      <c r="D77">
        <v>2</v>
      </c>
      <c r="E77">
        <f>IFERROR(INDEX(C$66:C$77,MATCH(2,A$66:A$77,0)),0)</f>
        <v>8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3</v>
      </c>
      <c r="I77">
        <f t="shared" si="14"/>
        <v>3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8</v>
      </c>
      <c r="H3">
        <f>Helper!H2</f>
        <v>0</v>
      </c>
      <c r="I3">
        <f>Helper!I2</f>
        <v>56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8</v>
      </c>
      <c r="H4">
        <f>Helper!H3</f>
        <v>0</v>
      </c>
      <c r="I4">
        <f>Helper!I3</f>
        <v>56</v>
      </c>
      <c r="J4">
        <f>Helper!J3</f>
        <v>3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4</v>
      </c>
      <c r="H5">
        <f>Helper!H4</f>
        <v>0</v>
      </c>
      <c r="I5">
        <f>Helper!I4</f>
        <v>53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8</v>
      </c>
      <c r="H7">
        <f>Helper!H6</f>
        <v>0</v>
      </c>
      <c r="I7">
        <f>Helper!I6</f>
        <v>51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9</v>
      </c>
      <c r="H8">
        <f>Helper!H7</f>
        <v>0</v>
      </c>
      <c r="I8">
        <f>Helper!I7</f>
        <v>49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6</v>
      </c>
      <c r="H9">
        <f>Helper!H8</f>
        <v>0</v>
      </c>
      <c r="I9">
        <f>Helper!I8</f>
        <v>39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6</v>
      </c>
      <c r="H10">
        <f>Helper!H9</f>
        <v>0</v>
      </c>
      <c r="I10">
        <f>Helper!I9</f>
        <v>36</v>
      </c>
      <c r="J10">
        <f>Helper!J9</f>
        <v>0</v>
      </c>
      <c r="K10">
        <f>MAX(Helper!C9:H9)</f>
        <v>11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5</v>
      </c>
      <c r="H11">
        <f>Helper!H10</f>
        <v>0</v>
      </c>
      <c r="I11">
        <f>Helper!I10</f>
        <v>42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0</v>
      </c>
      <c r="I12">
        <f>Helper!I11</f>
        <v>56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4</v>
      </c>
      <c r="H13">
        <f>Helper!H12</f>
        <v>0</v>
      </c>
      <c r="I13">
        <f>Helper!I12</f>
        <v>47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3</v>
      </c>
      <c r="H14">
        <f>Helper!H13</f>
        <v>0</v>
      </c>
      <c r="I14">
        <f>Helper!I13</f>
        <v>41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56</v>
      </c>
      <c r="D57">
        <f>Helper!R2</f>
        <v>0</v>
      </c>
      <c r="E57">
        <f>Helper!AC2</f>
        <v>0</v>
      </c>
      <c r="F57">
        <f>Helper!AE2</f>
        <v>56</v>
      </c>
      <c r="G57">
        <f>Helper!K2</f>
        <v>56.000100000000003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56</v>
      </c>
      <c r="D58">
        <f>Helper!R3</f>
        <v>0</v>
      </c>
      <c r="E58">
        <f>Helper!AC3</f>
        <v>0</v>
      </c>
      <c r="F58">
        <f>Helper!AE3</f>
        <v>56</v>
      </c>
      <c r="G58">
        <f>Helper!K3</f>
        <v>56.0002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53</v>
      </c>
      <c r="D59">
        <f>Helper!R4</f>
        <v>0</v>
      </c>
      <c r="E59">
        <f>Helper!AC4</f>
        <v>0</v>
      </c>
      <c r="F59">
        <f>Helper!AE4</f>
        <v>53</v>
      </c>
      <c r="G59">
        <f>Helper!K4</f>
        <v>53.000300000000003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51</v>
      </c>
      <c r="D61">
        <f>Helper!R6</f>
        <v>0</v>
      </c>
      <c r="E61">
        <f>Helper!AC6</f>
        <v>0</v>
      </c>
      <c r="F61">
        <f>Helper!AE6</f>
        <v>51</v>
      </c>
      <c r="G61">
        <f>Helper!K6</f>
        <v>51.000500000000002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49</v>
      </c>
      <c r="D62">
        <f>Helper!R7</f>
        <v>0</v>
      </c>
      <c r="E62">
        <f>Helper!AC7</f>
        <v>0</v>
      </c>
      <c r="F62">
        <f>Helper!AE7</f>
        <v>49</v>
      </c>
      <c r="G62">
        <f>Helper!K7</f>
        <v>49.000599999999999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39</v>
      </c>
      <c r="D63">
        <f>Helper!R8</f>
        <v>0</v>
      </c>
      <c r="E63">
        <f>Helper!AC8</f>
        <v>0</v>
      </c>
      <c r="F63">
        <f>Helper!AE8</f>
        <v>39</v>
      </c>
      <c r="G63">
        <f>Helper!K8</f>
        <v>39.000700000000002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36</v>
      </c>
      <c r="D64">
        <f>Helper!R9</f>
        <v>0</v>
      </c>
      <c r="E64">
        <f>Helper!AC9</f>
        <v>0</v>
      </c>
      <c r="F64">
        <f>Helper!AE9</f>
        <v>36</v>
      </c>
      <c r="G64">
        <f>Helper!K9</f>
        <v>36.000799999999998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42</v>
      </c>
      <c r="D65">
        <f>Helper!R10</f>
        <v>0</v>
      </c>
      <c r="E65">
        <f>Helper!AC10</f>
        <v>0</v>
      </c>
      <c r="F65">
        <f>Helper!AE10</f>
        <v>42</v>
      </c>
      <c r="G65">
        <f>Helper!K10</f>
        <v>42.000900000000001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56</v>
      </c>
      <c r="D66">
        <f>Helper!R11</f>
        <v>0</v>
      </c>
      <c r="E66">
        <f>Helper!AC11</f>
        <v>0</v>
      </c>
      <c r="F66">
        <f>Helper!AE11</f>
        <v>56</v>
      </c>
      <c r="G66">
        <f>Helper!K11</f>
        <v>56.000999999999998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47</v>
      </c>
      <c r="D67">
        <f>Helper!R12</f>
        <v>0</v>
      </c>
      <c r="E67">
        <f>Helper!AC12</f>
        <v>0</v>
      </c>
      <c r="F67">
        <f>Helper!AE12</f>
        <v>47</v>
      </c>
      <c r="G67">
        <f>Helper!K12</f>
        <v>47.001100000000001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41</v>
      </c>
      <c r="D68">
        <f>Helper!R13</f>
        <v>0</v>
      </c>
      <c r="E68">
        <f>Helper!AC13</f>
        <v>0</v>
      </c>
      <c r="F68">
        <f>Helper!AE13</f>
        <v>41</v>
      </c>
      <c r="G68">
        <f>Helper!K13</f>
        <v>41.001199999999997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Chris Simmons</v>
      </c>
      <c r="C13">
        <f>INDEX(I$40:I$51,MATCH(MAX(K$40:K$51),K$40:K$51,0))</f>
        <v>56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Chris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56</v>
      </c>
      <c r="J40" t="b">
        <f t="shared" ref="J40:J51" si="1">OR(H40=$E$5,H40=$E$6,H40=$E$7,H40=$E$8,H40=$E$9)</f>
        <v>0</v>
      </c>
      <c r="K40">
        <f>IF(J40,-1,I40+0.00001)</f>
        <v>56.000010000000003</v>
      </c>
    </row>
    <row r="41" spans="1:11" ht="15" customHeight="1" x14ac:dyDescent="0.25">
      <c r="H41" t="str">
        <f>Roster!B4</f>
        <v>Chris Simmons</v>
      </c>
      <c r="I41">
        <f>Helper!AE3</f>
        <v>56</v>
      </c>
      <c r="J41" t="b">
        <f t="shared" si="1"/>
        <v>0</v>
      </c>
      <c r="K41">
        <f>IF(J41,-1,I41+0.00002)</f>
        <v>56.000019999999999</v>
      </c>
    </row>
    <row r="42" spans="1:11" ht="15" customHeight="1" x14ac:dyDescent="0.25">
      <c r="H42" t="str">
        <f>Roster!B5</f>
        <v>Jack Smith</v>
      </c>
      <c r="I42">
        <f>Helper!AE4</f>
        <v>53</v>
      </c>
      <c r="J42" t="b">
        <f t="shared" si="1"/>
        <v>0</v>
      </c>
      <c r="K42">
        <f>IF(J42,-1,I42+0.00003)</f>
        <v>53.000030000000002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51</v>
      </c>
      <c r="J44" t="b">
        <f t="shared" si="1"/>
        <v>0</v>
      </c>
      <c r="K44">
        <f>IF(J44,-1,I44+0.00005)</f>
        <v>51.000050000000002</v>
      </c>
    </row>
    <row r="45" spans="1:11" ht="15" customHeight="1" x14ac:dyDescent="0.25">
      <c r="H45" t="str">
        <f>Roster!B8</f>
        <v>Alan Loeser</v>
      </c>
      <c r="I45">
        <f>Helper!AE7</f>
        <v>49</v>
      </c>
      <c r="J45" t="b">
        <f t="shared" si="1"/>
        <v>0</v>
      </c>
      <c r="K45">
        <f>IF(J45,-1,I45+0.00006)</f>
        <v>49.000059999999998</v>
      </c>
    </row>
    <row r="46" spans="1:11" ht="15" customHeight="1" x14ac:dyDescent="0.25">
      <c r="H46" t="str">
        <f>Roster!B9</f>
        <v>Caleb Simmons</v>
      </c>
      <c r="I46">
        <f>Helper!AE8</f>
        <v>39</v>
      </c>
      <c r="J46" t="b">
        <f t="shared" si="1"/>
        <v>0</v>
      </c>
      <c r="K46">
        <f>IF(J46,-1,I46+0.00007)</f>
        <v>39.000070000000001</v>
      </c>
    </row>
    <row r="47" spans="1:11" ht="15" customHeight="1" x14ac:dyDescent="0.25">
      <c r="H47" t="str">
        <f>Roster!B10</f>
        <v>Larry Loeser</v>
      </c>
      <c r="I47">
        <f>Helper!AE9</f>
        <v>36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42</v>
      </c>
      <c r="J48" t="b">
        <f t="shared" si="1"/>
        <v>0</v>
      </c>
      <c r="K48">
        <f>IF(J48,-1,I48+0.00009)</f>
        <v>42.00009</v>
      </c>
    </row>
    <row r="49" spans="8:11" ht="15" customHeight="1" x14ac:dyDescent="0.25">
      <c r="H49" t="str">
        <f>Roster!B12</f>
        <v>Zach Zarra</v>
      </c>
      <c r="I49">
        <f>Helper!AE11</f>
        <v>56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47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41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Chris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Chris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8</v>
      </c>
      <c r="H2">
        <f>IF(Roster!$B$16&gt;=6,'Wk 1-6 Input'!H81,0)+IF(Roster!$B$16&gt;6,'Wk 1-6 Input'!G81,0)</f>
        <v>0</v>
      </c>
      <c r="I2">
        <f t="shared" ref="I2:I13" si="0">SUM(C2:H2)</f>
        <v>56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56.000100000000003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56</v>
      </c>
      <c r="AF2">
        <f>AE2+0.0001</f>
        <v>56.000100000000003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8</v>
      </c>
      <c r="H3">
        <f>IF(Roster!$B$16&gt;=6,'Wk 1-6 Input'!H82,0)+IF(Roster!$B$16&gt;6,'Wk 1-6 Input'!G82,0)</f>
        <v>0</v>
      </c>
      <c r="I3">
        <f t="shared" si="0"/>
        <v>56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3</v>
      </c>
      <c r="K3">
        <f>I3+0.0002</f>
        <v>56.0002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56</v>
      </c>
      <c r="AF3">
        <f>AE3+0.0002</f>
        <v>56.0002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4</v>
      </c>
      <c r="H4">
        <f>IF(Roster!$B$16&gt;=6,'Wk 1-6 Input'!H83,0)+IF(Roster!$B$16&gt;6,'Wk 1-6 Input'!G83,0)</f>
        <v>0</v>
      </c>
      <c r="I4">
        <f t="shared" si="0"/>
        <v>53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53.000300000000003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53</v>
      </c>
      <c r="AF4">
        <f>AE4+0.0003</f>
        <v>53.000300000000003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8</v>
      </c>
      <c r="H6">
        <f>IF(Roster!$B$16&gt;=6,'Wk 1-6 Input'!H85,0)+IF(Roster!$B$16&gt;6,'Wk 1-6 Input'!G85,0)</f>
        <v>0</v>
      </c>
      <c r="I6">
        <f t="shared" si="0"/>
        <v>51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51.000500000000002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51</v>
      </c>
      <c r="AF6">
        <f>AE6+0.0005</f>
        <v>51.000500000000002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9</v>
      </c>
      <c r="H7">
        <f>IF(Roster!$B$16&gt;=6,'Wk 1-6 Input'!H86,0)+IF(Roster!$B$16&gt;6,'Wk 1-6 Input'!G86,0)</f>
        <v>0</v>
      </c>
      <c r="I7">
        <f t="shared" si="0"/>
        <v>49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49.000599999999999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49</v>
      </c>
      <c r="AF7">
        <f>AE7+0.0006</f>
        <v>49.000599999999999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6</v>
      </c>
      <c r="H8">
        <f>IF(Roster!$B$16&gt;=6,'Wk 1-6 Input'!H87,0)+IF(Roster!$B$16&gt;6,'Wk 1-6 Input'!G87,0)</f>
        <v>0</v>
      </c>
      <c r="I8">
        <f t="shared" si="0"/>
        <v>39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39</v>
      </c>
      <c r="AF8">
        <f>AE8+0.0007</f>
        <v>39.000700000000002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6</v>
      </c>
      <c r="H9">
        <f>IF(Roster!$B$16&gt;=6,'Wk 1-6 Input'!H88,0)+IF(Roster!$B$16&gt;6,'Wk 1-6 Input'!G88,0)</f>
        <v>0</v>
      </c>
      <c r="I9">
        <f t="shared" si="0"/>
        <v>36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36.000799999999998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36</v>
      </c>
      <c r="AF9">
        <f>AE9+0.0008</f>
        <v>36.000799999999998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5</v>
      </c>
      <c r="H10">
        <f>IF(Roster!$B$16&gt;=6,'Wk 1-6 Input'!H89,0)+IF(Roster!$B$16&gt;6,'Wk 1-6 Input'!G89,0)</f>
        <v>0</v>
      </c>
      <c r="I10">
        <f t="shared" si="0"/>
        <v>42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42.000900000000001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42</v>
      </c>
      <c r="AF10">
        <f>AE10+0.0009</f>
        <v>42.000900000000001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0</v>
      </c>
      <c r="I11">
        <f t="shared" si="0"/>
        <v>56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56.000999999999998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56</v>
      </c>
      <c r="AF11">
        <f>AE11+0.001</f>
        <v>56.000999999999998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4</v>
      </c>
      <c r="H12">
        <f>IF(Roster!$B$16&gt;=6,'Wk 1-6 Input'!H91,0)+IF(Roster!$B$16&gt;6,'Wk 1-6 Input'!G91,0)</f>
        <v>0</v>
      </c>
      <c r="I12">
        <f t="shared" si="0"/>
        <v>47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47.001100000000001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47</v>
      </c>
      <c r="AF12">
        <f>AE12+0.0011</f>
        <v>47.001100000000001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3</v>
      </c>
      <c r="H13">
        <f>IF(Roster!$B$16&gt;=6,'Wk 1-6 Input'!H92,0)+IF(Roster!$B$16&gt;6,'Wk 1-6 Input'!G92,0)</f>
        <v>0</v>
      </c>
      <c r="I13">
        <f t="shared" si="0"/>
        <v>41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41.001199999999997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41</v>
      </c>
      <c r="AF13">
        <f>AE13+0.0012</f>
        <v>41.001199999999997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2026-10-12T04:58:04Z</dcterms:modified>
  <dc:language>en-US</dc:language>
</cp:coreProperties>
</file>