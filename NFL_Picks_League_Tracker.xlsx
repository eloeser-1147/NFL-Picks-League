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" documentId="11_DE439499270005C77D6734D2229C51C7E1365EA4" xr6:coauthVersionLast="47" xr6:coauthVersionMax="47" xr10:uidLastSave="{661A1407-2BFA-4B0C-9615-1079587A4668}"/>
  <bookViews>
    <workbookView xWindow="-57720" yWindow="-120" windowWidth="29040" windowHeight="16440" tabRatio="836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B7" i="9"/>
  <c r="I7" i="9" s="1"/>
  <c r="J7" i="9" s="1"/>
  <c r="H6" i="9"/>
  <c r="F6" i="9"/>
  <c r="D6" i="9"/>
  <c r="C23" i="8"/>
  <c r="C22" i="8"/>
  <c r="C19" i="8"/>
  <c r="B9" i="9" s="1"/>
  <c r="I9" i="9" s="1"/>
  <c r="J9" i="9" s="1"/>
  <c r="C17" i="8"/>
  <c r="C16" i="8"/>
  <c r="B6" i="9" s="1"/>
  <c r="I6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J14" i="10" l="1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J6" i="9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K15" i="6" s="1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K4" i="6" s="1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K17" i="6" s="1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K7" i="6" s="1"/>
  <c r="I4" i="6"/>
  <c r="G3" i="6"/>
  <c r="I16" i="6"/>
  <c r="G15" i="6"/>
  <c r="K16" i="6" l="1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H79" i="6" s="1"/>
  <c r="F77" i="6"/>
  <c r="C74" i="6"/>
  <c r="E72" i="6"/>
  <c r="B86" i="6"/>
  <c r="D84" i="6"/>
  <c r="H84" i="6" s="1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H82" i="6" s="1"/>
  <c r="F80" i="6"/>
  <c r="C77" i="6"/>
  <c r="E75" i="6"/>
  <c r="B72" i="6"/>
  <c r="F85" i="6"/>
  <c r="C82" i="6"/>
  <c r="G82" i="6" s="1"/>
  <c r="E80" i="6"/>
  <c r="B77" i="6"/>
  <c r="D75" i="6"/>
  <c r="F73" i="6"/>
  <c r="E85" i="6"/>
  <c r="B82" i="6"/>
  <c r="D80" i="6"/>
  <c r="F78" i="6"/>
  <c r="C75" i="6"/>
  <c r="G75" i="6" s="1"/>
  <c r="E73" i="6"/>
  <c r="D85" i="6"/>
  <c r="H85" i="6" s="1"/>
  <c r="F83" i="6"/>
  <c r="C80" i="6"/>
  <c r="E78" i="6"/>
  <c r="B75" i="6"/>
  <c r="D73" i="6"/>
  <c r="F71" i="6"/>
  <c r="C85" i="6"/>
  <c r="E83" i="6"/>
  <c r="B80" i="6"/>
  <c r="D78" i="6"/>
  <c r="H78" i="6" s="1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G83" i="6" s="1"/>
  <c r="E81" i="6"/>
  <c r="B78" i="6"/>
  <c r="D76" i="6"/>
  <c r="H76" i="6" s="1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B20" i="7" l="1"/>
  <c r="B6" i="8" s="1"/>
  <c r="B22" i="8" s="1"/>
  <c r="F6" i="7"/>
  <c r="E8" i="7"/>
  <c r="D46" i="7"/>
  <c r="H72" i="6"/>
  <c r="G77" i="6"/>
  <c r="C46" i="7"/>
  <c r="E9" i="7"/>
  <c r="AN6" i="10" s="1"/>
  <c r="AO6" i="10" s="1"/>
  <c r="G76" i="6"/>
  <c r="H71" i="6"/>
  <c r="H80" i="6"/>
  <c r="G79" i="6"/>
  <c r="H74" i="6"/>
  <c r="H81" i="6"/>
  <c r="E10" i="7"/>
  <c r="AN12" i="10" s="1"/>
  <c r="AO12" i="10" s="1"/>
  <c r="G78" i="6"/>
  <c r="H73" i="6"/>
  <c r="G72" i="6"/>
  <c r="G81" i="6"/>
  <c r="H75" i="6"/>
  <c r="G71" i="6"/>
  <c r="H77" i="6"/>
  <c r="G74" i="6"/>
  <c r="G85" i="6"/>
  <c r="E7" i="7"/>
  <c r="G80" i="6"/>
  <c r="AN11" i="10"/>
  <c r="AO11" i="10" s="1"/>
  <c r="B19" i="7"/>
  <c r="B5" i="8" s="1"/>
  <c r="B23" i="8" s="1"/>
  <c r="G73" i="6"/>
  <c r="G84" i="6"/>
  <c r="AN16" i="10" l="1"/>
  <c r="AO16" i="10" s="1"/>
  <c r="AN5" i="10"/>
  <c r="AO5" i="10" s="1"/>
  <c r="AN9" i="10"/>
  <c r="AO9" i="10" s="1"/>
  <c r="AN10" i="10"/>
  <c r="AO10" i="10" s="1"/>
  <c r="AN14" i="10"/>
  <c r="AO14" i="10" s="1"/>
  <c r="B24" i="7"/>
  <c r="B10" i="8" s="1"/>
  <c r="B18" i="8" s="1"/>
  <c r="A8" i="9" s="1"/>
  <c r="F10" i="7"/>
  <c r="AN8" i="10"/>
  <c r="AO8" i="10" s="1"/>
  <c r="AN17" i="10"/>
  <c r="AO17" i="10" s="1"/>
  <c r="AN2" i="10"/>
  <c r="AO2" i="10" s="1"/>
  <c r="AN7" i="10"/>
  <c r="AO7" i="10" s="1"/>
  <c r="AN13" i="10"/>
  <c r="AO13" i="10" s="1"/>
  <c r="B22" i="7"/>
  <c r="B8" i="8" s="1"/>
  <c r="B20" i="8" s="1"/>
  <c r="F8" i="7"/>
  <c r="AN3" i="10"/>
  <c r="AO3" i="10" s="1"/>
  <c r="AN4" i="10"/>
  <c r="AO4" i="10" s="1"/>
  <c r="B21" i="7"/>
  <c r="B7" i="8" s="1"/>
  <c r="B21" i="8" s="1"/>
  <c r="F7" i="7"/>
  <c r="AN15" i="10"/>
  <c r="AO15" i="10" s="1"/>
  <c r="B23" i="7"/>
  <c r="B9" i="8" s="1"/>
  <c r="B19" i="8" s="1"/>
  <c r="A9" i="9" s="1"/>
  <c r="F9" i="7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C15" i="7"/>
  <c r="A24" i="9"/>
  <c r="B14" i="9"/>
  <c r="A25" i="9"/>
  <c r="B13" i="9"/>
  <c r="E44" i="7" l="1"/>
  <c r="F44" i="7" s="1"/>
  <c r="E41" i="7"/>
  <c r="F41" i="7" s="1"/>
  <c r="A23" i="9"/>
  <c r="B15" i="9"/>
  <c r="E33" i="7" s="1"/>
  <c r="F33" i="7" s="1"/>
  <c r="A22" i="9"/>
  <c r="B16" i="9"/>
  <c r="E31" i="7" l="1"/>
  <c r="F31" i="7" s="1"/>
  <c r="E39" i="7"/>
  <c r="F39" i="7" s="1"/>
  <c r="E40" i="7"/>
  <c r="F40" i="7" s="1"/>
  <c r="E42" i="7"/>
  <c r="F42" i="7" s="1"/>
  <c r="E38" i="7"/>
  <c r="F38" i="7" s="1"/>
  <c r="E35" i="7"/>
  <c r="F35" i="7" s="1"/>
  <c r="E37" i="7"/>
  <c r="F37" i="7" s="1"/>
  <c r="E32" i="7"/>
  <c r="F32" i="7" s="1"/>
  <c r="E45" i="7"/>
  <c r="F45" i="7" s="1"/>
  <c r="E30" i="7"/>
  <c r="E43" i="7"/>
  <c r="F43" i="7" s="1"/>
  <c r="E36" i="7"/>
  <c r="F36" i="7" s="1"/>
  <c r="E34" i="7"/>
  <c r="F3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<sst xmlns="http://schemas.openxmlformats.org/spreadsheetml/2006/main" count="777" uniqueCount="264">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</sst>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8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R30" sqref="R3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5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3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7" t="s">
        <v>50</v>
      </c>
      <c r="B1" s="63"/>
      <c r="C1" s="63"/>
      <c r="D1" s="63"/>
      <c r="E1" s="63"/>
      <c r="F1" s="64"/>
    </row>
    <row r="2" spans="1:6" ht="15" customHeight="1" x14ac:dyDescent="0.25">
      <c r="A2" s="66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6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6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6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6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6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7" t="s">
        <v>61</v>
      </c>
      <c r="B68" s="63"/>
      <c r="C68" s="63"/>
      <c r="D68" s="63"/>
      <c r="E68" s="63"/>
      <c r="F68" s="64"/>
    </row>
    <row r="69" spans="1:6" ht="15" customHeight="1" x14ac:dyDescent="0.25">
      <c r="A69" s="66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6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6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6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6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6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7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6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6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6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6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6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6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129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2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>
        <v>8</v>
      </c>
      <c r="D6" s="7">
        <v>5</v>
      </c>
      <c r="E6" s="7">
        <f>C10</f>
        <v>0</v>
      </c>
      <c r="F6" s="3" t="str">
        <f t="shared" ref="F6:F21" si="0">IF(C6&gt;E6,"W",IF(C6&lt;E6,"L","T"))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2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2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2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2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2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2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2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2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2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2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2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68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8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8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8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8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8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</v>
      </c>
      <c r="C3" s="16">
        <f>INDEX(Helper!$C$2:$C$17,MATCH(LARGE(Helper!$AH$2:$AH$17,1),Helper!$AH$2:$AH$17,0))</f>
        <v>14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29</v>
      </c>
      <c r="J3" s="16">
        <f>INDEX(Helper!$J$2:$J$17,MATCH(LARGE(Helper!$AH$2:$AH$17,1),Helper!$AH$2:$AH$17,0))</f>
        <v>1</v>
      </c>
      <c r="K3" s="16">
        <f t="shared" ref="K3:K18" si="0">MAX(C3:H3)</f>
        <v>14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16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15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14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13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12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11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10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9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8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7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6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5</v>
      </c>
      <c r="C18" s="16">
        <f>INDEX(Helper!$C$2:$C$17,MATCH(LARGE(Helper!$AH$2:$AH$17,16),Helper!$AH$2:$AH$17,0))</f>
        <v>0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15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0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3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69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69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69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69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71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</v>
      </c>
      <c r="C71" s="16">
        <f>INDEX(Helper!$I$2:$I$17,MATCH(LARGE(Helper!$AM$2:$AM$17,1),Helper!$AM$2:$AM$17,0))</f>
        <v>29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59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16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15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14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13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12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11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10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9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8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7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6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5</v>
      </c>
      <c r="C86" s="16">
        <f>INDEX(Helper!$I$2:$I$17,MATCH(LARGE(Helper!$AM$2:$AM$17,16),Helper!$AM$2:$AM$17,0))</f>
        <v>15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45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71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5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2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</v>
      </c>
      <c r="C5" s="29" t="s">
        <v>137</v>
      </c>
      <c r="D5" s="3" t="s">
        <v>158</v>
      </c>
      <c r="E5" s="30" t="str">
        <f>B5</f>
        <v>Player 1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1" t="str">
        <f>IF(B6=E6,"QUALIFIED","PASS → "&amp;E6)</f>
        <v>QUALIFIED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1" t="str">
        <f>IF(B10=E10,"QUALIFIED","PASS → "&amp;E10)</f>
        <v>PASS → Player 15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4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71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16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15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14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13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2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25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0</v>
      </c>
      <c r="F30" s="41">
        <f t="shared" ref="F30:F45" si="3">C30+D30+E30</f>
        <v>25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200</v>
      </c>
      <c r="F41" s="41">
        <f t="shared" si="3"/>
        <v>210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0</v>
      </c>
      <c r="F42" s="41">
        <f t="shared" si="3"/>
        <v>0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35</v>
      </c>
      <c r="F43" s="41">
        <f t="shared" si="3"/>
        <v>35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75</v>
      </c>
      <c r="F44" s="41">
        <f t="shared" si="3"/>
        <v>75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25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35</v>
      </c>
      <c r="G45" s="26"/>
      <c r="H45" s="26"/>
      <c r="I45" s="26"/>
      <c r="J45" s="26"/>
    </row>
    <row r="46" spans="1:10" ht="15" customHeight="1" x14ac:dyDescent="0.25">
      <c r="A46" s="75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6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</v>
      </c>
      <c r="C5" s="12">
        <v>0</v>
      </c>
      <c r="D5" s="45">
        <f t="shared" ref="D5:D12" si="0">C5+A5*0.001</f>
        <v>1E-3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39" t="str">
        <f>'Playoff Picture'!B20</f>
        <v>Player 16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15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14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13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71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5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2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13</v>
      </c>
      <c r="B6" s="49">
        <f>'Playoff Wild Card'!C16</f>
        <v>0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0</v>
      </c>
      <c r="J6" s="53">
        <f>I6*10000000+(100-K6)*100000+(100-L6)*100+(ROW()-5)*0.001</f>
        <v>10010000.001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14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15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12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2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0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71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13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14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15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12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29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29.0001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59</v>
      </c>
      <c r="AF2">
        <f t="shared" ref="AF2:AF17" si="6">AE2+A2*0.0001</f>
        <v>59.000100000000003</v>
      </c>
      <c r="AG2">
        <f t="shared" ref="AG2:AG17" si="7">MAX(C2:H2)</f>
        <v>14</v>
      </c>
      <c r="AH2">
        <f t="shared" ref="AH2:AH17" si="8">I2*100000+AG2*1000+J2*10+A2*0.01</f>
        <v>2914010.01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5901900.0099999998</v>
      </c>
      <c r="AN2">
        <f>COUNTIF('Playoff Picture'!$E$5:$E$10,B2)</f>
        <v>1</v>
      </c>
      <c r="AO2">
        <f t="shared" ref="AO2:AO17" si="13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15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15.000500000000001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45</v>
      </c>
      <c r="AF6">
        <f t="shared" si="6"/>
        <v>45.000500000000002</v>
      </c>
      <c r="AG6">
        <f t="shared" si="7"/>
        <v>3</v>
      </c>
      <c r="AH6">
        <f t="shared" si="8"/>
        <v>1503000.05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4500800.05</v>
      </c>
      <c r="AN6">
        <f>COUNTIF('Playoff Picture'!$E$5:$E$10,B6)</f>
        <v>0</v>
      </c>
      <c r="AO6">
        <f t="shared" si="13"/>
        <v>4500800.05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0</v>
      </c>
      <c r="AO15">
        <f t="shared" si="13"/>
        <v>4800800.1399999997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2026-08-12T16:07:43Z</dcterms:modified>
  <dc:language>en-US</dc:language>
</cp:coreProperties>
</file>