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ster" sheetId="1" state="visible" r:id="rId3"/>
    <sheet name="Schedule" sheetId="2" state="visible" r:id="rId4"/>
    <sheet name="Picks Detail" sheetId="3" state="visible" r:id="rId5"/>
    <sheet name="NFL Schedule" sheetId="4" state="visible" r:id="rId6"/>
    <sheet name="Wk 1-6 Input" sheetId="5" state="visible" r:id="rId7"/>
    <sheet name="Wk 7-12 Input" sheetId="6" state="visible" r:id="rId8"/>
    <sheet name="Wk 13-18 Input" sheetId="7" state="visible" r:id="rId9"/>
    <sheet name="Standings" sheetId="8" state="visible" r:id="rId10"/>
    <sheet name="Playoff Picture" sheetId="9" state="visible" r:id="rId11"/>
    <sheet name="Playoff Wild Card" sheetId="10" state="visible" r:id="rId12"/>
    <sheet name="Playoff Finals" sheetId="11" state="visible" r:id="rId13"/>
    <sheet name="Updates" sheetId="12" state="visible" r:id="rId14"/>
    <sheet name="Helper" sheetId="13" state="hidden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<sst xmlns="http://schemas.openxmlformats.org/spreadsheetml/2006/main" count="3399" uniqueCount="346">
  <si>
    <t xml:space="preserve">NFL PICKS LEAGUE — ROSTER</t>
  </si>
  <si>
    <t xml:space="preserve">Player #</t>
  </si>
  <si>
    <t xml:space="preserve">Player Name</t>
  </si>
  <si>
    <t xml:space="preserve">Division</t>
  </si>
  <si>
    <t xml:space="preserve">Division Name</t>
  </si>
  <si>
    <t xml:space="preserve">Evan Loeser</t>
  </si>
  <si>
    <t xml:space="preserve">A</t>
  </si>
  <si>
    <t xml:space="preserve">Division A</t>
  </si>
  <si>
    <t xml:space="preserve">Chris Simmons</t>
  </si>
  <si>
    <t xml:space="preserve">Jack Smith</t>
  </si>
  <si>
    <t xml:space="preserve">Luke Ussery</t>
  </si>
  <si>
    <t xml:space="preserve">Mikayla Simmons</t>
  </si>
  <si>
    <t xml:space="preserve">B</t>
  </si>
  <si>
    <t xml:space="preserve">Division B</t>
  </si>
  <si>
    <t xml:space="preserve">Alan Loeser</t>
  </si>
  <si>
    <t xml:space="preserve">Caleb Simmons</t>
  </si>
  <si>
    <t xml:space="preserve">Larry Loeser</t>
  </si>
  <si>
    <t xml:space="preserve">Daddy Michael</t>
  </si>
  <si>
    <t xml:space="preserve">C</t>
  </si>
  <si>
    <t xml:space="preserve">Division C</t>
  </si>
  <si>
    <t xml:space="preserve">Zach Zarra</t>
  </si>
  <si>
    <t xml:space="preserve">Jeffrey Loeser</t>
  </si>
  <si>
    <t xml:space="preserve">Jake Andrews</t>
  </si>
  <si>
    <t xml:space="preserve">CURRENT WEEK:</t>
  </si>
  <si>
    <t xml:space="preserve">Div A: 1-4 | Div B: 5-8 | Div C: 9-12</t>
  </si>
  <si>
    <t xml:space="preserve">WEEKS 1-6 (Inter-Division)</t>
  </si>
  <si>
    <t xml:space="preserve">Week 1</t>
  </si>
  <si>
    <t xml:space="preserve">#</t>
  </si>
  <si>
    <t xml:space="preserve">P#</t>
  </si>
  <si>
    <t xml:space="preserve">Name</t>
  </si>
  <si>
    <t xml:space="preserve">vs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</si>
  <si>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</si>
  <si>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</si>
  <si>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</si>
  <si>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</si>
  <si>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</si>
  <si>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(Inter-Division)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</si>
  <si>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</si>
  <si>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</si>
  <si>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</si>
  <si>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</si>
  <si>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</si>
  <si>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</si>
  <si>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(Divisional Round-Robin)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</si>
  <si>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</si>
  <si>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</si>
  <si>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</si>
  <si>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</si>
  <si>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</si>
  <si>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</si>
  <si>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PICKS DETAIL — Enter each player's ATS pick per game</t>
  </si>
  <si>
    <t xml:space="preserve">Enter team abbreviation (e.g. SEA, NE). Green = correct, Red = wrong.</t>
  </si>
  <si>
    <t xml:space="preserve">WEEK 1</t>
  </si>
  <si>
    <t xml:space="preserve">Away</t>
  </si>
  <si>
    <t xml:space="preserve">@</t>
  </si>
  <si>
    <t xml:space="preserve">Home</t>
  </si>
  <si>
    <t xml:space="preserve">ATS Winner</t>
  </si>
  <si>
    <t xml:space="preserve">NE</t>
  </si>
  <si>
    <t xml:space="preserve">SEA</t>
  </si>
  <si>
    <t xml:space="preserve">SF</t>
  </si>
  <si>
    <t xml:space="preserve">LAR</t>
  </si>
  <si>
    <t xml:space="preserve">CHI</t>
  </si>
  <si>
    <t xml:space="preserve">CAR</t>
  </si>
  <si>
    <t xml:space="preserve">TB</t>
  </si>
  <si>
    <t xml:space="preserve">CIN</t>
  </si>
  <si>
    <t xml:space="preserve">NO</t>
  </si>
  <si>
    <t xml:space="preserve">DET</t>
  </si>
  <si>
    <t xml:space="preserve">BUF</t>
  </si>
  <si>
    <t xml:space="preserve">HOU</t>
  </si>
  <si>
    <t xml:space="preserve">BAL</t>
  </si>
  <si>
    <t xml:space="preserve">IND</t>
  </si>
  <si>
    <t xml:space="preserve">CLE</t>
  </si>
  <si>
    <t xml:space="preserve">JAX</t>
  </si>
  <si>
    <t xml:space="preserve">ATL</t>
  </si>
  <si>
    <t xml:space="preserve">PIT</t>
  </si>
  <si>
    <t xml:space="preserve">NYJ</t>
  </si>
  <si>
    <t xml:space="preserve">TEN</t>
  </si>
  <si>
    <t xml:space="preserve">ARI</t>
  </si>
  <si>
    <t xml:space="preserve">LAC</t>
  </si>
  <si>
    <t xml:space="preserve">MIA</t>
  </si>
  <si>
    <t xml:space="preserve">LV</t>
  </si>
  <si>
    <t xml:space="preserve">GB</t>
  </si>
  <si>
    <t xml:space="preserve">MIN</t>
  </si>
  <si>
    <t xml:space="preserve">WAS</t>
  </si>
  <si>
    <t xml:space="preserve">PHI</t>
  </si>
  <si>
    <t xml:space="preserve">DAL</t>
  </si>
  <si>
    <t xml:space="preserve">NYG</t>
  </si>
  <si>
    <t xml:space="preserve">DEN</t>
  </si>
  <si>
    <t xml:space="preserve">KC</t>
  </si>
  <si>
    <t xml:space="preserve">MNF Total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</si>
  <si>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</si>
  <si>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</si>
  <si>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</si>
  <si>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</si>
  <si>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</si>
  <si>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</si>
  <si>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</si>
  <si>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</si>
  <si>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</si>
  <si>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</si>
  <si>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</si>
  <si>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</si>
  <si>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</si>
  <si>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</si>
  <si>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</si>
  <si>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</si>
  <si>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</si>
  <si>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Wk</t>
  </si>
  <si>
    <t xml:space="preserve">Day/Date</t>
  </si>
  <si>
    <t xml:space="preserve">Time</t>
  </si>
  <si>
    <t xml:space="preserve">Away Sc</t>
  </si>
  <si>
    <t xml:space="preserve">Home Sc</t>
  </si>
  <si>
    <t xml:space="preserve">Spread</t>
  </si>
  <si>
    <t xml:space="preserve">Winner</t>
  </si>
  <si>
    <t xml:space="preserve">ATS</t>
  </si>
  <si>
    <t xml:space="preserve">Wed Sep 9</t>
  </si>
  <si>
    <t xml:space="preserve">8:20 PM</t>
  </si>
  <si>
    <t xml:space="preserve">Thu Sep 10</t>
  </si>
  <si>
    <t xml:space="preserve">8:35 PM</t>
  </si>
  <si>
    <t xml:space="preserve">Sun Sep 13</t>
  </si>
  <si>
    <t xml:space="preserve">1:00 PM</t>
  </si>
  <si>
    <t xml:space="preserve">4:25 PM</t>
  </si>
  <si>
    <t xml:space="preserve">Mon Sep 14</t>
  </si>
  <si>
    <t xml:space="preserve">8:15 PM</t>
  </si>
  <si>
    <t xml:space="preserve">Thu Sep 17</t>
  </si>
  <si>
    <t xml:space="preserve">Sun Sep 20</t>
  </si>
  <si>
    <t xml:space="preserve">4:05 PM</t>
  </si>
  <si>
    <t xml:space="preserve">Mon Sep 21</t>
  </si>
  <si>
    <t xml:space="preserve">Thu Sep 24</t>
  </si>
  <si>
    <t xml:space="preserve">Sun Sep 27</t>
  </si>
  <si>
    <t xml:space="preserve">Mon Sep 28</t>
  </si>
  <si>
    <t xml:space="preserve">Thu Oct 1</t>
  </si>
  <si>
    <t xml:space="preserve">Sun Oct 4</t>
  </si>
  <si>
    <t xml:space="preserve">9:30 AM</t>
  </si>
  <si>
    <t xml:space="preserve">Mon Oct 5</t>
  </si>
  <si>
    <t xml:space="preserve">Thu Oct 8</t>
  </si>
  <si>
    <t xml:space="preserve">Sun Oct 11</t>
  </si>
  <si>
    <t xml:space="preserve">Mon Oct 12</t>
  </si>
  <si>
    <t xml:space="preserve">Thu Oct 15</t>
  </si>
  <si>
    <t xml:space="preserve">Sun Oct 18</t>
  </si>
  <si>
    <t xml:space="preserve">Mon Oct 19</t>
  </si>
  <si>
    <t xml:space="preserve">Thu Oct 22</t>
  </si>
  <si>
    <t xml:space="preserve">Sun Oct 25</t>
  </si>
  <si>
    <t xml:space="preserve">Mon Oct 26</t>
  </si>
  <si>
    <t xml:space="preserve">Thu Oct 29</t>
  </si>
  <si>
    <t xml:space="preserve">Sun Nov 1</t>
  </si>
  <si>
    <t xml:space="preserve">Mon Nov 2</t>
  </si>
  <si>
    <t xml:space="preserve">Thu Nov 5</t>
  </si>
  <si>
    <t xml:space="preserve">Sun Nov 8</t>
  </si>
  <si>
    <t xml:space="preserve">Mon Nov 9</t>
  </si>
  <si>
    <t xml:space="preserve">Thu Nov 12</t>
  </si>
  <si>
    <t xml:space="preserve">Sun Nov 15</t>
  </si>
  <si>
    <t xml:space="preserve">Mon Nov 16</t>
  </si>
  <si>
    <t xml:space="preserve">Thu Nov 19</t>
  </si>
  <si>
    <t xml:space="preserve">Sun Nov 22</t>
  </si>
  <si>
    <t xml:space="preserve">Mon Nov 23</t>
  </si>
  <si>
    <t xml:space="preserve">Wed Nov 25</t>
  </si>
  <si>
    <t xml:space="preserve">8:00 PM</t>
  </si>
  <si>
    <t xml:space="preserve">Thu Nov 26</t>
  </si>
  <si>
    <t xml:space="preserve">4:30 PM</t>
  </si>
  <si>
    <t xml:space="preserve">Fri Nov 27</t>
  </si>
  <si>
    <t xml:space="preserve">3:00 PM</t>
  </si>
  <si>
    <t xml:space="preserve">Sun Nov 29</t>
  </si>
  <si>
    <t xml:space="preserve">Mon Nov 30</t>
  </si>
  <si>
    <t xml:space="preserve">Thu Dec 3</t>
  </si>
  <si>
    <t xml:space="preserve">Sun Dec 6</t>
  </si>
  <si>
    <t xml:space="preserve">Mon Dec 7</t>
  </si>
  <si>
    <t xml:space="preserve">Thu Dec 10</t>
  </si>
  <si>
    <t xml:space="preserve">Sun Dec 13</t>
  </si>
  <si>
    <t xml:space="preserve">Mon Dec 14</t>
  </si>
  <si>
    <t xml:space="preserve">Thu Dec 17</t>
  </si>
  <si>
    <t xml:space="preserve">Sat Dec 19</t>
  </si>
  <si>
    <t xml:space="preserve">5:00 PM</t>
  </si>
  <si>
    <t xml:space="preserve">Sun Dec 20</t>
  </si>
  <si>
    <t xml:space="preserve">Mon Dec 21</t>
  </si>
  <si>
    <t xml:space="preserve">Thu Dec 24</t>
  </si>
  <si>
    <t xml:space="preserve">Fri Dec 25</t>
  </si>
  <si>
    <t xml:space="preserve">Sun Dec 27</t>
  </si>
  <si>
    <t xml:space="preserve">Mon Dec 28</t>
  </si>
  <si>
    <t xml:space="preserve">TBD</t>
  </si>
  <si>
    <t xml:space="preserve">Thu Dec 31</t>
  </si>
  <si>
    <t xml:space="preserve">Sun Jan 3</t>
  </si>
  <si>
    <t xml:space="preserve">Mon Jan 4</t>
  </si>
  <si>
    <t xml:space="preserve">Week 19 (Wild Card)</t>
  </si>
  <si>
    <t xml:space="preserve">Week 20 (Divisional)</t>
  </si>
  <si>
    <t xml:space="preserve">Week 21 (Championship)</t>
  </si>
  <si>
    <t xml:space="preserve">Week 22 (SuperBowl)</t>
  </si>
  <si>
    <t xml:space="preserve">WEEKS 1-6 — WEEKLY INPUT</t>
  </si>
  <si>
    <t xml:space="preserve">Enter correct picks. H2H auto-calculated.</t>
  </si>
  <si>
    <t xml:space="preserve">Correct Picks</t>
  </si>
  <si>
    <t xml:space="preserve">H2H Opp</t>
  </si>
  <si>
    <t xml:space="preserve">Opp Picks</t>
  </si>
  <si>
    <t xml:space="preserve">H2H Result</t>
  </si>
  <si>
    <t xml:space="preserve">H2H Pts</t>
  </si>
  <si>
    <t xml:space="preserve">Pick Pts</t>
  </si>
  <si>
    <t xml:space="preserve">Week Total</t>
  </si>
  <si>
    <t xml:space="preserve">WEEKS 7-12 — WEEKLY INPUT</t>
  </si>
  <si>
    <t xml:space="preserve">Enter weighted points. H2H auto-calculated.</t>
  </si>
  <si>
    <t xml:space="preserve">Weighted Pts</t>
  </si>
  <si>
    <t xml:space="preserve">Opp Wtd Pts</t>
  </si>
  <si>
    <t xml:space="preserve">WEEKS 13-18 — WEEKLY INPUT</t>
  </si>
  <si>
    <t xml:space="preserve">Enter correct picks. Division play.</t>
  </si>
  <si>
    <t xml:space="preserve">Wins</t>
  </si>
  <si>
    <t xml:space="preserve">Losses</t>
  </si>
  <si>
    <t xml:space="preserve">Total Picks</t>
  </si>
  <si>
    <t xml:space="preserve">SEGMENT 1 — WEEKS 1-6</t>
  </si>
  <si>
    <t xml:space="preserve">Rank</t>
  </si>
  <si>
    <t xml:space="preserve">Player</t>
  </si>
  <si>
    <t xml:space="preserve">Wk1</t>
  </si>
  <si>
    <t xml:space="preserve">Wk2</t>
  </si>
  <si>
    <t xml:space="preserve">Wk3</t>
  </si>
  <si>
    <t xml:space="preserve">Wk4</t>
  </si>
  <si>
    <t xml:space="preserve">Wk5</t>
  </si>
  <si>
    <t xml:space="preserve">Wk6</t>
  </si>
  <si>
    <t xml:space="preserve">Total</t>
  </si>
  <si>
    <t xml:space="preserve">H2H W</t>
  </si>
  <si>
    <t xml:space="preserve">Best Wk</t>
  </si>
  <si>
    <t xml:space="preserve">SEGMENT 2 — WEEKS 7-12</t>
  </si>
  <si>
    <t xml:space="preserve">Wk7</t>
  </si>
  <si>
    <t xml:space="preserve">Wk8</t>
  </si>
  <si>
    <t xml:space="preserve">Wk9</t>
  </si>
  <si>
    <t xml:space="preserve">Wk10</t>
  </si>
  <si>
    <t xml:space="preserve">Wk11</t>
  </si>
  <si>
    <t xml:space="preserve">Wk12</t>
  </si>
  <si>
    <t xml:space="preserve">SEGMENT 3 — WEEKS 13-18</t>
  </si>
  <si>
    <t xml:space="preserve">DIVISION A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</si>
  <si>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</si>
  <si>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</si>
  <si>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</si>
  <si>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</si>
  <si>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</si>
  <si>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</si>
  <si>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Picks</t>
  </si>
  <si>
    <t xml:space="preserve">DIVISION B</t>
  </si>
  <si>
    <t xml:space="preserve">DIVISION C</t>
  </si>
  <si>
    <t xml:space="preserve">OVERALL STANDINGS &amp; PLAYOFF QUALIFICATION</t>
  </si>
  <si>
    <t xml:space="preserve">Seg 1 Pts</t>
  </si>
  <si>
    <t xml:space="preserve">Seg 2 Pts</t>
  </si>
  <si>
    <t xml:space="preserve">Seg 3 Picks</t>
  </si>
  <si>
    <t xml:space="preserve">Season Total</t>
  </si>
  <si>
    <t xml:space="preserve">Seg 1 Rank</t>
  </si>
  <si>
    <t xml:space="preserve">Seg 2 Rank</t>
  </si>
  <si>
    <t xml:space="preserve">PLAYOFF PICTURE</t>
  </si>
  <si>
    <t xml:space="preserve">AUTOMATIC QUALIFIERS — 5 SPOTS</t>
  </si>
  <si>
    <t xml:space="preserve">Spot</t>
  </si>
  <si>
    <t xml:space="preserve">Winner (Cash)</t>
  </si>
  <si>
    <t xml:space="preserve">Prize</t>
  </si>
  <si>
    <t xml:space="preserve">Source</t>
  </si>
  <si>
    <t xml:space="preserve">Playoff Qualifier</t>
  </si>
  <si>
    <t xml:space="preserve">Status</t>
  </si>
  <si>
    <t xml:space="preserve">Div Rank Helper</t>
  </si>
  <si>
    <t xml:space="preserve">Seg 1 Winner</t>
  </si>
  <si>
    <t xml:space="preserve">$25</t>
  </si>
  <si>
    <t xml:space="preserve">Weeks 1-6</t>
  </si>
  <si>
    <t xml:space="preserve">Seg 2 Winner</t>
  </si>
  <si>
    <t xml:space="preserve">Weeks 7-12</t>
  </si>
  <si>
    <t xml:space="preserve">Div A Winner</t>
  </si>
  <si>
    <t xml:space="preserve">$10</t>
  </si>
  <si>
    <t xml:space="preserve">Div B Winner</t>
  </si>
  <si>
    <t xml:space="preserve">Div C Winner</t>
  </si>
  <si>
    <t xml:space="preserve">WILD CARD — TOP 1 SEASON PTS NOT ALREADY QUALIFIED</t>
  </si>
  <si>
    <t xml:space="preserve">Season Pts</t>
  </si>
  <si>
    <t xml:space="preserve">Wild Card 1</t>
  </si>
  <si>
    <t xml:space="preserve">Season Points</t>
  </si>
  <si>
    <t xml:space="preserve">PLAYOFF FIELD — 6 PLAYERS</t>
  </si>
  <si>
    <t xml:space="preserve">Qualified Via</t>
  </si>
  <si>
    <t xml:space="preserve">EARNINGS TRACKER</t>
  </si>
  <si>
    <t xml:space="preserve">Segment $</t>
  </si>
  <si>
    <t xml:space="preserve">Division $</t>
  </si>
  <si>
    <t xml:space="preserve">Playoff $</t>
  </si>
  <si>
    <t xml:space="preserve">Total Earned</t>
  </si>
  <si>
    <t xml:space="preserve">TOTAL PAID</t>
  </si>
  <si>
    <t xml:space="preserve">WC Helper</t>
  </si>
  <si>
    <t xml:space="preserve">WILD CARD ROUND — INPUT</t>
  </si>
  <si>
    <t xml:space="preserve">All 6 players pick all games ATS, weighted 1-4.</t>
  </si>
  <si>
    <t xml:space="preserve">Adj Score</t>
  </si>
  <si>
    <t xml:space="preserve">Weekly TB Rank</t>
  </si>
  <si>
    <t xml:space="preserve">AFC WC Pts</t>
  </si>
  <si>
    <t xml:space="preserve">NFC WC Pts</t>
  </si>
  <si>
    <t xml:space="preserve">Sort Score</t>
  </si>
  <si>
    <t xml:space="preserve">WILD CARD RESULTS — TOP 4 ADVANCE</t>
  </si>
  <si>
    <t xml:space="preserve">PLAYOFF FINALS — INPUT &amp; RESULTS</t>
  </si>
  <si>
    <t xml:space="preserve">Top 4 from Wild Card. Points carry over. Div=2×, Champ=4×, SB=8×.</t>
  </si>
  <si>
    <t xml:space="preserve">ROUND-BY-ROUND INPUT</t>
  </si>
  <si>
    <t xml:space="preserve">WC Pts</t>
  </si>
  <si>
    <t xml:space="preserve">Div Correct</t>
  </si>
  <si>
    <t xml:space="preserve">Div Pts (×2)</t>
  </si>
  <si>
    <t xml:space="preserve">Champ Correct</t>
  </si>
  <si>
    <t xml:space="preserve">Champ Pts (×4)</t>
  </si>
  <si>
    <t xml:space="preserve">SB Correct</t>
  </si>
  <si>
    <t xml:space="preserve">SB Pts (×8)</t>
  </si>
  <si>
    <t xml:space="preserve">TOTAL</t>
  </si>
  <si>
    <t xml:space="preserve">SB TB Rank</t>
  </si>
  <si>
    <t xml:space="preserve">FINAL STANDINGS &amp; PAYOUTS</t>
  </si>
  <si>
    <t xml:space="preserve">Place</t>
  </si>
  <si>
    <t xml:space="preserve">Div Pts</t>
  </si>
  <si>
    <t xml:space="preserve">Champ Pts</t>
  </si>
  <si>
    <t xml:space="preserve">SB Pts</t>
  </si>
  <si>
    <t xml:space="preserve">Total Pts</t>
  </si>
  <si>
    <t xml:space="preserve">Payout</t>
  </si>
  <si>
    <t xml:space="preserve">1st</t>
  </si>
  <si>
    <t xml:space="preserve">$150</t>
  </si>
  <si>
    <t xml:space="preserve">2nd</t>
  </si>
  <si>
    <t xml:space="preserve">$45</t>
  </si>
  <si>
    <t xml:space="preserve">3rd</t>
  </si>
  <si>
    <t xml:space="preserve">4th</t>
  </si>
  <si>
    <t xml:space="preserve">—</t>
  </si>
  <si>
    <t xml:space="preserve">Tiebreakers: 1) Weekly TB for SB  2) Closest FG guess</t>
  </si>
  <si>
    <t xml:space="preserve">SUPER BOWL TIEBREAKER</t>
  </si>
  <si>
    <t xml:space="preserve">FG Guess (yds)</t>
  </si>
  <si>
    <t xml:space="preserve">Actual Longest FG</t>
  </si>
  <si>
    <t xml:space="preserve">Difference</t>
  </si>
  <si>
    <t xml:space="preserve">LEAGUE UPDATES</t>
  </si>
  <si>
    <t xml:space="preserve">Date</t>
  </si>
  <si>
    <t xml:space="preserve">Title</t>
  </si>
  <si>
    <t xml:space="preserve">Message</t>
  </si>
  <si>
    <t xml:space="preserve">S1W1</t>
  </si>
  <si>
    <t xml:space="preserve">S1W2</t>
  </si>
  <si>
    <t xml:space="preserve">S1W3</t>
  </si>
  <si>
    <t xml:space="preserve">S1W4</t>
  </si>
  <si>
    <t xml:space="preserve">S1W5</t>
  </si>
  <si>
    <t xml:space="preserve">S1W6</t>
  </si>
  <si>
    <t xml:space="preserve">S1 Total</t>
  </si>
  <si>
    <t xml:space="preserve">S1 H2H W</t>
  </si>
  <si>
    <t xml:space="preserve">S1 Adj</t>
  </si>
  <si>
    <t xml:space="preserve">S2W1</t>
  </si>
  <si>
    <t xml:space="preserve">S2W2</t>
  </si>
  <si>
    <t xml:space="preserve">S2W3</t>
  </si>
  <si>
    <t xml:space="preserve">S2W4</t>
  </si>
  <si>
    <t xml:space="preserve">S2W5</t>
  </si>
  <si>
    <t xml:space="preserve">S2W6</t>
  </si>
  <si>
    <t xml:space="preserve">S2 Total</t>
  </si>
  <si>
    <t xml:space="preserve">S2 H2H W</t>
  </si>
  <si>
    <t xml:space="preserve">S2 Adj</t>
  </si>
  <si>
    <t xml:space="preserve">S3W1</t>
  </si>
  <si>
    <t xml:space="preserve">S3W2</t>
  </si>
  <si>
    <t xml:space="preserve">S3W3</t>
  </si>
  <si>
    <t xml:space="preserve">S3W4</t>
  </si>
  <si>
    <t xml:space="preserve">S3W5</t>
  </si>
  <si>
    <t xml:space="preserve">S3W6</t>
  </si>
  <si>
    <t xml:space="preserve">S3 Wins</t>
  </si>
  <si>
    <t xml:space="preserve">S3 Losses</t>
  </si>
  <si>
    <t xml:space="preserve">S3 Picks</t>
  </si>
  <si>
    <t xml:space="preserve">S3 Adj</t>
  </si>
  <si>
    <t xml:space="preserve">Season Tot</t>
  </si>
  <si>
    <t xml:space="preserve">Season Adj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</si>
</sst>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4"/>
      <color rgb="FFE6EDF3"/>
      <name val="Arial"/>
      <family val="0"/>
      <charset val="1"/>
    </font>
    <font>
      <sz val="10"/>
      <color rgb="FF8B949E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8B949E"/>
      <name val="Arial"/>
      <family val="0"/>
      <charset val="1"/>
    </font>
    <font>
      <b val="true"/>
      <sz val="10"/>
      <color rgb="FFE6EDF3"/>
      <name val="Arial"/>
      <family val="0"/>
      <charset val="1"/>
    </font>
    <font>
      <sz val="10"/>
      <color rgb="FF6E7681"/>
      <name val="Arial"/>
      <family val="0"/>
      <charset val="1"/>
    </font>
    <font>
      <b val="true"/>
      <sz val="10"/>
      <color rgb="FF3FB950"/>
      <name val="Arial"/>
      <family val="0"/>
      <charset val="1"/>
    </font>
    <font>
      <sz val="10"/>
      <color rgb="FF58A6FF"/>
      <name val="Arial"/>
      <family val="0"/>
      <charset val="1"/>
    </font>
    <font>
      <b val="true"/>
      <sz val="9"/>
      <color rgb="FFD29922"/>
      <name val="Arial"/>
      <family val="0"/>
      <charset val="1"/>
    </font>
    <font>
      <b val="true"/>
      <sz val="9"/>
      <color rgb="FF3FB950"/>
      <name val="Arial"/>
      <family val="0"/>
      <charset val="1"/>
    </font>
    <font>
      <sz val="9"/>
      <color rgb="FFD29922"/>
      <name val="Arial"/>
      <family val="0"/>
      <charset val="1"/>
    </font>
    <font>
      <b val="true"/>
      <sz val="10"/>
      <color rgb="FFD29922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D2992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808080"/>
      <name val="Cambria"/>
      <family val="0"/>
      <charset val="1"/>
    </font>
    <font>
      <i val="true"/>
      <sz val="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6" activeCellId="0" sqref="J2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6"/>
  </cols>
  <sheetData>
    <row r="1" customFormat="false" ht="17.2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</row>
    <row r="3" customFormat="false" ht="15" hidden="false" customHeight="true" outlineLevel="0" collapsed="false">
      <c r="A3" s="0" t="n">
        <v>1</v>
      </c>
      <c r="B3" s="3" t="s">
        <v>5</v>
      </c>
      <c r="C3" s="4" t="s">
        <v>6</v>
      </c>
      <c r="D3" s="4" t="s">
        <v>7</v>
      </c>
    </row>
    <row r="4" customFormat="false" ht="15" hidden="false" customHeight="true" outlineLevel="0" collapsed="false">
      <c r="A4" s="0" t="n">
        <v>2</v>
      </c>
      <c r="B4" s="3" t="s">
        <v>8</v>
      </c>
      <c r="C4" s="4" t="s">
        <v>6</v>
      </c>
      <c r="D4" s="4" t="s">
        <v>7</v>
      </c>
    </row>
    <row r="5" customFormat="false" ht="15" hidden="false" customHeight="true" outlineLevel="0" collapsed="false">
      <c r="A5" s="0" t="n">
        <v>3</v>
      </c>
      <c r="B5" s="3" t="s">
        <v>9</v>
      </c>
      <c r="C5" s="4" t="s">
        <v>6</v>
      </c>
      <c r="D5" s="4" t="s">
        <v>7</v>
      </c>
    </row>
    <row r="6" customFormat="false" ht="15" hidden="false" customHeight="true" outlineLevel="0" collapsed="false">
      <c r="A6" s="0" t="n">
        <v>4</v>
      </c>
      <c r="B6" s="3" t="s">
        <v>10</v>
      </c>
      <c r="C6" s="4" t="s">
        <v>6</v>
      </c>
      <c r="D6" s="4" t="s">
        <v>7</v>
      </c>
    </row>
    <row r="7" customFormat="false" ht="15" hidden="false" customHeight="true" outlineLevel="0" collapsed="false">
      <c r="A7" s="0" t="n">
        <v>5</v>
      </c>
      <c r="B7" s="3" t="s">
        <v>11</v>
      </c>
      <c r="C7" s="4" t="s">
        <v>12</v>
      </c>
      <c r="D7" s="4" t="s">
        <v>13</v>
      </c>
    </row>
    <row r="8" customFormat="false" ht="15" hidden="false" customHeight="true" outlineLevel="0" collapsed="false">
      <c r="A8" s="0" t="n">
        <v>6</v>
      </c>
      <c r="B8" s="3" t="s">
        <v>14</v>
      </c>
      <c r="C8" s="4" t="s">
        <v>12</v>
      </c>
      <c r="D8" s="4" t="s">
        <v>13</v>
      </c>
    </row>
    <row r="9" customFormat="false" ht="15" hidden="false" customHeight="true" outlineLevel="0" collapsed="false">
      <c r="A9" s="0" t="n">
        <v>7</v>
      </c>
      <c r="B9" s="3" t="s">
        <v>15</v>
      </c>
      <c r="C9" s="4" t="s">
        <v>12</v>
      </c>
      <c r="D9" s="4" t="s">
        <v>13</v>
      </c>
    </row>
    <row r="10" customFormat="false" ht="15" hidden="false" customHeight="true" outlineLevel="0" collapsed="false">
      <c r="A10" s="0" t="n">
        <v>8</v>
      </c>
      <c r="B10" s="3" t="s">
        <v>16</v>
      </c>
      <c r="C10" s="4" t="s">
        <v>12</v>
      </c>
      <c r="D10" s="4" t="s">
        <v>13</v>
      </c>
    </row>
    <row r="11" customFormat="false" ht="15" hidden="false" customHeight="true" outlineLevel="0" collapsed="false">
      <c r="A11" s="0" t="n">
        <v>9</v>
      </c>
      <c r="B11" s="3" t="s">
        <v>17</v>
      </c>
      <c r="C11" s="4" t="s">
        <v>18</v>
      </c>
      <c r="D11" s="4" t="s">
        <v>19</v>
      </c>
    </row>
    <row r="12" customFormat="false" ht="15" hidden="false" customHeight="true" outlineLevel="0" collapsed="false">
      <c r="A12" s="0" t="n">
        <v>10</v>
      </c>
      <c r="B12" s="3" t="s">
        <v>20</v>
      </c>
      <c r="C12" s="4" t="s">
        <v>18</v>
      </c>
      <c r="D12" s="4" t="s">
        <v>19</v>
      </c>
    </row>
    <row r="13" customFormat="false" ht="15" hidden="false" customHeight="true" outlineLevel="0" collapsed="false">
      <c r="A13" s="0" t="n">
        <v>11</v>
      </c>
      <c r="B13" s="3" t="s">
        <v>21</v>
      </c>
      <c r="C13" s="4" t="s">
        <v>18</v>
      </c>
      <c r="D13" s="4" t="s">
        <v>19</v>
      </c>
    </row>
    <row r="14" customFormat="false" ht="15" hidden="false" customHeight="true" outlineLevel="0" collapsed="false">
      <c r="A14" s="0" t="n">
        <v>12</v>
      </c>
      <c r="B14" s="3" t="s">
        <v>22</v>
      </c>
      <c r="C14" s="4" t="s">
        <v>18</v>
      </c>
      <c r="D14" s="4" t="s">
        <v>19</v>
      </c>
    </row>
    <row r="16" customFormat="false" ht="15" hidden="false" customHeight="true" outlineLevel="0" collapsed="false">
      <c r="A16" s="5" t="s">
        <v>23</v>
      </c>
      <c r="B16" s="3" t="n">
        <v>2</v>
      </c>
    </row>
    <row r="17" customFormat="false" ht="15" hidden="false" customHeight="true" outlineLevel="0" collapsed="false">
      <c r="A17" s="6" t="s">
        <v>24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16"/>
  </cols>
  <sheetData>
    <row r="1" customFormat="false" ht="17.25" hidden="false" customHeight="true" outlineLevel="0" collapsed="false">
      <c r="A1" s="7" t="s">
        <v>25</v>
      </c>
      <c r="B1" s="7"/>
      <c r="C1" s="7"/>
      <c r="D1" s="7"/>
      <c r="E1" s="7"/>
      <c r="F1" s="7"/>
    </row>
    <row r="2" customFormat="false" ht="15" hidden="false" customHeight="true" outlineLevel="0" collapsed="false">
      <c r="A2" s="5" t="s">
        <v>26</v>
      </c>
    </row>
    <row r="3" customFormat="false" ht="15" hidden="false" customHeight="true" outlineLevel="0" collapsed="false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customFormat="false" ht="15" hidden="false" customHeight="true" outlineLevel="0" collapsed="false">
      <c r="A4" s="0" t="n">
        <v>1</v>
      </c>
      <c r="B4" s="0" t="n">
        <v>1</v>
      </c>
      <c r="C4" s="0" t="str">
        <f aca="false">VLOOKUP(B4,Roster!$A$3:$B$14,2,FALSE())</f>
        <v>Evan Loeser</v>
      </c>
      <c r="D4" s="0" t="s">
        <v>30</v>
      </c>
      <c r="E4" s="0" t="n">
        <v>5</v>
      </c>
      <c r="F4" s="0" t="str">
        <f aca="false">VLOOKUP(E4,Roster!$A$3:$B$14,2,FALSE())</f>
        <v>Mikayla Simmons</v>
      </c>
    </row>
    <row r="5" customFormat="false" ht="15" hidden="false" customHeight="true" outlineLevel="0" collapsed="false">
      <c r="A5" s="0" t="n">
        <v>2</v>
      </c>
      <c r="B5" s="0" t="n">
        <v>2</v>
      </c>
      <c r="C5" s="0" t="str">
        <f aca="false">VLOOKUP(B5,Roster!$A$3:$B$14,2,FALSE())</f>
        <v>Chris Simmons</v>
      </c>
      <c r="D5" s="0" t="s">
        <v>30</v>
      </c>
      <c r="E5" s="0" t="n">
        <v>6</v>
      </c>
      <c r="F5" s="0" t="str">
        <f aca="false">VLOOKUP(E5,Roster!$A$3:$B$14,2,FALSE())</f>
        <v>Alan Loeser</v>
      </c>
    </row>
    <row r="6" customFormat="false" ht="15" hidden="false" customHeight="true" outlineLevel="0" collapsed="false">
      <c r="A6" s="0" t="n">
        <v>3</v>
      </c>
      <c r="B6" s="0" t="n">
        <v>3</v>
      </c>
      <c r="C6" s="0" t="str">
        <f aca="false">VLOOKUP(B6,Roster!$A$3:$B$14,2,FALSE())</f>
        <v>Jack Smith</v>
      </c>
      <c r="D6" s="0" t="s">
        <v>30</v>
      </c>
      <c r="E6" s="0" t="n">
        <v>9</v>
      </c>
      <c r="F6" s="0" t="str">
        <f aca="false">VLOOKUP(E6,Roster!$A$3:$B$14,2,FALSE())</f>
        <v>Daddy Michael</v>
      </c>
    </row>
    <row r="7" customFormat="false" ht="15" hidden="false" customHeight="true" outlineLevel="0" collapsed="false">
      <c r="A7" s="0" t="n">
        <v>4</v>
      </c>
      <c r="B7" s="0" t="n">
        <v>4</v>
      </c>
      <c r="C7" s="0" t="str">
        <f aca="false">VLOOKUP(B7,Roster!$A$3:$B$14,2,FALSE())</f>
        <v>Luke Ussery</v>
      </c>
      <c r="D7" s="0" t="s">
        <v>30</v>
      </c>
      <c r="E7" s="0" t="n">
        <v>10</v>
      </c>
      <c r="F7" s="0" t="str">
        <f aca="false">VLOOKUP(E7,Roster!$A$3:$B$14,2,FALSE())</f>
        <v>Zach Zarra</v>
      </c>
    </row>
    <row r="8" customFormat="false" ht="15" hidden="false" customHeight="true" outlineLevel="0" collapsed="false">
      <c r="A8" s="0" t="n">
        <v>5</v>
      </c>
      <c r="B8" s="0" t="n">
        <v>7</v>
      </c>
      <c r="C8" s="0" t="str">
        <f aca="false">VLOOKUP(B8,Roster!$A$3:$B$14,2,FALSE())</f>
        <v>Caleb Simmons</v>
      </c>
      <c r="D8" s="0" t="s">
        <v>30</v>
      </c>
      <c r="E8" s="0" t="n">
        <v>11</v>
      </c>
      <c r="F8" s="0" t="str">
        <f aca="false">VLOOKUP(E8,Roster!$A$3:$B$14,2,FALSE())</f>
        <v>Jeffrey Loeser</v>
      </c>
    </row>
    <row r="9" customFormat="false" ht="15" hidden="false" customHeight="true" outlineLevel="0" collapsed="false">
      <c r="A9" s="0" t="n">
        <v>6</v>
      </c>
      <c r="B9" s="0" t="n">
        <v>8</v>
      </c>
      <c r="C9" s="0" t="str">
        <f aca="false">VLOOKUP(B9,Roster!$A$3:$B$14,2,FALSE())</f>
        <v>Larry Loeser</v>
      </c>
      <c r="D9" s="0" t="s">
        <v>30</v>
      </c>
      <c r="E9" s="0" t="n">
        <v>12</v>
      </c>
      <c r="F9" s="0" t="str">
        <f aca="false">VLOOKUP(E9,Roster!$A$3:$B$14,2,FALSE())</f>
        <v>Jake Andrews</v>
      </c>
    </row>
    <row r="11" customFormat="false" ht="15" hidden="false" customHeight="true" outlineLevel="0" collapsed="false">
      <c r="A11" s="5" t="s">
        <v>31</v>
      </c>
    </row>
    <row r="12" customFormat="false" ht="15" hidden="false" customHeight="true" outlineLevel="0" collapsed="false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customFormat="false" ht="15" hidden="false" customHeight="true" outlineLevel="0" collapsed="false">
      <c r="A13" s="0" t="n">
        <v>1</v>
      </c>
      <c r="B13" s="0" t="n">
        <v>1</v>
      </c>
      <c r="C13" s="0" t="str">
        <f aca="false">VLOOKUP(B13,Roster!$A$3:$B$14,2,FALSE())</f>
        <v>Evan Loeser</v>
      </c>
      <c r="D13" s="0" t="s">
        <v>30</v>
      </c>
      <c r="E13" s="0" t="n">
        <v>6</v>
      </c>
      <c r="F13" s="0" t="str">
        <f aca="false">VLOOKUP(E13,Roster!$A$3:$B$14,2,FALSE())</f>
        <v>Alan Loeser</v>
      </c>
    </row>
    <row r="14" customFormat="false" ht="15" hidden="false" customHeight="true" outlineLevel="0" collapsed="false">
      <c r="A14" s="0" t="n">
        <v>2</v>
      </c>
      <c r="B14" s="0" t="n">
        <v>2</v>
      </c>
      <c r="C14" s="0" t="str">
        <f aca="false">VLOOKUP(B14,Roster!$A$3:$B$14,2,FALSE())</f>
        <v>Chris Simmons</v>
      </c>
      <c r="D14" s="0" t="s">
        <v>30</v>
      </c>
      <c r="E14" s="0" t="n">
        <v>5</v>
      </c>
      <c r="F14" s="0" t="str">
        <f aca="false">VLOOKUP(E14,Roster!$A$3:$B$14,2,FALSE())</f>
        <v>Mikayla Simmons</v>
      </c>
    </row>
    <row r="15" customFormat="false" ht="15" hidden="false" customHeight="true" outlineLevel="0" collapsed="false">
      <c r="A15" s="0" t="n">
        <v>3</v>
      </c>
      <c r="B15" s="0" t="n">
        <v>3</v>
      </c>
      <c r="C15" s="0" t="str">
        <f aca="false">VLOOKUP(B15,Roster!$A$3:$B$14,2,FALSE())</f>
        <v>Jack Smith</v>
      </c>
      <c r="D15" s="0" t="s">
        <v>30</v>
      </c>
      <c r="E15" s="0" t="n">
        <v>10</v>
      </c>
      <c r="F15" s="0" t="str">
        <f aca="false">VLOOKUP(E15,Roster!$A$3:$B$14,2,FALSE())</f>
        <v>Zach Zarra</v>
      </c>
    </row>
    <row r="16" customFormat="false" ht="15" hidden="false" customHeight="true" outlineLevel="0" collapsed="false">
      <c r="A16" s="0" t="n">
        <v>4</v>
      </c>
      <c r="B16" s="0" t="n">
        <v>4</v>
      </c>
      <c r="C16" s="0" t="str">
        <f aca="false">VLOOKUP(B16,Roster!$A$3:$B$14,2,FALSE())</f>
        <v>Luke Ussery</v>
      </c>
      <c r="D16" s="0" t="s">
        <v>30</v>
      </c>
      <c r="E16" s="0" t="n">
        <v>9</v>
      </c>
      <c r="F16" s="0" t="str">
        <f aca="false">VLOOKUP(E16,Roster!$A$3:$B$14,2,FALSE())</f>
        <v>Daddy Michael</v>
      </c>
    </row>
    <row r="17" customFormat="false" ht="15" hidden="false" customHeight="true" outlineLevel="0" collapsed="false">
      <c r="A17" s="0" t="n">
        <v>5</v>
      </c>
      <c r="B17" s="0" t="n">
        <v>7</v>
      </c>
      <c r="C17" s="0" t="str">
        <f aca="false">VLOOKUP(B17,Roster!$A$3:$B$14,2,FALSE())</f>
        <v>Caleb Simmons</v>
      </c>
      <c r="D17" s="0" t="s">
        <v>30</v>
      </c>
      <c r="E17" s="0" t="n">
        <v>12</v>
      </c>
      <c r="F17" s="0" t="str">
        <f aca="false">VLOOKUP(E17,Roster!$A$3:$B$14,2,FALSE())</f>
        <v>Jake Andrews</v>
      </c>
    </row>
    <row r="18" customFormat="false" ht="15" hidden="false" customHeight="true" outlineLevel="0" collapsed="false">
      <c r="A18" s="0" t="n">
        <v>6</v>
      </c>
      <c r="B18" s="0" t="n">
        <v>8</v>
      </c>
      <c r="C18" s="0" t="str">
        <f aca="false">VLOOKUP(B18,Roster!$A$3:$B$14,2,FALSE())</f>
        <v>Larry Loeser</v>
      </c>
      <c r="D18" s="0" t="s">
        <v>30</v>
      </c>
      <c r="E18" s="0" t="n">
        <v>11</v>
      </c>
      <c r="F18" s="0" t="str">
        <f aca="false">VLOOKUP(E18,Roster!$A$3:$B$14,2,FALSE())</f>
        <v>Jeffrey Loeser</v>
      </c>
    </row>
    <row r="20" customFormat="false" ht="15" hidden="false" customHeight="true" outlineLevel="0" collapsed="false">
      <c r="A20" s="5" t="s">
        <v>32</v>
      </c>
    </row>
    <row r="21" customFormat="false" ht="15" hidden="false" customHeight="true" outlineLevel="0" collapsed="false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customFormat="false" ht="15" hidden="false" customHeight="true" outlineLevel="0" collapsed="false">
      <c r="A22" s="0" t="n">
        <v>1</v>
      </c>
      <c r="B22" s="0" t="n">
        <v>1</v>
      </c>
      <c r="C22" s="0" t="str">
        <f aca="false">VLOOKUP(B22,Roster!$A$3:$B$14,2,FALSE())</f>
        <v>Evan Loeser</v>
      </c>
      <c r="D22" s="0" t="s">
        <v>30</v>
      </c>
      <c r="E22" s="0" t="n">
        <v>7</v>
      </c>
      <c r="F22" s="0" t="str">
        <f aca="false">VLOOKUP(E22,Roster!$A$3:$B$14,2,FALSE())</f>
        <v>Caleb Simmons</v>
      </c>
    </row>
    <row r="23" customFormat="false" ht="15" hidden="false" customHeight="true" outlineLevel="0" collapsed="false">
      <c r="A23" s="0" t="n">
        <v>2</v>
      </c>
      <c r="B23" s="0" t="n">
        <v>2</v>
      </c>
      <c r="C23" s="0" t="str">
        <f aca="false">VLOOKUP(B23,Roster!$A$3:$B$14,2,FALSE())</f>
        <v>Chris Simmons</v>
      </c>
      <c r="D23" s="0" t="s">
        <v>30</v>
      </c>
      <c r="E23" s="0" t="n">
        <v>8</v>
      </c>
      <c r="F23" s="0" t="str">
        <f aca="false">VLOOKUP(E23,Roster!$A$3:$B$14,2,FALSE())</f>
        <v>Larry Loeser</v>
      </c>
    </row>
    <row r="24" customFormat="false" ht="15" hidden="false" customHeight="true" outlineLevel="0" collapsed="false">
      <c r="A24" s="0" t="n">
        <v>3</v>
      </c>
      <c r="B24" s="0" t="n">
        <v>3</v>
      </c>
      <c r="C24" s="0" t="str">
        <f aca="false">VLOOKUP(B24,Roster!$A$3:$B$14,2,FALSE())</f>
        <v>Jack Smith</v>
      </c>
      <c r="D24" s="0" t="s">
        <v>30</v>
      </c>
      <c r="E24" s="0" t="n">
        <v>11</v>
      </c>
      <c r="F24" s="0" t="str">
        <f aca="false">VLOOKUP(E24,Roster!$A$3:$B$14,2,FALSE())</f>
        <v>Jeffrey Loeser</v>
      </c>
    </row>
    <row r="25" customFormat="false" ht="15" hidden="false" customHeight="true" outlineLevel="0" collapsed="false">
      <c r="A25" s="0" t="n">
        <v>4</v>
      </c>
      <c r="B25" s="0" t="n">
        <v>4</v>
      </c>
      <c r="C25" s="0" t="str">
        <f aca="false">VLOOKUP(B25,Roster!$A$3:$B$14,2,FALSE())</f>
        <v>Luke Ussery</v>
      </c>
      <c r="D25" s="0" t="s">
        <v>30</v>
      </c>
      <c r="E25" s="0" t="n">
        <v>12</v>
      </c>
      <c r="F25" s="0" t="str">
        <f aca="false">VLOOKUP(E25,Roster!$A$3:$B$14,2,FALSE())</f>
        <v>Jake Andrews</v>
      </c>
    </row>
    <row r="26" customFormat="false" ht="15" hidden="false" customHeight="true" outlineLevel="0" collapsed="false">
      <c r="A26" s="0" t="n">
        <v>5</v>
      </c>
      <c r="B26" s="0" t="n">
        <v>5</v>
      </c>
      <c r="C26" s="0" t="str">
        <f aca="false">VLOOKUP(B26,Roster!$A$3:$B$14,2,FALSE())</f>
        <v>Mikayla Simmons</v>
      </c>
      <c r="D26" s="0" t="s">
        <v>30</v>
      </c>
      <c r="E26" s="0" t="n">
        <v>9</v>
      </c>
      <c r="F26" s="0" t="str">
        <f aca="false">VLOOKUP(E26,Roster!$A$3:$B$14,2,FALSE())</f>
        <v>Daddy Michael</v>
      </c>
    </row>
    <row r="27" customFormat="false" ht="15" hidden="false" customHeight="true" outlineLevel="0" collapsed="false">
      <c r="A27" s="0" t="n">
        <v>6</v>
      </c>
      <c r="B27" s="0" t="n">
        <v>6</v>
      </c>
      <c r="C27" s="0" t="str">
        <f aca="false">VLOOKUP(B27,Roster!$A$3:$B$14,2,FALSE())</f>
        <v>Alan Loeser</v>
      </c>
      <c r="D27" s="0" t="s">
        <v>30</v>
      </c>
      <c r="E27" s="0" t="n">
        <v>10</v>
      </c>
      <c r="F27" s="0" t="str">
        <f aca="false">VLOOKUP(E27,Roster!$A$3:$B$14,2,FALSE())</f>
        <v>Zach Zarra</v>
      </c>
    </row>
    <row r="29" customFormat="false" ht="15" hidden="false" customHeight="true" outlineLevel="0" collapsed="false">
      <c r="A29" s="5" t="s">
        <v>33</v>
      </c>
    </row>
    <row r="30" customFormat="false" ht="15" hidden="false" customHeight="true" outlineLevel="0" collapsed="false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customFormat="false" ht="15" hidden="false" customHeight="true" outlineLevel="0" collapsed="false">
      <c r="A31" s="0" t="n">
        <v>1</v>
      </c>
      <c r="B31" s="0" t="n">
        <v>1</v>
      </c>
      <c r="C31" s="0" t="str">
        <f aca="false">VLOOKUP(B31,Roster!$A$3:$B$14,2,FALSE())</f>
        <v>Evan Loeser</v>
      </c>
      <c r="D31" s="0" t="s">
        <v>30</v>
      </c>
      <c r="E31" s="0" t="n">
        <v>8</v>
      </c>
      <c r="F31" s="0" t="str">
        <f aca="false">VLOOKUP(E31,Roster!$A$3:$B$14,2,FALSE())</f>
        <v>Larry Loeser</v>
      </c>
    </row>
    <row r="32" customFormat="false" ht="15" hidden="false" customHeight="true" outlineLevel="0" collapsed="false">
      <c r="A32" s="0" t="n">
        <v>2</v>
      </c>
      <c r="B32" s="0" t="n">
        <v>2</v>
      </c>
      <c r="C32" s="0" t="str">
        <f aca="false">VLOOKUP(B32,Roster!$A$3:$B$14,2,FALSE())</f>
        <v>Chris Simmons</v>
      </c>
      <c r="D32" s="0" t="s">
        <v>30</v>
      </c>
      <c r="E32" s="0" t="n">
        <v>7</v>
      </c>
      <c r="F32" s="0" t="str">
        <f aca="false">VLOOKUP(E32,Roster!$A$3:$B$14,2,FALSE())</f>
        <v>Caleb Simmons</v>
      </c>
    </row>
    <row r="33" customFormat="false" ht="15" hidden="false" customHeight="true" outlineLevel="0" collapsed="false">
      <c r="A33" s="0" t="n">
        <v>3</v>
      </c>
      <c r="B33" s="0" t="n">
        <v>3</v>
      </c>
      <c r="C33" s="0" t="str">
        <f aca="false">VLOOKUP(B33,Roster!$A$3:$B$14,2,FALSE())</f>
        <v>Jack Smith</v>
      </c>
      <c r="D33" s="0" t="s">
        <v>30</v>
      </c>
      <c r="E33" s="0" t="n">
        <v>12</v>
      </c>
      <c r="F33" s="0" t="str">
        <f aca="false">VLOOKUP(E33,Roster!$A$3:$B$14,2,FALSE())</f>
        <v>Jake Andrews</v>
      </c>
    </row>
    <row r="34" customFormat="false" ht="15" hidden="false" customHeight="true" outlineLevel="0" collapsed="false">
      <c r="A34" s="0" t="n">
        <v>4</v>
      </c>
      <c r="B34" s="0" t="n">
        <v>4</v>
      </c>
      <c r="C34" s="0" t="str">
        <f aca="false">VLOOKUP(B34,Roster!$A$3:$B$14,2,FALSE())</f>
        <v>Luke Ussery</v>
      </c>
      <c r="D34" s="0" t="s">
        <v>30</v>
      </c>
      <c r="E34" s="0" t="n">
        <v>11</v>
      </c>
      <c r="F34" s="0" t="str">
        <f aca="false">VLOOKUP(E34,Roster!$A$3:$B$14,2,FALSE())</f>
        <v>Jeffrey Loeser</v>
      </c>
    </row>
    <row r="35" customFormat="false" ht="15" hidden="false" customHeight="true" outlineLevel="0" collapsed="false">
      <c r="A35" s="0" t="n">
        <v>5</v>
      </c>
      <c r="B35" s="0" t="n">
        <v>5</v>
      </c>
      <c r="C35" s="0" t="str">
        <f aca="false">VLOOKUP(B35,Roster!$A$3:$B$14,2,FALSE())</f>
        <v>Mikayla Simmons</v>
      </c>
      <c r="D35" s="0" t="s">
        <v>30</v>
      </c>
      <c r="E35" s="0" t="n">
        <v>10</v>
      </c>
      <c r="F35" s="0" t="str">
        <f aca="false">VLOOKUP(E35,Roster!$A$3:$B$14,2,FALSE())</f>
        <v>Zach Zarra</v>
      </c>
    </row>
    <row r="36" customFormat="false" ht="15" hidden="false" customHeight="true" outlineLevel="0" collapsed="false">
      <c r="A36" s="0" t="n">
        <v>6</v>
      </c>
      <c r="B36" s="0" t="n">
        <v>6</v>
      </c>
      <c r="C36" s="0" t="str">
        <f aca="false">VLOOKUP(B36,Roster!$A$3:$B$14,2,FALSE())</f>
        <v>Alan Loeser</v>
      </c>
      <c r="D36" s="0" t="s">
        <v>30</v>
      </c>
      <c r="E36" s="0" t="n">
        <v>9</v>
      </c>
      <c r="F36" s="0" t="str">
        <f aca="false">VLOOKUP(E36,Roster!$A$3:$B$14,2,FALSE())</f>
        <v>Daddy Michael</v>
      </c>
    </row>
    <row r="38" customFormat="false" ht="15" hidden="false" customHeight="true" outlineLevel="0" collapsed="false">
      <c r="A38" s="5" t="s">
        <v>34</v>
      </c>
    </row>
    <row r="39" customFormat="false" ht="15" hidden="false" customHeight="true" outlineLevel="0" collapsed="false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customFormat="false" ht="15" hidden="false" customHeight="true" outlineLevel="0" collapsed="false">
      <c r="A40" s="0" t="n">
        <v>1</v>
      </c>
      <c r="B40" s="0" t="n">
        <v>3</v>
      </c>
      <c r="C40" s="0" t="str">
        <f aca="false">VLOOKUP(B40,Roster!$A$3:$B$14,2,FALSE())</f>
        <v>Jack Smith</v>
      </c>
      <c r="D40" s="0" t="s">
        <v>30</v>
      </c>
      <c r="E40" s="0" t="n">
        <v>5</v>
      </c>
      <c r="F40" s="0" t="str">
        <f aca="false">VLOOKUP(E40,Roster!$A$3:$B$14,2,FALSE())</f>
        <v>Mikayla Simmons</v>
      </c>
    </row>
    <row r="41" customFormat="false" ht="15" hidden="false" customHeight="true" outlineLevel="0" collapsed="false">
      <c r="A41" s="0" t="n">
        <v>2</v>
      </c>
      <c r="B41" s="0" t="n">
        <v>4</v>
      </c>
      <c r="C41" s="0" t="str">
        <f aca="false">VLOOKUP(B41,Roster!$A$3:$B$14,2,FALSE())</f>
        <v>Luke Ussery</v>
      </c>
      <c r="D41" s="0" t="s">
        <v>30</v>
      </c>
      <c r="E41" s="0" t="n">
        <v>6</v>
      </c>
      <c r="F41" s="0" t="str">
        <f aca="false">VLOOKUP(E41,Roster!$A$3:$B$14,2,FALSE())</f>
        <v>Alan Loeser</v>
      </c>
    </row>
    <row r="42" customFormat="false" ht="15" hidden="false" customHeight="true" outlineLevel="0" collapsed="false">
      <c r="A42" s="0" t="n">
        <v>3</v>
      </c>
      <c r="B42" s="0" t="n">
        <v>1</v>
      </c>
      <c r="C42" s="0" t="str">
        <f aca="false">VLOOKUP(B42,Roster!$A$3:$B$14,2,FALSE())</f>
        <v>Evan Loeser</v>
      </c>
      <c r="D42" s="0" t="s">
        <v>30</v>
      </c>
      <c r="E42" s="0" t="n">
        <v>11</v>
      </c>
      <c r="F42" s="0" t="str">
        <f aca="false">VLOOKUP(E42,Roster!$A$3:$B$14,2,FALSE())</f>
        <v>Jeffrey Loeser</v>
      </c>
    </row>
    <row r="43" customFormat="false" ht="15" hidden="false" customHeight="true" outlineLevel="0" collapsed="false">
      <c r="A43" s="0" t="n">
        <v>4</v>
      </c>
      <c r="B43" s="0" t="n">
        <v>2</v>
      </c>
      <c r="C43" s="0" t="str">
        <f aca="false">VLOOKUP(B43,Roster!$A$3:$B$14,2,FALSE())</f>
        <v>Chris Simmons</v>
      </c>
      <c r="D43" s="0" t="s">
        <v>30</v>
      </c>
      <c r="E43" s="0" t="n">
        <v>12</v>
      </c>
      <c r="F43" s="0" t="str">
        <f aca="false">VLOOKUP(E43,Roster!$A$3:$B$14,2,FALSE())</f>
        <v>Jake Andrews</v>
      </c>
    </row>
    <row r="44" customFormat="false" ht="15" hidden="false" customHeight="true" outlineLevel="0" collapsed="false">
      <c r="A44" s="0" t="n">
        <v>5</v>
      </c>
      <c r="B44" s="0" t="n">
        <v>7</v>
      </c>
      <c r="C44" s="0" t="str">
        <f aca="false">VLOOKUP(B44,Roster!$A$3:$B$14,2,FALSE())</f>
        <v>Caleb Simmons</v>
      </c>
      <c r="D44" s="0" t="s">
        <v>30</v>
      </c>
      <c r="E44" s="0" t="n">
        <v>10</v>
      </c>
      <c r="F44" s="0" t="str">
        <f aca="false">VLOOKUP(E44,Roster!$A$3:$B$14,2,FALSE())</f>
        <v>Zach Zarra</v>
      </c>
    </row>
    <row r="45" customFormat="false" ht="15" hidden="false" customHeight="true" outlineLevel="0" collapsed="false">
      <c r="A45" s="0" t="n">
        <v>6</v>
      </c>
      <c r="B45" s="0" t="n">
        <v>8</v>
      </c>
      <c r="C45" s="0" t="str">
        <f aca="false">VLOOKUP(B45,Roster!$A$3:$B$14,2,FALSE())</f>
        <v>Larry Loeser</v>
      </c>
      <c r="D45" s="0" t="s">
        <v>30</v>
      </c>
      <c r="E45" s="0" t="n">
        <v>9</v>
      </c>
      <c r="F45" s="0" t="str">
        <f aca="false">VLOOKUP(E45,Roster!$A$3:$B$14,2,FALSE())</f>
        <v>Daddy Michael</v>
      </c>
    </row>
    <row r="47" customFormat="false" ht="15" hidden="false" customHeight="true" outlineLevel="0" collapsed="false">
      <c r="A47" s="5" t="s">
        <v>35</v>
      </c>
    </row>
    <row r="48" customFormat="false" ht="15" hidden="false" customHeight="true" outlineLevel="0" collapsed="false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customFormat="false" ht="15" hidden="false" customHeight="true" outlineLevel="0" collapsed="false">
      <c r="A49" s="0" t="n">
        <v>1</v>
      </c>
      <c r="B49" s="0" t="n">
        <v>3</v>
      </c>
      <c r="C49" s="0" t="str">
        <f aca="false">VLOOKUP(B49,Roster!$A$3:$B$14,2,FALSE())</f>
        <v>Jack Smith</v>
      </c>
      <c r="D49" s="0" t="s">
        <v>30</v>
      </c>
      <c r="E49" s="0" t="n">
        <v>7</v>
      </c>
      <c r="F49" s="0" t="str">
        <f aca="false">VLOOKUP(E49,Roster!$A$3:$B$14,2,FALSE())</f>
        <v>Caleb Simmons</v>
      </c>
    </row>
    <row r="50" customFormat="false" ht="15" hidden="false" customHeight="true" outlineLevel="0" collapsed="false">
      <c r="A50" s="0" t="n">
        <v>2</v>
      </c>
      <c r="B50" s="0" t="n">
        <v>4</v>
      </c>
      <c r="C50" s="0" t="str">
        <f aca="false">VLOOKUP(B50,Roster!$A$3:$B$14,2,FALSE())</f>
        <v>Luke Ussery</v>
      </c>
      <c r="D50" s="0" t="s">
        <v>30</v>
      </c>
      <c r="E50" s="0" t="n">
        <v>8</v>
      </c>
      <c r="F50" s="0" t="str">
        <f aca="false">VLOOKUP(E50,Roster!$A$3:$B$14,2,FALSE())</f>
        <v>Larry Loeser</v>
      </c>
    </row>
    <row r="51" customFormat="false" ht="15" hidden="false" customHeight="true" outlineLevel="0" collapsed="false">
      <c r="A51" s="0" t="n">
        <v>3</v>
      </c>
      <c r="B51" s="0" t="n">
        <v>1</v>
      </c>
      <c r="C51" s="0" t="str">
        <f aca="false">VLOOKUP(B51,Roster!$A$3:$B$14,2,FALSE())</f>
        <v>Evan Loeser</v>
      </c>
      <c r="D51" s="0" t="s">
        <v>30</v>
      </c>
      <c r="E51" s="0" t="n">
        <v>9</v>
      </c>
      <c r="F51" s="0" t="str">
        <f aca="false">VLOOKUP(E51,Roster!$A$3:$B$14,2,FALSE())</f>
        <v>Daddy Michael</v>
      </c>
    </row>
    <row r="52" customFormat="false" ht="15" hidden="false" customHeight="true" outlineLevel="0" collapsed="false">
      <c r="A52" s="0" t="n">
        <v>4</v>
      </c>
      <c r="B52" s="0" t="n">
        <v>2</v>
      </c>
      <c r="C52" s="0" t="str">
        <f aca="false">VLOOKUP(B52,Roster!$A$3:$B$14,2,FALSE())</f>
        <v>Chris Simmons</v>
      </c>
      <c r="D52" s="0" t="s">
        <v>30</v>
      </c>
      <c r="E52" s="0" t="n">
        <v>10</v>
      </c>
      <c r="F52" s="0" t="str">
        <f aca="false">VLOOKUP(E52,Roster!$A$3:$B$14,2,FALSE())</f>
        <v>Zach Zarra</v>
      </c>
    </row>
    <row r="53" customFormat="false" ht="15" hidden="false" customHeight="true" outlineLevel="0" collapsed="false">
      <c r="A53" s="0" t="n">
        <v>5</v>
      </c>
      <c r="B53" s="0" t="n">
        <v>5</v>
      </c>
      <c r="C53" s="0" t="str">
        <f aca="false">VLOOKUP(B53,Roster!$A$3:$B$14,2,FALSE())</f>
        <v>Mikayla Simmons</v>
      </c>
      <c r="D53" s="0" t="s">
        <v>30</v>
      </c>
      <c r="E53" s="0" t="n">
        <v>12</v>
      </c>
      <c r="F53" s="0" t="str">
        <f aca="false">VLOOKUP(E53,Roster!$A$3:$B$14,2,FALSE())</f>
        <v>Jake Andrews</v>
      </c>
    </row>
    <row r="54" customFormat="false" ht="15" hidden="false" customHeight="true" outlineLevel="0" collapsed="false">
      <c r="A54" s="0" t="n">
        <v>6</v>
      </c>
      <c r="B54" s="0" t="n">
        <v>6</v>
      </c>
      <c r="C54" s="0" t="str">
        <f aca="false">VLOOKUP(B54,Roster!$A$3:$B$14,2,FALSE())</f>
        <v>Alan Loeser</v>
      </c>
      <c r="D54" s="0" t="s">
        <v>30</v>
      </c>
      <c r="E54" s="0" t="n">
        <v>11</v>
      </c>
      <c r="F54" s="0" t="str">
        <f aca="false">VLOOKUP(E54,Roster!$A$3:$B$14,2,FALSE())</f>
        <v>Jeffrey Loeser</v>
      </c>
    </row>
    <row r="56" customFormat="false" ht="17.25" hidden="false" customHeight="true" outlineLevel="0" collapsed="false">
      <c r="A56" s="7" t="s">
        <v>36</v>
      </c>
      <c r="B56" s="7"/>
      <c r="C56" s="7"/>
      <c r="D56" s="7"/>
      <c r="E56" s="7"/>
      <c r="F56" s="7"/>
    </row>
    <row r="57" customFormat="false" ht="15" hidden="false" customHeight="true" outlineLevel="0" collapsed="false">
      <c r="A57" s="5" t="s">
        <v>37</v>
      </c>
    </row>
    <row r="58" customFormat="false" ht="15" hidden="false" customHeight="true" outlineLevel="0" collapsed="false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customFormat="false" ht="15" hidden="false" customHeight="true" outlineLevel="0" collapsed="false">
      <c r="A59" s="0" t="n">
        <v>1</v>
      </c>
      <c r="B59" s="0" t="n">
        <v>3</v>
      </c>
      <c r="C59" s="0" t="str">
        <f aca="false">VLOOKUP(B59,Roster!$A$3:$B$14,2,FALSE())</f>
        <v>Jack Smith</v>
      </c>
      <c r="D59" s="0" t="s">
        <v>30</v>
      </c>
      <c r="E59" s="0" t="n">
        <v>8</v>
      </c>
      <c r="F59" s="0" t="str">
        <f aca="false">VLOOKUP(E59,Roster!$A$3:$B$14,2,FALSE())</f>
        <v>Larry Loeser</v>
      </c>
    </row>
    <row r="60" customFormat="false" ht="15" hidden="false" customHeight="true" outlineLevel="0" collapsed="false">
      <c r="A60" s="0" t="n">
        <v>2</v>
      </c>
      <c r="B60" s="0" t="n">
        <v>4</v>
      </c>
      <c r="C60" s="0" t="str">
        <f aca="false">VLOOKUP(B60,Roster!$A$3:$B$14,2,FALSE())</f>
        <v>Luke Ussery</v>
      </c>
      <c r="D60" s="0" t="s">
        <v>30</v>
      </c>
      <c r="E60" s="0" t="n">
        <v>7</v>
      </c>
      <c r="F60" s="0" t="str">
        <f aca="false">VLOOKUP(E60,Roster!$A$3:$B$14,2,FALSE())</f>
        <v>Caleb Simmons</v>
      </c>
    </row>
    <row r="61" customFormat="false" ht="15" hidden="false" customHeight="true" outlineLevel="0" collapsed="false">
      <c r="A61" s="0" t="n">
        <v>3</v>
      </c>
      <c r="B61" s="0" t="n">
        <v>1</v>
      </c>
      <c r="C61" s="0" t="str">
        <f aca="false">VLOOKUP(B61,Roster!$A$3:$B$14,2,FALSE())</f>
        <v>Evan Loeser</v>
      </c>
      <c r="D61" s="0" t="s">
        <v>30</v>
      </c>
      <c r="E61" s="0" t="n">
        <v>10</v>
      </c>
      <c r="F61" s="0" t="str">
        <f aca="false">VLOOKUP(E61,Roster!$A$3:$B$14,2,FALSE())</f>
        <v>Zach Zarra</v>
      </c>
    </row>
    <row r="62" customFormat="false" ht="15" hidden="false" customHeight="true" outlineLevel="0" collapsed="false">
      <c r="A62" s="0" t="n">
        <v>4</v>
      </c>
      <c r="B62" s="0" t="n">
        <v>2</v>
      </c>
      <c r="C62" s="0" t="str">
        <f aca="false">VLOOKUP(B62,Roster!$A$3:$B$14,2,FALSE())</f>
        <v>Chris Simmons</v>
      </c>
      <c r="D62" s="0" t="s">
        <v>30</v>
      </c>
      <c r="E62" s="0" t="n">
        <v>9</v>
      </c>
      <c r="F62" s="0" t="str">
        <f aca="false">VLOOKUP(E62,Roster!$A$3:$B$14,2,FALSE())</f>
        <v>Daddy Michael</v>
      </c>
    </row>
    <row r="63" customFormat="false" ht="15" hidden="false" customHeight="true" outlineLevel="0" collapsed="false">
      <c r="A63" s="0" t="n">
        <v>5</v>
      </c>
      <c r="B63" s="0" t="n">
        <v>5</v>
      </c>
      <c r="C63" s="0" t="str">
        <f aca="false">VLOOKUP(B63,Roster!$A$3:$B$14,2,FALSE())</f>
        <v>Mikayla Simmons</v>
      </c>
      <c r="D63" s="0" t="s">
        <v>30</v>
      </c>
      <c r="E63" s="0" t="n">
        <v>11</v>
      </c>
      <c r="F63" s="0" t="str">
        <f aca="false">VLOOKUP(E63,Roster!$A$3:$B$14,2,FALSE())</f>
        <v>Jeffrey Loeser</v>
      </c>
    </row>
    <row r="64" customFormat="false" ht="15" hidden="false" customHeight="true" outlineLevel="0" collapsed="false">
      <c r="A64" s="0" t="n">
        <v>6</v>
      </c>
      <c r="B64" s="0" t="n">
        <v>6</v>
      </c>
      <c r="C64" s="0" t="str">
        <f aca="false">VLOOKUP(B64,Roster!$A$3:$B$14,2,FALSE())</f>
        <v>Alan Loeser</v>
      </c>
      <c r="D64" s="0" t="s">
        <v>30</v>
      </c>
      <c r="E64" s="0" t="n">
        <v>12</v>
      </c>
      <c r="F64" s="0" t="str">
        <f aca="false">VLOOKUP(E64,Roster!$A$3:$B$14,2,FALSE())</f>
        <v>Jake Andrews</v>
      </c>
    </row>
    <row r="66" customFormat="false" ht="15" hidden="false" customHeight="true" outlineLevel="0" collapsed="false">
      <c r="A66" s="5" t="s">
        <v>38</v>
      </c>
    </row>
    <row r="67" customFormat="false" ht="15" hidden="false" customHeight="true" outlineLevel="0" collapsed="false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customFormat="false" ht="15" hidden="false" customHeight="true" outlineLevel="0" collapsed="false">
      <c r="A68" s="0" t="n">
        <v>1</v>
      </c>
      <c r="B68" s="0" t="n">
        <v>3</v>
      </c>
      <c r="C68" s="0" t="str">
        <f aca="false">VLOOKUP(B68,Roster!$A$3:$B$14,2,FALSE())</f>
        <v>Jack Smith</v>
      </c>
      <c r="D68" s="0" t="s">
        <v>30</v>
      </c>
      <c r="E68" s="0" t="n">
        <v>6</v>
      </c>
      <c r="F68" s="0" t="str">
        <f aca="false">VLOOKUP(E68,Roster!$A$3:$B$14,2,FALSE())</f>
        <v>Alan Loeser</v>
      </c>
    </row>
    <row r="69" customFormat="false" ht="15" hidden="false" customHeight="true" outlineLevel="0" collapsed="false">
      <c r="A69" s="0" t="n">
        <v>2</v>
      </c>
      <c r="B69" s="0" t="n">
        <v>4</v>
      </c>
      <c r="C69" s="0" t="str">
        <f aca="false">VLOOKUP(B69,Roster!$A$3:$B$14,2,FALSE())</f>
        <v>Luke Ussery</v>
      </c>
      <c r="D69" s="0" t="s">
        <v>30</v>
      </c>
      <c r="E69" s="0" t="n">
        <v>5</v>
      </c>
      <c r="F69" s="0" t="str">
        <f aca="false">VLOOKUP(E69,Roster!$A$3:$B$14,2,FALSE())</f>
        <v>Mikayla Simmons</v>
      </c>
    </row>
    <row r="70" customFormat="false" ht="15" hidden="false" customHeight="true" outlineLevel="0" collapsed="false">
      <c r="A70" s="0" t="n">
        <v>3</v>
      </c>
      <c r="B70" s="0" t="n">
        <v>1</v>
      </c>
      <c r="C70" s="0" t="str">
        <f aca="false">VLOOKUP(B70,Roster!$A$3:$B$14,2,FALSE())</f>
        <v>Evan Loeser</v>
      </c>
      <c r="D70" s="0" t="s">
        <v>30</v>
      </c>
      <c r="E70" s="0" t="n">
        <v>12</v>
      </c>
      <c r="F70" s="0" t="str">
        <f aca="false">VLOOKUP(E70,Roster!$A$3:$B$14,2,FALSE())</f>
        <v>Jake Andrews</v>
      </c>
    </row>
    <row r="71" customFormat="false" ht="15" hidden="false" customHeight="true" outlineLevel="0" collapsed="false">
      <c r="A71" s="0" t="n">
        <v>4</v>
      </c>
      <c r="B71" s="0" t="n">
        <v>2</v>
      </c>
      <c r="C71" s="0" t="str">
        <f aca="false">VLOOKUP(B71,Roster!$A$3:$B$14,2,FALSE())</f>
        <v>Chris Simmons</v>
      </c>
      <c r="D71" s="0" t="s">
        <v>30</v>
      </c>
      <c r="E71" s="0" t="n">
        <v>11</v>
      </c>
      <c r="F71" s="0" t="str">
        <f aca="false">VLOOKUP(E71,Roster!$A$3:$B$14,2,FALSE())</f>
        <v>Jeffrey Loeser</v>
      </c>
    </row>
    <row r="72" customFormat="false" ht="15" hidden="false" customHeight="true" outlineLevel="0" collapsed="false">
      <c r="A72" s="0" t="n">
        <v>5</v>
      </c>
      <c r="B72" s="0" t="n">
        <v>7</v>
      </c>
      <c r="C72" s="0" t="str">
        <f aca="false">VLOOKUP(B72,Roster!$A$3:$B$14,2,FALSE())</f>
        <v>Caleb Simmons</v>
      </c>
      <c r="D72" s="0" t="s">
        <v>30</v>
      </c>
      <c r="E72" s="0" t="n">
        <v>10</v>
      </c>
      <c r="F72" s="0" t="str">
        <f aca="false">VLOOKUP(E72,Roster!$A$3:$B$14,2,FALSE())</f>
        <v>Zach Zarra</v>
      </c>
    </row>
    <row r="73" customFormat="false" ht="15" hidden="false" customHeight="true" outlineLevel="0" collapsed="false">
      <c r="A73" s="0" t="n">
        <v>6</v>
      </c>
      <c r="B73" s="0" t="n">
        <v>8</v>
      </c>
      <c r="C73" s="0" t="str">
        <f aca="false">VLOOKUP(B73,Roster!$A$3:$B$14,2,FALSE())</f>
        <v>Larry Loeser</v>
      </c>
      <c r="D73" s="0" t="s">
        <v>30</v>
      </c>
      <c r="E73" s="0" t="n">
        <v>9</v>
      </c>
      <c r="F73" s="0" t="str">
        <f aca="false">VLOOKUP(E73,Roster!$A$3:$B$14,2,FALSE())</f>
        <v>Daddy Michael</v>
      </c>
    </row>
    <row r="75" customFormat="false" ht="15" hidden="false" customHeight="true" outlineLevel="0" collapsed="false">
      <c r="A75" s="5" t="s">
        <v>39</v>
      </c>
    </row>
    <row r="76" customFormat="false" ht="15" hidden="false" customHeight="true" outlineLevel="0" collapsed="false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customFormat="false" ht="15" hidden="false" customHeight="true" outlineLevel="0" collapsed="false">
      <c r="A77" s="0" t="n">
        <v>1</v>
      </c>
      <c r="B77" s="0" t="n">
        <v>1</v>
      </c>
      <c r="C77" s="0" t="str">
        <f aca="false">VLOOKUP(B77,Roster!$A$3:$B$14,2,FALSE())</f>
        <v>Evan Loeser</v>
      </c>
      <c r="D77" s="0" t="s">
        <v>30</v>
      </c>
      <c r="E77" s="0" t="n">
        <v>5</v>
      </c>
      <c r="F77" s="0" t="str">
        <f aca="false">VLOOKUP(E77,Roster!$A$3:$B$14,2,FALSE())</f>
        <v>Mikayla Simmons</v>
      </c>
    </row>
    <row r="78" customFormat="false" ht="15" hidden="false" customHeight="true" outlineLevel="0" collapsed="false">
      <c r="A78" s="0" t="n">
        <v>2</v>
      </c>
      <c r="B78" s="0" t="n">
        <v>2</v>
      </c>
      <c r="C78" s="0" t="str">
        <f aca="false">VLOOKUP(B78,Roster!$A$3:$B$14,2,FALSE())</f>
        <v>Chris Simmons</v>
      </c>
      <c r="D78" s="0" t="s">
        <v>30</v>
      </c>
      <c r="E78" s="0" t="n">
        <v>6</v>
      </c>
      <c r="F78" s="0" t="str">
        <f aca="false">VLOOKUP(E78,Roster!$A$3:$B$14,2,FALSE())</f>
        <v>Alan Loeser</v>
      </c>
    </row>
    <row r="79" customFormat="false" ht="15" hidden="false" customHeight="true" outlineLevel="0" collapsed="false">
      <c r="A79" s="0" t="n">
        <v>3</v>
      </c>
      <c r="B79" s="0" t="n">
        <v>3</v>
      </c>
      <c r="C79" s="0" t="str">
        <f aca="false">VLOOKUP(B79,Roster!$A$3:$B$14,2,FALSE())</f>
        <v>Jack Smith</v>
      </c>
      <c r="D79" s="0" t="s">
        <v>30</v>
      </c>
      <c r="E79" s="0" t="n">
        <v>10</v>
      </c>
      <c r="F79" s="0" t="str">
        <f aca="false">VLOOKUP(E79,Roster!$A$3:$B$14,2,FALSE())</f>
        <v>Zach Zarra</v>
      </c>
    </row>
    <row r="80" customFormat="false" ht="15" hidden="false" customHeight="true" outlineLevel="0" collapsed="false">
      <c r="A80" s="0" t="n">
        <v>4</v>
      </c>
      <c r="B80" s="0" t="n">
        <v>4</v>
      </c>
      <c r="C80" s="0" t="str">
        <f aca="false">VLOOKUP(B80,Roster!$A$3:$B$14,2,FALSE())</f>
        <v>Luke Ussery</v>
      </c>
      <c r="D80" s="0" t="s">
        <v>30</v>
      </c>
      <c r="E80" s="0" t="n">
        <v>9</v>
      </c>
      <c r="F80" s="0" t="str">
        <f aca="false">VLOOKUP(E80,Roster!$A$3:$B$14,2,FALSE())</f>
        <v>Daddy Michael</v>
      </c>
    </row>
    <row r="81" customFormat="false" ht="15" hidden="false" customHeight="true" outlineLevel="0" collapsed="false">
      <c r="A81" s="0" t="n">
        <v>5</v>
      </c>
      <c r="B81" s="0" t="n">
        <v>7</v>
      </c>
      <c r="C81" s="0" t="str">
        <f aca="false">VLOOKUP(B81,Roster!$A$3:$B$14,2,FALSE())</f>
        <v>Caleb Simmons</v>
      </c>
      <c r="D81" s="0" t="s">
        <v>30</v>
      </c>
      <c r="E81" s="0" t="n">
        <v>12</v>
      </c>
      <c r="F81" s="0" t="str">
        <f aca="false">VLOOKUP(E81,Roster!$A$3:$B$14,2,FALSE())</f>
        <v>Jake Andrews</v>
      </c>
    </row>
    <row r="82" customFormat="false" ht="15" hidden="false" customHeight="true" outlineLevel="0" collapsed="false">
      <c r="A82" s="0" t="n">
        <v>6</v>
      </c>
      <c r="B82" s="0" t="n">
        <v>8</v>
      </c>
      <c r="C82" s="0" t="str">
        <f aca="false">VLOOKUP(B82,Roster!$A$3:$B$14,2,FALSE())</f>
        <v>Larry Loeser</v>
      </c>
      <c r="D82" s="0" t="s">
        <v>30</v>
      </c>
      <c r="E82" s="0" t="n">
        <v>11</v>
      </c>
      <c r="F82" s="0" t="str">
        <f aca="false">VLOOKUP(E82,Roster!$A$3:$B$14,2,FALSE())</f>
        <v>Jeffrey Loeser</v>
      </c>
    </row>
    <row r="84" customFormat="false" ht="15" hidden="false" customHeight="true" outlineLevel="0" collapsed="false">
      <c r="A84" s="5" t="s">
        <v>40</v>
      </c>
    </row>
    <row r="85" customFormat="false" ht="15" hidden="false" customHeight="true" outlineLevel="0" collapsed="false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customFormat="false" ht="15" hidden="false" customHeight="true" outlineLevel="0" collapsed="false">
      <c r="A86" s="0" t="n">
        <v>1</v>
      </c>
      <c r="B86" s="0" t="n">
        <v>1</v>
      </c>
      <c r="C86" s="0" t="str">
        <f aca="false">VLOOKUP(B86,Roster!$A$3:$B$14,2,FALSE())</f>
        <v>Evan Loeser</v>
      </c>
      <c r="D86" s="0" t="s">
        <v>30</v>
      </c>
      <c r="E86" s="0" t="n">
        <v>7</v>
      </c>
      <c r="F86" s="0" t="str">
        <f aca="false">VLOOKUP(E86,Roster!$A$3:$B$14,2,FALSE())</f>
        <v>Caleb Simmons</v>
      </c>
    </row>
    <row r="87" customFormat="false" ht="15" hidden="false" customHeight="true" outlineLevel="0" collapsed="false">
      <c r="A87" s="0" t="n">
        <v>2</v>
      </c>
      <c r="B87" s="0" t="n">
        <v>2</v>
      </c>
      <c r="C87" s="0" t="str">
        <f aca="false">VLOOKUP(B87,Roster!$A$3:$B$14,2,FALSE())</f>
        <v>Chris Simmons</v>
      </c>
      <c r="D87" s="0" t="s">
        <v>30</v>
      </c>
      <c r="E87" s="0" t="n">
        <v>8</v>
      </c>
      <c r="F87" s="0" t="str">
        <f aca="false">VLOOKUP(E87,Roster!$A$3:$B$14,2,FALSE())</f>
        <v>Larry Loeser</v>
      </c>
    </row>
    <row r="88" customFormat="false" ht="15" hidden="false" customHeight="true" outlineLevel="0" collapsed="false">
      <c r="A88" s="0" t="n">
        <v>3</v>
      </c>
      <c r="B88" s="0" t="n">
        <v>3</v>
      </c>
      <c r="C88" s="0" t="str">
        <f aca="false">VLOOKUP(B88,Roster!$A$3:$B$14,2,FALSE())</f>
        <v>Jack Smith</v>
      </c>
      <c r="D88" s="0" t="s">
        <v>30</v>
      </c>
      <c r="E88" s="0" t="n">
        <v>12</v>
      </c>
      <c r="F88" s="0" t="str">
        <f aca="false">VLOOKUP(E88,Roster!$A$3:$B$14,2,FALSE())</f>
        <v>Jake Andrews</v>
      </c>
    </row>
    <row r="89" customFormat="false" ht="15" hidden="false" customHeight="true" outlineLevel="0" collapsed="false">
      <c r="A89" s="0" t="n">
        <v>4</v>
      </c>
      <c r="B89" s="0" t="n">
        <v>4</v>
      </c>
      <c r="C89" s="0" t="str">
        <f aca="false">VLOOKUP(B89,Roster!$A$3:$B$14,2,FALSE())</f>
        <v>Luke Ussery</v>
      </c>
      <c r="D89" s="0" t="s">
        <v>30</v>
      </c>
      <c r="E89" s="0" t="n">
        <v>11</v>
      </c>
      <c r="F89" s="0" t="str">
        <f aca="false">VLOOKUP(E89,Roster!$A$3:$B$14,2,FALSE())</f>
        <v>Jeffrey Loeser</v>
      </c>
    </row>
    <row r="90" customFormat="false" ht="15" hidden="false" customHeight="true" outlineLevel="0" collapsed="false">
      <c r="A90" s="0" t="n">
        <v>5</v>
      </c>
      <c r="B90" s="0" t="n">
        <v>5</v>
      </c>
      <c r="C90" s="0" t="str">
        <f aca="false">VLOOKUP(B90,Roster!$A$3:$B$14,2,FALSE())</f>
        <v>Mikayla Simmons</v>
      </c>
      <c r="D90" s="0" t="s">
        <v>30</v>
      </c>
      <c r="E90" s="0" t="n">
        <v>10</v>
      </c>
      <c r="F90" s="0" t="str">
        <f aca="false">VLOOKUP(E90,Roster!$A$3:$B$14,2,FALSE())</f>
        <v>Zach Zarra</v>
      </c>
    </row>
    <row r="91" customFormat="false" ht="15" hidden="false" customHeight="true" outlineLevel="0" collapsed="false">
      <c r="A91" s="0" t="n">
        <v>6</v>
      </c>
      <c r="B91" s="0" t="n">
        <v>6</v>
      </c>
      <c r="C91" s="0" t="str">
        <f aca="false">VLOOKUP(B91,Roster!$A$3:$B$14,2,FALSE())</f>
        <v>Alan Loeser</v>
      </c>
      <c r="D91" s="0" t="s">
        <v>30</v>
      </c>
      <c r="E91" s="0" t="n">
        <v>9</v>
      </c>
      <c r="F91" s="0" t="str">
        <f aca="false">VLOOKUP(E91,Roster!$A$3:$B$14,2,FALSE())</f>
        <v>Daddy Michael</v>
      </c>
    </row>
    <row r="93" customFormat="false" ht="15" hidden="false" customHeight="true" outlineLevel="0" collapsed="false">
      <c r="A93" s="5" t="s">
        <v>41</v>
      </c>
    </row>
    <row r="94" customFormat="false" ht="15" hidden="false" customHeight="true" outlineLevel="0" collapsed="false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customFormat="false" ht="15" hidden="false" customHeight="true" outlineLevel="0" collapsed="false">
      <c r="A95" s="0" t="n">
        <v>1</v>
      </c>
      <c r="B95" s="0" t="n">
        <v>3</v>
      </c>
      <c r="C95" s="0" t="str">
        <f aca="false">VLOOKUP(B95,Roster!$A$3:$B$14,2,FALSE())</f>
        <v>Jack Smith</v>
      </c>
      <c r="D95" s="0" t="s">
        <v>30</v>
      </c>
      <c r="E95" s="0" t="n">
        <v>5</v>
      </c>
      <c r="F95" s="0" t="str">
        <f aca="false">VLOOKUP(E95,Roster!$A$3:$B$14,2,FALSE())</f>
        <v>Mikayla Simmons</v>
      </c>
    </row>
    <row r="96" customFormat="false" ht="15" hidden="false" customHeight="true" outlineLevel="0" collapsed="false">
      <c r="A96" s="0" t="n">
        <v>2</v>
      </c>
      <c r="B96" s="0" t="n">
        <v>4</v>
      </c>
      <c r="C96" s="0" t="str">
        <f aca="false">VLOOKUP(B96,Roster!$A$3:$B$14,2,FALSE())</f>
        <v>Luke Ussery</v>
      </c>
      <c r="D96" s="0" t="s">
        <v>30</v>
      </c>
      <c r="E96" s="0" t="n">
        <v>6</v>
      </c>
      <c r="F96" s="0" t="str">
        <f aca="false">VLOOKUP(E96,Roster!$A$3:$B$14,2,FALSE())</f>
        <v>Alan Loeser</v>
      </c>
    </row>
    <row r="97" customFormat="false" ht="15" hidden="false" customHeight="true" outlineLevel="0" collapsed="false">
      <c r="A97" s="0" t="n">
        <v>3</v>
      </c>
      <c r="B97" s="0" t="n">
        <v>1</v>
      </c>
      <c r="C97" s="0" t="str">
        <f aca="false">VLOOKUP(B97,Roster!$A$3:$B$14,2,FALSE())</f>
        <v>Evan Loeser</v>
      </c>
      <c r="D97" s="0" t="s">
        <v>30</v>
      </c>
      <c r="E97" s="0" t="n">
        <v>10</v>
      </c>
      <c r="F97" s="0" t="str">
        <f aca="false">VLOOKUP(E97,Roster!$A$3:$B$14,2,FALSE())</f>
        <v>Zach Zarra</v>
      </c>
    </row>
    <row r="98" customFormat="false" ht="15" hidden="false" customHeight="true" outlineLevel="0" collapsed="false">
      <c r="A98" s="0" t="n">
        <v>4</v>
      </c>
      <c r="B98" s="0" t="n">
        <v>2</v>
      </c>
      <c r="C98" s="0" t="str">
        <f aca="false">VLOOKUP(B98,Roster!$A$3:$B$14,2,FALSE())</f>
        <v>Chris Simmons</v>
      </c>
      <c r="D98" s="0" t="s">
        <v>30</v>
      </c>
      <c r="E98" s="0" t="n">
        <v>9</v>
      </c>
      <c r="F98" s="0" t="str">
        <f aca="false">VLOOKUP(E98,Roster!$A$3:$B$14,2,FALSE())</f>
        <v>Daddy Michael</v>
      </c>
    </row>
    <row r="99" customFormat="false" ht="15" hidden="false" customHeight="true" outlineLevel="0" collapsed="false">
      <c r="A99" s="0" t="n">
        <v>5</v>
      </c>
      <c r="B99" s="0" t="n">
        <v>7</v>
      </c>
      <c r="C99" s="0" t="str">
        <f aca="false">VLOOKUP(B99,Roster!$A$3:$B$14,2,FALSE())</f>
        <v>Caleb Simmons</v>
      </c>
      <c r="D99" s="0" t="s">
        <v>30</v>
      </c>
      <c r="E99" s="0" t="n">
        <v>11</v>
      </c>
      <c r="F99" s="0" t="str">
        <f aca="false">VLOOKUP(E99,Roster!$A$3:$B$14,2,FALSE())</f>
        <v>Jeffrey Loeser</v>
      </c>
    </row>
    <row r="100" customFormat="false" ht="15" hidden="false" customHeight="true" outlineLevel="0" collapsed="false">
      <c r="A100" s="0" t="n">
        <v>6</v>
      </c>
      <c r="B100" s="0" t="n">
        <v>8</v>
      </c>
      <c r="C100" s="0" t="str">
        <f aca="false">VLOOKUP(B100,Roster!$A$3:$B$14,2,FALSE())</f>
        <v>Larry Loeser</v>
      </c>
      <c r="D100" s="0" t="s">
        <v>30</v>
      </c>
      <c r="E100" s="0" t="n">
        <v>12</v>
      </c>
      <c r="F100" s="0" t="str">
        <f aca="false">VLOOKUP(E100,Roster!$A$3:$B$14,2,FALSE())</f>
        <v>Jake Andrews</v>
      </c>
    </row>
    <row r="102" customFormat="false" ht="15" hidden="false" customHeight="true" outlineLevel="0" collapsed="false">
      <c r="A102" s="5" t="s">
        <v>42</v>
      </c>
    </row>
    <row r="103" customFormat="false" ht="15" hidden="false" customHeight="true" outlineLevel="0" collapsed="false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customFormat="false" ht="15" hidden="false" customHeight="true" outlineLevel="0" collapsed="false">
      <c r="A104" s="0" t="n">
        <v>1</v>
      </c>
      <c r="B104" s="0" t="n">
        <v>1</v>
      </c>
      <c r="C104" s="0" t="str">
        <f aca="false">VLOOKUP(B104,Roster!$A$3:$B$14,2,FALSE())</f>
        <v>Evan Loeser</v>
      </c>
      <c r="D104" s="0" t="s">
        <v>30</v>
      </c>
      <c r="E104" s="0" t="n">
        <v>6</v>
      </c>
      <c r="F104" s="0" t="str">
        <f aca="false">VLOOKUP(E104,Roster!$A$3:$B$14,2,FALSE())</f>
        <v>Alan Loeser</v>
      </c>
    </row>
    <row r="105" customFormat="false" ht="15" hidden="false" customHeight="true" outlineLevel="0" collapsed="false">
      <c r="A105" s="0" t="n">
        <v>2</v>
      </c>
      <c r="B105" s="0" t="n">
        <v>2</v>
      </c>
      <c r="C105" s="0" t="str">
        <f aca="false">VLOOKUP(B105,Roster!$A$3:$B$14,2,FALSE())</f>
        <v>Chris Simmons</v>
      </c>
      <c r="D105" s="0" t="s">
        <v>30</v>
      </c>
      <c r="E105" s="0" t="n">
        <v>5</v>
      </c>
      <c r="F105" s="0" t="str">
        <f aca="false">VLOOKUP(E105,Roster!$A$3:$B$14,2,FALSE())</f>
        <v>Mikayla Simmons</v>
      </c>
    </row>
    <row r="106" customFormat="false" ht="15" hidden="false" customHeight="true" outlineLevel="0" collapsed="false">
      <c r="A106" s="0" t="n">
        <v>3</v>
      </c>
      <c r="B106" s="0" t="n">
        <v>3</v>
      </c>
      <c r="C106" s="0" t="str">
        <f aca="false">VLOOKUP(B106,Roster!$A$3:$B$14,2,FALSE())</f>
        <v>Jack Smith</v>
      </c>
      <c r="D106" s="0" t="s">
        <v>30</v>
      </c>
      <c r="E106" s="0" t="n">
        <v>11</v>
      </c>
      <c r="F106" s="0" t="str">
        <f aca="false">VLOOKUP(E106,Roster!$A$3:$B$14,2,FALSE())</f>
        <v>Jeffrey Loeser</v>
      </c>
    </row>
    <row r="107" customFormat="false" ht="15" hidden="false" customHeight="true" outlineLevel="0" collapsed="false">
      <c r="A107" s="0" t="n">
        <v>4</v>
      </c>
      <c r="B107" s="0" t="n">
        <v>4</v>
      </c>
      <c r="C107" s="0" t="str">
        <f aca="false">VLOOKUP(B107,Roster!$A$3:$B$14,2,FALSE())</f>
        <v>Luke Ussery</v>
      </c>
      <c r="D107" s="0" t="s">
        <v>30</v>
      </c>
      <c r="E107" s="0" t="n">
        <v>12</v>
      </c>
      <c r="F107" s="0" t="str">
        <f aca="false">VLOOKUP(E107,Roster!$A$3:$B$14,2,FALSE())</f>
        <v>Jake Andrews</v>
      </c>
    </row>
    <row r="108" customFormat="false" ht="15" hidden="false" customHeight="true" outlineLevel="0" collapsed="false">
      <c r="A108" s="0" t="n">
        <v>5</v>
      </c>
      <c r="B108" s="0" t="n">
        <v>7</v>
      </c>
      <c r="C108" s="0" t="str">
        <f aca="false">VLOOKUP(B108,Roster!$A$3:$B$14,2,FALSE())</f>
        <v>Caleb Simmons</v>
      </c>
      <c r="D108" s="0" t="s">
        <v>30</v>
      </c>
      <c r="E108" s="0" t="n">
        <v>9</v>
      </c>
      <c r="F108" s="0" t="str">
        <f aca="false">VLOOKUP(E108,Roster!$A$3:$B$14,2,FALSE())</f>
        <v>Daddy Michael</v>
      </c>
    </row>
    <row r="109" customFormat="false" ht="15" hidden="false" customHeight="true" outlineLevel="0" collapsed="false">
      <c r="A109" s="0" t="n">
        <v>6</v>
      </c>
      <c r="B109" s="0" t="n">
        <v>8</v>
      </c>
      <c r="C109" s="0" t="str">
        <f aca="false">VLOOKUP(B109,Roster!$A$3:$B$14,2,FALSE())</f>
        <v>Larry Loeser</v>
      </c>
      <c r="D109" s="0" t="s">
        <v>30</v>
      </c>
      <c r="E109" s="0" t="n">
        <v>10</v>
      </c>
      <c r="F109" s="0" t="str">
        <f aca="false">VLOOKUP(E109,Roster!$A$3:$B$14,2,FALSE())</f>
        <v>Zach Zarra</v>
      </c>
    </row>
    <row r="111" customFormat="false" ht="17.25" hidden="false" customHeight="true" outlineLevel="0" collapsed="false">
      <c r="A111" s="7" t="s">
        <v>43</v>
      </c>
      <c r="B111" s="7"/>
      <c r="C111" s="7"/>
      <c r="D111" s="7"/>
      <c r="E111" s="7"/>
      <c r="F111" s="7"/>
    </row>
    <row r="112" customFormat="false" ht="15" hidden="false" customHeight="true" outlineLevel="0" collapsed="false">
      <c r="A112" s="5" t="s">
        <v>44</v>
      </c>
    </row>
    <row r="113" customFormat="false" ht="15" hidden="false" customHeight="true" outlineLevel="0" collapsed="false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customFormat="false" ht="15" hidden="false" customHeight="true" outlineLevel="0" collapsed="false">
      <c r="A114" s="0" t="n">
        <v>1</v>
      </c>
      <c r="B114" s="0" t="n">
        <v>1</v>
      </c>
      <c r="C114" s="0" t="str">
        <f aca="false">VLOOKUP(B114,Roster!$A$3:$B$14,2,FALSE())</f>
        <v>Evan Loeser</v>
      </c>
      <c r="D114" s="0" t="s">
        <v>30</v>
      </c>
      <c r="E114" s="0" t="n">
        <v>4</v>
      </c>
      <c r="F114" s="0" t="str">
        <f aca="false">VLOOKUP(E114,Roster!$A$3:$B$14,2,FALSE())</f>
        <v>Luke Ussery</v>
      </c>
    </row>
    <row r="115" customFormat="false" ht="15" hidden="false" customHeight="true" outlineLevel="0" collapsed="false">
      <c r="A115" s="0" t="n">
        <v>2</v>
      </c>
      <c r="B115" s="0" t="n">
        <v>2</v>
      </c>
      <c r="C115" s="0" t="str">
        <f aca="false">VLOOKUP(B115,Roster!$A$3:$B$14,2,FALSE())</f>
        <v>Chris Simmons</v>
      </c>
      <c r="D115" s="0" t="s">
        <v>30</v>
      </c>
      <c r="E115" s="0" t="n">
        <v>3</v>
      </c>
      <c r="F115" s="0" t="str">
        <f aca="false">VLOOKUP(E115,Roster!$A$3:$B$14,2,FALSE())</f>
        <v>Jack Smith</v>
      </c>
    </row>
    <row r="116" customFormat="false" ht="15" hidden="false" customHeight="true" outlineLevel="0" collapsed="false">
      <c r="A116" s="0" t="n">
        <v>3</v>
      </c>
      <c r="B116" s="0" t="n">
        <v>5</v>
      </c>
      <c r="C116" s="0" t="str">
        <f aca="false">VLOOKUP(B116,Roster!$A$3:$B$14,2,FALSE())</f>
        <v>Mikayla Simmons</v>
      </c>
      <c r="D116" s="0" t="s">
        <v>30</v>
      </c>
      <c r="E116" s="0" t="n">
        <v>8</v>
      </c>
      <c r="F116" s="0" t="str">
        <f aca="false">VLOOKUP(E116,Roster!$A$3:$B$14,2,FALSE())</f>
        <v>Larry Loeser</v>
      </c>
    </row>
    <row r="117" customFormat="false" ht="15" hidden="false" customHeight="true" outlineLevel="0" collapsed="false">
      <c r="A117" s="0" t="n">
        <v>4</v>
      </c>
      <c r="B117" s="0" t="n">
        <v>6</v>
      </c>
      <c r="C117" s="0" t="str">
        <f aca="false">VLOOKUP(B117,Roster!$A$3:$B$14,2,FALSE())</f>
        <v>Alan Loeser</v>
      </c>
      <c r="D117" s="0" t="s">
        <v>30</v>
      </c>
      <c r="E117" s="0" t="n">
        <v>7</v>
      </c>
      <c r="F117" s="0" t="str">
        <f aca="false">VLOOKUP(E117,Roster!$A$3:$B$14,2,FALSE())</f>
        <v>Caleb Simmons</v>
      </c>
    </row>
    <row r="118" customFormat="false" ht="15" hidden="false" customHeight="true" outlineLevel="0" collapsed="false">
      <c r="A118" s="0" t="n">
        <v>5</v>
      </c>
      <c r="B118" s="0" t="n">
        <v>9</v>
      </c>
      <c r="C118" s="0" t="str">
        <f aca="false">VLOOKUP(B118,Roster!$A$3:$B$14,2,FALSE())</f>
        <v>Daddy Michael</v>
      </c>
      <c r="D118" s="0" t="s">
        <v>30</v>
      </c>
      <c r="E118" s="0" t="n">
        <v>12</v>
      </c>
      <c r="F118" s="0" t="str">
        <f aca="false">VLOOKUP(E118,Roster!$A$3:$B$14,2,FALSE())</f>
        <v>Jake Andrews</v>
      </c>
    </row>
    <row r="119" customFormat="false" ht="15" hidden="false" customHeight="true" outlineLevel="0" collapsed="false">
      <c r="A119" s="0" t="n">
        <v>6</v>
      </c>
      <c r="B119" s="0" t="n">
        <v>10</v>
      </c>
      <c r="C119" s="0" t="str">
        <f aca="false">VLOOKUP(B119,Roster!$A$3:$B$14,2,FALSE())</f>
        <v>Zach Zarra</v>
      </c>
      <c r="D119" s="0" t="s">
        <v>30</v>
      </c>
      <c r="E119" s="0" t="n">
        <v>11</v>
      </c>
      <c r="F119" s="0" t="str">
        <f aca="false">VLOOKUP(E119,Roster!$A$3:$B$14,2,FALSE())</f>
        <v>Jeffrey Loeser</v>
      </c>
    </row>
    <row r="121" customFormat="false" ht="15" hidden="false" customHeight="true" outlineLevel="0" collapsed="false">
      <c r="A121" s="5" t="s">
        <v>45</v>
      </c>
    </row>
    <row r="122" customFormat="false" ht="15" hidden="false" customHeight="true" outlineLevel="0" collapsed="false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customFormat="false" ht="15" hidden="false" customHeight="true" outlineLevel="0" collapsed="false">
      <c r="A123" s="0" t="n">
        <v>1</v>
      </c>
      <c r="B123" s="0" t="n">
        <v>1</v>
      </c>
      <c r="C123" s="0" t="str">
        <f aca="false">VLOOKUP(B123,Roster!$A$3:$B$14,2,FALSE())</f>
        <v>Evan Loeser</v>
      </c>
      <c r="D123" s="0" t="s">
        <v>30</v>
      </c>
      <c r="E123" s="0" t="n">
        <v>3</v>
      </c>
      <c r="F123" s="0" t="str">
        <f aca="false">VLOOKUP(E123,Roster!$A$3:$B$14,2,FALSE())</f>
        <v>Jack Smith</v>
      </c>
    </row>
    <row r="124" customFormat="false" ht="15" hidden="false" customHeight="true" outlineLevel="0" collapsed="false">
      <c r="A124" s="0" t="n">
        <v>2</v>
      </c>
      <c r="B124" s="0" t="n">
        <v>4</v>
      </c>
      <c r="C124" s="0" t="str">
        <f aca="false">VLOOKUP(B124,Roster!$A$3:$B$14,2,FALSE())</f>
        <v>Luke Ussery</v>
      </c>
      <c r="D124" s="0" t="s">
        <v>30</v>
      </c>
      <c r="E124" s="0" t="n">
        <v>2</v>
      </c>
      <c r="F124" s="0" t="str">
        <f aca="false">VLOOKUP(E124,Roster!$A$3:$B$14,2,FALSE())</f>
        <v>Chris Simmons</v>
      </c>
    </row>
    <row r="125" customFormat="false" ht="15" hidden="false" customHeight="true" outlineLevel="0" collapsed="false">
      <c r="A125" s="0" t="n">
        <v>3</v>
      </c>
      <c r="B125" s="0" t="n">
        <v>5</v>
      </c>
      <c r="C125" s="0" t="str">
        <f aca="false">VLOOKUP(B125,Roster!$A$3:$B$14,2,FALSE())</f>
        <v>Mikayla Simmons</v>
      </c>
      <c r="D125" s="0" t="s">
        <v>30</v>
      </c>
      <c r="E125" s="0" t="n">
        <v>7</v>
      </c>
      <c r="F125" s="0" t="str">
        <f aca="false">VLOOKUP(E125,Roster!$A$3:$B$14,2,FALSE())</f>
        <v>Caleb Simmons</v>
      </c>
    </row>
    <row r="126" customFormat="false" ht="15" hidden="false" customHeight="true" outlineLevel="0" collapsed="false">
      <c r="A126" s="0" t="n">
        <v>4</v>
      </c>
      <c r="B126" s="0" t="n">
        <v>8</v>
      </c>
      <c r="C126" s="0" t="str">
        <f aca="false">VLOOKUP(B126,Roster!$A$3:$B$14,2,FALSE())</f>
        <v>Larry Loeser</v>
      </c>
      <c r="D126" s="0" t="s">
        <v>30</v>
      </c>
      <c r="E126" s="0" t="n">
        <v>6</v>
      </c>
      <c r="F126" s="0" t="str">
        <f aca="false">VLOOKUP(E126,Roster!$A$3:$B$14,2,FALSE())</f>
        <v>Alan Loeser</v>
      </c>
    </row>
    <row r="127" customFormat="false" ht="15" hidden="false" customHeight="true" outlineLevel="0" collapsed="false">
      <c r="A127" s="0" t="n">
        <v>5</v>
      </c>
      <c r="B127" s="0" t="n">
        <v>9</v>
      </c>
      <c r="C127" s="0" t="str">
        <f aca="false">VLOOKUP(B127,Roster!$A$3:$B$14,2,FALSE())</f>
        <v>Daddy Michael</v>
      </c>
      <c r="D127" s="0" t="s">
        <v>30</v>
      </c>
      <c r="E127" s="0" t="n">
        <v>11</v>
      </c>
      <c r="F127" s="0" t="str">
        <f aca="false">VLOOKUP(E127,Roster!$A$3:$B$14,2,FALSE())</f>
        <v>Jeffrey Loeser</v>
      </c>
    </row>
    <row r="128" customFormat="false" ht="15" hidden="false" customHeight="true" outlineLevel="0" collapsed="false">
      <c r="A128" s="0" t="n">
        <v>6</v>
      </c>
      <c r="B128" s="0" t="n">
        <v>12</v>
      </c>
      <c r="C128" s="0" t="str">
        <f aca="false">VLOOKUP(B128,Roster!$A$3:$B$14,2,FALSE())</f>
        <v>Jake Andrews</v>
      </c>
      <c r="D128" s="0" t="s">
        <v>30</v>
      </c>
      <c r="E128" s="0" t="n">
        <v>10</v>
      </c>
      <c r="F128" s="0" t="str">
        <f aca="false">VLOOKUP(E128,Roster!$A$3:$B$14,2,FALSE())</f>
        <v>Zach Zarra</v>
      </c>
    </row>
    <row r="130" customFormat="false" ht="15" hidden="false" customHeight="true" outlineLevel="0" collapsed="false">
      <c r="A130" s="5" t="s">
        <v>46</v>
      </c>
    </row>
    <row r="131" customFormat="false" ht="15" hidden="false" customHeight="true" outlineLevel="0" collapsed="false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customFormat="false" ht="15" hidden="false" customHeight="true" outlineLevel="0" collapsed="false">
      <c r="A132" s="0" t="n">
        <v>1</v>
      </c>
      <c r="B132" s="0" t="n">
        <v>1</v>
      </c>
      <c r="C132" s="0" t="str">
        <f aca="false">VLOOKUP(B132,Roster!$A$3:$B$14,2,FALSE())</f>
        <v>Evan Loeser</v>
      </c>
      <c r="D132" s="0" t="s">
        <v>30</v>
      </c>
      <c r="E132" s="0" t="n">
        <v>2</v>
      </c>
      <c r="F132" s="0" t="str">
        <f aca="false">VLOOKUP(E132,Roster!$A$3:$B$14,2,FALSE())</f>
        <v>Chris Simmons</v>
      </c>
    </row>
    <row r="133" customFormat="false" ht="15" hidden="false" customHeight="true" outlineLevel="0" collapsed="false">
      <c r="A133" s="0" t="n">
        <v>2</v>
      </c>
      <c r="B133" s="0" t="n">
        <v>3</v>
      </c>
      <c r="C133" s="0" t="str">
        <f aca="false">VLOOKUP(B133,Roster!$A$3:$B$14,2,FALSE())</f>
        <v>Jack Smith</v>
      </c>
      <c r="D133" s="0" t="s">
        <v>30</v>
      </c>
      <c r="E133" s="0" t="n">
        <v>4</v>
      </c>
      <c r="F133" s="0" t="str">
        <f aca="false">VLOOKUP(E133,Roster!$A$3:$B$14,2,FALSE())</f>
        <v>Luke Ussery</v>
      </c>
    </row>
    <row r="134" customFormat="false" ht="15" hidden="false" customHeight="true" outlineLevel="0" collapsed="false">
      <c r="A134" s="0" t="n">
        <v>3</v>
      </c>
      <c r="B134" s="0" t="n">
        <v>5</v>
      </c>
      <c r="C134" s="0" t="str">
        <f aca="false">VLOOKUP(B134,Roster!$A$3:$B$14,2,FALSE())</f>
        <v>Mikayla Simmons</v>
      </c>
      <c r="D134" s="0" t="s">
        <v>30</v>
      </c>
      <c r="E134" s="0" t="n">
        <v>6</v>
      </c>
      <c r="F134" s="0" t="str">
        <f aca="false">VLOOKUP(E134,Roster!$A$3:$B$14,2,FALSE())</f>
        <v>Alan Loeser</v>
      </c>
    </row>
    <row r="135" customFormat="false" ht="15" hidden="false" customHeight="true" outlineLevel="0" collapsed="false">
      <c r="A135" s="0" t="n">
        <v>4</v>
      </c>
      <c r="B135" s="0" t="n">
        <v>7</v>
      </c>
      <c r="C135" s="0" t="str">
        <f aca="false">VLOOKUP(B135,Roster!$A$3:$B$14,2,FALSE())</f>
        <v>Caleb Simmons</v>
      </c>
      <c r="D135" s="0" t="s">
        <v>30</v>
      </c>
      <c r="E135" s="0" t="n">
        <v>8</v>
      </c>
      <c r="F135" s="0" t="str">
        <f aca="false">VLOOKUP(E135,Roster!$A$3:$B$14,2,FALSE())</f>
        <v>Larry Loeser</v>
      </c>
    </row>
    <row r="136" customFormat="false" ht="15" hidden="false" customHeight="true" outlineLevel="0" collapsed="false">
      <c r="A136" s="0" t="n">
        <v>5</v>
      </c>
      <c r="B136" s="0" t="n">
        <v>9</v>
      </c>
      <c r="C136" s="0" t="str">
        <f aca="false">VLOOKUP(B136,Roster!$A$3:$B$14,2,FALSE())</f>
        <v>Daddy Michael</v>
      </c>
      <c r="D136" s="0" t="s">
        <v>30</v>
      </c>
      <c r="E136" s="0" t="n">
        <v>10</v>
      </c>
      <c r="F136" s="0" t="str">
        <f aca="false">VLOOKUP(E136,Roster!$A$3:$B$14,2,FALSE())</f>
        <v>Zach Zarra</v>
      </c>
    </row>
    <row r="137" customFormat="false" ht="15" hidden="false" customHeight="true" outlineLevel="0" collapsed="false">
      <c r="A137" s="0" t="n">
        <v>6</v>
      </c>
      <c r="B137" s="0" t="n">
        <v>11</v>
      </c>
      <c r="C137" s="0" t="str">
        <f aca="false">VLOOKUP(B137,Roster!$A$3:$B$14,2,FALSE())</f>
        <v>Jeffrey Loeser</v>
      </c>
      <c r="D137" s="0" t="s">
        <v>30</v>
      </c>
      <c r="E137" s="0" t="n">
        <v>12</v>
      </c>
      <c r="F137" s="0" t="str">
        <f aca="false">VLOOKUP(E137,Roster!$A$3:$B$14,2,FALSE())</f>
        <v>Jake Andrews</v>
      </c>
    </row>
    <row r="139" customFormat="false" ht="15" hidden="false" customHeight="true" outlineLevel="0" collapsed="false">
      <c r="A139" s="5" t="s">
        <v>47</v>
      </c>
    </row>
    <row r="140" customFormat="false" ht="15" hidden="false" customHeight="true" outlineLevel="0" collapsed="false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customFormat="false" ht="15" hidden="false" customHeight="true" outlineLevel="0" collapsed="false">
      <c r="A141" s="0" t="n">
        <v>1</v>
      </c>
      <c r="B141" s="0" t="n">
        <v>1</v>
      </c>
      <c r="C141" s="0" t="str">
        <f aca="false">VLOOKUP(B141,Roster!$A$3:$B$14,2,FALSE())</f>
        <v>Evan Loeser</v>
      </c>
      <c r="D141" s="0" t="s">
        <v>30</v>
      </c>
      <c r="E141" s="0" t="n">
        <v>4</v>
      </c>
      <c r="F141" s="0" t="str">
        <f aca="false">VLOOKUP(E141,Roster!$A$3:$B$14,2,FALSE())</f>
        <v>Luke Ussery</v>
      </c>
    </row>
    <row r="142" customFormat="false" ht="15" hidden="false" customHeight="true" outlineLevel="0" collapsed="false">
      <c r="A142" s="0" t="n">
        <v>2</v>
      </c>
      <c r="B142" s="0" t="n">
        <v>2</v>
      </c>
      <c r="C142" s="0" t="str">
        <f aca="false">VLOOKUP(B142,Roster!$A$3:$B$14,2,FALSE())</f>
        <v>Chris Simmons</v>
      </c>
      <c r="D142" s="0" t="s">
        <v>30</v>
      </c>
      <c r="E142" s="0" t="n">
        <v>3</v>
      </c>
      <c r="F142" s="0" t="str">
        <f aca="false">VLOOKUP(E142,Roster!$A$3:$B$14,2,FALSE())</f>
        <v>Jack Smith</v>
      </c>
    </row>
    <row r="143" customFormat="false" ht="15" hidden="false" customHeight="true" outlineLevel="0" collapsed="false">
      <c r="A143" s="0" t="n">
        <v>3</v>
      </c>
      <c r="B143" s="0" t="n">
        <v>5</v>
      </c>
      <c r="C143" s="0" t="str">
        <f aca="false">VLOOKUP(B143,Roster!$A$3:$B$14,2,FALSE())</f>
        <v>Mikayla Simmons</v>
      </c>
      <c r="D143" s="0" t="s">
        <v>30</v>
      </c>
      <c r="E143" s="0" t="n">
        <v>8</v>
      </c>
      <c r="F143" s="0" t="str">
        <f aca="false">VLOOKUP(E143,Roster!$A$3:$B$14,2,FALSE())</f>
        <v>Larry Loeser</v>
      </c>
    </row>
    <row r="144" customFormat="false" ht="15" hidden="false" customHeight="true" outlineLevel="0" collapsed="false">
      <c r="A144" s="0" t="n">
        <v>4</v>
      </c>
      <c r="B144" s="0" t="n">
        <v>6</v>
      </c>
      <c r="C144" s="0" t="str">
        <f aca="false">VLOOKUP(B144,Roster!$A$3:$B$14,2,FALSE())</f>
        <v>Alan Loeser</v>
      </c>
      <c r="D144" s="0" t="s">
        <v>30</v>
      </c>
      <c r="E144" s="0" t="n">
        <v>7</v>
      </c>
      <c r="F144" s="0" t="str">
        <f aca="false">VLOOKUP(E144,Roster!$A$3:$B$14,2,FALSE())</f>
        <v>Caleb Simmons</v>
      </c>
    </row>
    <row r="145" customFormat="false" ht="15" hidden="false" customHeight="true" outlineLevel="0" collapsed="false">
      <c r="A145" s="0" t="n">
        <v>5</v>
      </c>
      <c r="B145" s="0" t="n">
        <v>9</v>
      </c>
      <c r="C145" s="0" t="str">
        <f aca="false">VLOOKUP(B145,Roster!$A$3:$B$14,2,FALSE())</f>
        <v>Daddy Michael</v>
      </c>
      <c r="D145" s="0" t="s">
        <v>30</v>
      </c>
      <c r="E145" s="0" t="n">
        <v>12</v>
      </c>
      <c r="F145" s="0" t="str">
        <f aca="false">VLOOKUP(E145,Roster!$A$3:$B$14,2,FALSE())</f>
        <v>Jake Andrews</v>
      </c>
    </row>
    <row r="146" customFormat="false" ht="15" hidden="false" customHeight="true" outlineLevel="0" collapsed="false">
      <c r="A146" s="0" t="n">
        <v>6</v>
      </c>
      <c r="B146" s="0" t="n">
        <v>10</v>
      </c>
      <c r="C146" s="0" t="str">
        <f aca="false">VLOOKUP(B146,Roster!$A$3:$B$14,2,FALSE())</f>
        <v>Zach Zarra</v>
      </c>
      <c r="D146" s="0" t="s">
        <v>30</v>
      </c>
      <c r="E146" s="0" t="n">
        <v>11</v>
      </c>
      <c r="F146" s="0" t="str">
        <f aca="false">VLOOKUP(E146,Roster!$A$3:$B$14,2,FALSE())</f>
        <v>Jeffrey Loeser</v>
      </c>
    </row>
    <row r="148" customFormat="false" ht="15" hidden="false" customHeight="true" outlineLevel="0" collapsed="false">
      <c r="A148" s="5" t="s">
        <v>48</v>
      </c>
    </row>
    <row r="149" customFormat="false" ht="15" hidden="false" customHeight="true" outlineLevel="0" collapsed="false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customFormat="false" ht="15" hidden="false" customHeight="true" outlineLevel="0" collapsed="false">
      <c r="A150" s="0" t="n">
        <v>1</v>
      </c>
      <c r="B150" s="0" t="n">
        <v>1</v>
      </c>
      <c r="C150" s="0" t="str">
        <f aca="false">VLOOKUP(B150,Roster!$A$3:$B$14,2,FALSE())</f>
        <v>Evan Loeser</v>
      </c>
      <c r="D150" s="0" t="s">
        <v>30</v>
      </c>
      <c r="E150" s="0" t="n">
        <v>3</v>
      </c>
      <c r="F150" s="0" t="str">
        <f aca="false">VLOOKUP(E150,Roster!$A$3:$B$14,2,FALSE())</f>
        <v>Jack Smith</v>
      </c>
    </row>
    <row r="151" customFormat="false" ht="15" hidden="false" customHeight="true" outlineLevel="0" collapsed="false">
      <c r="A151" s="0" t="n">
        <v>2</v>
      </c>
      <c r="B151" s="0" t="n">
        <v>4</v>
      </c>
      <c r="C151" s="0" t="str">
        <f aca="false">VLOOKUP(B151,Roster!$A$3:$B$14,2,FALSE())</f>
        <v>Luke Ussery</v>
      </c>
      <c r="D151" s="0" t="s">
        <v>30</v>
      </c>
      <c r="E151" s="0" t="n">
        <v>2</v>
      </c>
      <c r="F151" s="0" t="str">
        <f aca="false">VLOOKUP(E151,Roster!$A$3:$B$14,2,FALSE())</f>
        <v>Chris Simmons</v>
      </c>
    </row>
    <row r="152" customFormat="false" ht="15" hidden="false" customHeight="true" outlineLevel="0" collapsed="false">
      <c r="A152" s="0" t="n">
        <v>3</v>
      </c>
      <c r="B152" s="0" t="n">
        <v>5</v>
      </c>
      <c r="C152" s="0" t="str">
        <f aca="false">VLOOKUP(B152,Roster!$A$3:$B$14,2,FALSE())</f>
        <v>Mikayla Simmons</v>
      </c>
      <c r="D152" s="0" t="s">
        <v>30</v>
      </c>
      <c r="E152" s="0" t="n">
        <v>7</v>
      </c>
      <c r="F152" s="0" t="str">
        <f aca="false">VLOOKUP(E152,Roster!$A$3:$B$14,2,FALSE())</f>
        <v>Caleb Simmons</v>
      </c>
    </row>
    <row r="153" customFormat="false" ht="15" hidden="false" customHeight="true" outlineLevel="0" collapsed="false">
      <c r="A153" s="0" t="n">
        <v>4</v>
      </c>
      <c r="B153" s="0" t="n">
        <v>8</v>
      </c>
      <c r="C153" s="0" t="str">
        <f aca="false">VLOOKUP(B153,Roster!$A$3:$B$14,2,FALSE())</f>
        <v>Larry Loeser</v>
      </c>
      <c r="D153" s="0" t="s">
        <v>30</v>
      </c>
      <c r="E153" s="0" t="n">
        <v>6</v>
      </c>
      <c r="F153" s="0" t="str">
        <f aca="false">VLOOKUP(E153,Roster!$A$3:$B$14,2,FALSE())</f>
        <v>Alan Loeser</v>
      </c>
    </row>
    <row r="154" customFormat="false" ht="15" hidden="false" customHeight="true" outlineLevel="0" collapsed="false">
      <c r="A154" s="0" t="n">
        <v>5</v>
      </c>
      <c r="B154" s="0" t="n">
        <v>9</v>
      </c>
      <c r="C154" s="0" t="str">
        <f aca="false">VLOOKUP(B154,Roster!$A$3:$B$14,2,FALSE())</f>
        <v>Daddy Michael</v>
      </c>
      <c r="D154" s="0" t="s">
        <v>30</v>
      </c>
      <c r="E154" s="0" t="n">
        <v>11</v>
      </c>
      <c r="F154" s="0" t="str">
        <f aca="false">VLOOKUP(E154,Roster!$A$3:$B$14,2,FALSE())</f>
        <v>Jeffrey Loeser</v>
      </c>
    </row>
    <row r="155" customFormat="false" ht="15" hidden="false" customHeight="true" outlineLevel="0" collapsed="false">
      <c r="A155" s="0" t="n">
        <v>6</v>
      </c>
      <c r="B155" s="0" t="n">
        <v>12</v>
      </c>
      <c r="C155" s="0" t="str">
        <f aca="false">VLOOKUP(B155,Roster!$A$3:$B$14,2,FALSE())</f>
        <v>Jake Andrews</v>
      </c>
      <c r="D155" s="0" t="s">
        <v>30</v>
      </c>
      <c r="E155" s="0" t="n">
        <v>10</v>
      </c>
      <c r="F155" s="0" t="str">
        <f aca="false">VLOOKUP(E155,Roster!$A$3:$B$14,2,FALSE())</f>
        <v>Zach Zarra</v>
      </c>
    </row>
    <row r="157" customFormat="false" ht="15" hidden="false" customHeight="true" outlineLevel="0" collapsed="false">
      <c r="A157" s="5" t="s">
        <v>49</v>
      </c>
    </row>
    <row r="158" customFormat="false" ht="15" hidden="false" customHeight="true" outlineLevel="0" collapsed="false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customFormat="false" ht="15" hidden="false" customHeight="true" outlineLevel="0" collapsed="false">
      <c r="A159" s="0" t="n">
        <v>1</v>
      </c>
      <c r="B159" s="0" t="n">
        <v>1</v>
      </c>
      <c r="C159" s="0" t="str">
        <f aca="false">VLOOKUP(B159,Roster!$A$3:$B$14,2,FALSE())</f>
        <v>Evan Loeser</v>
      </c>
      <c r="D159" s="0" t="s">
        <v>30</v>
      </c>
      <c r="E159" s="0" t="n">
        <v>2</v>
      </c>
      <c r="F159" s="0" t="str">
        <f aca="false">VLOOKUP(E159,Roster!$A$3:$B$14,2,FALSE())</f>
        <v>Chris Simmons</v>
      </c>
    </row>
    <row r="160" customFormat="false" ht="15" hidden="false" customHeight="true" outlineLevel="0" collapsed="false">
      <c r="A160" s="0" t="n">
        <v>2</v>
      </c>
      <c r="B160" s="0" t="n">
        <v>3</v>
      </c>
      <c r="C160" s="0" t="str">
        <f aca="false">VLOOKUP(B160,Roster!$A$3:$B$14,2,FALSE())</f>
        <v>Jack Smith</v>
      </c>
      <c r="D160" s="0" t="s">
        <v>30</v>
      </c>
      <c r="E160" s="0" t="n">
        <v>4</v>
      </c>
      <c r="F160" s="0" t="str">
        <f aca="false">VLOOKUP(E160,Roster!$A$3:$B$14,2,FALSE())</f>
        <v>Luke Ussery</v>
      </c>
    </row>
    <row r="161" customFormat="false" ht="15" hidden="false" customHeight="true" outlineLevel="0" collapsed="false">
      <c r="A161" s="0" t="n">
        <v>3</v>
      </c>
      <c r="B161" s="0" t="n">
        <v>5</v>
      </c>
      <c r="C161" s="0" t="str">
        <f aca="false">VLOOKUP(B161,Roster!$A$3:$B$14,2,FALSE())</f>
        <v>Mikayla Simmons</v>
      </c>
      <c r="D161" s="0" t="s">
        <v>30</v>
      </c>
      <c r="E161" s="0" t="n">
        <v>6</v>
      </c>
      <c r="F161" s="0" t="str">
        <f aca="false">VLOOKUP(E161,Roster!$A$3:$B$14,2,FALSE())</f>
        <v>Alan Loeser</v>
      </c>
    </row>
    <row r="162" customFormat="false" ht="15" hidden="false" customHeight="true" outlineLevel="0" collapsed="false">
      <c r="A162" s="0" t="n">
        <v>4</v>
      </c>
      <c r="B162" s="0" t="n">
        <v>7</v>
      </c>
      <c r="C162" s="0" t="str">
        <f aca="false">VLOOKUP(B162,Roster!$A$3:$B$14,2,FALSE())</f>
        <v>Caleb Simmons</v>
      </c>
      <c r="D162" s="0" t="s">
        <v>30</v>
      </c>
      <c r="E162" s="0" t="n">
        <v>8</v>
      </c>
      <c r="F162" s="0" t="str">
        <f aca="false">VLOOKUP(E162,Roster!$A$3:$B$14,2,FALSE())</f>
        <v>Larry Loeser</v>
      </c>
    </row>
    <row r="163" customFormat="false" ht="15" hidden="false" customHeight="true" outlineLevel="0" collapsed="false">
      <c r="A163" s="0" t="n">
        <v>5</v>
      </c>
      <c r="B163" s="0" t="n">
        <v>9</v>
      </c>
      <c r="C163" s="0" t="str">
        <f aca="false">VLOOKUP(B163,Roster!$A$3:$B$14,2,FALSE())</f>
        <v>Daddy Michael</v>
      </c>
      <c r="D163" s="0" t="s">
        <v>30</v>
      </c>
      <c r="E163" s="0" t="n">
        <v>10</v>
      </c>
      <c r="F163" s="0" t="str">
        <f aca="false">VLOOKUP(E163,Roster!$A$3:$B$14,2,FALSE())</f>
        <v>Zach Zarra</v>
      </c>
    </row>
    <row r="164" customFormat="false" ht="15" hidden="false" customHeight="true" outlineLevel="0" collapsed="false">
      <c r="A164" s="0" t="n">
        <v>6</v>
      </c>
      <c r="B164" s="0" t="n">
        <v>11</v>
      </c>
      <c r="C164" s="0" t="str">
        <f aca="false">VLOOKUP(B164,Roster!$A$3:$B$14,2,FALSE())</f>
        <v>Jeffrey Loeser</v>
      </c>
      <c r="D164" s="0" t="s">
        <v>30</v>
      </c>
      <c r="E164" s="0" t="n">
        <v>12</v>
      </c>
      <c r="F164" s="0" t="str">
        <f aca="false">VLOOKUP(E164,Roster!$A$3:$B$14,2,FALSE())</f>
        <v>Jake Andrews</v>
      </c>
    </row>
  </sheetData>
  <mergeCells count="3">
    <mergeCell ref="A1:F1"/>
    <mergeCell ref="A56:F56"/>
    <mergeCell ref="A111:F1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EB"/>
    <pageSetUpPr fitToPage="false"/>
  </sheetPr>
  <dimension ref="A1:Q3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W29" activeCellId="0" sqref="W29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17" min="6" style="0" width="14"/>
  </cols>
  <sheetData>
    <row r="1" customFormat="false" ht="17.25" hidden="false" customHeight="true" outlineLevel="0" collapsed="false">
      <c r="A1" s="8" t="s">
        <v>50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customFormat="false" ht="15" hidden="false" customHeight="true" outlineLevel="0" collapsed="false">
      <c r="A2" s="9" t="s">
        <v>51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4" customFormat="false" ht="15" hidden="false" customHeight="true" outlineLevel="0" collapsed="false">
      <c r="A4" s="10" t="s">
        <v>52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customFormat="false" ht="15" hidden="false" customHeight="true" outlineLevel="0" collapsed="false">
      <c r="A5" s="11" t="s">
        <v>27</v>
      </c>
      <c r="B5" s="11" t="s">
        <v>53</v>
      </c>
      <c r="C5" s="11" t="s">
        <v>54</v>
      </c>
      <c r="D5" s="11" t="s">
        <v>55</v>
      </c>
      <c r="E5" s="11" t="s">
        <v>56</v>
      </c>
      <c r="F5" s="11" t="s">
        <v>5</v>
      </c>
      <c r="G5" s="11" t="s">
        <v>8</v>
      </c>
      <c r="H5" s="11" t="s">
        <v>9</v>
      </c>
      <c r="I5" s="11" t="s">
        <v>10</v>
      </c>
      <c r="J5" s="11" t="s">
        <v>11</v>
      </c>
      <c r="K5" s="11" t="s">
        <v>14</v>
      </c>
      <c r="L5" s="11" t="s">
        <v>15</v>
      </c>
      <c r="M5" s="11" t="s">
        <v>16</v>
      </c>
      <c r="N5" s="11" t="s">
        <v>17</v>
      </c>
      <c r="O5" s="11" t="s">
        <v>20</v>
      </c>
      <c r="P5" s="11" t="s">
        <v>21</v>
      </c>
      <c r="Q5" s="11" t="s">
        <v>22</v>
      </c>
    </row>
    <row r="6" customFormat="false" ht="15" hidden="false" customHeight="true" outlineLevel="0" collapsed="false">
      <c r="A6" s="12" t="n">
        <v>1</v>
      </c>
      <c r="B6" s="12" t="s">
        <v>57</v>
      </c>
      <c r="C6" s="13" t="s">
        <v>54</v>
      </c>
      <c r="D6" s="12" t="s">
        <v>58</v>
      </c>
      <c r="E6" s="14" t="str">
        <f aca="false">'NFL Schedule'!J3</f>
        <v>NE</v>
      </c>
      <c r="F6" s="15" t="s">
        <v>57</v>
      </c>
      <c r="G6" s="15" t="s">
        <v>58</v>
      </c>
      <c r="H6" s="15" t="s">
        <v>58</v>
      </c>
      <c r="I6" s="15" t="s">
        <v>58</v>
      </c>
      <c r="J6" s="15" t="s">
        <v>57</v>
      </c>
      <c r="K6" s="15" t="s">
        <v>58</v>
      </c>
      <c r="L6" s="15" t="s">
        <v>58</v>
      </c>
      <c r="M6" s="15" t="s">
        <v>58</v>
      </c>
      <c r="N6" s="15" t="s">
        <v>57</v>
      </c>
      <c r="O6" s="15" t="s">
        <v>57</v>
      </c>
      <c r="P6" s="15" t="s">
        <v>58</v>
      </c>
      <c r="Q6" s="15" t="s">
        <v>57</v>
      </c>
    </row>
    <row r="7" customFormat="false" ht="15" hidden="false" customHeight="true" outlineLevel="0" collapsed="false">
      <c r="A7" s="12" t="n">
        <v>2</v>
      </c>
      <c r="B7" s="12" t="s">
        <v>59</v>
      </c>
      <c r="C7" s="13" t="s">
        <v>54</v>
      </c>
      <c r="D7" s="12" t="s">
        <v>60</v>
      </c>
      <c r="E7" s="14" t="str">
        <f aca="false">'NFL Schedule'!J4</f>
        <v>SF</v>
      </c>
      <c r="F7" s="15" t="s">
        <v>60</v>
      </c>
      <c r="G7" s="15" t="s">
        <v>60</v>
      </c>
      <c r="H7" s="15" t="s">
        <v>60</v>
      </c>
      <c r="I7" s="15" t="s">
        <v>60</v>
      </c>
      <c r="J7" s="15" t="s">
        <v>59</v>
      </c>
      <c r="K7" s="15" t="s">
        <v>60</v>
      </c>
      <c r="L7" s="15" t="s">
        <v>60</v>
      </c>
      <c r="M7" s="15" t="s">
        <v>60</v>
      </c>
      <c r="N7" s="15" t="s">
        <v>59</v>
      </c>
      <c r="O7" s="15" t="s">
        <v>60</v>
      </c>
      <c r="P7" s="15" t="s">
        <v>60</v>
      </c>
      <c r="Q7" s="15" t="s">
        <v>60</v>
      </c>
    </row>
    <row r="8" customFormat="false" ht="15" hidden="false" customHeight="true" outlineLevel="0" collapsed="false">
      <c r="A8" s="12" t="n">
        <v>3</v>
      </c>
      <c r="B8" s="12" t="s">
        <v>61</v>
      </c>
      <c r="C8" s="13" t="s">
        <v>54</v>
      </c>
      <c r="D8" s="12" t="s">
        <v>62</v>
      </c>
      <c r="E8" s="14" t="str">
        <f aca="false">'NFL Schedule'!J5</f>
        <v>CHI</v>
      </c>
      <c r="F8" s="15" t="s">
        <v>61</v>
      </c>
      <c r="G8" s="15" t="s">
        <v>61</v>
      </c>
      <c r="H8" s="15" t="s">
        <v>61</v>
      </c>
      <c r="I8" s="15" t="s">
        <v>61</v>
      </c>
      <c r="J8" s="15" t="s">
        <v>61</v>
      </c>
      <c r="K8" s="15" t="s">
        <v>62</v>
      </c>
      <c r="L8" s="15" t="s">
        <v>61</v>
      </c>
      <c r="M8" s="15" t="s">
        <v>61</v>
      </c>
      <c r="N8" s="15" t="s">
        <v>62</v>
      </c>
      <c r="O8" s="15" t="s">
        <v>61</v>
      </c>
      <c r="P8" s="15" t="s">
        <v>62</v>
      </c>
      <c r="Q8" s="15" t="s">
        <v>61</v>
      </c>
    </row>
    <row r="9" customFormat="false" ht="15" hidden="false" customHeight="true" outlineLevel="0" collapsed="false">
      <c r="A9" s="12" t="n">
        <v>4</v>
      </c>
      <c r="B9" s="12" t="s">
        <v>63</v>
      </c>
      <c r="C9" s="13" t="s">
        <v>54</v>
      </c>
      <c r="D9" s="12" t="s">
        <v>64</v>
      </c>
      <c r="E9" s="14" t="str">
        <f aca="false">'NFL Schedule'!J6</f>
        <v>CIN</v>
      </c>
      <c r="F9" s="15" t="s">
        <v>64</v>
      </c>
      <c r="G9" s="15" t="s">
        <v>63</v>
      </c>
      <c r="H9" s="15" t="s">
        <v>64</v>
      </c>
      <c r="I9" s="15" t="s">
        <v>63</v>
      </c>
      <c r="J9" s="15" t="s">
        <v>64</v>
      </c>
      <c r="K9" s="15" t="s">
        <v>64</v>
      </c>
      <c r="L9" s="15" t="s">
        <v>64</v>
      </c>
      <c r="M9" s="15" t="s">
        <v>64</v>
      </c>
      <c r="N9" s="15" t="s">
        <v>63</v>
      </c>
      <c r="O9" s="15" t="s">
        <v>64</v>
      </c>
      <c r="P9" s="15" t="s">
        <v>64</v>
      </c>
      <c r="Q9" s="15" t="s">
        <v>63</v>
      </c>
    </row>
    <row r="10" customFormat="false" ht="15" hidden="false" customHeight="true" outlineLevel="0" collapsed="false">
      <c r="A10" s="12" t="n">
        <v>5</v>
      </c>
      <c r="B10" s="12" t="s">
        <v>65</v>
      </c>
      <c r="C10" s="13" t="s">
        <v>54</v>
      </c>
      <c r="D10" s="12" t="s">
        <v>66</v>
      </c>
      <c r="E10" s="14" t="str">
        <f aca="false">'NFL Schedule'!J7</f>
        <v>NO</v>
      </c>
      <c r="F10" s="15" t="s">
        <v>66</v>
      </c>
      <c r="G10" s="15" t="s">
        <v>66</v>
      </c>
      <c r="H10" s="15" t="s">
        <v>66</v>
      </c>
      <c r="I10" s="15" t="s">
        <v>66</v>
      </c>
      <c r="J10" s="15" t="s">
        <v>65</v>
      </c>
      <c r="K10" s="15" t="s">
        <v>66</v>
      </c>
      <c r="L10" s="15" t="s">
        <v>66</v>
      </c>
      <c r="M10" s="15" t="s">
        <v>66</v>
      </c>
      <c r="N10" s="15" t="s">
        <v>66</v>
      </c>
      <c r="O10" s="15" t="s">
        <v>66</v>
      </c>
      <c r="P10" s="15" t="s">
        <v>66</v>
      </c>
      <c r="Q10" s="15" t="s">
        <v>66</v>
      </c>
    </row>
    <row r="11" customFormat="false" ht="15" hidden="false" customHeight="true" outlineLevel="0" collapsed="false">
      <c r="A11" s="12" t="n">
        <v>6</v>
      </c>
      <c r="B11" s="12" t="s">
        <v>67</v>
      </c>
      <c r="C11" s="13" t="s">
        <v>54</v>
      </c>
      <c r="D11" s="12" t="s">
        <v>68</v>
      </c>
      <c r="E11" s="14" t="str">
        <f aca="false">'NFL Schedule'!J8</f>
        <v>BUF</v>
      </c>
      <c r="F11" s="15" t="s">
        <v>68</v>
      </c>
      <c r="G11" s="15" t="s">
        <v>67</v>
      </c>
      <c r="H11" s="15" t="s">
        <v>67</v>
      </c>
      <c r="I11" s="15" t="s">
        <v>68</v>
      </c>
      <c r="J11" s="15" t="s">
        <v>67</v>
      </c>
      <c r="K11" s="15" t="s">
        <v>67</v>
      </c>
      <c r="L11" s="15" t="s">
        <v>67</v>
      </c>
      <c r="M11" s="15" t="s">
        <v>67</v>
      </c>
      <c r="N11" s="15" t="s">
        <v>67</v>
      </c>
      <c r="O11" s="15" t="s">
        <v>67</v>
      </c>
      <c r="P11" s="15" t="s">
        <v>67</v>
      </c>
      <c r="Q11" s="15" t="s">
        <v>67</v>
      </c>
    </row>
    <row r="12" customFormat="false" ht="15" hidden="false" customHeight="true" outlineLevel="0" collapsed="false">
      <c r="A12" s="12" t="n">
        <v>7</v>
      </c>
      <c r="B12" s="12" t="s">
        <v>69</v>
      </c>
      <c r="C12" s="13" t="s">
        <v>54</v>
      </c>
      <c r="D12" s="12" t="s">
        <v>70</v>
      </c>
      <c r="E12" s="14" t="str">
        <f aca="false">'NFL Schedule'!J9</f>
        <v>BAL</v>
      </c>
      <c r="F12" s="15" t="s">
        <v>69</v>
      </c>
      <c r="G12" s="15" t="s">
        <v>69</v>
      </c>
      <c r="H12" s="15" t="s">
        <v>69</v>
      </c>
      <c r="I12" s="15" t="s">
        <v>69</v>
      </c>
      <c r="J12" s="15" t="s">
        <v>69</v>
      </c>
      <c r="K12" s="15" t="s">
        <v>69</v>
      </c>
      <c r="L12" s="15" t="s">
        <v>69</v>
      </c>
      <c r="M12" s="15" t="s">
        <v>69</v>
      </c>
      <c r="N12" s="15" t="s">
        <v>69</v>
      </c>
      <c r="O12" s="15" t="s">
        <v>69</v>
      </c>
      <c r="P12" s="15" t="s">
        <v>69</v>
      </c>
      <c r="Q12" s="15" t="s">
        <v>69</v>
      </c>
    </row>
    <row r="13" customFormat="false" ht="15" hidden="false" customHeight="true" outlineLevel="0" collapsed="false">
      <c r="A13" s="12" t="n">
        <v>8</v>
      </c>
      <c r="B13" s="12" t="s">
        <v>71</v>
      </c>
      <c r="C13" s="13" t="s">
        <v>54</v>
      </c>
      <c r="D13" s="12" t="s">
        <v>72</v>
      </c>
      <c r="E13" s="14" t="str">
        <f aca="false">'NFL Schedule'!J10</f>
        <v>JAX</v>
      </c>
      <c r="F13" s="15" t="s">
        <v>72</v>
      </c>
      <c r="G13" s="15" t="s">
        <v>72</v>
      </c>
      <c r="H13" s="15" t="s">
        <v>72</v>
      </c>
      <c r="I13" s="15" t="s">
        <v>72</v>
      </c>
      <c r="J13" s="15" t="s">
        <v>72</v>
      </c>
      <c r="K13" s="15" t="s">
        <v>72</v>
      </c>
      <c r="L13" s="15" t="s">
        <v>72</v>
      </c>
      <c r="M13" s="15" t="s">
        <v>72</v>
      </c>
      <c r="N13" s="15" t="s">
        <v>71</v>
      </c>
      <c r="O13" s="15" t="s">
        <v>72</v>
      </c>
      <c r="P13" s="15" t="s">
        <v>72</v>
      </c>
      <c r="Q13" s="15" t="s">
        <v>72</v>
      </c>
    </row>
    <row r="14" customFormat="false" ht="15" hidden="false" customHeight="true" outlineLevel="0" collapsed="false">
      <c r="A14" s="12" t="n">
        <v>9</v>
      </c>
      <c r="B14" s="12" t="s">
        <v>73</v>
      </c>
      <c r="C14" s="13" t="s">
        <v>54</v>
      </c>
      <c r="D14" s="12" t="s">
        <v>74</v>
      </c>
      <c r="E14" s="14" t="str">
        <f aca="false">'NFL Schedule'!J11</f>
        <v>PIT</v>
      </c>
      <c r="F14" s="15" t="s">
        <v>73</v>
      </c>
      <c r="G14" s="15" t="s">
        <v>74</v>
      </c>
      <c r="H14" s="15" t="s">
        <v>74</v>
      </c>
      <c r="I14" s="15" t="s">
        <v>74</v>
      </c>
      <c r="J14" s="15" t="s">
        <v>73</v>
      </c>
      <c r="K14" s="15" t="s">
        <v>74</v>
      </c>
      <c r="L14" s="15" t="s">
        <v>74</v>
      </c>
      <c r="M14" s="15" t="s">
        <v>74</v>
      </c>
      <c r="N14" s="15" t="s">
        <v>74</v>
      </c>
      <c r="O14" s="15" t="s">
        <v>74</v>
      </c>
      <c r="P14" s="15" t="s">
        <v>74</v>
      </c>
      <c r="Q14" s="15" t="s">
        <v>73</v>
      </c>
    </row>
    <row r="15" customFormat="false" ht="15" hidden="false" customHeight="true" outlineLevel="0" collapsed="false">
      <c r="A15" s="12" t="n">
        <v>10</v>
      </c>
      <c r="B15" s="12" t="s">
        <v>75</v>
      </c>
      <c r="C15" s="13" t="s">
        <v>54</v>
      </c>
      <c r="D15" s="12" t="s">
        <v>76</v>
      </c>
      <c r="E15" s="14" t="str">
        <f aca="false">'NFL Schedule'!J12</f>
        <v>NYJ</v>
      </c>
      <c r="F15" s="15" t="s">
        <v>76</v>
      </c>
      <c r="G15" s="15" t="s">
        <v>76</v>
      </c>
      <c r="H15" s="15" t="s">
        <v>76</v>
      </c>
      <c r="I15" s="15" t="s">
        <v>76</v>
      </c>
      <c r="J15" s="15" t="s">
        <v>75</v>
      </c>
      <c r="K15" s="15" t="s">
        <v>75</v>
      </c>
      <c r="L15" s="15" t="s">
        <v>76</v>
      </c>
      <c r="M15" s="15" t="s">
        <v>76</v>
      </c>
      <c r="N15" s="15" t="s">
        <v>75</v>
      </c>
      <c r="O15" s="15" t="s">
        <v>75</v>
      </c>
      <c r="P15" s="15" t="s">
        <v>75</v>
      </c>
      <c r="Q15" s="15" t="s">
        <v>76</v>
      </c>
    </row>
    <row r="16" customFormat="false" ht="15" hidden="false" customHeight="true" outlineLevel="0" collapsed="false">
      <c r="A16" s="12" t="n">
        <v>11</v>
      </c>
      <c r="B16" s="12" t="s">
        <v>77</v>
      </c>
      <c r="C16" s="13" t="s">
        <v>54</v>
      </c>
      <c r="D16" s="12" t="s">
        <v>78</v>
      </c>
      <c r="E16" s="14" t="str">
        <f aca="false">'NFL Schedule'!J13</f>
        <v>ARI</v>
      </c>
      <c r="F16" s="15" t="s">
        <v>78</v>
      </c>
      <c r="G16" s="15" t="s">
        <v>78</v>
      </c>
      <c r="H16" s="15" t="s">
        <v>78</v>
      </c>
      <c r="I16" s="15" t="s">
        <v>78</v>
      </c>
      <c r="J16" s="15" t="s">
        <v>77</v>
      </c>
      <c r="K16" s="15" t="s">
        <v>78</v>
      </c>
      <c r="L16" s="15" t="s">
        <v>78</v>
      </c>
      <c r="M16" s="15" t="s">
        <v>77</v>
      </c>
      <c r="N16" s="15" t="s">
        <v>77</v>
      </c>
      <c r="O16" s="15" t="s">
        <v>78</v>
      </c>
      <c r="P16" s="15" t="s">
        <v>78</v>
      </c>
      <c r="Q16" s="15" t="s">
        <v>78</v>
      </c>
    </row>
    <row r="17" customFormat="false" ht="15" hidden="false" customHeight="true" outlineLevel="0" collapsed="false">
      <c r="A17" s="12" t="n">
        <v>12</v>
      </c>
      <c r="B17" s="12" t="s">
        <v>79</v>
      </c>
      <c r="C17" s="13" t="s">
        <v>54</v>
      </c>
      <c r="D17" s="12" t="s">
        <v>80</v>
      </c>
      <c r="E17" s="14" t="str">
        <f aca="false">'NFL Schedule'!J14</f>
        <v>LV</v>
      </c>
      <c r="F17" s="15" t="s">
        <v>79</v>
      </c>
      <c r="G17" s="15" t="s">
        <v>79</v>
      </c>
      <c r="H17" s="15" t="s">
        <v>80</v>
      </c>
      <c r="I17" s="15" t="s">
        <v>80</v>
      </c>
      <c r="J17" s="15" t="s">
        <v>79</v>
      </c>
      <c r="K17" s="15" t="s">
        <v>79</v>
      </c>
      <c r="L17" s="15" t="s">
        <v>80</v>
      </c>
      <c r="M17" s="15" t="s">
        <v>80</v>
      </c>
      <c r="N17" s="15" t="s">
        <v>79</v>
      </c>
      <c r="O17" s="15" t="s">
        <v>80</v>
      </c>
      <c r="P17" s="15" t="s">
        <v>80</v>
      </c>
      <c r="Q17" s="15" t="s">
        <v>80</v>
      </c>
    </row>
    <row r="18" customFormat="false" ht="15" hidden="false" customHeight="true" outlineLevel="0" collapsed="false">
      <c r="A18" s="12" t="n">
        <v>13</v>
      </c>
      <c r="B18" s="12" t="s">
        <v>81</v>
      </c>
      <c r="C18" s="13" t="s">
        <v>54</v>
      </c>
      <c r="D18" s="12" t="s">
        <v>82</v>
      </c>
      <c r="E18" s="14" t="str">
        <f aca="false">'NFL Schedule'!J15</f>
        <v>MIN</v>
      </c>
      <c r="F18" s="15" t="s">
        <v>81</v>
      </c>
      <c r="G18" s="15" t="s">
        <v>82</v>
      </c>
      <c r="H18" s="15" t="s">
        <v>81</v>
      </c>
      <c r="I18" s="15" t="s">
        <v>81</v>
      </c>
      <c r="J18" s="15" t="s">
        <v>81</v>
      </c>
      <c r="K18" s="15" t="s">
        <v>81</v>
      </c>
      <c r="L18" s="15" t="s">
        <v>81</v>
      </c>
      <c r="M18" s="15" t="s">
        <v>81</v>
      </c>
      <c r="N18" s="15" t="s">
        <v>81</v>
      </c>
      <c r="O18" s="15" t="s">
        <v>82</v>
      </c>
      <c r="P18" s="15" t="s">
        <v>82</v>
      </c>
      <c r="Q18" s="15" t="s">
        <v>81</v>
      </c>
    </row>
    <row r="19" customFormat="false" ht="15" hidden="false" customHeight="true" outlineLevel="0" collapsed="false">
      <c r="A19" s="12" t="n">
        <v>14</v>
      </c>
      <c r="B19" s="12" t="s">
        <v>83</v>
      </c>
      <c r="C19" s="13" t="s">
        <v>54</v>
      </c>
      <c r="D19" s="12" t="s">
        <v>84</v>
      </c>
      <c r="E19" s="14" t="str">
        <f aca="false">'NFL Schedule'!J16</f>
        <v>WAS</v>
      </c>
      <c r="F19" s="15" t="s">
        <v>84</v>
      </c>
      <c r="G19" s="15" t="s">
        <v>84</v>
      </c>
      <c r="H19" s="15" t="s">
        <v>84</v>
      </c>
      <c r="I19" s="15" t="s">
        <v>84</v>
      </c>
      <c r="J19" s="15" t="s">
        <v>84</v>
      </c>
      <c r="K19" s="15" t="s">
        <v>84</v>
      </c>
      <c r="L19" s="15" t="s">
        <v>84</v>
      </c>
      <c r="M19" s="15" t="s">
        <v>84</v>
      </c>
      <c r="N19" s="15" t="s">
        <v>83</v>
      </c>
      <c r="O19" s="15" t="s">
        <v>83</v>
      </c>
      <c r="P19" s="15" t="s">
        <v>83</v>
      </c>
      <c r="Q19" s="15" t="s">
        <v>83</v>
      </c>
    </row>
    <row r="20" customFormat="false" ht="15" hidden="false" customHeight="true" outlineLevel="0" collapsed="false">
      <c r="A20" s="12" t="n">
        <v>15</v>
      </c>
      <c r="B20" s="12" t="s">
        <v>85</v>
      </c>
      <c r="C20" s="13" t="s">
        <v>54</v>
      </c>
      <c r="D20" s="12" t="s">
        <v>86</v>
      </c>
      <c r="E20" s="14" t="str">
        <f aca="false">'NFL Schedule'!J17</f>
        <v>NYG</v>
      </c>
      <c r="F20" s="15" t="s">
        <v>85</v>
      </c>
      <c r="G20" s="15" t="s">
        <v>85</v>
      </c>
      <c r="H20" s="15" t="s">
        <v>86</v>
      </c>
      <c r="I20" s="15" t="s">
        <v>85</v>
      </c>
      <c r="J20" s="15" t="s">
        <v>85</v>
      </c>
      <c r="K20" s="15" t="s">
        <v>85</v>
      </c>
      <c r="L20" s="15" t="s">
        <v>85</v>
      </c>
      <c r="M20" s="15" t="s">
        <v>85</v>
      </c>
      <c r="N20" s="15" t="s">
        <v>85</v>
      </c>
      <c r="O20" s="15" t="s">
        <v>85</v>
      </c>
      <c r="P20" s="15" t="s">
        <v>86</v>
      </c>
      <c r="Q20" s="15" t="s">
        <v>86</v>
      </c>
    </row>
    <row r="21" customFormat="false" ht="15" hidden="false" customHeight="true" outlineLevel="0" collapsed="false">
      <c r="A21" s="12" t="n">
        <v>16</v>
      </c>
      <c r="B21" s="12" t="s">
        <v>87</v>
      </c>
      <c r="C21" s="13" t="s">
        <v>54</v>
      </c>
      <c r="D21" s="12" t="s">
        <v>88</v>
      </c>
      <c r="E21" s="14" t="str">
        <f aca="false">'NFL Schedule'!J18</f>
        <v>KC</v>
      </c>
      <c r="F21" s="15" t="s">
        <v>87</v>
      </c>
      <c r="G21" s="15"/>
      <c r="H21" s="15"/>
      <c r="I21" s="15"/>
      <c r="J21" s="15" t="s">
        <v>87</v>
      </c>
      <c r="K21" s="15"/>
      <c r="L21" s="15"/>
      <c r="M21" s="15" t="s">
        <v>88</v>
      </c>
      <c r="N21" s="15"/>
      <c r="O21" s="15"/>
      <c r="P21" s="15"/>
      <c r="Q21" s="15" t="s">
        <v>88</v>
      </c>
    </row>
    <row r="22" customFormat="false" ht="15" hidden="false" customHeight="false" outlineLevel="0" collapsed="false">
      <c r="A22" s="16" t="s">
        <v>63</v>
      </c>
      <c r="B22" s="17" t="s">
        <v>89</v>
      </c>
      <c r="E22" s="18" t="n">
        <f aca="false">'NFL Schedule'!E19</f>
        <v>51</v>
      </c>
      <c r="F22" s="19" t="n">
        <v>48</v>
      </c>
      <c r="G22" s="19"/>
      <c r="H22" s="19"/>
      <c r="I22" s="19"/>
      <c r="J22" s="19" t="n">
        <v>47</v>
      </c>
      <c r="K22" s="19"/>
      <c r="L22" s="19"/>
      <c r="M22" s="19" t="n">
        <v>50</v>
      </c>
      <c r="N22" s="19"/>
      <c r="O22" s="19"/>
      <c r="P22" s="19"/>
      <c r="Q22" s="19" t="n">
        <v>30</v>
      </c>
    </row>
    <row r="23" customFormat="false" ht="15" hidden="false" customHeight="true" outlineLevel="0" collapsed="false">
      <c r="A23" s="10" t="s">
        <v>90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</row>
    <row r="24" customFormat="false" ht="15" hidden="false" customHeight="true" outlineLevel="0" collapsed="false">
      <c r="A24" s="11" t="s">
        <v>27</v>
      </c>
      <c r="B24" s="11" t="s">
        <v>53</v>
      </c>
      <c r="C24" s="11" t="s">
        <v>54</v>
      </c>
      <c r="D24" s="11" t="s">
        <v>55</v>
      </c>
      <c r="E24" s="11" t="s">
        <v>56</v>
      </c>
      <c r="F24" s="11" t="s">
        <v>5</v>
      </c>
      <c r="G24" s="11" t="s">
        <v>8</v>
      </c>
      <c r="H24" s="11" t="s">
        <v>9</v>
      </c>
      <c r="I24" s="11" t="s">
        <v>10</v>
      </c>
      <c r="J24" s="11" t="s">
        <v>11</v>
      </c>
      <c r="K24" s="11" t="s">
        <v>14</v>
      </c>
      <c r="L24" s="11" t="s">
        <v>15</v>
      </c>
      <c r="M24" s="11" t="s">
        <v>16</v>
      </c>
      <c r="N24" s="11" t="s">
        <v>17</v>
      </c>
      <c r="O24" s="11" t="s">
        <v>20</v>
      </c>
      <c r="P24" s="11" t="s">
        <v>21</v>
      </c>
      <c r="Q24" s="11" t="s">
        <v>22</v>
      </c>
    </row>
    <row r="25" customFormat="false" ht="15" hidden="false" customHeight="true" outlineLevel="0" collapsed="false">
      <c r="A25" s="12" t="n">
        <v>1</v>
      </c>
      <c r="B25" s="12" t="s">
        <v>66</v>
      </c>
      <c r="C25" s="13" t="s">
        <v>54</v>
      </c>
      <c r="D25" s="12" t="s">
        <v>67</v>
      </c>
      <c r="E25" s="14" t="str">
        <f aca="false">'NFL Schedule'!J22</f>
        <v/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</row>
    <row r="26" customFormat="false" ht="15" hidden="false" customHeight="true" outlineLevel="0" collapsed="false">
      <c r="A26" s="12" t="n">
        <v>2</v>
      </c>
      <c r="B26" s="12" t="s">
        <v>62</v>
      </c>
      <c r="C26" s="13" t="s">
        <v>54</v>
      </c>
      <c r="D26" s="12" t="s">
        <v>73</v>
      </c>
      <c r="E26" s="14" t="str">
        <f aca="false">'NFL Schedule'!J23</f>
        <v/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</row>
    <row r="27" customFormat="false" ht="15" hidden="false" customHeight="true" outlineLevel="0" collapsed="false">
      <c r="A27" s="12" t="n">
        <v>3</v>
      </c>
      <c r="B27" s="12" t="s">
        <v>65</v>
      </c>
      <c r="C27" s="13" t="s">
        <v>54</v>
      </c>
      <c r="D27" s="12" t="s">
        <v>69</v>
      </c>
      <c r="E27" s="14" t="str">
        <f aca="false">'NFL Schedule'!J24</f>
        <v/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customFormat="false" ht="15" hidden="false" customHeight="true" outlineLevel="0" collapsed="false">
      <c r="A28" s="12" t="n">
        <v>4</v>
      </c>
      <c r="B28" s="12" t="s">
        <v>82</v>
      </c>
      <c r="C28" s="13" t="s">
        <v>54</v>
      </c>
      <c r="D28" s="12" t="s">
        <v>61</v>
      </c>
      <c r="E28" s="14" t="str">
        <f aca="false">'NFL Schedule'!J25</f>
        <v/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</row>
    <row r="29" customFormat="false" ht="15" hidden="false" customHeight="true" outlineLevel="0" collapsed="false">
      <c r="A29" s="12" t="n">
        <v>5</v>
      </c>
      <c r="B29" s="12" t="s">
        <v>64</v>
      </c>
      <c r="C29" s="13" t="s">
        <v>54</v>
      </c>
      <c r="D29" s="12" t="s">
        <v>68</v>
      </c>
      <c r="E29" s="14" t="str">
        <f aca="false">'NFL Schedule'!J26</f>
        <v/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</row>
    <row r="30" customFormat="false" ht="15" hidden="false" customHeight="true" outlineLevel="0" collapsed="false">
      <c r="A30" s="12" t="n">
        <v>6</v>
      </c>
      <c r="B30" s="12" t="s">
        <v>74</v>
      </c>
      <c r="C30" s="13" t="s">
        <v>54</v>
      </c>
      <c r="D30" s="12" t="s">
        <v>57</v>
      </c>
      <c r="E30" s="14" t="str">
        <f aca="false">'NFL Schedule'!J27</f>
        <v/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</row>
    <row r="31" customFormat="false" ht="15" hidden="false" customHeight="true" outlineLevel="0" collapsed="false">
      <c r="A31" s="12" t="n">
        <v>7</v>
      </c>
      <c r="B31" s="12" t="s">
        <v>81</v>
      </c>
      <c r="C31" s="13" t="s">
        <v>54</v>
      </c>
      <c r="D31" s="12" t="s">
        <v>75</v>
      </c>
      <c r="E31" s="14" t="str">
        <f aca="false">'NFL Schedule'!J28</f>
        <v/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</row>
    <row r="32" customFormat="false" ht="15" hidden="false" customHeight="true" outlineLevel="0" collapsed="false">
      <c r="A32" s="12" t="n">
        <v>8</v>
      </c>
      <c r="B32" s="12" t="s">
        <v>71</v>
      </c>
      <c r="C32" s="13" t="s">
        <v>54</v>
      </c>
      <c r="D32" s="12" t="s">
        <v>63</v>
      </c>
      <c r="E32" s="14" t="str">
        <f aca="false">'NFL Schedule'!J29</f>
        <v/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</row>
    <row r="33" customFormat="false" ht="15" hidden="false" customHeight="true" outlineLevel="0" collapsed="false">
      <c r="A33" s="12" t="n">
        <v>9</v>
      </c>
      <c r="B33" s="12" t="s">
        <v>84</v>
      </c>
      <c r="C33" s="13" t="s">
        <v>54</v>
      </c>
      <c r="D33" s="12" t="s">
        <v>76</v>
      </c>
      <c r="E33" s="14" t="str">
        <f aca="false">'NFL Schedule'!J30</f>
        <v/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</row>
    <row r="34" customFormat="false" ht="15" hidden="false" customHeight="true" outlineLevel="0" collapsed="false">
      <c r="A34" s="12" t="n">
        <v>10</v>
      </c>
      <c r="B34" s="12" t="s">
        <v>72</v>
      </c>
      <c r="C34" s="13" t="s">
        <v>54</v>
      </c>
      <c r="D34" s="12" t="s">
        <v>87</v>
      </c>
      <c r="E34" s="14" t="str">
        <f aca="false">'NFL Schedule'!J31</f>
        <v/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</row>
    <row r="35" customFormat="false" ht="15" hidden="false" customHeight="true" outlineLevel="0" collapsed="false">
      <c r="A35" s="12" t="n">
        <v>11</v>
      </c>
      <c r="B35" s="12" t="s">
        <v>80</v>
      </c>
      <c r="C35" s="13" t="s">
        <v>54</v>
      </c>
      <c r="D35" s="12" t="s">
        <v>78</v>
      </c>
      <c r="E35" s="14" t="str">
        <f aca="false">'NFL Schedule'!J32</f>
        <v/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</row>
    <row r="36" customFormat="false" ht="15" hidden="false" customHeight="true" outlineLevel="0" collapsed="false">
      <c r="A36" s="12" t="n">
        <v>12</v>
      </c>
      <c r="B36" s="12" t="s">
        <v>58</v>
      </c>
      <c r="C36" s="13" t="s">
        <v>54</v>
      </c>
      <c r="D36" s="12" t="s">
        <v>77</v>
      </c>
      <c r="E36" s="14" t="str">
        <f aca="false">'NFL Schedule'!J33</f>
        <v/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</row>
    <row r="37" customFormat="false" ht="15" hidden="false" customHeight="true" outlineLevel="0" collapsed="false">
      <c r="A37" s="12" t="n">
        <v>13</v>
      </c>
      <c r="B37" s="12" t="s">
        <v>83</v>
      </c>
      <c r="C37" s="13" t="s">
        <v>54</v>
      </c>
      <c r="D37" s="12" t="s">
        <v>85</v>
      </c>
      <c r="E37" s="14" t="str">
        <f aca="false">'NFL Schedule'!J34</f>
        <v/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2" t="n">
        <v>14</v>
      </c>
      <c r="B38" s="12" t="s">
        <v>79</v>
      </c>
      <c r="C38" s="13" t="s">
        <v>54</v>
      </c>
      <c r="D38" s="12" t="s">
        <v>59</v>
      </c>
      <c r="E38" s="14" t="str">
        <f aca="false">'NFL Schedule'!J35</f>
        <v/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</row>
    <row r="39" customFormat="false" ht="15" hidden="false" customHeight="true" outlineLevel="0" collapsed="false">
      <c r="A39" s="12" t="n">
        <v>15</v>
      </c>
      <c r="B39" s="12" t="s">
        <v>70</v>
      </c>
      <c r="C39" s="13" t="s">
        <v>54</v>
      </c>
      <c r="D39" s="12" t="s">
        <v>88</v>
      </c>
      <c r="E39" s="14" t="str">
        <f aca="false">'NFL Schedule'!J36</f>
        <v/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</row>
    <row r="40" customFormat="false" ht="15" hidden="false" customHeight="true" outlineLevel="0" collapsed="false">
      <c r="A40" s="12" t="n">
        <v>16</v>
      </c>
      <c r="B40" s="12" t="s">
        <v>86</v>
      </c>
      <c r="C40" s="13" t="s">
        <v>54</v>
      </c>
      <c r="D40" s="12" t="s">
        <v>60</v>
      </c>
      <c r="E40" s="14" t="str">
        <f aca="false">'NFL Schedule'!J37</f>
        <v/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</row>
    <row r="41" customFormat="false" ht="15" hidden="false" customHeight="false" outlineLevel="0" collapsed="false">
      <c r="A41" s="16" t="s">
        <v>63</v>
      </c>
      <c r="B41" s="17" t="s">
        <v>89</v>
      </c>
      <c r="E41" s="18" t="str">
        <f aca="false">'NFL Schedule'!E38</f>
        <v/>
      </c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</row>
    <row r="42" customFormat="false" ht="15" hidden="false" customHeight="true" outlineLevel="0" collapsed="false">
      <c r="A42" s="10" t="s">
        <v>91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</row>
    <row r="43" customFormat="false" ht="15" hidden="false" customHeight="true" outlineLevel="0" collapsed="false">
      <c r="A43" s="11" t="s">
        <v>27</v>
      </c>
      <c r="B43" s="11" t="s">
        <v>53</v>
      </c>
      <c r="C43" s="11" t="s">
        <v>54</v>
      </c>
      <c r="D43" s="11" t="s">
        <v>55</v>
      </c>
      <c r="E43" s="11" t="s">
        <v>56</v>
      </c>
      <c r="F43" s="11" t="s">
        <v>5</v>
      </c>
      <c r="G43" s="11" t="s">
        <v>8</v>
      </c>
      <c r="H43" s="11" t="s">
        <v>9</v>
      </c>
      <c r="I43" s="11" t="s">
        <v>10</v>
      </c>
      <c r="J43" s="11" t="s">
        <v>11</v>
      </c>
      <c r="K43" s="11" t="s">
        <v>14</v>
      </c>
      <c r="L43" s="11" t="s">
        <v>15</v>
      </c>
      <c r="M43" s="11" t="s">
        <v>16</v>
      </c>
      <c r="N43" s="11" t="s">
        <v>17</v>
      </c>
      <c r="O43" s="11" t="s">
        <v>20</v>
      </c>
      <c r="P43" s="11" t="s">
        <v>21</v>
      </c>
      <c r="Q43" s="11" t="s">
        <v>22</v>
      </c>
    </row>
    <row r="44" customFormat="false" ht="15" hidden="false" customHeight="true" outlineLevel="0" collapsed="false">
      <c r="A44" s="12" t="n">
        <v>1</v>
      </c>
      <c r="B44" s="12" t="s">
        <v>73</v>
      </c>
      <c r="C44" s="13" t="s">
        <v>54</v>
      </c>
      <c r="D44" s="12" t="s">
        <v>81</v>
      </c>
      <c r="E44" s="14" t="str">
        <f aca="false">'NFL Schedule'!J41</f>
        <v/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</row>
    <row r="45" customFormat="false" ht="15" hidden="false" customHeight="true" outlineLevel="0" collapsed="false">
      <c r="A45" s="12" t="n">
        <v>2</v>
      </c>
      <c r="B45" s="12" t="s">
        <v>78</v>
      </c>
      <c r="C45" s="13" t="s">
        <v>54</v>
      </c>
      <c r="D45" s="12" t="s">
        <v>67</v>
      </c>
      <c r="E45" s="14" t="str">
        <f aca="false">'NFL Schedule'!J42</f>
        <v/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</row>
    <row r="46" customFormat="false" ht="15" hidden="false" customHeight="true" outlineLevel="0" collapsed="false">
      <c r="A46" s="12" t="n">
        <v>3</v>
      </c>
      <c r="B46" s="12" t="s">
        <v>62</v>
      </c>
      <c r="C46" s="13" t="s">
        <v>54</v>
      </c>
      <c r="D46" s="12" t="s">
        <v>71</v>
      </c>
      <c r="E46" s="14" t="str">
        <f aca="false">'NFL Schedule'!J43</f>
        <v/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</row>
    <row r="47" customFormat="false" ht="15" hidden="false" customHeight="true" outlineLevel="0" collapsed="false">
      <c r="A47" s="12" t="n">
        <v>4</v>
      </c>
      <c r="B47" s="12" t="s">
        <v>75</v>
      </c>
      <c r="C47" s="13" t="s">
        <v>54</v>
      </c>
      <c r="D47" s="12" t="s">
        <v>66</v>
      </c>
      <c r="E47" s="14" t="str">
        <f aca="false">'NFL Schedule'!J44</f>
        <v/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</row>
    <row r="48" customFormat="false" ht="15" hidden="false" customHeight="true" outlineLevel="0" collapsed="false">
      <c r="A48" s="12" t="n">
        <v>5</v>
      </c>
      <c r="B48" s="12" t="s">
        <v>68</v>
      </c>
      <c r="C48" s="13" t="s">
        <v>54</v>
      </c>
      <c r="D48" s="12" t="s">
        <v>70</v>
      </c>
      <c r="E48" s="14" t="str">
        <f aca="false">'NFL Schedule'!J45</f>
        <v/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</row>
    <row r="49" customFormat="false" ht="15" hidden="false" customHeight="true" outlineLevel="0" collapsed="false">
      <c r="A49" s="12" t="n">
        <v>6</v>
      </c>
      <c r="B49" s="12" t="s">
        <v>88</v>
      </c>
      <c r="C49" s="13" t="s">
        <v>54</v>
      </c>
      <c r="D49" s="12" t="s">
        <v>79</v>
      </c>
      <c r="E49" s="14" t="str">
        <f aca="false">'NFL Schedule'!J46</f>
        <v/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</row>
    <row r="50" customFormat="false" ht="15" hidden="false" customHeight="true" outlineLevel="0" collapsed="false">
      <c r="A50" s="12" t="n">
        <v>7</v>
      </c>
      <c r="B50" s="12" t="s">
        <v>76</v>
      </c>
      <c r="C50" s="13" t="s">
        <v>54</v>
      </c>
      <c r="D50" s="12" t="s">
        <v>86</v>
      </c>
      <c r="E50" s="14" t="str">
        <f aca="false">'NFL Schedule'!J47</f>
        <v/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2" t="n">
        <v>8</v>
      </c>
      <c r="B51" s="12" t="s">
        <v>64</v>
      </c>
      <c r="C51" s="13" t="s">
        <v>54</v>
      </c>
      <c r="D51" s="12" t="s">
        <v>74</v>
      </c>
      <c r="E51" s="14" t="str">
        <f aca="false">'NFL Schedule'!J48</f>
        <v/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</row>
    <row r="52" customFormat="false" ht="15" hidden="false" customHeight="true" outlineLevel="0" collapsed="false">
      <c r="A52" s="12" t="n">
        <v>9</v>
      </c>
      <c r="B52" s="12" t="s">
        <v>58</v>
      </c>
      <c r="C52" s="13" t="s">
        <v>54</v>
      </c>
      <c r="D52" s="12" t="s">
        <v>83</v>
      </c>
      <c r="E52" s="14" t="str">
        <f aca="false">'NFL Schedule'!J49</f>
        <v/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12" t="n">
        <v>10</v>
      </c>
      <c r="B53" s="12" t="s">
        <v>57</v>
      </c>
      <c r="C53" s="13" t="s">
        <v>54</v>
      </c>
      <c r="D53" s="12" t="s">
        <v>72</v>
      </c>
      <c r="E53" s="14" t="str">
        <f aca="false">'NFL Schedule'!J50</f>
        <v/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</row>
    <row r="54" customFormat="false" ht="15" hidden="false" customHeight="true" outlineLevel="0" collapsed="false">
      <c r="A54" s="12" t="n">
        <v>11</v>
      </c>
      <c r="B54" s="12" t="s">
        <v>77</v>
      </c>
      <c r="C54" s="13" t="s">
        <v>54</v>
      </c>
      <c r="D54" s="12" t="s">
        <v>59</v>
      </c>
      <c r="E54" s="14" t="str">
        <f aca="false">'NFL Schedule'!J51</f>
        <v/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</row>
    <row r="55" customFormat="false" ht="15" hidden="false" customHeight="true" outlineLevel="0" collapsed="false">
      <c r="A55" s="12" t="n">
        <v>12</v>
      </c>
      <c r="B55" s="12" t="s">
        <v>82</v>
      </c>
      <c r="C55" s="13" t="s">
        <v>54</v>
      </c>
      <c r="D55" s="12" t="s">
        <v>63</v>
      </c>
      <c r="E55" s="14" t="str">
        <f aca="false">'NFL Schedule'!J52</f>
        <v/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</row>
    <row r="56" customFormat="false" ht="15" hidden="false" customHeight="true" outlineLevel="0" collapsed="false">
      <c r="A56" s="12" t="n">
        <v>13</v>
      </c>
      <c r="B56" s="12" t="s">
        <v>69</v>
      </c>
      <c r="C56" s="13" t="s">
        <v>54</v>
      </c>
      <c r="D56" s="12" t="s">
        <v>85</v>
      </c>
      <c r="E56" s="14" t="str">
        <f aca="false">'NFL Schedule'!J53</f>
        <v/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12" t="n">
        <v>14</v>
      </c>
      <c r="B57" s="12" t="s">
        <v>80</v>
      </c>
      <c r="C57" s="13" t="s">
        <v>54</v>
      </c>
      <c r="D57" s="12" t="s">
        <v>65</v>
      </c>
      <c r="E57" s="14" t="str">
        <f aca="false">'NFL Schedule'!J54</f>
        <v/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</row>
    <row r="58" customFormat="false" ht="15" hidden="false" customHeight="true" outlineLevel="0" collapsed="false">
      <c r="A58" s="12" t="n">
        <v>15</v>
      </c>
      <c r="B58" s="12" t="s">
        <v>60</v>
      </c>
      <c r="C58" s="13" t="s">
        <v>54</v>
      </c>
      <c r="D58" s="12" t="s">
        <v>87</v>
      </c>
      <c r="E58" s="14" t="str">
        <f aca="false">'NFL Schedule'!J55</f>
        <v/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</row>
    <row r="59" customFormat="false" ht="15" hidden="false" customHeight="true" outlineLevel="0" collapsed="false">
      <c r="A59" s="12" t="n">
        <v>16</v>
      </c>
      <c r="B59" s="12" t="s">
        <v>84</v>
      </c>
      <c r="C59" s="13" t="s">
        <v>54</v>
      </c>
      <c r="D59" s="12" t="s">
        <v>61</v>
      </c>
      <c r="E59" s="14" t="str">
        <f aca="false">'NFL Schedule'!J56</f>
        <v/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</row>
    <row r="60" customFormat="false" ht="15" hidden="false" customHeight="false" outlineLevel="0" collapsed="false">
      <c r="A60" s="16" t="s">
        <v>63</v>
      </c>
      <c r="B60" s="17" t="s">
        <v>89</v>
      </c>
      <c r="E60" s="18" t="str">
        <f aca="false">'NFL Schedule'!E57</f>
        <v/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  <row r="61" customFormat="false" ht="15" hidden="false" customHeight="true" outlineLevel="0" collapsed="false">
      <c r="A61" s="10" t="s">
        <v>92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</row>
    <row r="62" customFormat="false" ht="15" hidden="false" customHeight="true" outlineLevel="0" collapsed="false">
      <c r="A62" s="11" t="s">
        <v>27</v>
      </c>
      <c r="B62" s="11" t="s">
        <v>53</v>
      </c>
      <c r="C62" s="11" t="s">
        <v>54</v>
      </c>
      <c r="D62" s="11" t="s">
        <v>55</v>
      </c>
      <c r="E62" s="11" t="s">
        <v>56</v>
      </c>
      <c r="F62" s="11" t="s">
        <v>5</v>
      </c>
      <c r="G62" s="11" t="s">
        <v>8</v>
      </c>
      <c r="H62" s="11" t="s">
        <v>9</v>
      </c>
      <c r="I62" s="11" t="s">
        <v>10</v>
      </c>
      <c r="J62" s="11" t="s">
        <v>11</v>
      </c>
      <c r="K62" s="11" t="s">
        <v>14</v>
      </c>
      <c r="L62" s="11" t="s">
        <v>15</v>
      </c>
      <c r="M62" s="11" t="s">
        <v>16</v>
      </c>
      <c r="N62" s="11" t="s">
        <v>17</v>
      </c>
      <c r="O62" s="11" t="s">
        <v>20</v>
      </c>
      <c r="P62" s="11" t="s">
        <v>21</v>
      </c>
      <c r="Q62" s="11" t="s">
        <v>22</v>
      </c>
    </row>
    <row r="63" customFormat="false" ht="15" hidden="false" customHeight="true" outlineLevel="0" collapsed="false">
      <c r="A63" s="12" t="n">
        <v>1</v>
      </c>
      <c r="B63" s="12" t="s">
        <v>74</v>
      </c>
      <c r="C63" s="13" t="s">
        <v>54</v>
      </c>
      <c r="D63" s="12" t="s">
        <v>71</v>
      </c>
      <c r="E63" s="14" t="str">
        <f aca="false">'NFL Schedule'!J60</f>
        <v/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</row>
    <row r="64" customFormat="false" ht="15" hidden="false" customHeight="true" outlineLevel="0" collapsed="false">
      <c r="A64" s="12" t="n">
        <v>2</v>
      </c>
      <c r="B64" s="12" t="s">
        <v>70</v>
      </c>
      <c r="C64" s="13" t="s">
        <v>54</v>
      </c>
      <c r="D64" s="12" t="s">
        <v>83</v>
      </c>
      <c r="E64" s="14" t="str">
        <f aca="false">'NFL Schedule'!J61</f>
        <v/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</row>
    <row r="65" customFormat="false" ht="15" hidden="false" customHeight="true" outlineLevel="0" collapsed="false">
      <c r="A65" s="12" t="n">
        <v>3</v>
      </c>
      <c r="B65" s="12" t="s">
        <v>57</v>
      </c>
      <c r="C65" s="13" t="s">
        <v>54</v>
      </c>
      <c r="D65" s="12" t="s">
        <v>67</v>
      </c>
      <c r="E65" s="14" t="str">
        <f aca="false">'NFL Schedule'!J62</f>
        <v/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</row>
    <row r="66" customFormat="false" ht="15" hidden="false" customHeight="true" outlineLevel="0" collapsed="false">
      <c r="A66" s="12" t="n">
        <v>4</v>
      </c>
      <c r="B66" s="12" t="s">
        <v>75</v>
      </c>
      <c r="C66" s="13" t="s">
        <v>54</v>
      </c>
      <c r="D66" s="12" t="s">
        <v>61</v>
      </c>
      <c r="E66" s="14" t="str">
        <f aca="false">'NFL Schedule'!J63</f>
        <v/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</row>
    <row r="67" customFormat="false" ht="15" hidden="false" customHeight="true" outlineLevel="0" collapsed="false">
      <c r="A67" s="12" t="n">
        <v>5</v>
      </c>
      <c r="B67" s="12" t="s">
        <v>72</v>
      </c>
      <c r="C67" s="13" t="s">
        <v>54</v>
      </c>
      <c r="D67" s="12" t="s">
        <v>64</v>
      </c>
      <c r="E67" s="14" t="str">
        <f aca="false">'NFL Schedule'!J64</f>
        <v/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</row>
    <row r="68" customFormat="false" ht="15" hidden="false" customHeight="true" outlineLevel="0" collapsed="false">
      <c r="A68" s="12" t="n">
        <v>6</v>
      </c>
      <c r="B68" s="12" t="s">
        <v>77</v>
      </c>
      <c r="C68" s="13" t="s">
        <v>54</v>
      </c>
      <c r="D68" s="12" t="s">
        <v>86</v>
      </c>
      <c r="E68" s="14" t="str">
        <f aca="false">'NFL Schedule'!J65</f>
        <v/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</row>
    <row r="69" customFormat="false" ht="15" hidden="false" customHeight="true" outlineLevel="0" collapsed="false">
      <c r="A69" s="12" t="n">
        <v>7</v>
      </c>
      <c r="B69" s="12" t="s">
        <v>60</v>
      </c>
      <c r="C69" s="13" t="s">
        <v>54</v>
      </c>
      <c r="D69" s="12" t="s">
        <v>84</v>
      </c>
      <c r="E69" s="14" t="str">
        <f aca="false">'NFL Schedule'!J66</f>
        <v/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</row>
    <row r="70" customFormat="false" ht="15" hidden="false" customHeight="true" outlineLevel="0" collapsed="false">
      <c r="A70" s="12" t="n">
        <v>8</v>
      </c>
      <c r="B70" s="12" t="s">
        <v>81</v>
      </c>
      <c r="C70" s="13" t="s">
        <v>54</v>
      </c>
      <c r="D70" s="12" t="s">
        <v>63</v>
      </c>
      <c r="E70" s="14" t="str">
        <f aca="false">'NFL Schedule'!J67</f>
        <v/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</row>
    <row r="71" customFormat="false" ht="15" hidden="false" customHeight="true" outlineLevel="0" collapsed="false">
      <c r="A71" s="12" t="n">
        <v>9</v>
      </c>
      <c r="B71" s="12" t="s">
        <v>76</v>
      </c>
      <c r="C71" s="13" t="s">
        <v>54</v>
      </c>
      <c r="D71" s="12" t="s">
        <v>69</v>
      </c>
      <c r="E71" s="14" t="str">
        <f aca="false">'NFL Schedule'!J68</f>
        <v/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</row>
    <row r="72" customFormat="false" ht="15" hidden="false" customHeight="true" outlineLevel="0" collapsed="false">
      <c r="A72" s="12" t="n">
        <v>10</v>
      </c>
      <c r="B72" s="12" t="s">
        <v>85</v>
      </c>
      <c r="C72" s="13" t="s">
        <v>54</v>
      </c>
      <c r="D72" s="12" t="s">
        <v>68</v>
      </c>
      <c r="E72" s="14" t="str">
        <f aca="false">'NFL Schedule'!J69</f>
        <v/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</row>
    <row r="73" customFormat="false" ht="15" hidden="false" customHeight="true" outlineLevel="0" collapsed="false">
      <c r="A73" s="12" t="n">
        <v>11</v>
      </c>
      <c r="B73" s="12" t="s">
        <v>79</v>
      </c>
      <c r="C73" s="13" t="s">
        <v>54</v>
      </c>
      <c r="D73" s="12" t="s">
        <v>82</v>
      </c>
      <c r="E73" s="14" t="str">
        <f aca="false">'NFL Schedule'!J70</f>
        <v/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</row>
    <row r="74" customFormat="false" ht="15" hidden="false" customHeight="true" outlineLevel="0" collapsed="false">
      <c r="A74" s="12" t="n">
        <v>12</v>
      </c>
      <c r="B74" s="12" t="s">
        <v>88</v>
      </c>
      <c r="C74" s="13" t="s">
        <v>54</v>
      </c>
      <c r="D74" s="12" t="s">
        <v>80</v>
      </c>
      <c r="E74" s="14" t="str">
        <f aca="false">'NFL Schedule'!J71</f>
        <v/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</row>
    <row r="75" customFormat="false" ht="15" hidden="false" customHeight="true" outlineLevel="0" collapsed="false">
      <c r="A75" s="12" t="n">
        <v>13</v>
      </c>
      <c r="B75" s="12" t="s">
        <v>87</v>
      </c>
      <c r="C75" s="13" t="s">
        <v>54</v>
      </c>
      <c r="D75" s="12" t="s">
        <v>59</v>
      </c>
      <c r="E75" s="14" t="str">
        <f aca="false">'NFL Schedule'!J72</f>
        <v/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</row>
    <row r="76" customFormat="false" ht="15" hidden="false" customHeight="true" outlineLevel="0" collapsed="false">
      <c r="A76" s="12" t="n">
        <v>14</v>
      </c>
      <c r="B76" s="12" t="s">
        <v>78</v>
      </c>
      <c r="C76" s="13" t="s">
        <v>54</v>
      </c>
      <c r="D76" s="12" t="s">
        <v>58</v>
      </c>
      <c r="E76" s="14" t="str">
        <f aca="false">'NFL Schedule'!J73</f>
        <v/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</row>
    <row r="77" customFormat="false" ht="15" hidden="false" customHeight="true" outlineLevel="0" collapsed="false">
      <c r="A77" s="12" t="n">
        <v>15</v>
      </c>
      <c r="B77" s="12" t="s">
        <v>66</v>
      </c>
      <c r="C77" s="13" t="s">
        <v>54</v>
      </c>
      <c r="D77" s="12" t="s">
        <v>62</v>
      </c>
      <c r="E77" s="14" t="str">
        <f aca="false">'NFL Schedule'!J74</f>
        <v/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</row>
    <row r="78" customFormat="false" ht="15" hidden="false" customHeight="true" outlineLevel="0" collapsed="false">
      <c r="A78" s="12" t="n">
        <v>16</v>
      </c>
      <c r="B78" s="12" t="s">
        <v>73</v>
      </c>
      <c r="C78" s="13" t="s">
        <v>54</v>
      </c>
      <c r="D78" s="12" t="s">
        <v>65</v>
      </c>
      <c r="E78" s="14" t="str">
        <f aca="false">'NFL Schedule'!J75</f>
        <v/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</row>
    <row r="79" customFormat="false" ht="15" hidden="false" customHeight="false" outlineLevel="0" collapsed="false">
      <c r="A79" s="16" t="s">
        <v>63</v>
      </c>
      <c r="B79" s="17" t="s">
        <v>89</v>
      </c>
      <c r="E79" s="18" t="str">
        <f aca="false">'NFL Schedule'!E76</f>
        <v/>
      </c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</row>
    <row r="80" customFormat="false" ht="15" hidden="false" customHeight="true" outlineLevel="0" collapsed="false">
      <c r="A80" s="10" t="s">
        <v>93</v>
      </c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</row>
    <row r="81" customFormat="false" ht="15" hidden="false" customHeight="true" outlineLevel="0" collapsed="false">
      <c r="A81" s="11" t="s">
        <v>27</v>
      </c>
      <c r="B81" s="11" t="s">
        <v>53</v>
      </c>
      <c r="C81" s="11" t="s">
        <v>54</v>
      </c>
      <c r="D81" s="11" t="s">
        <v>55</v>
      </c>
      <c r="E81" s="11" t="s">
        <v>56</v>
      </c>
      <c r="F81" s="11" t="s">
        <v>5</v>
      </c>
      <c r="G81" s="11" t="s">
        <v>8</v>
      </c>
      <c r="H81" s="11" t="s">
        <v>9</v>
      </c>
      <c r="I81" s="11" t="s">
        <v>10</v>
      </c>
      <c r="J81" s="11" t="s">
        <v>11</v>
      </c>
      <c r="K81" s="11" t="s">
        <v>14</v>
      </c>
      <c r="L81" s="11" t="s">
        <v>15</v>
      </c>
      <c r="M81" s="11" t="s">
        <v>16</v>
      </c>
      <c r="N81" s="11" t="s">
        <v>17</v>
      </c>
      <c r="O81" s="11" t="s">
        <v>20</v>
      </c>
      <c r="P81" s="11" t="s">
        <v>21</v>
      </c>
      <c r="Q81" s="11" t="s">
        <v>22</v>
      </c>
    </row>
    <row r="82" customFormat="false" ht="15" hidden="false" customHeight="true" outlineLevel="0" collapsed="false">
      <c r="A82" s="12" t="n">
        <v>1</v>
      </c>
      <c r="B82" s="12" t="s">
        <v>63</v>
      </c>
      <c r="C82" s="13" t="s">
        <v>54</v>
      </c>
      <c r="D82" s="12" t="s">
        <v>85</v>
      </c>
      <c r="E82" s="14" t="str">
        <f aca="false">'NFL Schedule'!J79</f>
        <v/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</row>
    <row r="83" customFormat="false" ht="15" hidden="false" customHeight="true" outlineLevel="0" collapsed="false">
      <c r="A83" s="12" t="n">
        <v>2</v>
      </c>
      <c r="B83" s="12" t="s">
        <v>84</v>
      </c>
      <c r="C83" s="13" t="s">
        <v>54</v>
      </c>
      <c r="D83" s="12" t="s">
        <v>72</v>
      </c>
      <c r="E83" s="14" t="str">
        <f aca="false">'NFL Schedule'!J80</f>
        <v/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</row>
    <row r="84" customFormat="false" ht="15" hidden="false" customHeight="true" outlineLevel="0" collapsed="false">
      <c r="A84" s="12" t="n">
        <v>3</v>
      </c>
      <c r="B84" s="12" t="s">
        <v>68</v>
      </c>
      <c r="C84" s="13" t="s">
        <v>54</v>
      </c>
      <c r="D84" s="12" t="s">
        <v>76</v>
      </c>
      <c r="E84" s="14" t="str">
        <f aca="false">'NFL Schedule'!J81</f>
        <v/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12" t="n">
        <v>4</v>
      </c>
      <c r="B85" s="12" t="s">
        <v>64</v>
      </c>
      <c r="C85" s="13" t="s">
        <v>54</v>
      </c>
      <c r="D85" s="12" t="s">
        <v>79</v>
      </c>
      <c r="E85" s="14" t="str">
        <f aca="false">'NFL Schedule'!J82</f>
        <v/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</row>
    <row r="86" customFormat="false" ht="15" hidden="false" customHeight="true" outlineLevel="0" collapsed="false">
      <c r="A86" s="12" t="n">
        <v>5</v>
      </c>
      <c r="B86" s="12" t="s">
        <v>80</v>
      </c>
      <c r="C86" s="13" t="s">
        <v>54</v>
      </c>
      <c r="D86" s="12" t="s">
        <v>57</v>
      </c>
      <c r="E86" s="14" t="str">
        <f aca="false">'NFL Schedule'!J83</f>
        <v/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</row>
    <row r="87" customFormat="false" ht="15" hidden="false" customHeight="true" outlineLevel="0" collapsed="false">
      <c r="A87" s="12" t="n">
        <v>6</v>
      </c>
      <c r="B87" s="12" t="s">
        <v>82</v>
      </c>
      <c r="C87" s="13" t="s">
        <v>54</v>
      </c>
      <c r="D87" s="12" t="s">
        <v>65</v>
      </c>
      <c r="E87" s="14" t="str">
        <f aca="false">'NFL Schedule'!J84</f>
        <v/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</row>
    <row r="88" customFormat="false" ht="15" hidden="false" customHeight="true" outlineLevel="0" collapsed="false">
      <c r="A88" s="12" t="n">
        <v>7</v>
      </c>
      <c r="B88" s="12" t="s">
        <v>71</v>
      </c>
      <c r="C88" s="13" t="s">
        <v>54</v>
      </c>
      <c r="D88" s="12" t="s">
        <v>75</v>
      </c>
      <c r="E88" s="14" t="str">
        <f aca="false">'NFL Schedule'!J85</f>
        <v/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</row>
    <row r="89" customFormat="false" ht="15" hidden="false" customHeight="true" outlineLevel="0" collapsed="false">
      <c r="A89" s="12" t="n">
        <v>8</v>
      </c>
      <c r="B89" s="12" t="s">
        <v>70</v>
      </c>
      <c r="C89" s="13" t="s">
        <v>54</v>
      </c>
      <c r="D89" s="12" t="s">
        <v>74</v>
      </c>
      <c r="E89" s="14" t="str">
        <f aca="false">'NFL Schedule'!J86</f>
        <v/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</row>
    <row r="90" customFormat="false" ht="15" hidden="false" customHeight="true" outlineLevel="0" collapsed="false">
      <c r="A90" s="12" t="n">
        <v>9</v>
      </c>
      <c r="B90" s="12" t="s">
        <v>86</v>
      </c>
      <c r="C90" s="13" t="s">
        <v>54</v>
      </c>
      <c r="D90" s="12" t="s">
        <v>83</v>
      </c>
      <c r="E90" s="14" t="str">
        <f aca="false">'NFL Schedule'!J87</f>
        <v/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</row>
    <row r="91" customFormat="false" ht="15" hidden="false" customHeight="true" outlineLevel="0" collapsed="false">
      <c r="A91" s="12" t="n">
        <v>10</v>
      </c>
      <c r="B91" s="12" t="s">
        <v>87</v>
      </c>
      <c r="C91" s="13" t="s">
        <v>54</v>
      </c>
      <c r="D91" s="12" t="s">
        <v>78</v>
      </c>
      <c r="E91" s="14" t="str">
        <f aca="false">'NFL Schedule'!J88</f>
        <v/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</row>
    <row r="92" customFormat="false" ht="15" hidden="false" customHeight="true" outlineLevel="0" collapsed="false">
      <c r="A92" s="12" t="n">
        <v>11</v>
      </c>
      <c r="B92" s="12" t="s">
        <v>61</v>
      </c>
      <c r="C92" s="13" t="s">
        <v>54</v>
      </c>
      <c r="D92" s="12" t="s">
        <v>81</v>
      </c>
      <c r="E92" s="14" t="str">
        <f aca="false">'NFL Schedule'!J89</f>
        <v/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</row>
    <row r="93" customFormat="false" ht="15" hidden="false" customHeight="true" outlineLevel="0" collapsed="false">
      <c r="A93" s="12" t="n">
        <v>12</v>
      </c>
      <c r="B93" s="12" t="s">
        <v>66</v>
      </c>
      <c r="C93" s="13" t="s">
        <v>54</v>
      </c>
      <c r="D93" s="12" t="s">
        <v>77</v>
      </c>
      <c r="E93" s="14" t="str">
        <f aca="false">'NFL Schedule'!J90</f>
        <v/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</row>
    <row r="94" customFormat="false" ht="15" hidden="false" customHeight="true" outlineLevel="0" collapsed="false">
      <c r="A94" s="12" t="n">
        <v>13</v>
      </c>
      <c r="B94" s="12" t="s">
        <v>59</v>
      </c>
      <c r="C94" s="13" t="s">
        <v>54</v>
      </c>
      <c r="D94" s="12" t="s">
        <v>58</v>
      </c>
      <c r="E94" s="14" t="str">
        <f aca="false">'NFL Schedule'!J91</f>
        <v/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</row>
    <row r="95" customFormat="false" ht="15" hidden="false" customHeight="true" outlineLevel="0" collapsed="false">
      <c r="A95" s="12" t="n">
        <v>14</v>
      </c>
      <c r="B95" s="12" t="s">
        <v>69</v>
      </c>
      <c r="C95" s="13" t="s">
        <v>54</v>
      </c>
      <c r="D95" s="12" t="s">
        <v>73</v>
      </c>
      <c r="E95" s="14" t="str">
        <f aca="false">'NFL Schedule'!J92</f>
        <v/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</row>
    <row r="96" customFormat="false" ht="15" hidden="false" customHeight="true" outlineLevel="0" collapsed="false">
      <c r="A96" s="12" t="n">
        <v>15</v>
      </c>
      <c r="B96" s="12" t="s">
        <v>67</v>
      </c>
      <c r="C96" s="13" t="s">
        <v>54</v>
      </c>
      <c r="D96" s="12" t="s">
        <v>60</v>
      </c>
      <c r="E96" s="14" t="str">
        <f aca="false">'NFL Schedule'!J93</f>
        <v/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</row>
    <row r="97" customFormat="false" ht="15" hidden="false" customHeight="false" outlineLevel="0" collapsed="false">
      <c r="A97" s="16" t="s">
        <v>63</v>
      </c>
      <c r="B97" s="17" t="s">
        <v>89</v>
      </c>
      <c r="E97" s="18" t="str">
        <f aca="false">'NFL Schedule'!E94</f>
        <v/>
      </c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</row>
    <row r="98" customFormat="false" ht="15" hidden="false" customHeight="true" outlineLevel="0" collapsed="false">
      <c r="A98" s="10" t="s">
        <v>94</v>
      </c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</row>
    <row r="99" customFormat="false" ht="15" hidden="false" customHeight="true" outlineLevel="0" collapsed="false">
      <c r="A99" s="11" t="s">
        <v>27</v>
      </c>
      <c r="B99" s="11" t="s">
        <v>53</v>
      </c>
      <c r="C99" s="11" t="s">
        <v>54</v>
      </c>
      <c r="D99" s="11" t="s">
        <v>55</v>
      </c>
      <c r="E99" s="11" t="s">
        <v>56</v>
      </c>
      <c r="F99" s="11" t="s">
        <v>5</v>
      </c>
      <c r="G99" s="11" t="s">
        <v>8</v>
      </c>
      <c r="H99" s="11" t="s">
        <v>9</v>
      </c>
      <c r="I99" s="11" t="s">
        <v>10</v>
      </c>
      <c r="J99" s="11" t="s">
        <v>11</v>
      </c>
      <c r="K99" s="11" t="s">
        <v>14</v>
      </c>
      <c r="L99" s="11" t="s">
        <v>15</v>
      </c>
      <c r="M99" s="11" t="s">
        <v>16</v>
      </c>
      <c r="N99" s="11" t="s">
        <v>17</v>
      </c>
      <c r="O99" s="11" t="s">
        <v>20</v>
      </c>
      <c r="P99" s="11" t="s">
        <v>21</v>
      </c>
      <c r="Q99" s="11" t="s">
        <v>22</v>
      </c>
    </row>
    <row r="100" customFormat="false" ht="15" hidden="false" customHeight="true" outlineLevel="0" collapsed="false">
      <c r="A100" s="12" t="n">
        <v>1</v>
      </c>
      <c r="B100" s="12" t="s">
        <v>58</v>
      </c>
      <c r="C100" s="13" t="s">
        <v>54</v>
      </c>
      <c r="D100" s="12" t="s">
        <v>87</v>
      </c>
      <c r="E100" s="14" t="str">
        <f aca="false">'NFL Schedule'!J97</f>
        <v/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</row>
    <row r="101" customFormat="false" ht="15" hidden="false" customHeight="true" outlineLevel="0" collapsed="false">
      <c r="A101" s="12" t="n">
        <v>2</v>
      </c>
      <c r="B101" s="12" t="s">
        <v>68</v>
      </c>
      <c r="C101" s="13" t="s">
        <v>54</v>
      </c>
      <c r="D101" s="12" t="s">
        <v>72</v>
      </c>
      <c r="E101" s="14" t="str">
        <f aca="false">'NFL Schedule'!J98</f>
        <v/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</row>
    <row r="102" customFormat="false" ht="15" hidden="false" customHeight="true" outlineLevel="0" collapsed="false">
      <c r="A102" s="12" t="n">
        <v>3</v>
      </c>
      <c r="B102" s="12" t="s">
        <v>61</v>
      </c>
      <c r="C102" s="13" t="s">
        <v>54</v>
      </c>
      <c r="D102" s="12" t="s">
        <v>73</v>
      </c>
      <c r="E102" s="14" t="str">
        <f aca="false">'NFL Schedule'!J99</f>
        <v/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</row>
    <row r="103" customFormat="false" ht="15" hidden="false" customHeight="true" outlineLevel="0" collapsed="false">
      <c r="A103" s="12" t="n">
        <v>4</v>
      </c>
      <c r="B103" s="12" t="s">
        <v>69</v>
      </c>
      <c r="C103" s="13" t="s">
        <v>54</v>
      </c>
      <c r="D103" s="12" t="s">
        <v>71</v>
      </c>
      <c r="E103" s="14" t="str">
        <f aca="false">'NFL Schedule'!J100</f>
        <v/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</row>
    <row r="104" customFormat="false" ht="15" hidden="false" customHeight="true" outlineLevel="0" collapsed="false">
      <c r="A104" s="12" t="n">
        <v>5</v>
      </c>
      <c r="B104" s="12" t="s">
        <v>76</v>
      </c>
      <c r="C104" s="13" t="s">
        <v>54</v>
      </c>
      <c r="D104" s="12" t="s">
        <v>70</v>
      </c>
      <c r="E104" s="14" t="str">
        <f aca="false">'NFL Schedule'!J101</f>
        <v/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</row>
    <row r="105" customFormat="false" ht="15" hidden="false" customHeight="true" outlineLevel="0" collapsed="false">
      <c r="A105" s="12" t="n">
        <v>6</v>
      </c>
      <c r="B105" s="12" t="s">
        <v>75</v>
      </c>
      <c r="C105" s="13" t="s">
        <v>54</v>
      </c>
      <c r="D105" s="12" t="s">
        <v>57</v>
      </c>
      <c r="E105" s="14" t="str">
        <f aca="false">'NFL Schedule'!J102</f>
        <v/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</row>
    <row r="106" customFormat="false" ht="15" hidden="false" customHeight="true" outlineLevel="0" collapsed="false">
      <c r="A106" s="12" t="n">
        <v>7</v>
      </c>
      <c r="B106" s="12" t="s">
        <v>65</v>
      </c>
      <c r="C106" s="13" t="s">
        <v>54</v>
      </c>
      <c r="D106" s="12" t="s">
        <v>86</v>
      </c>
      <c r="E106" s="14" t="str">
        <f aca="false">'NFL Schedule'!J103</f>
        <v/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</row>
    <row r="107" customFormat="false" ht="15" hidden="false" customHeight="true" outlineLevel="0" collapsed="false">
      <c r="A107" s="12" t="n">
        <v>8</v>
      </c>
      <c r="B107" s="12" t="s">
        <v>62</v>
      </c>
      <c r="C107" s="13" t="s">
        <v>54</v>
      </c>
      <c r="D107" s="12" t="s">
        <v>84</v>
      </c>
      <c r="E107" s="14" t="str">
        <f aca="false">'NFL Schedule'!J104</f>
        <v/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</row>
    <row r="108" customFormat="false" ht="15" hidden="false" customHeight="true" outlineLevel="0" collapsed="false">
      <c r="A108" s="12" t="n">
        <v>9</v>
      </c>
      <c r="B108" s="12" t="s">
        <v>74</v>
      </c>
      <c r="C108" s="13" t="s">
        <v>54</v>
      </c>
      <c r="D108" s="12" t="s">
        <v>63</v>
      </c>
      <c r="E108" s="14" t="str">
        <f aca="false">'NFL Schedule'!J105</f>
        <v/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</row>
    <row r="109" customFormat="false" ht="15" hidden="false" customHeight="true" outlineLevel="0" collapsed="false">
      <c r="A109" s="12" t="n">
        <v>10</v>
      </c>
      <c r="B109" s="12" t="s">
        <v>77</v>
      </c>
      <c r="C109" s="13" t="s">
        <v>54</v>
      </c>
      <c r="D109" s="12" t="s">
        <v>78</v>
      </c>
      <c r="E109" s="14" t="str">
        <f aca="false">'NFL Schedule'!J106</f>
        <v/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</row>
    <row r="110" customFormat="false" ht="15" hidden="false" customHeight="true" outlineLevel="0" collapsed="false">
      <c r="A110" s="12" t="n">
        <v>11</v>
      </c>
      <c r="B110" s="12" t="s">
        <v>60</v>
      </c>
      <c r="C110" s="13" t="s">
        <v>54</v>
      </c>
      <c r="D110" s="12" t="s">
        <v>88</v>
      </c>
      <c r="E110" s="14" t="str">
        <f aca="false">'NFL Schedule'!J107</f>
        <v/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</row>
    <row r="111" customFormat="false" ht="15" hidden="false" customHeight="true" outlineLevel="0" collapsed="false">
      <c r="A111" s="12" t="n">
        <v>12</v>
      </c>
      <c r="B111" s="12" t="s">
        <v>67</v>
      </c>
      <c r="C111" s="13" t="s">
        <v>54</v>
      </c>
      <c r="D111" s="12" t="s">
        <v>80</v>
      </c>
      <c r="E111" s="14" t="str">
        <f aca="false">'NFL Schedule'!J108</f>
        <v/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</row>
    <row r="112" customFormat="false" ht="15" hidden="false" customHeight="true" outlineLevel="0" collapsed="false">
      <c r="A112" s="12" t="n">
        <v>13</v>
      </c>
      <c r="B112" s="12" t="s">
        <v>85</v>
      </c>
      <c r="C112" s="13" t="s">
        <v>54</v>
      </c>
      <c r="D112" s="12" t="s">
        <v>81</v>
      </c>
      <c r="E112" s="14" t="str">
        <f aca="false">'NFL Schedule'!J109</f>
        <v/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</row>
    <row r="113" customFormat="false" ht="15" hidden="false" customHeight="true" outlineLevel="0" collapsed="false">
      <c r="A113" s="12" t="n">
        <v>14</v>
      </c>
      <c r="B113" s="12" t="s">
        <v>83</v>
      </c>
      <c r="C113" s="13" t="s">
        <v>54</v>
      </c>
      <c r="D113" s="12" t="s">
        <v>59</v>
      </c>
      <c r="E113" s="14" t="str">
        <f aca="false">'NFL Schedule'!J110</f>
        <v/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</row>
    <row r="114" customFormat="false" ht="15" hidden="false" customHeight="false" outlineLevel="0" collapsed="false">
      <c r="A114" s="16" t="s">
        <v>63</v>
      </c>
      <c r="B114" s="17" t="s">
        <v>89</v>
      </c>
      <c r="E114" s="18" t="str">
        <f aca="false">'NFL Schedule'!E111</f>
        <v/>
      </c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</row>
    <row r="115" customFormat="false" ht="15" hidden="false" customHeight="true" outlineLevel="0" collapsed="false">
      <c r="A115" s="10" t="s">
        <v>95</v>
      </c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</row>
    <row r="116" customFormat="false" ht="15" hidden="false" customHeight="true" outlineLevel="0" collapsed="false">
      <c r="A116" s="11" t="s">
        <v>27</v>
      </c>
      <c r="B116" s="11" t="s">
        <v>53</v>
      </c>
      <c r="C116" s="11" t="s">
        <v>54</v>
      </c>
      <c r="D116" s="11" t="s">
        <v>55</v>
      </c>
      <c r="E116" s="11" t="s">
        <v>56</v>
      </c>
      <c r="F116" s="11" t="s">
        <v>5</v>
      </c>
      <c r="G116" s="11" t="s">
        <v>8</v>
      </c>
      <c r="H116" s="11" t="s">
        <v>9</v>
      </c>
      <c r="I116" s="11" t="s">
        <v>10</v>
      </c>
      <c r="J116" s="11" t="s">
        <v>11</v>
      </c>
      <c r="K116" s="11" t="s">
        <v>14</v>
      </c>
      <c r="L116" s="11" t="s">
        <v>15</v>
      </c>
      <c r="M116" s="11" t="s">
        <v>16</v>
      </c>
      <c r="N116" s="11" t="s">
        <v>17</v>
      </c>
      <c r="O116" s="11" t="s">
        <v>20</v>
      </c>
      <c r="P116" s="11" t="s">
        <v>21</v>
      </c>
      <c r="Q116" s="11" t="s">
        <v>22</v>
      </c>
    </row>
    <row r="117" customFormat="false" ht="15" hidden="false" customHeight="true" outlineLevel="0" collapsed="false">
      <c r="A117" s="12" t="n">
        <v>1</v>
      </c>
      <c r="B117" s="12" t="s">
        <v>57</v>
      </c>
      <c r="C117" s="13" t="s">
        <v>54</v>
      </c>
      <c r="D117" s="12" t="s">
        <v>61</v>
      </c>
      <c r="E117" s="14" t="str">
        <f aca="false">'NFL Schedule'!J114</f>
        <v/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</row>
    <row r="118" customFormat="false" ht="15" hidden="false" customHeight="true" outlineLevel="0" collapsed="false">
      <c r="A118" s="12" t="n">
        <v>2</v>
      </c>
      <c r="B118" s="12" t="s">
        <v>74</v>
      </c>
      <c r="C118" s="13" t="s">
        <v>54</v>
      </c>
      <c r="D118" s="12" t="s">
        <v>65</v>
      </c>
      <c r="E118" s="14" t="str">
        <f aca="false">'NFL Schedule'!J115</f>
        <v/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</row>
    <row r="119" customFormat="false" ht="15" hidden="false" customHeight="true" outlineLevel="0" collapsed="false">
      <c r="A119" s="12" t="n">
        <v>3</v>
      </c>
      <c r="B119" s="12" t="s">
        <v>59</v>
      </c>
      <c r="C119" s="13" t="s">
        <v>54</v>
      </c>
      <c r="D119" s="12" t="s">
        <v>73</v>
      </c>
      <c r="E119" s="14" t="str">
        <f aca="false">'NFL Schedule'!J116</f>
        <v/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</row>
    <row r="120" customFormat="false" ht="15" hidden="false" customHeight="true" outlineLevel="0" collapsed="false">
      <c r="A120" s="12" t="n">
        <v>4</v>
      </c>
      <c r="B120" s="12" t="s">
        <v>71</v>
      </c>
      <c r="C120" s="13" t="s">
        <v>54</v>
      </c>
      <c r="D120" s="12" t="s">
        <v>76</v>
      </c>
      <c r="E120" s="14" t="str">
        <f aca="false">'NFL Schedule'!J117</f>
        <v/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</row>
    <row r="121" customFormat="false" ht="15" hidden="false" customHeight="true" outlineLevel="0" collapsed="false">
      <c r="A121" s="12" t="n">
        <v>5</v>
      </c>
      <c r="B121" s="12" t="s">
        <v>70</v>
      </c>
      <c r="C121" s="13" t="s">
        <v>54</v>
      </c>
      <c r="D121" s="12" t="s">
        <v>82</v>
      </c>
      <c r="E121" s="14" t="str">
        <f aca="false">'NFL Schedule'!J118</f>
        <v/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</row>
    <row r="122" customFormat="false" ht="15" hidden="false" customHeight="true" outlineLevel="0" collapsed="false">
      <c r="A122" s="12" t="n">
        <v>6</v>
      </c>
      <c r="B122" s="12" t="s">
        <v>79</v>
      </c>
      <c r="C122" s="13" t="s">
        <v>54</v>
      </c>
      <c r="D122" s="12" t="s">
        <v>75</v>
      </c>
      <c r="E122" s="14" t="str">
        <f aca="false">'NFL Schedule'!J119</f>
        <v/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</row>
    <row r="123" customFormat="false" ht="15" hidden="false" customHeight="true" outlineLevel="0" collapsed="false">
      <c r="A123" s="12" t="n">
        <v>7</v>
      </c>
      <c r="B123" s="12" t="s">
        <v>63</v>
      </c>
      <c r="C123" s="13" t="s">
        <v>54</v>
      </c>
      <c r="D123" s="12" t="s">
        <v>62</v>
      </c>
      <c r="E123" s="14" t="str">
        <f aca="false">'NFL Schedule'!J120</f>
        <v/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</row>
    <row r="124" customFormat="false" ht="15" hidden="false" customHeight="true" outlineLevel="0" collapsed="false">
      <c r="A124" s="12" t="n">
        <v>8</v>
      </c>
      <c r="B124" s="12" t="s">
        <v>64</v>
      </c>
      <c r="C124" s="13" t="s">
        <v>54</v>
      </c>
      <c r="D124" s="12" t="s">
        <v>69</v>
      </c>
      <c r="E124" s="14" t="str">
        <f aca="false">'NFL Schedule'!J121</f>
        <v/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</row>
    <row r="125" customFormat="false" ht="15" hidden="false" customHeight="true" outlineLevel="0" collapsed="false">
      <c r="A125" s="12" t="n">
        <v>9</v>
      </c>
      <c r="B125" s="12" t="s">
        <v>86</v>
      </c>
      <c r="C125" s="13" t="s">
        <v>54</v>
      </c>
      <c r="D125" s="12" t="s">
        <v>68</v>
      </c>
      <c r="E125" s="14" t="str">
        <f aca="false">'NFL Schedule'!J122</f>
        <v/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</row>
    <row r="126" customFormat="false" ht="15" hidden="false" customHeight="true" outlineLevel="0" collapsed="false">
      <c r="A126" s="12" t="n">
        <v>10</v>
      </c>
      <c r="B126" s="12" t="s">
        <v>87</v>
      </c>
      <c r="C126" s="13" t="s">
        <v>54</v>
      </c>
      <c r="D126" s="12" t="s">
        <v>77</v>
      </c>
      <c r="E126" s="14" t="str">
        <f aca="false">'NFL Schedule'!J123</f>
        <v/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</row>
    <row r="127" customFormat="false" ht="15" hidden="false" customHeight="true" outlineLevel="0" collapsed="false">
      <c r="A127" s="12" t="n">
        <v>11</v>
      </c>
      <c r="B127" s="12" t="s">
        <v>81</v>
      </c>
      <c r="C127" s="13" t="s">
        <v>54</v>
      </c>
      <c r="D127" s="12" t="s">
        <v>66</v>
      </c>
      <c r="E127" s="14" t="str">
        <f aca="false">'NFL Schedule'!J124</f>
        <v/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</row>
    <row r="128" customFormat="false" ht="15" hidden="false" customHeight="true" outlineLevel="0" collapsed="false">
      <c r="A128" s="12" t="n">
        <v>12</v>
      </c>
      <c r="B128" s="12" t="s">
        <v>60</v>
      </c>
      <c r="C128" s="13" t="s">
        <v>54</v>
      </c>
      <c r="D128" s="12" t="s">
        <v>80</v>
      </c>
      <c r="E128" s="14" t="str">
        <f aca="false">'NFL Schedule'!J125</f>
        <v/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</row>
    <row r="129" customFormat="false" ht="15" hidden="false" customHeight="true" outlineLevel="0" collapsed="false">
      <c r="A129" s="12" t="n">
        <v>13</v>
      </c>
      <c r="B129" s="12" t="s">
        <v>88</v>
      </c>
      <c r="C129" s="13" t="s">
        <v>54</v>
      </c>
      <c r="D129" s="12" t="s">
        <v>58</v>
      </c>
      <c r="E129" s="14" t="str">
        <f aca="false">'NFL Schedule'!J126</f>
        <v/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</row>
    <row r="130" customFormat="false" ht="15" hidden="false" customHeight="true" outlineLevel="0" collapsed="false">
      <c r="A130" s="12" t="n">
        <v>14</v>
      </c>
      <c r="B130" s="12" t="s">
        <v>85</v>
      </c>
      <c r="C130" s="13" t="s">
        <v>54</v>
      </c>
      <c r="D130" s="12" t="s">
        <v>84</v>
      </c>
      <c r="E130" s="14" t="str">
        <f aca="false">'NFL Schedule'!J127</f>
        <v/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</row>
    <row r="131" customFormat="false" ht="15" hidden="false" customHeight="false" outlineLevel="0" collapsed="false">
      <c r="A131" s="16" t="s">
        <v>63</v>
      </c>
      <c r="B131" s="17" t="s">
        <v>89</v>
      </c>
      <c r="E131" s="18" t="str">
        <f aca="false">'NFL Schedule'!E128</f>
        <v/>
      </c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</row>
    <row r="132" customFormat="false" ht="15" hidden="false" customHeight="true" outlineLevel="0" collapsed="false">
      <c r="A132" s="10" t="s">
        <v>96</v>
      </c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</row>
    <row r="133" customFormat="false" ht="15" hidden="false" customHeight="true" outlineLevel="0" collapsed="false">
      <c r="A133" s="11" t="s">
        <v>27</v>
      </c>
      <c r="B133" s="11" t="s">
        <v>53</v>
      </c>
      <c r="C133" s="11" t="s">
        <v>54</v>
      </c>
      <c r="D133" s="11" t="s">
        <v>55</v>
      </c>
      <c r="E133" s="11" t="s">
        <v>56</v>
      </c>
      <c r="F133" s="11" t="s">
        <v>5</v>
      </c>
      <c r="G133" s="11" t="s">
        <v>8</v>
      </c>
      <c r="H133" s="11" t="s">
        <v>9</v>
      </c>
      <c r="I133" s="11" t="s">
        <v>10</v>
      </c>
      <c r="J133" s="11" t="s">
        <v>11</v>
      </c>
      <c r="K133" s="11" t="s">
        <v>14</v>
      </c>
      <c r="L133" s="11" t="s">
        <v>15</v>
      </c>
      <c r="M133" s="11" t="s">
        <v>16</v>
      </c>
      <c r="N133" s="11" t="s">
        <v>17</v>
      </c>
      <c r="O133" s="11" t="s">
        <v>20</v>
      </c>
      <c r="P133" s="11" t="s">
        <v>21</v>
      </c>
      <c r="Q133" s="11" t="s">
        <v>22</v>
      </c>
    </row>
    <row r="134" customFormat="false" ht="15" hidden="false" customHeight="true" outlineLevel="0" collapsed="false">
      <c r="A134" s="12" t="n">
        <v>1</v>
      </c>
      <c r="B134" s="12" t="s">
        <v>62</v>
      </c>
      <c r="C134" s="13" t="s">
        <v>54</v>
      </c>
      <c r="D134" s="12" t="s">
        <v>81</v>
      </c>
      <c r="E134" s="14" t="str">
        <f aca="false">'NFL Schedule'!J131</f>
        <v/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</row>
    <row r="135" customFormat="false" ht="15" hidden="false" customHeight="true" outlineLevel="0" collapsed="false">
      <c r="A135" s="12" t="n">
        <v>2</v>
      </c>
      <c r="B135" s="12" t="s">
        <v>69</v>
      </c>
      <c r="C135" s="13" t="s">
        <v>54</v>
      </c>
      <c r="D135" s="12" t="s">
        <v>67</v>
      </c>
      <c r="E135" s="14" t="str">
        <f aca="false">'NFL Schedule'!J132</f>
        <v/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</row>
    <row r="136" customFormat="false" ht="15" hidden="false" customHeight="true" outlineLevel="0" collapsed="false">
      <c r="A136" s="12" t="n">
        <v>3</v>
      </c>
      <c r="B136" s="12" t="s">
        <v>76</v>
      </c>
      <c r="C136" s="13" t="s">
        <v>54</v>
      </c>
      <c r="D136" s="12" t="s">
        <v>64</v>
      </c>
      <c r="E136" s="14" t="str">
        <f aca="false">'NFL Schedule'!J133</f>
        <v/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</row>
    <row r="137" customFormat="false" ht="15" hidden="false" customHeight="true" outlineLevel="0" collapsed="false">
      <c r="A137" s="12" t="n">
        <v>4</v>
      </c>
      <c r="B137" s="12" t="s">
        <v>77</v>
      </c>
      <c r="C137" s="13" t="s">
        <v>54</v>
      </c>
      <c r="D137" s="12" t="s">
        <v>85</v>
      </c>
      <c r="E137" s="14" t="str">
        <f aca="false">'NFL Schedule'!J134</f>
        <v/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</row>
    <row r="138" customFormat="false" ht="15" hidden="false" customHeight="true" outlineLevel="0" collapsed="false">
      <c r="A138" s="12" t="n">
        <v>5</v>
      </c>
      <c r="B138" s="12" t="s">
        <v>82</v>
      </c>
      <c r="C138" s="13" t="s">
        <v>54</v>
      </c>
      <c r="D138" s="12" t="s">
        <v>66</v>
      </c>
      <c r="E138" s="14" t="str">
        <f aca="false">'NFL Schedule'!J135</f>
        <v/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</row>
    <row r="139" customFormat="false" ht="15" hidden="false" customHeight="true" outlineLevel="0" collapsed="false">
      <c r="A139" s="12" t="n">
        <v>6</v>
      </c>
      <c r="B139" s="12" t="s">
        <v>80</v>
      </c>
      <c r="C139" s="13" t="s">
        <v>54</v>
      </c>
      <c r="D139" s="12" t="s">
        <v>75</v>
      </c>
      <c r="E139" s="14" t="str">
        <f aca="false">'NFL Schedule'!J136</f>
        <v/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</row>
    <row r="140" customFormat="false" ht="15" hidden="false" customHeight="true" outlineLevel="0" collapsed="false">
      <c r="A140" s="12" t="n">
        <v>7</v>
      </c>
      <c r="B140" s="12" t="s">
        <v>71</v>
      </c>
      <c r="C140" s="13" t="s">
        <v>54</v>
      </c>
      <c r="D140" s="12" t="s">
        <v>74</v>
      </c>
      <c r="E140" s="14" t="str">
        <f aca="false">'NFL Schedule'!J137</f>
        <v/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</row>
    <row r="141" customFormat="false" ht="15" hidden="false" customHeight="true" outlineLevel="0" collapsed="false">
      <c r="A141" s="12" t="n">
        <v>8</v>
      </c>
      <c r="B141" s="12" t="s">
        <v>73</v>
      </c>
      <c r="C141" s="13" t="s">
        <v>54</v>
      </c>
      <c r="D141" s="12" t="s">
        <v>63</v>
      </c>
      <c r="E141" s="14" t="str">
        <f aca="false">'NFL Schedule'!J138</f>
        <v/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</row>
    <row r="142" customFormat="false" ht="15" hidden="false" customHeight="true" outlineLevel="0" collapsed="false">
      <c r="A142" s="12" t="n">
        <v>9</v>
      </c>
      <c r="B142" s="12" t="s">
        <v>70</v>
      </c>
      <c r="C142" s="13" t="s">
        <v>54</v>
      </c>
      <c r="D142" s="12" t="s">
        <v>72</v>
      </c>
      <c r="E142" s="14" t="str">
        <f aca="false">'NFL Schedule'!J139</f>
        <v/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</row>
    <row r="143" customFormat="false" ht="15" hidden="false" customHeight="true" outlineLevel="0" collapsed="false">
      <c r="A143" s="12" t="n">
        <v>10</v>
      </c>
      <c r="B143" s="12" t="s">
        <v>60</v>
      </c>
      <c r="C143" s="13" t="s">
        <v>54</v>
      </c>
      <c r="D143" s="12" t="s">
        <v>78</v>
      </c>
      <c r="E143" s="14" t="str">
        <f aca="false">'NFL Schedule'!J140</f>
        <v/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</row>
    <row r="144" customFormat="false" ht="15" hidden="false" customHeight="true" outlineLevel="0" collapsed="false">
      <c r="A144" s="12" t="n">
        <v>11</v>
      </c>
      <c r="B144" s="12" t="s">
        <v>88</v>
      </c>
      <c r="C144" s="13" t="s">
        <v>54</v>
      </c>
      <c r="D144" s="12" t="s">
        <v>87</v>
      </c>
      <c r="E144" s="14" t="str">
        <f aca="false">'NFL Schedule'!J141</f>
        <v/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</row>
    <row r="145" customFormat="false" ht="15" hidden="false" customHeight="true" outlineLevel="0" collapsed="false">
      <c r="A145" s="12" t="n">
        <v>12</v>
      </c>
      <c r="B145" s="12" t="s">
        <v>57</v>
      </c>
      <c r="C145" s="13" t="s">
        <v>54</v>
      </c>
      <c r="D145" s="12" t="s">
        <v>79</v>
      </c>
      <c r="E145" s="14" t="str">
        <f aca="false">'NFL Schedule'!J142</f>
        <v/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</row>
    <row r="146" customFormat="false" ht="15" hidden="false" customHeight="true" outlineLevel="0" collapsed="false">
      <c r="A146" s="12" t="n">
        <v>13</v>
      </c>
      <c r="B146" s="12" t="s">
        <v>84</v>
      </c>
      <c r="C146" s="13" t="s">
        <v>54</v>
      </c>
      <c r="D146" s="12" t="s">
        <v>83</v>
      </c>
      <c r="E146" s="14" t="str">
        <f aca="false">'NFL Schedule'!J143</f>
        <v/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</row>
    <row r="147" customFormat="false" ht="15" hidden="false" customHeight="true" outlineLevel="0" collapsed="false">
      <c r="A147" s="12" t="n">
        <v>14</v>
      </c>
      <c r="B147" s="12" t="s">
        <v>61</v>
      </c>
      <c r="C147" s="13" t="s">
        <v>54</v>
      </c>
      <c r="D147" s="12" t="s">
        <v>58</v>
      </c>
      <c r="E147" s="14" t="str">
        <f aca="false">'NFL Schedule'!J144</f>
        <v/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</row>
    <row r="148" customFormat="false" ht="15" hidden="false" customHeight="false" outlineLevel="0" collapsed="false">
      <c r="A148" s="16" t="s">
        <v>63</v>
      </c>
      <c r="B148" s="17" t="s">
        <v>89</v>
      </c>
      <c r="E148" s="18" t="str">
        <f aca="false">'NFL Schedule'!E145</f>
        <v/>
      </c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</row>
    <row r="149" customFormat="false" ht="15" hidden="false" customHeight="true" outlineLevel="0" collapsed="false">
      <c r="A149" s="10" t="s">
        <v>97</v>
      </c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</row>
    <row r="150" customFormat="false" ht="15" hidden="false" customHeight="true" outlineLevel="0" collapsed="false">
      <c r="A150" s="11" t="s">
        <v>27</v>
      </c>
      <c r="B150" s="11" t="s">
        <v>53</v>
      </c>
      <c r="C150" s="11" t="s">
        <v>54</v>
      </c>
      <c r="D150" s="11" t="s">
        <v>55</v>
      </c>
      <c r="E150" s="11" t="s">
        <v>56</v>
      </c>
      <c r="F150" s="11" t="s">
        <v>5</v>
      </c>
      <c r="G150" s="11" t="s">
        <v>8</v>
      </c>
      <c r="H150" s="11" t="s">
        <v>9</v>
      </c>
      <c r="I150" s="11" t="s">
        <v>10</v>
      </c>
      <c r="J150" s="11" t="s">
        <v>11</v>
      </c>
      <c r="K150" s="11" t="s">
        <v>14</v>
      </c>
      <c r="L150" s="11" t="s">
        <v>15</v>
      </c>
      <c r="M150" s="11" t="s">
        <v>16</v>
      </c>
      <c r="N150" s="11" t="s">
        <v>17</v>
      </c>
      <c r="O150" s="11" t="s">
        <v>20</v>
      </c>
      <c r="P150" s="11" t="s">
        <v>21</v>
      </c>
      <c r="Q150" s="11" t="s">
        <v>22</v>
      </c>
    </row>
    <row r="151" customFormat="false" ht="15" hidden="false" customHeight="true" outlineLevel="0" collapsed="false">
      <c r="A151" s="12" t="n">
        <v>1</v>
      </c>
      <c r="B151" s="12" t="s">
        <v>72</v>
      </c>
      <c r="C151" s="13" t="s">
        <v>54</v>
      </c>
      <c r="D151" s="12" t="s">
        <v>69</v>
      </c>
      <c r="E151" s="14" t="str">
        <f aca="false">'NFL Schedule'!J148</f>
        <v/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15" hidden="false" customHeight="true" outlineLevel="0" collapsed="false">
      <c r="A152" s="12" t="n">
        <v>2</v>
      </c>
      <c r="B152" s="12" t="s">
        <v>64</v>
      </c>
      <c r="C152" s="13" t="s">
        <v>54</v>
      </c>
      <c r="D152" s="12" t="s">
        <v>73</v>
      </c>
      <c r="E152" s="14" t="str">
        <f aca="false">'NFL Schedule'!J149</f>
        <v/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</row>
    <row r="153" customFormat="false" ht="15" hidden="false" customHeight="true" outlineLevel="0" collapsed="false">
      <c r="A153" s="12" t="n">
        <v>3</v>
      </c>
      <c r="B153" s="12" t="s">
        <v>85</v>
      </c>
      <c r="C153" s="13" t="s">
        <v>54</v>
      </c>
      <c r="D153" s="12" t="s">
        <v>70</v>
      </c>
      <c r="E153" s="14" t="str">
        <f aca="false">'NFL Schedule'!J150</f>
        <v/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</row>
    <row r="154" customFormat="false" ht="15" hidden="false" customHeight="true" outlineLevel="0" collapsed="false">
      <c r="A154" s="12" t="n">
        <v>4</v>
      </c>
      <c r="B154" s="12" t="s">
        <v>75</v>
      </c>
      <c r="C154" s="13" t="s">
        <v>54</v>
      </c>
      <c r="D154" s="12" t="s">
        <v>88</v>
      </c>
      <c r="E154" s="14" t="str">
        <f aca="false">'NFL Schedule'!J151</f>
        <v/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</row>
    <row r="155" customFormat="false" ht="15" hidden="false" customHeight="true" outlineLevel="0" collapsed="false">
      <c r="A155" s="12" t="n">
        <v>5</v>
      </c>
      <c r="B155" s="12" t="s">
        <v>66</v>
      </c>
      <c r="C155" s="13" t="s">
        <v>54</v>
      </c>
      <c r="D155" s="12" t="s">
        <v>79</v>
      </c>
      <c r="E155" s="14" t="str">
        <f aca="false">'NFL Schedule'!J152</f>
        <v/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</row>
    <row r="156" customFormat="false" ht="15" hidden="false" customHeight="true" outlineLevel="0" collapsed="false">
      <c r="A156" s="12" t="n">
        <v>6</v>
      </c>
      <c r="B156" s="12" t="s">
        <v>71</v>
      </c>
      <c r="C156" s="13" t="s">
        <v>54</v>
      </c>
      <c r="D156" s="12" t="s">
        <v>65</v>
      </c>
      <c r="E156" s="14" t="str">
        <f aca="false">'NFL Schedule'!J153</f>
        <v/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</row>
    <row r="157" customFormat="false" ht="15" hidden="false" customHeight="true" outlineLevel="0" collapsed="false">
      <c r="A157" s="12" t="n">
        <v>7</v>
      </c>
      <c r="B157" s="12" t="s">
        <v>86</v>
      </c>
      <c r="C157" s="13" t="s">
        <v>54</v>
      </c>
      <c r="D157" s="12" t="s">
        <v>84</v>
      </c>
      <c r="E157" s="14" t="str">
        <f aca="false">'NFL Schedule'!J154</f>
        <v/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</row>
    <row r="158" customFormat="false" ht="15" hidden="false" customHeight="true" outlineLevel="0" collapsed="false">
      <c r="A158" s="12" t="n">
        <v>8</v>
      </c>
      <c r="B158" s="12" t="s">
        <v>60</v>
      </c>
      <c r="C158" s="13" t="s">
        <v>54</v>
      </c>
      <c r="D158" s="12" t="s">
        <v>83</v>
      </c>
      <c r="E158" s="14" t="str">
        <f aca="false">'NFL Schedule'!J155</f>
        <v/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</row>
    <row r="159" customFormat="false" ht="15" hidden="false" customHeight="true" outlineLevel="0" collapsed="false">
      <c r="A159" s="12" t="n">
        <v>9</v>
      </c>
      <c r="B159" s="12" t="s">
        <v>87</v>
      </c>
      <c r="C159" s="13" t="s">
        <v>54</v>
      </c>
      <c r="D159" s="12" t="s">
        <v>62</v>
      </c>
      <c r="E159" s="14" t="str">
        <f aca="false">'NFL Schedule'!J156</f>
        <v/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</row>
    <row r="160" customFormat="false" ht="15" hidden="false" customHeight="true" outlineLevel="0" collapsed="false">
      <c r="A160" s="12" t="n">
        <v>10</v>
      </c>
      <c r="B160" s="12" t="s">
        <v>68</v>
      </c>
      <c r="C160" s="13" t="s">
        <v>54</v>
      </c>
      <c r="D160" s="12" t="s">
        <v>78</v>
      </c>
      <c r="E160" s="14" t="str">
        <f aca="false">'NFL Schedule'!J157</f>
        <v/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</row>
    <row r="161" customFormat="false" ht="15" hidden="false" customHeight="true" outlineLevel="0" collapsed="false">
      <c r="A161" s="12" t="n">
        <v>11</v>
      </c>
      <c r="B161" s="12" t="s">
        <v>80</v>
      </c>
      <c r="C161" s="13" t="s">
        <v>54</v>
      </c>
      <c r="D161" s="12" t="s">
        <v>59</v>
      </c>
      <c r="E161" s="14" t="str">
        <f aca="false">'NFL Schedule'!J158</f>
        <v/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</row>
    <row r="162" customFormat="false" ht="15" hidden="false" customHeight="true" outlineLevel="0" collapsed="false">
      <c r="A162" s="12" t="n">
        <v>12</v>
      </c>
      <c r="B162" s="12" t="s">
        <v>81</v>
      </c>
      <c r="C162" s="13" t="s">
        <v>54</v>
      </c>
      <c r="D162" s="12" t="s">
        <v>57</v>
      </c>
      <c r="E162" s="14" t="str">
        <f aca="false">'NFL Schedule'!J159</f>
        <v/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</row>
    <row r="163" customFormat="false" ht="15" hidden="false" customHeight="true" outlineLevel="0" collapsed="false">
      <c r="A163" s="12" t="n">
        <v>13</v>
      </c>
      <c r="B163" s="12" t="s">
        <v>77</v>
      </c>
      <c r="C163" s="13" t="s">
        <v>54</v>
      </c>
      <c r="D163" s="12" t="s">
        <v>58</v>
      </c>
      <c r="E163" s="14" t="str">
        <f aca="false">'NFL Schedule'!J160</f>
        <v/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</row>
    <row r="164" customFormat="false" ht="15" hidden="false" customHeight="true" outlineLevel="0" collapsed="false">
      <c r="A164" s="12" t="n">
        <v>14</v>
      </c>
      <c r="B164" s="12" t="s">
        <v>63</v>
      </c>
      <c r="C164" s="13" t="s">
        <v>54</v>
      </c>
      <c r="D164" s="12" t="s">
        <v>61</v>
      </c>
      <c r="E164" s="14" t="str">
        <f aca="false">'NFL Schedule'!J161</f>
        <v/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</row>
    <row r="165" customFormat="false" ht="15" hidden="false" customHeight="true" outlineLevel="0" collapsed="false">
      <c r="A165" s="12" t="n">
        <v>15</v>
      </c>
      <c r="B165" s="12" t="s">
        <v>67</v>
      </c>
      <c r="C165" s="13" t="s">
        <v>54</v>
      </c>
      <c r="D165" s="12" t="s">
        <v>82</v>
      </c>
      <c r="E165" s="14" t="str">
        <f aca="false">'NFL Schedule'!J162</f>
        <v/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</row>
    <row r="166" customFormat="false" ht="15" hidden="false" customHeight="false" outlineLevel="0" collapsed="false">
      <c r="A166" s="16" t="s">
        <v>63</v>
      </c>
      <c r="B166" s="17" t="s">
        <v>89</v>
      </c>
      <c r="E166" s="18" t="str">
        <f aca="false">'NFL Schedule'!E163</f>
        <v/>
      </c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</row>
    <row r="167" customFormat="false" ht="15" hidden="false" customHeight="true" outlineLevel="0" collapsed="false">
      <c r="A167" s="10" t="s">
        <v>98</v>
      </c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</row>
    <row r="168" customFormat="false" ht="15" hidden="false" customHeight="true" outlineLevel="0" collapsed="false">
      <c r="A168" s="11" t="s">
        <v>27</v>
      </c>
      <c r="B168" s="11" t="s">
        <v>53</v>
      </c>
      <c r="C168" s="11" t="s">
        <v>54</v>
      </c>
      <c r="D168" s="11" t="s">
        <v>55</v>
      </c>
      <c r="E168" s="11" t="s">
        <v>56</v>
      </c>
      <c r="F168" s="11" t="s">
        <v>5</v>
      </c>
      <c r="G168" s="11" t="s">
        <v>8</v>
      </c>
      <c r="H168" s="11" t="s">
        <v>9</v>
      </c>
      <c r="I168" s="11" t="s">
        <v>10</v>
      </c>
      <c r="J168" s="11" t="s">
        <v>11</v>
      </c>
      <c r="K168" s="11" t="s">
        <v>14</v>
      </c>
      <c r="L168" s="11" t="s">
        <v>15</v>
      </c>
      <c r="M168" s="11" t="s">
        <v>16</v>
      </c>
      <c r="N168" s="11" t="s">
        <v>17</v>
      </c>
      <c r="O168" s="11" t="s">
        <v>20</v>
      </c>
      <c r="P168" s="11" t="s">
        <v>21</v>
      </c>
      <c r="Q168" s="11" t="s">
        <v>22</v>
      </c>
    </row>
    <row r="169" customFormat="false" ht="15" hidden="false" customHeight="true" outlineLevel="0" collapsed="false">
      <c r="A169" s="12" t="n">
        <v>1</v>
      </c>
      <c r="B169" s="12" t="s">
        <v>83</v>
      </c>
      <c r="C169" s="13" t="s">
        <v>54</v>
      </c>
      <c r="D169" s="12" t="s">
        <v>86</v>
      </c>
      <c r="E169" s="14" t="str">
        <f aca="false">'NFL Schedule'!J166</f>
        <v/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</row>
    <row r="170" customFormat="false" ht="15" hidden="false" customHeight="true" outlineLevel="0" collapsed="false">
      <c r="A170" s="12" t="n">
        <v>2</v>
      </c>
      <c r="B170" s="12" t="s">
        <v>57</v>
      </c>
      <c r="C170" s="13" t="s">
        <v>54</v>
      </c>
      <c r="D170" s="12" t="s">
        <v>66</v>
      </c>
      <c r="E170" s="14" t="str">
        <f aca="false">'NFL Schedule'!J167</f>
        <v/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</row>
    <row r="171" customFormat="false" ht="15" hidden="false" customHeight="true" outlineLevel="0" collapsed="false">
      <c r="A171" s="12" t="n">
        <v>3</v>
      </c>
      <c r="B171" s="12" t="s">
        <v>88</v>
      </c>
      <c r="C171" s="13" t="s">
        <v>54</v>
      </c>
      <c r="D171" s="12" t="s">
        <v>73</v>
      </c>
      <c r="E171" s="14" t="str">
        <f aca="false">'NFL Schedule'!J168</f>
        <v/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</row>
    <row r="172" customFormat="false" ht="15" hidden="false" customHeight="true" outlineLevel="0" collapsed="false">
      <c r="A172" s="12" t="n">
        <v>4</v>
      </c>
      <c r="B172" s="12" t="s">
        <v>68</v>
      </c>
      <c r="C172" s="13" t="s">
        <v>54</v>
      </c>
      <c r="D172" s="12" t="s">
        <v>71</v>
      </c>
      <c r="E172" s="14" t="str">
        <f aca="false">'NFL Schedule'!J169</f>
        <v/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</row>
    <row r="173" customFormat="false" ht="15" hidden="false" customHeight="true" outlineLevel="0" collapsed="false">
      <c r="A173" s="12" t="n">
        <v>5</v>
      </c>
      <c r="B173" s="12" t="s">
        <v>82</v>
      </c>
      <c r="C173" s="13" t="s">
        <v>54</v>
      </c>
      <c r="D173" s="12" t="s">
        <v>81</v>
      </c>
      <c r="E173" s="14" t="str">
        <f aca="false">'NFL Schedule'!J170</f>
        <v/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</row>
    <row r="174" customFormat="false" ht="15" hidden="false" customHeight="true" outlineLevel="0" collapsed="false">
      <c r="A174" s="12" t="n">
        <v>6</v>
      </c>
      <c r="B174" s="12" t="s">
        <v>72</v>
      </c>
      <c r="C174" s="13" t="s">
        <v>54</v>
      </c>
      <c r="D174" s="12" t="s">
        <v>76</v>
      </c>
      <c r="E174" s="14" t="str">
        <f aca="false">'NFL Schedule'!J171</f>
        <v/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</row>
    <row r="175" customFormat="false" ht="15" hidden="false" customHeight="true" outlineLevel="0" collapsed="false">
      <c r="A175" s="12" t="n">
        <v>7</v>
      </c>
      <c r="B175" s="12" t="s">
        <v>79</v>
      </c>
      <c r="C175" s="13" t="s">
        <v>54</v>
      </c>
      <c r="D175" s="12" t="s">
        <v>70</v>
      </c>
      <c r="E175" s="14" t="str">
        <f aca="false">'NFL Schedule'!J172</f>
        <v/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</row>
    <row r="176" customFormat="false" ht="15" hidden="false" customHeight="true" outlineLevel="0" collapsed="false">
      <c r="A176" s="12" t="n">
        <v>8</v>
      </c>
      <c r="B176" s="12" t="s">
        <v>62</v>
      </c>
      <c r="C176" s="13" t="s">
        <v>54</v>
      </c>
      <c r="D176" s="12" t="s">
        <v>65</v>
      </c>
      <c r="E176" s="14" t="str">
        <f aca="false">'NFL Schedule'!J173</f>
        <v/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</row>
    <row r="177" customFormat="false" ht="15" hidden="false" customHeight="true" outlineLevel="0" collapsed="false">
      <c r="A177" s="12" t="n">
        <v>9</v>
      </c>
      <c r="B177" s="12" t="s">
        <v>67</v>
      </c>
      <c r="C177" s="13" t="s">
        <v>54</v>
      </c>
      <c r="D177" s="12" t="s">
        <v>75</v>
      </c>
      <c r="E177" s="14" t="str">
        <f aca="false">'NFL Schedule'!J174</f>
        <v/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</row>
    <row r="178" customFormat="false" ht="15" hidden="false" customHeight="true" outlineLevel="0" collapsed="false">
      <c r="A178" s="12" t="n">
        <v>10</v>
      </c>
      <c r="B178" s="12" t="s">
        <v>58</v>
      </c>
      <c r="C178" s="13" t="s">
        <v>54</v>
      </c>
      <c r="D178" s="12" t="s">
        <v>80</v>
      </c>
      <c r="E178" s="14" t="str">
        <f aca="false">'NFL Schedule'!J175</f>
        <v/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</row>
    <row r="179" customFormat="false" ht="15" hidden="false" customHeight="true" outlineLevel="0" collapsed="false">
      <c r="A179" s="12" t="n">
        <v>11</v>
      </c>
      <c r="B179" s="12" t="s">
        <v>60</v>
      </c>
      <c r="C179" s="13" t="s">
        <v>54</v>
      </c>
      <c r="D179" s="12" t="s">
        <v>77</v>
      </c>
      <c r="E179" s="14" t="str">
        <f aca="false">'NFL Schedule'!J176</f>
        <v/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</row>
    <row r="180" customFormat="false" ht="15" hidden="false" customHeight="true" outlineLevel="0" collapsed="false">
      <c r="A180" s="12" t="n">
        <v>12</v>
      </c>
      <c r="B180" s="12" t="s">
        <v>59</v>
      </c>
      <c r="C180" s="13" t="s">
        <v>54</v>
      </c>
      <c r="D180" s="12" t="s">
        <v>85</v>
      </c>
      <c r="E180" s="14" t="str">
        <f aca="false">'NFL Schedule'!J177</f>
        <v/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</row>
    <row r="181" customFormat="false" ht="15" hidden="false" customHeight="true" outlineLevel="0" collapsed="false">
      <c r="A181" s="12" t="n">
        <v>13</v>
      </c>
      <c r="B181" s="12" t="s">
        <v>74</v>
      </c>
      <c r="C181" s="13" t="s">
        <v>54</v>
      </c>
      <c r="D181" s="12" t="s">
        <v>64</v>
      </c>
      <c r="E181" s="14" t="str">
        <f aca="false">'NFL Schedule'!J178</f>
        <v/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</row>
    <row r="182" customFormat="false" ht="15" hidden="false" customHeight="true" outlineLevel="0" collapsed="false">
      <c r="A182" s="12" t="n">
        <v>14</v>
      </c>
      <c r="B182" s="12" t="s">
        <v>78</v>
      </c>
      <c r="C182" s="13" t="s">
        <v>54</v>
      </c>
      <c r="D182" s="12" t="s">
        <v>69</v>
      </c>
      <c r="E182" s="14" t="str">
        <f aca="false">'NFL Schedule'!J179</f>
        <v/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</row>
    <row r="183" customFormat="false" ht="15" hidden="false" customHeight="false" outlineLevel="0" collapsed="false">
      <c r="A183" s="16" t="s">
        <v>63</v>
      </c>
      <c r="B183" s="17" t="s">
        <v>89</v>
      </c>
      <c r="E183" s="18" t="str">
        <f aca="false">'NFL Schedule'!E180</f>
        <v/>
      </c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</row>
    <row r="184" customFormat="false" ht="15" hidden="false" customHeight="true" outlineLevel="0" collapsed="false">
      <c r="A184" s="10" t="s">
        <v>99</v>
      </c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</row>
    <row r="185" customFormat="false" ht="15" hidden="false" customHeight="true" outlineLevel="0" collapsed="false">
      <c r="A185" s="11" t="s">
        <v>27</v>
      </c>
      <c r="B185" s="11" t="s">
        <v>53</v>
      </c>
      <c r="C185" s="11" t="s">
        <v>54</v>
      </c>
      <c r="D185" s="11" t="s">
        <v>55</v>
      </c>
      <c r="E185" s="11" t="s">
        <v>56</v>
      </c>
      <c r="F185" s="11" t="s">
        <v>5</v>
      </c>
      <c r="G185" s="11" t="s">
        <v>8</v>
      </c>
      <c r="H185" s="11" t="s">
        <v>9</v>
      </c>
      <c r="I185" s="11" t="s">
        <v>10</v>
      </c>
      <c r="J185" s="11" t="s">
        <v>11</v>
      </c>
      <c r="K185" s="11" t="s">
        <v>14</v>
      </c>
      <c r="L185" s="11" t="s">
        <v>15</v>
      </c>
      <c r="M185" s="11" t="s">
        <v>16</v>
      </c>
      <c r="N185" s="11" t="s">
        <v>17</v>
      </c>
      <c r="O185" s="11" t="s">
        <v>20</v>
      </c>
      <c r="P185" s="11" t="s">
        <v>21</v>
      </c>
      <c r="Q185" s="11" t="s">
        <v>22</v>
      </c>
    </row>
    <row r="186" customFormat="false" ht="15" hidden="false" customHeight="true" outlineLevel="0" collapsed="false">
      <c r="A186" s="12" t="n">
        <v>1</v>
      </c>
      <c r="B186" s="12" t="s">
        <v>70</v>
      </c>
      <c r="C186" s="13" t="s">
        <v>54</v>
      </c>
      <c r="D186" s="12" t="s">
        <v>68</v>
      </c>
      <c r="E186" s="14" t="str">
        <f aca="false">'NFL Schedule'!J183</f>
        <v/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</row>
    <row r="187" customFormat="false" ht="15" hidden="false" customHeight="true" outlineLevel="0" collapsed="false">
      <c r="A187" s="12" t="n">
        <v>2</v>
      </c>
      <c r="B187" s="12" t="s">
        <v>79</v>
      </c>
      <c r="C187" s="13" t="s">
        <v>54</v>
      </c>
      <c r="D187" s="12" t="s">
        <v>67</v>
      </c>
      <c r="E187" s="14" t="str">
        <f aca="false">'NFL Schedule'!J184</f>
        <v/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</row>
    <row r="188" customFormat="false" ht="15" hidden="false" customHeight="true" outlineLevel="0" collapsed="false">
      <c r="A188" s="12" t="n">
        <v>3</v>
      </c>
      <c r="B188" s="12" t="s">
        <v>65</v>
      </c>
      <c r="C188" s="13" t="s">
        <v>54</v>
      </c>
      <c r="D188" s="12" t="s">
        <v>61</v>
      </c>
      <c r="E188" s="14" t="str">
        <f aca="false">'NFL Schedule'!J185</f>
        <v/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</row>
    <row r="189" customFormat="false" ht="15" hidden="false" customHeight="true" outlineLevel="0" collapsed="false">
      <c r="A189" s="12" t="n">
        <v>4</v>
      </c>
      <c r="B189" s="12" t="s">
        <v>76</v>
      </c>
      <c r="C189" s="13" t="s">
        <v>54</v>
      </c>
      <c r="D189" s="12" t="s">
        <v>85</v>
      </c>
      <c r="E189" s="14" t="str">
        <f aca="false">'NFL Schedule'!J186</f>
        <v/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</row>
    <row r="190" customFormat="false" ht="15" hidden="false" customHeight="true" outlineLevel="0" collapsed="false">
      <c r="A190" s="12" t="n">
        <v>5</v>
      </c>
      <c r="B190" s="12" t="s">
        <v>63</v>
      </c>
      <c r="C190" s="13" t="s">
        <v>54</v>
      </c>
      <c r="D190" s="12" t="s">
        <v>66</v>
      </c>
      <c r="E190" s="14" t="str">
        <f aca="false">'NFL Schedule'!J187</f>
        <v/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</row>
    <row r="191" customFormat="false" ht="15" hidden="false" customHeight="true" outlineLevel="0" collapsed="false">
      <c r="A191" s="12" t="n">
        <v>6</v>
      </c>
      <c r="B191" s="12" t="s">
        <v>77</v>
      </c>
      <c r="C191" s="13" t="s">
        <v>54</v>
      </c>
      <c r="D191" s="12" t="s">
        <v>88</v>
      </c>
      <c r="E191" s="14" t="str">
        <f aca="false">'NFL Schedule'!J188</f>
        <v/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</row>
    <row r="192" customFormat="false" ht="15" hidden="false" customHeight="true" outlineLevel="0" collapsed="false">
      <c r="A192" s="12" t="n">
        <v>7</v>
      </c>
      <c r="B192" s="12" t="s">
        <v>72</v>
      </c>
      <c r="C192" s="13" t="s">
        <v>54</v>
      </c>
      <c r="D192" s="12" t="s">
        <v>86</v>
      </c>
      <c r="E192" s="14" t="str">
        <f aca="false">'NFL Schedule'!J189</f>
        <v/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</row>
    <row r="193" customFormat="false" ht="15" hidden="false" customHeight="true" outlineLevel="0" collapsed="false">
      <c r="A193" s="12" t="n">
        <v>8</v>
      </c>
      <c r="B193" s="12" t="s">
        <v>69</v>
      </c>
      <c r="C193" s="13" t="s">
        <v>54</v>
      </c>
      <c r="D193" s="12" t="s">
        <v>62</v>
      </c>
      <c r="E193" s="14" t="str">
        <f aca="false">'NFL Schedule'!J190</f>
        <v/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</row>
    <row r="194" customFormat="false" ht="15" hidden="false" customHeight="true" outlineLevel="0" collapsed="false">
      <c r="A194" s="12" t="n">
        <v>9</v>
      </c>
      <c r="B194" s="12" t="s">
        <v>75</v>
      </c>
      <c r="C194" s="13" t="s">
        <v>54</v>
      </c>
      <c r="D194" s="12" t="s">
        <v>78</v>
      </c>
      <c r="E194" s="14" t="str">
        <f aca="false">'NFL Schedule'!J191</f>
        <v/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12" t="n">
        <v>10</v>
      </c>
      <c r="B195" s="12" t="s">
        <v>80</v>
      </c>
      <c r="C195" s="13" t="s">
        <v>54</v>
      </c>
      <c r="D195" s="12" t="s">
        <v>87</v>
      </c>
      <c r="E195" s="14" t="str">
        <f aca="false">'NFL Schedule'!J192</f>
        <v/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</row>
    <row r="196" customFormat="false" ht="15" hidden="false" customHeight="true" outlineLevel="0" collapsed="false">
      <c r="A196" s="12" t="n">
        <v>11</v>
      </c>
      <c r="B196" s="12" t="s">
        <v>74</v>
      </c>
      <c r="C196" s="13" t="s">
        <v>54</v>
      </c>
      <c r="D196" s="12" t="s">
        <v>84</v>
      </c>
      <c r="E196" s="14" t="str">
        <f aca="false">'NFL Schedule'!J193</f>
        <v/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</row>
    <row r="197" customFormat="false" ht="15" hidden="false" customHeight="true" outlineLevel="0" collapsed="false">
      <c r="A197" s="12" t="n">
        <v>12</v>
      </c>
      <c r="B197" s="12" t="s">
        <v>82</v>
      </c>
      <c r="C197" s="13" t="s">
        <v>54</v>
      </c>
      <c r="D197" s="12" t="s">
        <v>59</v>
      </c>
      <c r="E197" s="14" t="str">
        <f aca="false">'NFL Schedule'!J194</f>
        <v/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</row>
    <row r="198" customFormat="false" ht="15" hidden="false" customHeight="true" outlineLevel="0" collapsed="false">
      <c r="A198" s="12" t="n">
        <v>13</v>
      </c>
      <c r="B198" s="12" t="s">
        <v>64</v>
      </c>
      <c r="C198" s="13" t="s">
        <v>54</v>
      </c>
      <c r="D198" s="12" t="s">
        <v>83</v>
      </c>
      <c r="E198" s="14" t="str">
        <f aca="false">'NFL Schedule'!J195</f>
        <v/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</row>
    <row r="199" customFormat="false" ht="15" hidden="false" customHeight="false" outlineLevel="0" collapsed="false">
      <c r="A199" s="16" t="s">
        <v>63</v>
      </c>
      <c r="B199" s="17" t="s">
        <v>89</v>
      </c>
      <c r="E199" s="18" t="str">
        <f aca="false">'NFL Schedule'!E196</f>
        <v/>
      </c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</row>
    <row r="200" customFormat="false" ht="15" hidden="false" customHeight="true" outlineLevel="0" collapsed="false">
      <c r="A200" s="10" t="s">
        <v>100</v>
      </c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</row>
    <row r="201" customFormat="false" ht="15" hidden="false" customHeight="true" outlineLevel="0" collapsed="false">
      <c r="A201" s="11" t="s">
        <v>27</v>
      </c>
      <c r="B201" s="11" t="s">
        <v>53</v>
      </c>
      <c r="C201" s="11" t="s">
        <v>54</v>
      </c>
      <c r="D201" s="11" t="s">
        <v>55</v>
      </c>
      <c r="E201" s="11" t="s">
        <v>56</v>
      </c>
      <c r="F201" s="11" t="s">
        <v>5</v>
      </c>
      <c r="G201" s="11" t="s">
        <v>8</v>
      </c>
      <c r="H201" s="11" t="s">
        <v>9</v>
      </c>
      <c r="I201" s="11" t="s">
        <v>10</v>
      </c>
      <c r="J201" s="11" t="s">
        <v>11</v>
      </c>
      <c r="K201" s="11" t="s">
        <v>14</v>
      </c>
      <c r="L201" s="11" t="s">
        <v>15</v>
      </c>
      <c r="M201" s="11" t="s">
        <v>16</v>
      </c>
      <c r="N201" s="11" t="s">
        <v>17</v>
      </c>
      <c r="O201" s="11" t="s">
        <v>20</v>
      </c>
      <c r="P201" s="11" t="s">
        <v>21</v>
      </c>
      <c r="Q201" s="11" t="s">
        <v>22</v>
      </c>
    </row>
    <row r="202" customFormat="false" ht="15" hidden="false" customHeight="true" outlineLevel="0" collapsed="false">
      <c r="A202" s="12" t="n">
        <v>1</v>
      </c>
      <c r="B202" s="12" t="s">
        <v>81</v>
      </c>
      <c r="C202" s="13" t="s">
        <v>54</v>
      </c>
      <c r="D202" s="12" t="s">
        <v>60</v>
      </c>
      <c r="E202" s="14" t="str">
        <f aca="false">'NFL Schedule'!J199</f>
        <v/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</row>
    <row r="203" customFormat="false" ht="15" hidden="false" customHeight="true" outlineLevel="0" collapsed="false">
      <c r="A203" s="12" t="n">
        <v>2</v>
      </c>
      <c r="B203" s="12" t="s">
        <v>61</v>
      </c>
      <c r="C203" s="13" t="s">
        <v>54</v>
      </c>
      <c r="D203" s="12" t="s">
        <v>66</v>
      </c>
      <c r="E203" s="14" t="str">
        <f aca="false">'NFL Schedule'!J200</f>
        <v/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12" t="n">
        <v>3</v>
      </c>
      <c r="B204" s="12" t="s">
        <v>84</v>
      </c>
      <c r="C204" s="13" t="s">
        <v>54</v>
      </c>
      <c r="D204" s="12" t="s">
        <v>85</v>
      </c>
      <c r="E204" s="14" t="str">
        <f aca="false">'NFL Schedule'!J201</f>
        <v/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</row>
    <row r="205" customFormat="false" ht="15" hidden="false" customHeight="true" outlineLevel="0" collapsed="false">
      <c r="A205" s="12" t="n">
        <v>4</v>
      </c>
      <c r="B205" s="12" t="s">
        <v>88</v>
      </c>
      <c r="C205" s="13" t="s">
        <v>54</v>
      </c>
      <c r="D205" s="12" t="s">
        <v>67</v>
      </c>
      <c r="E205" s="14" t="str">
        <f aca="false">'NFL Schedule'!J202</f>
        <v/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</row>
    <row r="206" customFormat="false" ht="15" hidden="false" customHeight="true" outlineLevel="0" collapsed="false">
      <c r="A206" s="12" t="n">
        <v>5</v>
      </c>
      <c r="B206" s="12" t="s">
        <v>87</v>
      </c>
      <c r="C206" s="13" t="s">
        <v>54</v>
      </c>
      <c r="D206" s="12" t="s">
        <v>74</v>
      </c>
      <c r="E206" s="14" t="str">
        <f aca="false">'NFL Schedule'!J203</f>
        <v/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</row>
    <row r="207" customFormat="false" ht="15" hidden="false" customHeight="true" outlineLevel="0" collapsed="false">
      <c r="A207" s="12" t="n">
        <v>6</v>
      </c>
      <c r="B207" s="12" t="s">
        <v>65</v>
      </c>
      <c r="C207" s="13" t="s">
        <v>54</v>
      </c>
      <c r="D207" s="12" t="s">
        <v>64</v>
      </c>
      <c r="E207" s="14" t="str">
        <f aca="false">'NFL Schedule'!J204</f>
        <v/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</row>
    <row r="208" customFormat="false" ht="15" hidden="false" customHeight="true" outlineLevel="0" collapsed="false">
      <c r="A208" s="12" t="n">
        <v>7</v>
      </c>
      <c r="B208" s="12" t="s">
        <v>80</v>
      </c>
      <c r="C208" s="13" t="s">
        <v>54</v>
      </c>
      <c r="D208" s="12" t="s">
        <v>71</v>
      </c>
      <c r="E208" s="14" t="str">
        <f aca="false">'NFL Schedule'!J205</f>
        <v/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</row>
    <row r="209" customFormat="false" ht="15" hidden="false" customHeight="true" outlineLevel="0" collapsed="false">
      <c r="A209" s="12" t="n">
        <v>8</v>
      </c>
      <c r="B209" s="12" t="s">
        <v>86</v>
      </c>
      <c r="C209" s="13" t="s">
        <v>54</v>
      </c>
      <c r="D209" s="12" t="s">
        <v>70</v>
      </c>
      <c r="E209" s="14" t="str">
        <f aca="false">'NFL Schedule'!J206</f>
        <v/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</row>
    <row r="210" customFormat="false" ht="15" hidden="false" customHeight="true" outlineLevel="0" collapsed="false">
      <c r="A210" s="12" t="n">
        <v>9</v>
      </c>
      <c r="B210" s="12" t="s">
        <v>75</v>
      </c>
      <c r="C210" s="13" t="s">
        <v>54</v>
      </c>
      <c r="D210" s="12" t="s">
        <v>79</v>
      </c>
      <c r="E210" s="14" t="str">
        <f aca="false">'NFL Schedule'!J207</f>
        <v/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</row>
    <row r="211" customFormat="false" ht="15" hidden="false" customHeight="true" outlineLevel="0" collapsed="false">
      <c r="A211" s="12" t="n">
        <v>10</v>
      </c>
      <c r="B211" s="12" t="s">
        <v>73</v>
      </c>
      <c r="C211" s="13" t="s">
        <v>54</v>
      </c>
      <c r="D211" s="12" t="s">
        <v>82</v>
      </c>
      <c r="E211" s="14" t="str">
        <f aca="false">'NFL Schedule'!J208</f>
        <v/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</row>
    <row r="212" customFormat="false" ht="15" hidden="false" customHeight="true" outlineLevel="0" collapsed="false">
      <c r="A212" s="12" t="n">
        <v>11</v>
      </c>
      <c r="B212" s="12" t="s">
        <v>69</v>
      </c>
      <c r="C212" s="13" t="s">
        <v>54</v>
      </c>
      <c r="D212" s="12" t="s">
        <v>68</v>
      </c>
      <c r="E212" s="14" t="str">
        <f aca="false">'NFL Schedule'!J209</f>
        <v/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12" t="n">
        <v>12</v>
      </c>
      <c r="B213" s="12" t="s">
        <v>76</v>
      </c>
      <c r="C213" s="13" t="s">
        <v>54</v>
      </c>
      <c r="D213" s="12" t="s">
        <v>72</v>
      </c>
      <c r="E213" s="14" t="str">
        <f aca="false">'NFL Schedule'!J210</f>
        <v/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</row>
    <row r="214" customFormat="false" ht="15" hidden="false" customHeight="true" outlineLevel="0" collapsed="false">
      <c r="A214" s="12" t="n">
        <v>13</v>
      </c>
      <c r="B214" s="12" t="s">
        <v>83</v>
      </c>
      <c r="C214" s="13" t="s">
        <v>54</v>
      </c>
      <c r="D214" s="12" t="s">
        <v>77</v>
      </c>
      <c r="E214" s="14" t="str">
        <f aca="false">'NFL Schedule'!J211</f>
        <v/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</row>
    <row r="215" customFormat="false" ht="15" hidden="false" customHeight="true" outlineLevel="0" collapsed="false">
      <c r="A215" s="12" t="n">
        <v>14</v>
      </c>
      <c r="B215" s="12" t="s">
        <v>58</v>
      </c>
      <c r="C215" s="13" t="s">
        <v>54</v>
      </c>
      <c r="D215" s="12" t="s">
        <v>59</v>
      </c>
      <c r="E215" s="14" t="str">
        <f aca="false">'NFL Schedule'!J212</f>
        <v/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</row>
    <row r="216" customFormat="false" ht="15" hidden="false" customHeight="true" outlineLevel="0" collapsed="false">
      <c r="A216" s="12" t="n">
        <v>15</v>
      </c>
      <c r="B216" s="12" t="s">
        <v>57</v>
      </c>
      <c r="C216" s="13" t="s">
        <v>54</v>
      </c>
      <c r="D216" s="12" t="s">
        <v>78</v>
      </c>
      <c r="E216" s="14" t="str">
        <f aca="false">'NFL Schedule'!J213</f>
        <v/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</row>
    <row r="217" customFormat="false" ht="15" hidden="false" customHeight="true" outlineLevel="0" collapsed="false">
      <c r="A217" s="12" t="n">
        <v>16</v>
      </c>
      <c r="B217" s="12" t="s">
        <v>62</v>
      </c>
      <c r="C217" s="13" t="s">
        <v>54</v>
      </c>
      <c r="D217" s="12" t="s">
        <v>63</v>
      </c>
      <c r="E217" s="14" t="str">
        <f aca="false">'NFL Schedule'!J214</f>
        <v/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</row>
    <row r="218" customFormat="false" ht="15" hidden="false" customHeight="false" outlineLevel="0" collapsed="false">
      <c r="A218" s="16" t="s">
        <v>63</v>
      </c>
      <c r="B218" s="17" t="s">
        <v>89</v>
      </c>
      <c r="E218" s="18" t="str">
        <f aca="false">'NFL Schedule'!E215</f>
        <v/>
      </c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</row>
    <row r="219" customFormat="false" ht="15" hidden="false" customHeight="true" outlineLevel="0" collapsed="false">
      <c r="A219" s="10" t="s">
        <v>101</v>
      </c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</row>
    <row r="220" customFormat="false" ht="15" hidden="false" customHeight="true" outlineLevel="0" collapsed="false">
      <c r="A220" s="11" t="s">
        <v>27</v>
      </c>
      <c r="B220" s="11" t="s">
        <v>53</v>
      </c>
      <c r="C220" s="11" t="s">
        <v>54</v>
      </c>
      <c r="D220" s="11" t="s">
        <v>55</v>
      </c>
      <c r="E220" s="11" t="s">
        <v>56</v>
      </c>
      <c r="F220" s="11" t="s">
        <v>5</v>
      </c>
      <c r="G220" s="11" t="s">
        <v>8</v>
      </c>
      <c r="H220" s="11" t="s">
        <v>9</v>
      </c>
      <c r="I220" s="11" t="s">
        <v>10</v>
      </c>
      <c r="J220" s="11" t="s">
        <v>11</v>
      </c>
      <c r="K220" s="11" t="s">
        <v>14</v>
      </c>
      <c r="L220" s="11" t="s">
        <v>15</v>
      </c>
      <c r="M220" s="11" t="s">
        <v>16</v>
      </c>
      <c r="N220" s="11" t="s">
        <v>17</v>
      </c>
      <c r="O220" s="11" t="s">
        <v>20</v>
      </c>
      <c r="P220" s="11" t="s">
        <v>21</v>
      </c>
      <c r="Q220" s="11" t="s">
        <v>22</v>
      </c>
    </row>
    <row r="221" customFormat="false" ht="15" hidden="false" customHeight="true" outlineLevel="0" collapsed="false">
      <c r="A221" s="12" t="n">
        <v>1</v>
      </c>
      <c r="B221" s="12" t="s">
        <v>88</v>
      </c>
      <c r="C221" s="13" t="s">
        <v>54</v>
      </c>
      <c r="D221" s="12" t="s">
        <v>78</v>
      </c>
      <c r="E221" s="14" t="str">
        <f aca="false">'NFL Schedule'!J218</f>
        <v/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</row>
    <row r="222" customFormat="false" ht="15" hidden="false" customHeight="true" outlineLevel="0" collapsed="false">
      <c r="A222" s="12" t="n">
        <v>2</v>
      </c>
      <c r="B222" s="12" t="s">
        <v>66</v>
      </c>
      <c r="C222" s="13" t="s">
        <v>54</v>
      </c>
      <c r="D222" s="12" t="s">
        <v>73</v>
      </c>
      <c r="E222" s="14" t="str">
        <f aca="false">'NFL Schedule'!J219</f>
        <v/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</row>
    <row r="223" customFormat="false" ht="15" hidden="false" customHeight="true" outlineLevel="0" collapsed="false">
      <c r="A223" s="12" t="n">
        <v>3</v>
      </c>
      <c r="B223" s="12" t="s">
        <v>72</v>
      </c>
      <c r="C223" s="13" t="s">
        <v>54</v>
      </c>
      <c r="D223" s="12" t="s">
        <v>61</v>
      </c>
      <c r="E223" s="14" t="str">
        <f aca="false">'NFL Schedule'!J220</f>
        <v/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</row>
    <row r="224" customFormat="false" ht="15" hidden="false" customHeight="true" outlineLevel="0" collapsed="false">
      <c r="A224" s="12" t="n">
        <v>4</v>
      </c>
      <c r="B224" s="12" t="s">
        <v>64</v>
      </c>
      <c r="C224" s="13" t="s">
        <v>54</v>
      </c>
      <c r="D224" s="12" t="s">
        <v>71</v>
      </c>
      <c r="E224" s="14" t="str">
        <f aca="false">'NFL Schedule'!J221</f>
        <v/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</row>
    <row r="225" customFormat="false" ht="15" hidden="false" customHeight="true" outlineLevel="0" collapsed="false">
      <c r="A225" s="12" t="n">
        <v>5</v>
      </c>
      <c r="B225" s="12" t="s">
        <v>83</v>
      </c>
      <c r="C225" s="13" t="s">
        <v>54</v>
      </c>
      <c r="D225" s="12" t="s">
        <v>76</v>
      </c>
      <c r="E225" s="14" t="str">
        <f aca="false">'NFL Schedule'!J222</f>
        <v/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</row>
    <row r="226" customFormat="false" ht="15" hidden="false" customHeight="true" outlineLevel="0" collapsed="false">
      <c r="A226" s="12" t="n">
        <v>6</v>
      </c>
      <c r="B226" s="12" t="s">
        <v>81</v>
      </c>
      <c r="C226" s="13" t="s">
        <v>54</v>
      </c>
      <c r="D226" s="12" t="s">
        <v>65</v>
      </c>
      <c r="E226" s="14" t="str">
        <f aca="false">'NFL Schedule'!J223</f>
        <v/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</row>
    <row r="227" customFormat="false" ht="15" hidden="false" customHeight="true" outlineLevel="0" collapsed="false">
      <c r="A227" s="12" t="n">
        <v>7</v>
      </c>
      <c r="B227" s="12" t="s">
        <v>59</v>
      </c>
      <c r="C227" s="13" t="s">
        <v>54</v>
      </c>
      <c r="D227" s="12" t="s">
        <v>86</v>
      </c>
      <c r="E227" s="14" t="str">
        <f aca="false">'NFL Schedule'!J224</f>
        <v/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</row>
    <row r="228" customFormat="false" ht="15" hidden="false" customHeight="true" outlineLevel="0" collapsed="false">
      <c r="A228" s="12" t="n">
        <v>8</v>
      </c>
      <c r="B228" s="12" t="s">
        <v>60</v>
      </c>
      <c r="C228" s="13" t="s">
        <v>54</v>
      </c>
      <c r="D228" s="12" t="s">
        <v>63</v>
      </c>
      <c r="E228" s="14" t="str">
        <f aca="false">'NFL Schedule'!J225</f>
        <v/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</row>
    <row r="229" customFormat="false" ht="15" hidden="false" customHeight="true" outlineLevel="0" collapsed="false">
      <c r="A229" s="12" t="n">
        <v>9</v>
      </c>
      <c r="B229" s="12" t="s">
        <v>79</v>
      </c>
      <c r="C229" s="13" t="s">
        <v>54</v>
      </c>
      <c r="D229" s="12" t="s">
        <v>87</v>
      </c>
      <c r="E229" s="14" t="str">
        <f aca="false">'NFL Schedule'!J226</f>
        <v/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</row>
    <row r="230" customFormat="false" ht="15" hidden="false" customHeight="true" outlineLevel="0" collapsed="false">
      <c r="A230" s="12" t="n">
        <v>10</v>
      </c>
      <c r="B230" s="12" t="s">
        <v>84</v>
      </c>
      <c r="C230" s="13" t="s">
        <v>54</v>
      </c>
      <c r="D230" s="12" t="s">
        <v>77</v>
      </c>
      <c r="E230" s="14" t="str">
        <f aca="false">'NFL Schedule'!J227</f>
        <v/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</row>
    <row r="231" customFormat="false" ht="15" hidden="false" customHeight="true" outlineLevel="0" collapsed="false">
      <c r="A231" s="12" t="n">
        <v>11</v>
      </c>
      <c r="B231" s="12" t="s">
        <v>62</v>
      </c>
      <c r="C231" s="13" t="s">
        <v>54</v>
      </c>
      <c r="D231" s="12" t="s">
        <v>82</v>
      </c>
      <c r="E231" s="14" t="str">
        <f aca="false">'NFL Schedule'!J228</f>
        <v/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12" t="n">
        <v>12</v>
      </c>
      <c r="B232" s="12" t="s">
        <v>67</v>
      </c>
      <c r="C232" s="13" t="s">
        <v>54</v>
      </c>
      <c r="D232" s="12" t="s">
        <v>57</v>
      </c>
      <c r="E232" s="14" t="str">
        <f aca="false">'NFL Schedule'!J229</f>
        <v/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</row>
    <row r="233" customFormat="false" ht="15" hidden="false" customHeight="true" outlineLevel="0" collapsed="false">
      <c r="A233" s="12" t="n">
        <v>13</v>
      </c>
      <c r="B233" s="12" t="s">
        <v>68</v>
      </c>
      <c r="C233" s="13" t="s">
        <v>54</v>
      </c>
      <c r="D233" s="12" t="s">
        <v>74</v>
      </c>
      <c r="E233" s="14" t="str">
        <f aca="false">'NFL Schedule'!J230</f>
        <v/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</row>
    <row r="234" customFormat="false" ht="15" hidden="false" customHeight="true" outlineLevel="0" collapsed="false">
      <c r="A234" s="12" t="n">
        <v>14</v>
      </c>
      <c r="B234" s="12" t="s">
        <v>85</v>
      </c>
      <c r="C234" s="13" t="s">
        <v>54</v>
      </c>
      <c r="D234" s="12" t="s">
        <v>58</v>
      </c>
      <c r="E234" s="14" t="str">
        <f aca="false">'NFL Schedule'!J231</f>
        <v/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</row>
    <row r="235" customFormat="false" ht="15" hidden="false" customHeight="false" outlineLevel="0" collapsed="false">
      <c r="A235" s="16" t="s">
        <v>63</v>
      </c>
      <c r="B235" s="17" t="s">
        <v>89</v>
      </c>
      <c r="E235" s="18" t="str">
        <f aca="false">'NFL Schedule'!E232</f>
        <v/>
      </c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</row>
    <row r="236" customFormat="false" ht="15" hidden="false" customHeight="true" outlineLevel="0" collapsed="false">
      <c r="A236" s="10" t="s">
        <v>102</v>
      </c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</row>
    <row r="237" customFormat="false" ht="15" hidden="false" customHeight="true" outlineLevel="0" collapsed="false">
      <c r="A237" s="11" t="s">
        <v>27</v>
      </c>
      <c r="B237" s="11" t="s">
        <v>53</v>
      </c>
      <c r="C237" s="11" t="s">
        <v>54</v>
      </c>
      <c r="D237" s="11" t="s">
        <v>55</v>
      </c>
      <c r="E237" s="11" t="s">
        <v>56</v>
      </c>
      <c r="F237" s="11" t="s">
        <v>5</v>
      </c>
      <c r="G237" s="11" t="s">
        <v>8</v>
      </c>
      <c r="H237" s="11" t="s">
        <v>9</v>
      </c>
      <c r="I237" s="11" t="s">
        <v>10</v>
      </c>
      <c r="J237" s="11" t="s">
        <v>11</v>
      </c>
      <c r="K237" s="11" t="s">
        <v>14</v>
      </c>
      <c r="L237" s="11" t="s">
        <v>15</v>
      </c>
      <c r="M237" s="11" t="s">
        <v>16</v>
      </c>
      <c r="N237" s="11" t="s">
        <v>17</v>
      </c>
      <c r="O237" s="11" t="s">
        <v>20</v>
      </c>
      <c r="P237" s="11" t="s">
        <v>21</v>
      </c>
      <c r="Q237" s="11" t="s">
        <v>22</v>
      </c>
    </row>
    <row r="238" customFormat="false" ht="15" hidden="false" customHeight="true" outlineLevel="0" collapsed="false">
      <c r="A238" s="12" t="n">
        <v>1</v>
      </c>
      <c r="B238" s="12" t="s">
        <v>82</v>
      </c>
      <c r="C238" s="13" t="s">
        <v>54</v>
      </c>
      <c r="D238" s="12" t="s">
        <v>57</v>
      </c>
      <c r="E238" s="14" t="str">
        <f aca="false">'NFL Schedule'!J235</f>
        <v/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</row>
    <row r="239" customFormat="false" ht="15" hidden="false" customHeight="true" outlineLevel="0" collapsed="false">
      <c r="A239" s="12" t="n">
        <v>2</v>
      </c>
      <c r="B239" s="12" t="s">
        <v>73</v>
      </c>
      <c r="C239" s="13" t="s">
        <v>54</v>
      </c>
      <c r="D239" s="12" t="s">
        <v>71</v>
      </c>
      <c r="E239" s="14" t="str">
        <f aca="false">'NFL Schedule'!J236</f>
        <v/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</row>
    <row r="240" customFormat="false" ht="15" hidden="false" customHeight="true" outlineLevel="0" collapsed="false">
      <c r="A240" s="12" t="n">
        <v>3</v>
      </c>
      <c r="B240" s="12" t="s">
        <v>76</v>
      </c>
      <c r="C240" s="13" t="s">
        <v>54</v>
      </c>
      <c r="D240" s="12" t="s">
        <v>66</v>
      </c>
      <c r="E240" s="14" t="str">
        <f aca="false">'NFL Schedule'!J237</f>
        <v/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</row>
    <row r="241" customFormat="false" ht="15" hidden="false" customHeight="true" outlineLevel="0" collapsed="false">
      <c r="A241" s="12" t="n">
        <v>4</v>
      </c>
      <c r="B241" s="12" t="s">
        <v>61</v>
      </c>
      <c r="C241" s="13" t="s">
        <v>54</v>
      </c>
      <c r="D241" s="12" t="s">
        <v>79</v>
      </c>
      <c r="E241" s="14" t="str">
        <f aca="false">'NFL Schedule'!J238</f>
        <v/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</row>
    <row r="242" customFormat="false" ht="15" hidden="false" customHeight="true" outlineLevel="0" collapsed="false">
      <c r="A242" s="12" t="n">
        <v>5</v>
      </c>
      <c r="B242" s="12" t="s">
        <v>87</v>
      </c>
      <c r="C242" s="13" t="s">
        <v>54</v>
      </c>
      <c r="D242" s="12" t="s">
        <v>75</v>
      </c>
      <c r="E242" s="14" t="str">
        <f aca="false">'NFL Schedule'!J239</f>
        <v/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</row>
    <row r="243" customFormat="false" ht="15" hidden="false" customHeight="true" outlineLevel="0" collapsed="false">
      <c r="A243" s="12" t="n">
        <v>6</v>
      </c>
      <c r="B243" s="12" t="s">
        <v>70</v>
      </c>
      <c r="C243" s="13" t="s">
        <v>54</v>
      </c>
      <c r="D243" s="12" t="s">
        <v>84</v>
      </c>
      <c r="E243" s="14" t="str">
        <f aca="false">'NFL Schedule'!J240</f>
        <v/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</row>
    <row r="244" customFormat="false" ht="15" hidden="false" customHeight="true" outlineLevel="0" collapsed="false">
      <c r="A244" s="12" t="n">
        <v>7</v>
      </c>
      <c r="B244" s="12" t="s">
        <v>68</v>
      </c>
      <c r="C244" s="13" t="s">
        <v>54</v>
      </c>
      <c r="D244" s="12" t="s">
        <v>83</v>
      </c>
      <c r="E244" s="14" t="str">
        <f aca="false">'NFL Schedule'!J241</f>
        <v/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</row>
    <row r="245" customFormat="false" ht="15" hidden="false" customHeight="true" outlineLevel="0" collapsed="false">
      <c r="A245" s="12" t="n">
        <v>8</v>
      </c>
      <c r="B245" s="12" t="s">
        <v>65</v>
      </c>
      <c r="C245" s="13" t="s">
        <v>54</v>
      </c>
      <c r="D245" s="12" t="s">
        <v>62</v>
      </c>
      <c r="E245" s="14" t="str">
        <f aca="false">'NFL Schedule'!J242</f>
        <v/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</row>
    <row r="246" customFormat="false" ht="15" hidden="false" customHeight="true" outlineLevel="0" collapsed="false">
      <c r="A246" s="12" t="n">
        <v>9</v>
      </c>
      <c r="B246" s="12" t="s">
        <v>63</v>
      </c>
      <c r="C246" s="13" t="s">
        <v>54</v>
      </c>
      <c r="D246" s="12" t="s">
        <v>69</v>
      </c>
      <c r="E246" s="14" t="str">
        <f aca="false">'NFL Schedule'!J243</f>
        <v/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</row>
    <row r="247" customFormat="false" ht="15" hidden="false" customHeight="true" outlineLevel="0" collapsed="false">
      <c r="A247" s="12" t="n">
        <v>10</v>
      </c>
      <c r="B247" s="12" t="s">
        <v>78</v>
      </c>
      <c r="C247" s="13" t="s">
        <v>54</v>
      </c>
      <c r="D247" s="12" t="s">
        <v>80</v>
      </c>
      <c r="E247" s="14" t="str">
        <f aca="false">'NFL Schedule'!J244</f>
        <v/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</row>
    <row r="248" customFormat="false" ht="15" hidden="false" customHeight="true" outlineLevel="0" collapsed="false">
      <c r="A248" s="12" t="n">
        <v>11</v>
      </c>
      <c r="B248" s="12" t="s">
        <v>88</v>
      </c>
      <c r="C248" s="13" t="s">
        <v>54</v>
      </c>
      <c r="D248" s="12" t="s">
        <v>64</v>
      </c>
      <c r="E248" s="14" t="str">
        <f aca="false">'NFL Schedule'!J245</f>
        <v/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</row>
    <row r="249" customFormat="false" ht="15" hidden="false" customHeight="true" outlineLevel="0" collapsed="false">
      <c r="A249" s="12" t="n">
        <v>12</v>
      </c>
      <c r="B249" s="12" t="s">
        <v>60</v>
      </c>
      <c r="C249" s="13" t="s">
        <v>54</v>
      </c>
      <c r="D249" s="12" t="s">
        <v>59</v>
      </c>
      <c r="E249" s="14" t="str">
        <f aca="false">'NFL Schedule'!J246</f>
        <v/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</row>
    <row r="250" customFormat="false" ht="15" hidden="false" customHeight="true" outlineLevel="0" collapsed="false">
      <c r="A250" s="12" t="n">
        <v>13</v>
      </c>
      <c r="B250" s="12" t="s">
        <v>86</v>
      </c>
      <c r="C250" s="13" t="s">
        <v>54</v>
      </c>
      <c r="D250" s="12" t="s">
        <v>58</v>
      </c>
      <c r="E250" s="14" t="str">
        <f aca="false">'NFL Schedule'!J247</f>
        <v/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</row>
    <row r="251" customFormat="false" ht="15" hidden="false" customHeight="true" outlineLevel="0" collapsed="false">
      <c r="A251" s="12" t="n">
        <v>14</v>
      </c>
      <c r="B251" s="12" t="s">
        <v>67</v>
      </c>
      <c r="C251" s="13" t="s">
        <v>54</v>
      </c>
      <c r="D251" s="12" t="s">
        <v>81</v>
      </c>
      <c r="E251" s="14" t="str">
        <f aca="false">'NFL Schedule'!J248</f>
        <v/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</row>
    <row r="252" customFormat="false" ht="15" hidden="false" customHeight="true" outlineLevel="0" collapsed="false">
      <c r="A252" s="12" t="n">
        <v>15</v>
      </c>
      <c r="B252" s="12" t="s">
        <v>74</v>
      </c>
      <c r="C252" s="13" t="s">
        <v>54</v>
      </c>
      <c r="D252" s="12" t="s">
        <v>72</v>
      </c>
      <c r="E252" s="14" t="str">
        <f aca="false">'NFL Schedule'!J249</f>
        <v/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</row>
    <row r="253" customFormat="false" ht="15" hidden="false" customHeight="false" outlineLevel="0" collapsed="false">
      <c r="A253" s="16" t="s">
        <v>63</v>
      </c>
      <c r="B253" s="17" t="s">
        <v>89</v>
      </c>
      <c r="E253" s="18" t="str">
        <f aca="false">'NFL Schedule'!E250</f>
        <v/>
      </c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</row>
    <row r="254" customFormat="false" ht="15" hidden="false" customHeight="true" outlineLevel="0" collapsed="false">
      <c r="A254" s="10" t="s">
        <v>103</v>
      </c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</row>
    <row r="255" customFormat="false" ht="15" hidden="false" customHeight="true" outlineLevel="0" collapsed="false">
      <c r="A255" s="11" t="s">
        <v>27</v>
      </c>
      <c r="B255" s="11" t="s">
        <v>53</v>
      </c>
      <c r="C255" s="11" t="s">
        <v>54</v>
      </c>
      <c r="D255" s="11" t="s">
        <v>55</v>
      </c>
      <c r="E255" s="11" t="s">
        <v>56</v>
      </c>
      <c r="F255" s="11" t="s">
        <v>5</v>
      </c>
      <c r="G255" s="11" t="s">
        <v>8</v>
      </c>
      <c r="H255" s="11" t="s">
        <v>9</v>
      </c>
      <c r="I255" s="11" t="s">
        <v>10</v>
      </c>
      <c r="J255" s="11" t="s">
        <v>11</v>
      </c>
      <c r="K255" s="11" t="s">
        <v>14</v>
      </c>
      <c r="L255" s="11" t="s">
        <v>15</v>
      </c>
      <c r="M255" s="11" t="s">
        <v>16</v>
      </c>
      <c r="N255" s="11" t="s">
        <v>17</v>
      </c>
      <c r="O255" s="11" t="s">
        <v>20</v>
      </c>
      <c r="P255" s="11" t="s">
        <v>21</v>
      </c>
      <c r="Q255" s="11" t="s">
        <v>22</v>
      </c>
    </row>
    <row r="256" customFormat="false" ht="15" hidden="false" customHeight="true" outlineLevel="0" collapsed="false">
      <c r="A256" s="12" t="n">
        <v>1</v>
      </c>
      <c r="B256" s="12" t="s">
        <v>59</v>
      </c>
      <c r="C256" s="13" t="s">
        <v>54</v>
      </c>
      <c r="D256" s="12" t="s">
        <v>78</v>
      </c>
      <c r="E256" s="14" t="str">
        <f aca="false">'NFL Schedule'!J253</f>
        <v/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</row>
    <row r="257" customFormat="false" ht="15" hidden="false" customHeight="true" outlineLevel="0" collapsed="false">
      <c r="A257" s="12" t="n">
        <v>2</v>
      </c>
      <c r="B257" s="12" t="s">
        <v>58</v>
      </c>
      <c r="C257" s="13" t="s">
        <v>54</v>
      </c>
      <c r="D257" s="12" t="s">
        <v>84</v>
      </c>
      <c r="E257" s="14" t="str">
        <f aca="false">'NFL Schedule'!J254</f>
        <v/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</row>
    <row r="258" customFormat="false" ht="15" hidden="false" customHeight="true" outlineLevel="0" collapsed="false">
      <c r="A258" s="12" t="n">
        <v>3</v>
      </c>
      <c r="B258" s="12" t="s">
        <v>61</v>
      </c>
      <c r="C258" s="13" t="s">
        <v>54</v>
      </c>
      <c r="D258" s="12" t="s">
        <v>67</v>
      </c>
      <c r="E258" s="14" t="str">
        <f aca="false">'NFL Schedule'!J255</f>
        <v/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</row>
    <row r="259" customFormat="false" ht="15" hidden="false" customHeight="true" outlineLevel="0" collapsed="false">
      <c r="A259" s="12" t="n">
        <v>4</v>
      </c>
      <c r="B259" s="12" t="s">
        <v>79</v>
      </c>
      <c r="C259" s="13" t="s">
        <v>54</v>
      </c>
      <c r="D259" s="12" t="s">
        <v>81</v>
      </c>
      <c r="E259" s="14" t="str">
        <f aca="false">'NFL Schedule'!J256</f>
        <v/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</row>
    <row r="260" customFormat="false" ht="15" hidden="false" customHeight="true" outlineLevel="0" collapsed="false">
      <c r="A260" s="12" t="n">
        <v>5</v>
      </c>
      <c r="B260" s="12" t="s">
        <v>70</v>
      </c>
      <c r="C260" s="13" t="s">
        <v>54</v>
      </c>
      <c r="D260" s="12" t="s">
        <v>76</v>
      </c>
      <c r="E260" s="14" t="str">
        <f aca="false">'NFL Schedule'!J257</f>
        <v/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</row>
    <row r="261" customFormat="false" ht="15" hidden="false" customHeight="true" outlineLevel="0" collapsed="false">
      <c r="A261" s="12" t="n">
        <v>6</v>
      </c>
      <c r="B261" s="12" t="s">
        <v>71</v>
      </c>
      <c r="C261" s="13" t="s">
        <v>54</v>
      </c>
      <c r="D261" s="12" t="s">
        <v>86</v>
      </c>
      <c r="E261" s="14" t="str">
        <f aca="false">'NFL Schedule'!J258</f>
        <v/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</row>
    <row r="262" customFormat="false" ht="15" hidden="false" customHeight="true" outlineLevel="0" collapsed="false">
      <c r="A262" s="12" t="n">
        <v>7</v>
      </c>
      <c r="B262" s="12" t="s">
        <v>69</v>
      </c>
      <c r="C262" s="13" t="s">
        <v>54</v>
      </c>
      <c r="D262" s="12" t="s">
        <v>74</v>
      </c>
      <c r="E262" s="14" t="str">
        <f aca="false">'NFL Schedule'!J259</f>
        <v/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</row>
    <row r="263" customFormat="false" ht="15" hidden="false" customHeight="true" outlineLevel="0" collapsed="false">
      <c r="A263" s="12" t="n">
        <v>8</v>
      </c>
      <c r="B263" s="12" t="s">
        <v>65</v>
      </c>
      <c r="C263" s="13" t="s">
        <v>54</v>
      </c>
      <c r="D263" s="12" t="s">
        <v>63</v>
      </c>
      <c r="E263" s="14" t="str">
        <f aca="false">'NFL Schedule'!J260</f>
        <v/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</row>
    <row r="264" customFormat="false" ht="15" hidden="false" customHeight="true" outlineLevel="0" collapsed="false">
      <c r="A264" s="12" t="n">
        <v>9</v>
      </c>
      <c r="B264" s="12" t="s">
        <v>73</v>
      </c>
      <c r="C264" s="13" t="s">
        <v>54</v>
      </c>
      <c r="D264" s="12" t="s">
        <v>83</v>
      </c>
      <c r="E264" s="14" t="str">
        <f aca="false">'NFL Schedule'!J261</f>
        <v/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</row>
    <row r="265" customFormat="false" ht="15" hidden="false" customHeight="true" outlineLevel="0" collapsed="false">
      <c r="A265" s="12" t="n">
        <v>10</v>
      </c>
      <c r="B265" s="12" t="s">
        <v>64</v>
      </c>
      <c r="C265" s="13" t="s">
        <v>54</v>
      </c>
      <c r="D265" s="12" t="s">
        <v>62</v>
      </c>
      <c r="E265" s="14" t="str">
        <f aca="false">'NFL Schedule'!J262</f>
        <v/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</row>
    <row r="266" customFormat="false" ht="15" hidden="false" customHeight="true" outlineLevel="0" collapsed="false">
      <c r="A266" s="12" t="n">
        <v>11</v>
      </c>
      <c r="B266" s="12" t="s">
        <v>72</v>
      </c>
      <c r="C266" s="13" t="s">
        <v>54</v>
      </c>
      <c r="D266" s="12" t="s">
        <v>68</v>
      </c>
      <c r="E266" s="14" t="str">
        <f aca="false">'NFL Schedule'!J263</f>
        <v/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</row>
    <row r="267" customFormat="false" ht="15" hidden="false" customHeight="true" outlineLevel="0" collapsed="false">
      <c r="A267" s="12" t="n">
        <v>12</v>
      </c>
      <c r="B267" s="12" t="s">
        <v>75</v>
      </c>
      <c r="C267" s="13" t="s">
        <v>54</v>
      </c>
      <c r="D267" s="12" t="s">
        <v>77</v>
      </c>
      <c r="E267" s="14" t="str">
        <f aca="false">'NFL Schedule'!J264</f>
        <v/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</row>
    <row r="268" customFormat="false" ht="15" hidden="false" customHeight="true" outlineLevel="0" collapsed="false">
      <c r="A268" s="12" t="n">
        <v>13</v>
      </c>
      <c r="B268" s="12" t="s">
        <v>87</v>
      </c>
      <c r="C268" s="13" t="s">
        <v>54</v>
      </c>
      <c r="D268" s="12" t="s">
        <v>80</v>
      </c>
      <c r="E268" s="14" t="str">
        <f aca="false">'NFL Schedule'!J265</f>
        <v/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</row>
    <row r="269" customFormat="false" ht="15" hidden="false" customHeight="true" outlineLevel="0" collapsed="false">
      <c r="A269" s="12" t="n">
        <v>14</v>
      </c>
      <c r="B269" s="12" t="s">
        <v>85</v>
      </c>
      <c r="C269" s="13" t="s">
        <v>54</v>
      </c>
      <c r="D269" s="12" t="s">
        <v>60</v>
      </c>
      <c r="E269" s="14" t="str">
        <f aca="false">'NFL Schedule'!J266</f>
        <v/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</row>
    <row r="270" customFormat="false" ht="15" hidden="false" customHeight="true" outlineLevel="0" collapsed="false">
      <c r="A270" s="12" t="n">
        <v>15</v>
      </c>
      <c r="B270" s="12" t="s">
        <v>66</v>
      </c>
      <c r="C270" s="13" t="s">
        <v>54</v>
      </c>
      <c r="D270" s="12" t="s">
        <v>82</v>
      </c>
      <c r="E270" s="14" t="str">
        <f aca="false">'NFL Schedule'!J267</f>
        <v/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</row>
    <row r="271" customFormat="false" ht="15" hidden="false" customHeight="true" outlineLevel="0" collapsed="false">
      <c r="A271" s="12" t="n">
        <v>16</v>
      </c>
      <c r="B271" s="12" t="s">
        <v>57</v>
      </c>
      <c r="C271" s="13" t="s">
        <v>54</v>
      </c>
      <c r="D271" s="12" t="s">
        <v>88</v>
      </c>
      <c r="E271" s="14" t="str">
        <f aca="false">'NFL Schedule'!J268</f>
        <v/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</row>
    <row r="272" customFormat="false" ht="15" hidden="false" customHeight="false" outlineLevel="0" collapsed="false">
      <c r="A272" s="16" t="s">
        <v>63</v>
      </c>
      <c r="B272" s="17" t="s">
        <v>89</v>
      </c>
      <c r="E272" s="18" t="str">
        <f aca="false">'NFL Schedule'!E269</f>
        <v/>
      </c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</row>
    <row r="273" customFormat="false" ht="15" hidden="false" customHeight="true" outlineLevel="0" collapsed="false">
      <c r="A273" s="10" t="s">
        <v>104</v>
      </c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</row>
    <row r="274" customFormat="false" ht="15" hidden="false" customHeight="true" outlineLevel="0" collapsed="false">
      <c r="A274" s="11" t="s">
        <v>27</v>
      </c>
      <c r="B274" s="11" t="s">
        <v>53</v>
      </c>
      <c r="C274" s="11" t="s">
        <v>54</v>
      </c>
      <c r="D274" s="11" t="s">
        <v>55</v>
      </c>
      <c r="E274" s="11" t="s">
        <v>56</v>
      </c>
      <c r="F274" s="11" t="s">
        <v>5</v>
      </c>
      <c r="G274" s="11" t="s">
        <v>8</v>
      </c>
      <c r="H274" s="11" t="s">
        <v>9</v>
      </c>
      <c r="I274" s="11" t="s">
        <v>10</v>
      </c>
      <c r="J274" s="11" t="s">
        <v>11</v>
      </c>
      <c r="K274" s="11" t="s">
        <v>14</v>
      </c>
      <c r="L274" s="11" t="s">
        <v>15</v>
      </c>
      <c r="M274" s="11" t="s">
        <v>16</v>
      </c>
      <c r="N274" s="11" t="s">
        <v>17</v>
      </c>
      <c r="O274" s="11" t="s">
        <v>20</v>
      </c>
      <c r="P274" s="11" t="s">
        <v>21</v>
      </c>
      <c r="Q274" s="11" t="s">
        <v>22</v>
      </c>
    </row>
    <row r="275" customFormat="false" ht="15" hidden="false" customHeight="true" outlineLevel="0" collapsed="false">
      <c r="A275" s="12" t="n">
        <v>1</v>
      </c>
      <c r="B275" s="12" t="s">
        <v>68</v>
      </c>
      <c r="C275" s="13" t="s">
        <v>54</v>
      </c>
      <c r="D275" s="12" t="s">
        <v>84</v>
      </c>
      <c r="E275" s="14" t="str">
        <f aca="false">'NFL Schedule'!J272</f>
        <v/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</row>
    <row r="276" customFormat="false" ht="15" hidden="false" customHeight="true" outlineLevel="0" collapsed="false">
      <c r="A276" s="12" t="n">
        <v>2</v>
      </c>
      <c r="B276" s="12" t="s">
        <v>81</v>
      </c>
      <c r="C276" s="13" t="s">
        <v>54</v>
      </c>
      <c r="D276" s="12" t="s">
        <v>61</v>
      </c>
      <c r="E276" s="14" t="str">
        <f aca="false">'NFL Schedule'!J273</f>
        <v/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</row>
    <row r="277" customFormat="false" ht="15" hidden="false" customHeight="true" outlineLevel="0" collapsed="false">
      <c r="A277" s="12" t="n">
        <v>3</v>
      </c>
      <c r="B277" s="12" t="s">
        <v>67</v>
      </c>
      <c r="C277" s="13" t="s">
        <v>54</v>
      </c>
      <c r="D277" s="12" t="s">
        <v>87</v>
      </c>
      <c r="E277" s="14" t="str">
        <f aca="false">'NFL Schedule'!J274</f>
        <v/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</row>
    <row r="278" customFormat="false" ht="15" hidden="false" customHeight="true" outlineLevel="0" collapsed="false">
      <c r="A278" s="12" t="n">
        <v>4</v>
      </c>
      <c r="B278" s="12" t="s">
        <v>60</v>
      </c>
      <c r="C278" s="13" t="s">
        <v>54</v>
      </c>
      <c r="D278" s="12" t="s">
        <v>58</v>
      </c>
      <c r="E278" s="14" t="str">
        <f aca="false">'NFL Schedule'!J275</f>
        <v/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</row>
    <row r="279" customFormat="false" ht="15" hidden="false" customHeight="true" outlineLevel="0" collapsed="false">
      <c r="A279" s="12" t="n">
        <v>5</v>
      </c>
      <c r="B279" s="12" t="s">
        <v>78</v>
      </c>
      <c r="C279" s="13" t="s">
        <v>54</v>
      </c>
      <c r="D279" s="12" t="s">
        <v>79</v>
      </c>
      <c r="E279" s="14" t="str">
        <f aca="false">'NFL Schedule'!J276</f>
        <v/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</row>
    <row r="280" customFormat="false" ht="15" hidden="false" customHeight="true" outlineLevel="0" collapsed="false">
      <c r="A280" s="12" t="n">
        <v>6</v>
      </c>
      <c r="B280" s="12" t="s">
        <v>77</v>
      </c>
      <c r="C280" s="13" t="s">
        <v>54</v>
      </c>
      <c r="D280" s="12" t="s">
        <v>65</v>
      </c>
      <c r="E280" s="14" t="str">
        <f aca="false">'NFL Schedule'!J277</f>
        <v/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</row>
    <row r="281" customFormat="false" ht="15" hidden="false" customHeight="true" outlineLevel="0" collapsed="false">
      <c r="A281" s="12" t="n">
        <v>7</v>
      </c>
      <c r="B281" s="12" t="s">
        <v>57</v>
      </c>
      <c r="C281" s="13" t="s">
        <v>54</v>
      </c>
      <c r="D281" s="12" t="s">
        <v>75</v>
      </c>
      <c r="E281" s="14" t="str">
        <f aca="false">'NFL Schedule'!J278</f>
        <v/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</row>
    <row r="282" customFormat="false" ht="15" hidden="false" customHeight="true" outlineLevel="0" collapsed="false">
      <c r="A282" s="12" t="n">
        <v>8</v>
      </c>
      <c r="B282" s="12" t="s">
        <v>71</v>
      </c>
      <c r="C282" s="13" t="s">
        <v>54</v>
      </c>
      <c r="D282" s="12" t="s">
        <v>69</v>
      </c>
      <c r="E282" s="14" t="str">
        <f aca="false">'NFL Schedule'!J279</f>
        <v/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</row>
    <row r="283" customFormat="false" ht="15" hidden="false" customHeight="true" outlineLevel="0" collapsed="false">
      <c r="A283" s="12" t="n">
        <v>9</v>
      </c>
      <c r="B283" s="12" t="s">
        <v>76</v>
      </c>
      <c r="C283" s="13" t="s">
        <v>54</v>
      </c>
      <c r="D283" s="12" t="s">
        <v>80</v>
      </c>
      <c r="E283" s="14" t="str">
        <f aca="false">'NFL Schedule'!J280</f>
        <v/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</row>
    <row r="284" customFormat="false" ht="15" hidden="false" customHeight="true" outlineLevel="0" collapsed="false">
      <c r="A284" s="12" t="n">
        <v>10</v>
      </c>
      <c r="B284" s="12" t="s">
        <v>59</v>
      </c>
      <c r="C284" s="13" t="s">
        <v>54</v>
      </c>
      <c r="D284" s="12" t="s">
        <v>88</v>
      </c>
      <c r="E284" s="14" t="str">
        <f aca="false">'NFL Schedule'!J281</f>
        <v/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</row>
    <row r="285" customFormat="false" ht="15" hidden="false" customHeight="true" outlineLevel="0" collapsed="false">
      <c r="A285" s="12" t="n">
        <v>11</v>
      </c>
      <c r="B285" s="12" t="s">
        <v>72</v>
      </c>
      <c r="C285" s="13" t="s">
        <v>54</v>
      </c>
      <c r="D285" s="12" t="s">
        <v>85</v>
      </c>
      <c r="E285" s="14" t="str">
        <f aca="false">'NFL Schedule'!J282</f>
        <v/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</row>
    <row r="286" customFormat="false" ht="15" hidden="false" customHeight="true" outlineLevel="0" collapsed="false">
      <c r="A286" s="12" t="n">
        <v>12</v>
      </c>
      <c r="B286" s="12" t="s">
        <v>86</v>
      </c>
      <c r="C286" s="13" t="s">
        <v>54</v>
      </c>
      <c r="D286" s="12" t="s">
        <v>66</v>
      </c>
      <c r="E286" s="14" t="str">
        <f aca="false">'NFL Schedule'!J283</f>
        <v/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</row>
    <row r="287" customFormat="false" ht="15" hidden="false" customHeight="true" outlineLevel="0" collapsed="false">
      <c r="A287" s="12" t="n">
        <v>13</v>
      </c>
      <c r="B287" s="12" t="s">
        <v>63</v>
      </c>
      <c r="C287" s="13" t="s">
        <v>54</v>
      </c>
      <c r="D287" s="12" t="s">
        <v>73</v>
      </c>
      <c r="E287" s="14" t="str">
        <f aca="false">'NFL Schedule'!J284</f>
        <v/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</row>
    <row r="288" customFormat="false" ht="15" hidden="false" customHeight="true" outlineLevel="0" collapsed="false">
      <c r="A288" s="12" t="n">
        <v>14</v>
      </c>
      <c r="B288" s="12" t="s">
        <v>64</v>
      </c>
      <c r="C288" s="13" t="s">
        <v>54</v>
      </c>
      <c r="D288" s="12" t="s">
        <v>70</v>
      </c>
      <c r="E288" s="14" t="str">
        <f aca="false">'NFL Schedule'!J285</f>
        <v/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</row>
    <row r="289" customFormat="false" ht="15" hidden="false" customHeight="true" outlineLevel="0" collapsed="false">
      <c r="A289" s="12" t="n">
        <v>15</v>
      </c>
      <c r="B289" s="12" t="s">
        <v>83</v>
      </c>
      <c r="C289" s="13" t="s">
        <v>54</v>
      </c>
      <c r="D289" s="12" t="s">
        <v>82</v>
      </c>
      <c r="E289" s="14" t="str">
        <f aca="false">'NFL Schedule'!J286</f>
        <v/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</row>
    <row r="290" customFormat="false" ht="15" hidden="false" customHeight="true" outlineLevel="0" collapsed="false">
      <c r="A290" s="12" t="n">
        <v>16</v>
      </c>
      <c r="B290" s="12" t="s">
        <v>62</v>
      </c>
      <c r="C290" s="13" t="s">
        <v>54</v>
      </c>
      <c r="D290" s="12" t="s">
        <v>74</v>
      </c>
      <c r="E290" s="14" t="str">
        <f aca="false">'NFL Schedule'!J287</f>
        <v/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</row>
    <row r="291" customFormat="false" ht="15" hidden="false" customHeight="false" outlineLevel="0" collapsed="false">
      <c r="A291" s="16" t="s">
        <v>63</v>
      </c>
      <c r="B291" s="17" t="s">
        <v>89</v>
      </c>
      <c r="E291" s="18" t="str">
        <f aca="false">'NFL Schedule'!E288</f>
        <v/>
      </c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</row>
    <row r="292" customFormat="false" ht="15" hidden="false" customHeight="true" outlineLevel="0" collapsed="false">
      <c r="A292" s="10" t="s">
        <v>105</v>
      </c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</row>
    <row r="293" customFormat="false" ht="15" hidden="false" customHeight="true" outlineLevel="0" collapsed="false">
      <c r="A293" s="11" t="s">
        <v>27</v>
      </c>
      <c r="B293" s="11" t="s">
        <v>53</v>
      </c>
      <c r="C293" s="11" t="s">
        <v>54</v>
      </c>
      <c r="D293" s="11" t="s">
        <v>55</v>
      </c>
      <c r="E293" s="11" t="s">
        <v>56</v>
      </c>
      <c r="F293" s="11" t="s">
        <v>5</v>
      </c>
      <c r="G293" s="11" t="s">
        <v>8</v>
      </c>
      <c r="H293" s="11" t="s">
        <v>9</v>
      </c>
      <c r="I293" s="11" t="s">
        <v>10</v>
      </c>
      <c r="J293" s="11" t="s">
        <v>11</v>
      </c>
      <c r="K293" s="11" t="s">
        <v>14</v>
      </c>
      <c r="L293" s="11" t="s">
        <v>15</v>
      </c>
      <c r="M293" s="11" t="s">
        <v>16</v>
      </c>
      <c r="N293" s="11" t="s">
        <v>17</v>
      </c>
      <c r="O293" s="11" t="s">
        <v>20</v>
      </c>
      <c r="P293" s="11" t="s">
        <v>21</v>
      </c>
      <c r="Q293" s="11" t="s">
        <v>22</v>
      </c>
    </row>
    <row r="294" customFormat="false" ht="15" hidden="false" customHeight="true" outlineLevel="0" collapsed="false">
      <c r="A294" s="12" t="n">
        <v>1</v>
      </c>
      <c r="B294" s="12" t="s">
        <v>69</v>
      </c>
      <c r="C294" s="13" t="s">
        <v>54</v>
      </c>
      <c r="D294" s="12" t="s">
        <v>64</v>
      </c>
      <c r="E294" s="14" t="str">
        <f aca="false">'NFL Schedule'!J291</f>
        <v/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</row>
    <row r="295" customFormat="false" ht="15" hidden="false" customHeight="true" outlineLevel="0" collapsed="false">
      <c r="A295" s="12" t="n">
        <v>2</v>
      </c>
      <c r="B295" s="12" t="s">
        <v>65</v>
      </c>
      <c r="C295" s="13" t="s">
        <v>54</v>
      </c>
      <c r="D295" s="12" t="s">
        <v>73</v>
      </c>
      <c r="E295" s="14" t="str">
        <f aca="false">'NFL Schedule'!J292</f>
        <v/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</row>
    <row r="296" customFormat="false" ht="15" hidden="false" customHeight="true" outlineLevel="0" collapsed="false">
      <c r="A296" s="12" t="n">
        <v>3</v>
      </c>
      <c r="B296" s="12" t="s">
        <v>70</v>
      </c>
      <c r="C296" s="13" t="s">
        <v>54</v>
      </c>
      <c r="D296" s="12" t="s">
        <v>71</v>
      </c>
      <c r="E296" s="14" t="str">
        <f aca="false">'NFL Schedule'!J293</f>
        <v/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</row>
    <row r="297" customFormat="false" ht="15" hidden="false" customHeight="true" outlineLevel="0" collapsed="false">
      <c r="A297" s="12" t="n">
        <v>4</v>
      </c>
      <c r="B297" s="12" t="s">
        <v>86</v>
      </c>
      <c r="C297" s="13" t="s">
        <v>54</v>
      </c>
      <c r="D297" s="12" t="s">
        <v>85</v>
      </c>
      <c r="E297" s="14" t="str">
        <f aca="false">'NFL Schedule'!J294</f>
        <v/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</row>
    <row r="298" customFormat="false" ht="15" hidden="false" customHeight="true" outlineLevel="0" collapsed="false">
      <c r="A298" s="12" t="n">
        <v>5</v>
      </c>
      <c r="B298" s="12" t="s">
        <v>74</v>
      </c>
      <c r="C298" s="13" t="s">
        <v>54</v>
      </c>
      <c r="D298" s="12" t="s">
        <v>76</v>
      </c>
      <c r="E298" s="14" t="str">
        <f aca="false">'NFL Schedule'!J295</f>
        <v/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</row>
    <row r="299" customFormat="false" ht="15" hidden="false" customHeight="true" outlineLevel="0" collapsed="false">
      <c r="A299" s="12" t="n">
        <v>6</v>
      </c>
      <c r="B299" s="12" t="s">
        <v>67</v>
      </c>
      <c r="C299" s="13" t="s">
        <v>54</v>
      </c>
      <c r="D299" s="12" t="s">
        <v>79</v>
      </c>
      <c r="E299" s="14" t="str">
        <f aca="false">'NFL Schedule'!J296</f>
        <v/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</row>
    <row r="300" customFormat="false" ht="15" hidden="false" customHeight="true" outlineLevel="0" collapsed="false">
      <c r="A300" s="12" t="n">
        <v>7</v>
      </c>
      <c r="B300" s="12" t="s">
        <v>82</v>
      </c>
      <c r="C300" s="13" t="s">
        <v>54</v>
      </c>
      <c r="D300" s="12" t="s">
        <v>75</v>
      </c>
      <c r="E300" s="14" t="str">
        <f aca="false">'NFL Schedule'!J297</f>
        <v/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</row>
    <row r="301" customFormat="false" ht="15" hidden="false" customHeight="true" outlineLevel="0" collapsed="false">
      <c r="A301" s="12" t="n">
        <v>8</v>
      </c>
      <c r="B301" s="12" t="s">
        <v>58</v>
      </c>
      <c r="C301" s="13" t="s">
        <v>54</v>
      </c>
      <c r="D301" s="12" t="s">
        <v>62</v>
      </c>
      <c r="E301" s="14" t="str">
        <f aca="false">'NFL Schedule'!J298</f>
        <v/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</row>
    <row r="302" customFormat="false" ht="15" hidden="false" customHeight="true" outlineLevel="0" collapsed="false">
      <c r="A302" s="12" t="n">
        <v>9</v>
      </c>
      <c r="B302" s="12" t="s">
        <v>80</v>
      </c>
      <c r="C302" s="13" t="s">
        <v>54</v>
      </c>
      <c r="D302" s="12" t="s">
        <v>77</v>
      </c>
      <c r="E302" s="14" t="str">
        <f aca="false">'NFL Schedule'!J299</f>
        <v/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</row>
    <row r="303" customFormat="false" ht="15" hidden="false" customHeight="true" outlineLevel="0" collapsed="false">
      <c r="A303" s="12" t="n">
        <v>10</v>
      </c>
      <c r="B303" s="12" t="s">
        <v>66</v>
      </c>
      <c r="C303" s="13" t="s">
        <v>54</v>
      </c>
      <c r="D303" s="12" t="s">
        <v>61</v>
      </c>
      <c r="E303" s="14" t="str">
        <f aca="false">'NFL Schedule'!J300</f>
        <v/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</row>
    <row r="304" customFormat="false" ht="15" hidden="false" customHeight="true" outlineLevel="0" collapsed="false">
      <c r="A304" s="12" t="n">
        <v>11</v>
      </c>
      <c r="B304" s="12" t="s">
        <v>84</v>
      </c>
      <c r="C304" s="13" t="s">
        <v>54</v>
      </c>
      <c r="D304" s="12" t="s">
        <v>59</v>
      </c>
      <c r="E304" s="14" t="str">
        <f aca="false">'NFL Schedule'!J301</f>
        <v/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</row>
    <row r="305" customFormat="false" ht="15" hidden="false" customHeight="true" outlineLevel="0" collapsed="false">
      <c r="A305" s="12" t="n">
        <v>12</v>
      </c>
      <c r="B305" s="12" t="s">
        <v>68</v>
      </c>
      <c r="C305" s="13" t="s">
        <v>54</v>
      </c>
      <c r="D305" s="12" t="s">
        <v>81</v>
      </c>
      <c r="E305" s="14" t="str">
        <f aca="false">'NFL Schedule'!J302</f>
        <v/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</row>
    <row r="306" customFormat="false" ht="15" hidden="false" customHeight="true" outlineLevel="0" collapsed="false">
      <c r="A306" s="12" t="n">
        <v>13</v>
      </c>
      <c r="B306" s="12" t="s">
        <v>87</v>
      </c>
      <c r="C306" s="13" t="s">
        <v>54</v>
      </c>
      <c r="D306" s="12" t="s">
        <v>57</v>
      </c>
      <c r="E306" s="14" t="str">
        <f aca="false">'NFL Schedule'!J303</f>
        <v/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</row>
    <row r="307" customFormat="false" ht="15" hidden="false" customHeight="true" outlineLevel="0" collapsed="false">
      <c r="A307" s="12" t="n">
        <v>14</v>
      </c>
      <c r="B307" s="12" t="s">
        <v>88</v>
      </c>
      <c r="C307" s="13" t="s">
        <v>54</v>
      </c>
      <c r="D307" s="12" t="s">
        <v>78</v>
      </c>
      <c r="E307" s="14" t="str">
        <f aca="false">'NFL Schedule'!J304</f>
        <v/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</row>
    <row r="308" customFormat="false" ht="15" hidden="false" customHeight="true" outlineLevel="0" collapsed="false">
      <c r="A308" s="12" t="n">
        <v>15</v>
      </c>
      <c r="B308" s="12" t="s">
        <v>60</v>
      </c>
      <c r="C308" s="13" t="s">
        <v>54</v>
      </c>
      <c r="D308" s="12" t="s">
        <v>63</v>
      </c>
      <c r="E308" s="14" t="str">
        <f aca="false">'NFL Schedule'!J305</f>
        <v/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</row>
    <row r="309" customFormat="false" ht="15" hidden="false" customHeight="true" outlineLevel="0" collapsed="false">
      <c r="A309" s="12" t="n">
        <v>16</v>
      </c>
      <c r="B309" s="12" t="s">
        <v>83</v>
      </c>
      <c r="C309" s="13" t="s">
        <v>54</v>
      </c>
      <c r="D309" s="12" t="s">
        <v>72</v>
      </c>
      <c r="E309" s="14" t="str">
        <f aca="false">'NFL Schedule'!J306</f>
        <v/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</row>
    <row r="310" customFormat="false" ht="15" hidden="false" customHeight="false" outlineLevel="0" collapsed="false">
      <c r="A310" s="16" t="s">
        <v>63</v>
      </c>
      <c r="B310" s="17" t="s">
        <v>89</v>
      </c>
      <c r="E310" s="18" t="str">
        <f aca="false">'NFL Schedule'!E307</f>
        <v/>
      </c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</row>
    <row r="311" customFormat="false" ht="15" hidden="false" customHeight="true" outlineLevel="0" collapsed="false">
      <c r="A311" s="10" t="s">
        <v>106</v>
      </c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</row>
    <row r="312" customFormat="false" ht="15" hidden="false" customHeight="true" outlineLevel="0" collapsed="false">
      <c r="A312" s="11" t="s">
        <v>27</v>
      </c>
      <c r="B312" s="11" t="s">
        <v>53</v>
      </c>
      <c r="C312" s="11" t="s">
        <v>54</v>
      </c>
      <c r="D312" s="11" t="s">
        <v>55</v>
      </c>
      <c r="E312" s="11" t="s">
        <v>56</v>
      </c>
      <c r="F312" s="11" t="s">
        <v>5</v>
      </c>
      <c r="G312" s="11" t="s">
        <v>8</v>
      </c>
      <c r="H312" s="11" t="s">
        <v>9</v>
      </c>
      <c r="I312" s="11" t="s">
        <v>10</v>
      </c>
      <c r="J312" s="11" t="s">
        <v>11</v>
      </c>
      <c r="K312" s="11" t="s">
        <v>14</v>
      </c>
      <c r="L312" s="11" t="s">
        <v>15</v>
      </c>
      <c r="M312" s="11" t="s">
        <v>16</v>
      </c>
      <c r="N312" s="11" t="s">
        <v>17</v>
      </c>
      <c r="O312" s="11" t="s">
        <v>20</v>
      </c>
      <c r="P312" s="11" t="s">
        <v>21</v>
      </c>
      <c r="Q312" s="11" t="s">
        <v>22</v>
      </c>
    </row>
    <row r="313" customFormat="false" ht="15" hidden="false" customHeight="true" outlineLevel="0" collapsed="false">
      <c r="A313" s="12" t="n">
        <v>1</v>
      </c>
      <c r="B313" s="12" t="s">
        <v>75</v>
      </c>
      <c r="C313" s="13" t="s">
        <v>54</v>
      </c>
      <c r="D313" s="12" t="s">
        <v>67</v>
      </c>
      <c r="E313" s="14" t="str">
        <f aca="false">'NFL Schedule'!J310</f>
        <v/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</row>
    <row r="314" customFormat="false" ht="15" hidden="false" customHeight="true" outlineLevel="0" collapsed="false">
      <c r="A314" s="12" t="n">
        <v>2</v>
      </c>
      <c r="B314" s="12" t="s">
        <v>71</v>
      </c>
      <c r="C314" s="13" t="s">
        <v>54</v>
      </c>
      <c r="D314" s="12" t="s">
        <v>64</v>
      </c>
      <c r="E314" s="14" t="str">
        <f aca="false">'NFL Schedule'!J311</f>
        <v/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</row>
    <row r="315" customFormat="false" ht="15" hidden="false" customHeight="true" outlineLevel="0" collapsed="false">
      <c r="A315" s="12" t="n">
        <v>3</v>
      </c>
      <c r="B315" s="12" t="s">
        <v>60</v>
      </c>
      <c r="C315" s="13" t="s">
        <v>54</v>
      </c>
      <c r="D315" s="12" t="s">
        <v>87</v>
      </c>
      <c r="E315" s="14" t="str">
        <f aca="false">'NFL Schedule'!J312</f>
        <v/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</row>
    <row r="316" customFormat="false" ht="15" hidden="false" customHeight="true" outlineLevel="0" collapsed="false">
      <c r="A316" s="12" t="n">
        <v>4</v>
      </c>
      <c r="B316" s="12" t="s">
        <v>66</v>
      </c>
      <c r="C316" s="13" t="s">
        <v>54</v>
      </c>
      <c r="D316" s="12" t="s">
        <v>81</v>
      </c>
      <c r="E316" s="14" t="str">
        <f aca="false">'NFL Schedule'!J313</f>
        <v/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</row>
    <row r="317" customFormat="false" ht="15" hidden="false" customHeight="true" outlineLevel="0" collapsed="false">
      <c r="A317" s="12" t="n">
        <v>5</v>
      </c>
      <c r="B317" s="12" t="s">
        <v>72</v>
      </c>
      <c r="C317" s="13" t="s">
        <v>54</v>
      </c>
      <c r="D317" s="12" t="s">
        <v>70</v>
      </c>
      <c r="E317" s="14" t="str">
        <f aca="false">'NFL Schedule'!J314</f>
        <v/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12" t="n">
        <v>6</v>
      </c>
      <c r="B318" s="12" t="s">
        <v>80</v>
      </c>
      <c r="C318" s="13" t="s">
        <v>54</v>
      </c>
      <c r="D318" s="12" t="s">
        <v>88</v>
      </c>
      <c r="E318" s="14" t="str">
        <f aca="false">'NFL Schedule'!J315</f>
        <v/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</row>
    <row r="319" customFormat="false" ht="15" hidden="false" customHeight="true" outlineLevel="0" collapsed="false">
      <c r="A319" s="12" t="n">
        <v>7</v>
      </c>
      <c r="B319" s="12" t="s">
        <v>58</v>
      </c>
      <c r="C319" s="13" t="s">
        <v>54</v>
      </c>
      <c r="D319" s="12" t="s">
        <v>78</v>
      </c>
      <c r="E319" s="14" t="str">
        <f aca="false">'NFL Schedule'!J316</f>
        <v/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</row>
    <row r="320" customFormat="false" ht="15" hidden="false" customHeight="true" outlineLevel="0" collapsed="false">
      <c r="A320" s="12" t="n">
        <v>8</v>
      </c>
      <c r="B320" s="12" t="s">
        <v>61</v>
      </c>
      <c r="C320" s="13" t="s">
        <v>54</v>
      </c>
      <c r="D320" s="12" t="s">
        <v>82</v>
      </c>
      <c r="E320" s="14" t="str">
        <f aca="false">'NFL Schedule'!J317</f>
        <v/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12" t="n">
        <v>9</v>
      </c>
      <c r="B321" s="12" t="s">
        <v>79</v>
      </c>
      <c r="C321" s="13" t="s">
        <v>54</v>
      </c>
      <c r="D321" s="12" t="s">
        <v>57</v>
      </c>
      <c r="E321" s="14" t="str">
        <f aca="false">'NFL Schedule'!J318</f>
        <v/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</row>
    <row r="322" customFormat="false" ht="15" hidden="false" customHeight="true" outlineLevel="0" collapsed="false">
      <c r="A322" s="12" t="n">
        <v>10</v>
      </c>
      <c r="B322" s="12" t="s">
        <v>63</v>
      </c>
      <c r="C322" s="13" t="s">
        <v>54</v>
      </c>
      <c r="D322" s="12" t="s">
        <v>65</v>
      </c>
      <c r="E322" s="14" t="str">
        <f aca="false">'NFL Schedule'!J319</f>
        <v/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</row>
    <row r="323" customFormat="false" ht="15" hidden="false" customHeight="true" outlineLevel="0" collapsed="false">
      <c r="A323" s="12" t="n">
        <v>11</v>
      </c>
      <c r="B323" s="12" t="s">
        <v>84</v>
      </c>
      <c r="C323" s="13" t="s">
        <v>54</v>
      </c>
      <c r="D323" s="12" t="s">
        <v>86</v>
      </c>
      <c r="E323" s="14" t="str">
        <f aca="false">'NFL Schedule'!J320</f>
        <v/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</row>
    <row r="324" customFormat="false" ht="15" hidden="false" customHeight="true" outlineLevel="0" collapsed="false">
      <c r="A324" s="12" t="n">
        <v>12</v>
      </c>
      <c r="B324" s="12" t="s">
        <v>59</v>
      </c>
      <c r="C324" s="13" t="s">
        <v>54</v>
      </c>
      <c r="D324" s="12" t="s">
        <v>77</v>
      </c>
      <c r="E324" s="14" t="str">
        <f aca="false">'NFL Schedule'!J321</f>
        <v/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</row>
    <row r="325" customFormat="false" ht="15" hidden="false" customHeight="true" outlineLevel="0" collapsed="false">
      <c r="A325" s="12" t="n">
        <v>13</v>
      </c>
      <c r="B325" s="12" t="s">
        <v>85</v>
      </c>
      <c r="C325" s="13" t="s">
        <v>54</v>
      </c>
      <c r="D325" s="12" t="s">
        <v>83</v>
      </c>
      <c r="E325" s="14" t="str">
        <f aca="false">'NFL Schedule'!J322</f>
        <v/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</row>
    <row r="326" customFormat="false" ht="15" hidden="false" customHeight="true" outlineLevel="0" collapsed="false">
      <c r="A326" s="12" t="n">
        <v>14</v>
      </c>
      <c r="B326" s="12" t="s">
        <v>73</v>
      </c>
      <c r="C326" s="13" t="s">
        <v>54</v>
      </c>
      <c r="D326" s="12" t="s">
        <v>62</v>
      </c>
      <c r="E326" s="14" t="str">
        <f aca="false">'NFL Schedule'!J323</f>
        <v/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</row>
    <row r="327" customFormat="false" ht="15" hidden="false" customHeight="true" outlineLevel="0" collapsed="false">
      <c r="A327" s="12" t="n">
        <v>15</v>
      </c>
      <c r="B327" s="12" t="s">
        <v>74</v>
      </c>
      <c r="C327" s="13" t="s">
        <v>54</v>
      </c>
      <c r="D327" s="12" t="s">
        <v>69</v>
      </c>
      <c r="E327" s="14" t="str">
        <f aca="false">'NFL Schedule'!J324</f>
        <v/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</row>
    <row r="328" customFormat="false" ht="15" hidden="false" customHeight="true" outlineLevel="0" collapsed="false">
      <c r="A328" s="12" t="n">
        <v>16</v>
      </c>
      <c r="B328" s="12" t="s">
        <v>76</v>
      </c>
      <c r="C328" s="13" t="s">
        <v>54</v>
      </c>
      <c r="D328" s="12" t="s">
        <v>68</v>
      </c>
      <c r="E328" s="14" t="str">
        <f aca="false">'NFL Schedule'!J325</f>
        <v/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</row>
    <row r="329" customFormat="false" ht="15" hidden="false" customHeight="false" outlineLevel="0" collapsed="false">
      <c r="A329" s="16" t="s">
        <v>63</v>
      </c>
      <c r="B329" s="17" t="s">
        <v>89</v>
      </c>
      <c r="E329" s="18" t="str">
        <f aca="false">'NFL Schedule'!E326</f>
        <v/>
      </c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allowBlank="true" error="Pick must be NE or SEA" errorStyle="stop" errorTitle="Invalid Pick" operator="between" prompt="Pick NE or SEA" promptTitle="ATS Pick" showDropDown="false" showErrorMessage="true" showInputMessage="true" sqref="F6:Q6" type="list">
      <formula1>"NE,SEA"</formula1>
      <formula2>0</formula2>
    </dataValidation>
    <dataValidation allowBlank="true" error="Pick must be SF or LAR" errorStyle="stop" errorTitle="Invalid Pick" operator="between" prompt="Pick SF or LAR" promptTitle="ATS Pick" showDropDown="false" showErrorMessage="true" showInputMessage="true" sqref="F7:Q7" type="list">
      <formula1>"SF,LAR"</formula1>
      <formula2>0</formula2>
    </dataValidation>
    <dataValidation allowBlank="true" error="Pick must be CHI or CAR" errorStyle="stop" errorTitle="Invalid Pick" operator="between" prompt="Pick CHI or CAR" promptTitle="ATS Pick" showDropDown="false" showErrorMessage="true" showInputMessage="true" sqref="F8:Q8" type="list">
      <formula1>"CHI,CAR"</formula1>
      <formula2>0</formula2>
    </dataValidation>
    <dataValidation allowBlank="true" error="Pick must be TB or CIN" errorStyle="stop" errorTitle="Invalid Pick" operator="between" prompt="Pick TB or CIN" promptTitle="ATS Pick" showDropDown="false" showErrorMessage="true" showInputMessage="true" sqref="F9:Q9" type="list">
      <formula1>"TB,CIN"</formula1>
      <formula2>0</formula2>
    </dataValidation>
    <dataValidation allowBlank="true" error="Pick must be NO or DET" errorStyle="stop" errorTitle="Invalid Pick" operator="between" prompt="Pick NO or DET" promptTitle="ATS Pick" showDropDown="false" showErrorMessage="true" showInputMessage="true" sqref="F10:Q10" type="list">
      <formula1>"NO,DET"</formula1>
      <formula2>0</formula2>
    </dataValidation>
    <dataValidation allowBlank="true" error="Pick must be BUF or HOU" errorStyle="stop" errorTitle="Invalid Pick" operator="between" prompt="Pick BUF or HOU" promptTitle="ATS Pick" showDropDown="false" showErrorMessage="true" showInputMessage="true" sqref="F11:Q11" type="list">
      <formula1>"BUF,HOU"</formula1>
      <formula2>0</formula2>
    </dataValidation>
    <dataValidation allowBlank="true" error="Pick must be BAL or IND" errorStyle="stop" errorTitle="Invalid Pick" operator="between" prompt="Pick BAL or IND" promptTitle="ATS Pick" showDropDown="false" showErrorMessage="true" showInputMessage="true" sqref="F12:Q12" type="list">
      <formula1>"BAL,IND"</formula1>
      <formula2>0</formula2>
    </dataValidation>
    <dataValidation allowBlank="true" error="Pick must be CLE or JAX" errorStyle="stop" errorTitle="Invalid Pick" operator="between" prompt="Pick CLE or JAX" promptTitle="ATS Pick" showDropDown="false" showErrorMessage="true" showInputMessage="true" sqref="F13:Q13" type="list">
      <formula1>"CLE,JAX"</formula1>
      <formula2>0</formula2>
    </dataValidation>
    <dataValidation allowBlank="true" error="Pick must be ATL or PIT" errorStyle="stop" errorTitle="Invalid Pick" operator="between" prompt="Pick ATL or PIT" promptTitle="ATS Pick" showDropDown="false" showErrorMessage="true" showInputMessage="true" sqref="F14:Q14" type="list">
      <formula1>"ATL,PIT"</formula1>
      <formula2>0</formula2>
    </dataValidation>
    <dataValidation allowBlank="true" error="Pick must be NYJ or TEN" errorStyle="stop" errorTitle="Invalid Pick" operator="between" prompt="Pick NYJ or TEN" promptTitle="ATS Pick" showDropDown="false" showErrorMessage="true" showInputMessage="true" sqref="F15:Q15" type="list">
      <formula1>"NYJ,TEN"</formula1>
      <formula2>0</formula2>
    </dataValidation>
    <dataValidation allowBlank="true" error="Pick must be ARI or LAC" errorStyle="stop" errorTitle="Invalid Pick" operator="between" prompt="Pick ARI or LAC" promptTitle="ATS Pick" showDropDown="false" showErrorMessage="true" showInputMessage="true" sqref="F16:Q16 F109:Q109" type="list">
      <formula1>"ARI,LAC"</formula1>
      <formula2>0</formula2>
    </dataValidation>
    <dataValidation allowBlank="true" error="Pick must be MIA or LV" errorStyle="stop" errorTitle="Invalid Pick" operator="between" prompt="Pick MIA or LV" promptTitle="ATS Pick" showDropDown="false" showErrorMessage="true" showInputMessage="true" sqref="F17:Q17" type="list">
      <formula1>"MIA,LV"</formula1>
      <formula2>0</formula2>
    </dataValidation>
    <dataValidation allowBlank="true" error="Pick must be GB or MIN" errorStyle="stop" errorTitle="Invalid Pick" operator="between" prompt="Pick GB or MIN" promptTitle="ATS Pick" showDropDown="false" showErrorMessage="true" showInputMessage="true" sqref="F18:Q18" type="list">
      <formula1>"GB,MIN"</formula1>
      <formula2>0</formula2>
    </dataValidation>
    <dataValidation allowBlank="true" error="Pick must be WAS or PHI" errorStyle="stop" errorTitle="Invalid Pick" operator="between" prompt="Pick WAS or PHI" promptTitle="ATS Pick" showDropDown="false" showErrorMessage="true" showInputMessage="true" sqref="F19:Q19" type="list">
      <formula1>"WAS,PHI"</formula1>
      <formula2>0</formula2>
    </dataValidation>
    <dataValidation allowBlank="true" error="Pick must be DAL or NYG" errorStyle="stop" errorTitle="Invalid Pick" operator="between" prompt="Pick DAL or NYG" promptTitle="ATS Pick" showDropDown="false" showErrorMessage="true" showInputMessage="true" sqref="F20:Q20" type="list">
      <formula1>"DAL,NYG"</formula1>
      <formula2>0</formula2>
    </dataValidation>
    <dataValidation allowBlank="true" error="Pick must be DEN or KC" errorStyle="stop" errorTitle="Invalid Pick" operator="between" prompt="Pick DEN or KC" promptTitle="ATS Pick" showDropDown="false" showErrorMessage="true" showInputMessage="true" sqref="F21:Q21" type="list">
      <formula1>"DEN,KC"</formula1>
      <formula2>0</formula2>
    </dataValidation>
    <dataValidation allowBlank="true" error="Pick must be DET or BUF" errorStyle="stop" errorTitle="Invalid Pick" operator="between" prompt="Pick DET or BUF" promptTitle="ATS Pick" showDropDown="false" showErrorMessage="true" showInputMessage="true" sqref="F25:Q25" type="list">
      <formula1>"DET,BUF"</formula1>
      <formula2>0</formula2>
    </dataValidation>
    <dataValidation allowBlank="true" error="Pick must be CAR or ATL" errorStyle="stop" errorTitle="Invalid Pick" operator="between" prompt="Pick CAR or ATL" promptTitle="ATS Pick" showDropDown="false" showErrorMessage="true" showInputMessage="true" sqref="F26:Q26" type="list">
      <formula1>"CAR,ATL"</formula1>
      <formula2>0</formula2>
    </dataValidation>
    <dataValidation allowBlank="true" error="Pick must be NO or BAL" errorStyle="stop" errorTitle="Invalid Pick" operator="between" prompt="Pick NO or BAL" promptTitle="ATS Pick" showDropDown="false" showErrorMessage="true" showInputMessage="true" sqref="F27:Q27" type="list">
      <formula1>"NO,BAL"</formula1>
      <formula2>0</formula2>
    </dataValidation>
    <dataValidation allowBlank="true" error="Pick must be MIN or CHI" errorStyle="stop" errorTitle="Invalid Pick" operator="between" prompt="Pick MIN or CHI" promptTitle="ATS Pick" showDropDown="false" showErrorMessage="true" showInputMessage="true" sqref="F28:Q28" type="list">
      <formula1>"MIN,CHI"</formula1>
      <formula2>0</formula2>
    </dataValidation>
    <dataValidation allowBlank="true" error="Pick must be CIN or HOU" errorStyle="stop" errorTitle="Invalid Pick" operator="between" prompt="Pick CIN or HOU" promptTitle="ATS Pick" showDropDown="false" showErrorMessage="true" showInputMessage="true" sqref="F29:Q29" type="list">
      <formula1>"CIN,HOU"</formula1>
      <formula2>0</formula2>
    </dataValidation>
    <dataValidation allowBlank="true" error="Pick must be PIT or NE" errorStyle="stop" errorTitle="Invalid Pick" operator="between" prompt="Pick PIT or NE" promptTitle="ATS Pick" showDropDown="false" showErrorMessage="true" showInputMessage="true" sqref="F30:Q30" type="list">
      <formula1>"PIT,NE"</formula1>
      <formula2>0</formula2>
    </dataValidation>
    <dataValidation allowBlank="true" error="Pick must be GB or NYJ" errorStyle="stop" errorTitle="Invalid Pick" operator="between" prompt="Pick GB or NYJ" promptTitle="ATS Pick" showDropDown="false" showErrorMessage="true" showInputMessage="true" sqref="F31:Q31" type="list">
      <formula1>"GB,NYJ"</formula1>
      <formula2>0</formula2>
    </dataValidation>
    <dataValidation allowBlank="true" error="Pick must be CLE or TB" errorStyle="stop" errorTitle="Invalid Pick" operator="between" prompt="Pick CLE or TB" promptTitle="ATS Pick" showDropDown="false" showErrorMessage="true" showInputMessage="true" sqref="F32:Q32" type="list">
      <formula1>"CLE,TB"</formula1>
      <formula2>0</formula2>
    </dataValidation>
    <dataValidation allowBlank="true" error="Pick must be PHI or TEN" errorStyle="stop" errorTitle="Invalid Pick" operator="between" prompt="Pick PHI or TEN" promptTitle="ATS Pick" showDropDown="false" showErrorMessage="true" showInputMessage="true" sqref="F33:Q33" type="list">
      <formula1>"PHI,TEN"</formula1>
      <formula2>0</formula2>
    </dataValidation>
    <dataValidation allowBlank="true" error="Pick must be JAX or DEN" errorStyle="stop" errorTitle="Invalid Pick" operator="between" prompt="Pick JAX or DEN" promptTitle="ATS Pick" showDropDown="false" showErrorMessage="true" showInputMessage="true" sqref="F34:Q34" type="list">
      <formula1>"JAX,DEN"</formula1>
      <formula2>0</formula2>
    </dataValidation>
    <dataValidation allowBlank="true" error="Pick must be LV or LAC" errorStyle="stop" errorTitle="Invalid Pick" operator="between" prompt="Pick LV or LAC" promptTitle="ATS Pick" showDropDown="false" showErrorMessage="true" showInputMessage="true" sqref="F35:Q35" type="list">
      <formula1>"LV,LAC"</formula1>
      <formula2>0</formula2>
    </dataValidation>
    <dataValidation allowBlank="true" error="Pick must be SEA or ARI" errorStyle="stop" errorTitle="Invalid Pick" operator="between" prompt="Pick SEA or ARI" promptTitle="ATS Pick" showDropDown="false" showErrorMessage="true" showInputMessage="true" sqref="F36:Q36" type="list">
      <formula1>"SEA,ARI"</formula1>
      <formula2>0</formula2>
    </dataValidation>
    <dataValidation allowBlank="true" error="Pick must be WAS or DAL" errorStyle="stop" errorTitle="Invalid Pick" operator="between" prompt="Pick WAS or DAL" promptTitle="ATS Pick" showDropDown="false" showErrorMessage="true" showInputMessage="true" sqref="F37:Q37" type="list">
      <formula1>"WAS,DAL"</formula1>
      <formula2>0</formula2>
    </dataValidation>
    <dataValidation allowBlank="true" error="Pick must be MIA or SF" errorStyle="stop" errorTitle="Invalid Pick" operator="between" prompt="Pick MIA or SF" promptTitle="ATS Pick" showDropDown="false" showErrorMessage="true" showInputMessage="true" sqref="F38:Q38" type="list">
      <formula1>"MIA,SF"</formula1>
      <formula2>0</formula2>
    </dataValidation>
    <dataValidation allowBlank="true" error="Pick must be IND or KC" errorStyle="stop" errorTitle="Invalid Pick" operator="between" prompt="Pick IND or KC" promptTitle="ATS Pick" showDropDown="false" showErrorMessage="true" showInputMessage="true" sqref="F39:Q39" type="list">
      <formula1>"IND,KC"</formula1>
      <formula2>0</formula2>
    </dataValidation>
    <dataValidation allowBlank="true" error="Pick must be NYG or LAR" errorStyle="stop" errorTitle="Invalid Pick" operator="between" prompt="Pick NYG or LAR" promptTitle="ATS Pick" showDropDown="false" showErrorMessage="true" showInputMessage="true" sqref="F40:Q40" type="list">
      <formula1>"NYG,LAR"</formula1>
      <formula2>0</formula2>
    </dataValidation>
    <dataValidation allowBlank="true" error="Pick must be ATL or GB" errorStyle="stop" errorTitle="Invalid Pick" operator="between" prompt="Pick ATL or GB" promptTitle="ATS Pick" showDropDown="false" showErrorMessage="true" showInputMessage="true" sqref="F44:Q44" type="list">
      <formula1>"ATL,GB"</formula1>
      <formula2>0</formula2>
    </dataValidation>
    <dataValidation allowBlank="true" error="Pick must be LAC or BUF" errorStyle="stop" errorTitle="Invalid Pick" operator="between" prompt="Pick LAC or BUF" promptTitle="ATS Pick" showDropDown="false" showErrorMessage="true" showInputMessage="true" sqref="F45:Q45" type="list">
      <formula1>"LAC,BUF"</formula1>
      <formula2>0</formula2>
    </dataValidation>
    <dataValidation allowBlank="true" error="Pick must be CAR or CLE" errorStyle="stop" errorTitle="Invalid Pick" operator="between" prompt="Pick CAR or CLE" promptTitle="ATS Pick" showDropDown="false" showErrorMessage="true" showInputMessage="true" sqref="F46:Q46" type="list">
      <formula1>"CAR,CLE"</formula1>
      <formula2>0</formula2>
    </dataValidation>
    <dataValidation allowBlank="true" error="Pick must be NYJ or DET" errorStyle="stop" errorTitle="Invalid Pick" operator="between" prompt="Pick NYJ or DET" promptTitle="ATS Pick" showDropDown="false" showErrorMessage="true" showInputMessage="true" sqref="F47:Q47" type="list">
      <formula1>"NYJ,DET"</formula1>
      <formula2>0</formula2>
    </dataValidation>
    <dataValidation allowBlank="true" error="Pick must be HOU or IND" errorStyle="stop" errorTitle="Invalid Pick" operator="between" prompt="Pick HOU or IND" promptTitle="ATS Pick" showDropDown="false" showErrorMessage="true" showInputMessage="true" sqref="F48:Q48" type="list">
      <formula1>"HOU,IND"</formula1>
      <formula2>0</formula2>
    </dataValidation>
    <dataValidation allowBlank="true" error="Pick must be KC or MIA" errorStyle="stop" errorTitle="Invalid Pick" operator="between" prompt="Pick KC or MIA" promptTitle="ATS Pick" showDropDown="false" showErrorMessage="true" showInputMessage="true" sqref="F49:Q49" type="list">
      <formula1>"KC,MIA"</formula1>
      <formula2>0</formula2>
    </dataValidation>
    <dataValidation allowBlank="true" error="Pick must be TEN or NYG" errorStyle="stop" errorTitle="Invalid Pick" operator="between" prompt="Pick TEN or NYG" promptTitle="ATS Pick" showDropDown="false" showErrorMessage="true" showInputMessage="true" sqref="F50:Q50" type="list">
      <formula1>"TEN,NYG"</formula1>
      <formula2>0</formula2>
    </dataValidation>
    <dataValidation allowBlank="true" error="Pick must be CIN or PIT" errorStyle="stop" errorTitle="Invalid Pick" operator="between" prompt="Pick CIN or PIT" promptTitle="ATS Pick" showDropDown="false" showErrorMessage="true" showInputMessage="true" sqref="F51:Q51" type="list">
      <formula1>"CIN,PIT"</formula1>
      <formula2>0</formula2>
    </dataValidation>
    <dataValidation allowBlank="true" error="Pick must be SEA or WAS" errorStyle="stop" errorTitle="Invalid Pick" operator="between" prompt="Pick SEA or WAS" promptTitle="ATS Pick" showDropDown="false" showErrorMessage="true" showInputMessage="true" sqref="F52:Q52" type="list">
      <formula1>"SEA,WAS"</formula1>
      <formula2>0</formula2>
    </dataValidation>
    <dataValidation allowBlank="true" error="Pick must be NE or JAX" errorStyle="stop" errorTitle="Invalid Pick" operator="between" prompt="Pick NE or JAX" promptTitle="ATS Pick" showDropDown="false" showErrorMessage="true" showInputMessage="true" sqref="F53:Q53" type="list">
      <formula1>"NE,JAX"</formula1>
      <formula2>0</formula2>
    </dataValidation>
    <dataValidation allowBlank="true" error="Pick must be ARI or SF" errorStyle="stop" errorTitle="Invalid Pick" operator="between" prompt="Pick ARI or SF" promptTitle="ATS Pick" showDropDown="false" showErrorMessage="true" showInputMessage="true" sqref="F54:Q54" type="list">
      <formula1>"ARI,SF"</formula1>
      <formula2>0</formula2>
    </dataValidation>
    <dataValidation allowBlank="true" error="Pick must be MIN or TB" errorStyle="stop" errorTitle="Invalid Pick" operator="between" prompt="Pick MIN or TB" promptTitle="ATS Pick" showDropDown="false" showErrorMessage="true" showInputMessage="true" sqref="F55:Q55" type="list">
      <formula1>"MIN,TB"</formula1>
      <formula2>0</formula2>
    </dataValidation>
    <dataValidation allowBlank="true" error="Pick must be BAL or DAL" errorStyle="stop" errorTitle="Invalid Pick" operator="between" prompt="Pick BAL or DAL" promptTitle="ATS Pick" showDropDown="false" showErrorMessage="true" showInputMessage="true" sqref="F56:Q56" type="list">
      <formula1>"BAL,DAL"</formula1>
      <formula2>0</formula2>
    </dataValidation>
    <dataValidation allowBlank="true" error="Pick must be LV or NO" errorStyle="stop" errorTitle="Invalid Pick" operator="between" prompt="Pick LV or NO" promptTitle="ATS Pick" showDropDown="false" showErrorMessage="true" showInputMessage="true" sqref="F57:Q57" type="list">
      <formula1>"LV,NO"</formula1>
      <formula2>0</formula2>
    </dataValidation>
    <dataValidation allowBlank="true" error="Pick must be LAR or DEN" errorStyle="stop" errorTitle="Invalid Pick" operator="between" prompt="Pick LAR or DEN" promptTitle="ATS Pick" showDropDown="false" showErrorMessage="true" showInputMessage="true" sqref="F58:Q58 F315:Q315" type="list">
      <formula1>"LAR,DEN"</formula1>
      <formula2>0</formula2>
    </dataValidation>
    <dataValidation allowBlank="true" error="Pick must be PHI or CHI" errorStyle="stop" errorTitle="Invalid Pick" operator="between" prompt="Pick PHI or CHI" promptTitle="ATS Pick" showDropDown="false" showErrorMessage="true" showInputMessage="true" sqref="F59:Q59" type="list">
      <formula1>"PHI,CHI"</formula1>
      <formula2>0</formula2>
    </dataValidation>
    <dataValidation allowBlank="true" error="Pick must be PIT or CLE" errorStyle="stop" errorTitle="Invalid Pick" operator="between" prompt="Pick PIT or CLE" promptTitle="ATS Pick" showDropDown="false" showErrorMessage="true" showInputMessage="true" sqref="F63:Q63" type="list">
      <formula1>"PIT,CLE"</formula1>
      <formula2>0</formula2>
    </dataValidation>
    <dataValidation allowBlank="true" error="Pick must be IND or WAS" errorStyle="stop" errorTitle="Invalid Pick" operator="between" prompt="Pick IND or WAS" promptTitle="ATS Pick" showDropDown="false" showErrorMessage="true" showInputMessage="true" sqref="F64:Q64" type="list">
      <formula1>"IND,WAS"</formula1>
      <formula2>0</formula2>
    </dataValidation>
    <dataValidation allowBlank="true" error="Pick must be NE or BUF" errorStyle="stop" errorTitle="Invalid Pick" operator="between" prompt="Pick NE or BUF" promptTitle="ATS Pick" showDropDown="false" showErrorMessage="true" showInputMessage="true" sqref="F65:Q65" type="list">
      <formula1>"NE,BUF"</formula1>
      <formula2>0</formula2>
    </dataValidation>
    <dataValidation allowBlank="true" error="Pick must be NYJ or CHI" errorStyle="stop" errorTitle="Invalid Pick" operator="between" prompt="Pick NYJ or CHI" promptTitle="ATS Pick" showDropDown="false" showErrorMessage="true" showInputMessage="true" sqref="F66:Q66" type="list">
      <formula1>"NYJ,CHI"</formula1>
      <formula2>0</formula2>
    </dataValidation>
    <dataValidation allowBlank="true" error="Pick must be JAX or CIN" errorStyle="stop" errorTitle="Invalid Pick" operator="between" prompt="Pick JAX or CIN" promptTitle="ATS Pick" showDropDown="false" showErrorMessage="true" showInputMessage="true" sqref="F67:Q67" type="list">
      <formula1>"JAX,CIN"</formula1>
      <formula2>0</formula2>
    </dataValidation>
    <dataValidation allowBlank="true" error="Pick must be ARI or NYG" errorStyle="stop" errorTitle="Invalid Pick" operator="between" prompt="Pick ARI or NYG" promptTitle="ATS Pick" showDropDown="false" showErrorMessage="true" showInputMessage="true" sqref="F68:Q68" type="list">
      <formula1>"ARI,NYG"</formula1>
      <formula2>0</formula2>
    </dataValidation>
    <dataValidation allowBlank="true" error="Pick must be LAR or PHI" errorStyle="stop" errorTitle="Invalid Pick" operator="between" prompt="Pick LAR or PHI" promptTitle="ATS Pick" showDropDown="false" showErrorMessage="true" showInputMessage="true" sqref="F69:Q69" type="list">
      <formula1>"LAR,PHI"</formula1>
      <formula2>0</formula2>
    </dataValidation>
    <dataValidation allowBlank="true" error="Pick must be GB or TB" errorStyle="stop" errorTitle="Invalid Pick" operator="between" prompt="Pick GB or TB" promptTitle="ATS Pick" showDropDown="false" showErrorMessage="true" showInputMessage="true" sqref="F70:Q70" type="list">
      <formula1>"GB,TB"</formula1>
      <formula2>0</formula2>
    </dataValidation>
    <dataValidation allowBlank="true" error="Pick must be TEN or BAL" errorStyle="stop" errorTitle="Invalid Pick" operator="between" prompt="Pick TEN or BAL" promptTitle="ATS Pick" showDropDown="false" showErrorMessage="true" showInputMessage="true" sqref="F71:Q71" type="list">
      <formula1>"TEN,BAL"</formula1>
      <formula2>0</formula2>
    </dataValidation>
    <dataValidation allowBlank="true" error="Pick must be DAL or HOU" errorStyle="stop" errorTitle="Invalid Pick" operator="between" prompt="Pick DAL or HOU" promptTitle="ATS Pick" showDropDown="false" showErrorMessage="true" showInputMessage="true" sqref="F72:Q72" type="list">
      <formula1>"DAL,HOU"</formula1>
      <formula2>0</formula2>
    </dataValidation>
    <dataValidation allowBlank="true" error="Pick must be MIA or MIN" errorStyle="stop" errorTitle="Invalid Pick" operator="between" prompt="Pick MIA or MIN" promptTitle="ATS Pick" showDropDown="false" showErrorMessage="true" showInputMessage="true" sqref="F73:Q73" type="list">
      <formula1>"MIA,MIN"</formula1>
      <formula2>0</formula2>
    </dataValidation>
    <dataValidation allowBlank="true" error="Pick must be KC or LV" errorStyle="stop" errorTitle="Invalid Pick" operator="between" prompt="Pick KC or LV" promptTitle="ATS Pick" showDropDown="false" showErrorMessage="true" showInputMessage="true" sqref="F74:Q74" type="list">
      <formula1>"KC,LV"</formula1>
      <formula2>0</formula2>
    </dataValidation>
    <dataValidation allowBlank="true" error="Pick must be DEN or SF" errorStyle="stop" errorTitle="Invalid Pick" operator="between" prompt="Pick DEN or SF" promptTitle="ATS Pick" showDropDown="false" showErrorMessage="true" showInputMessage="true" sqref="F75:Q75" type="list">
      <formula1>"DEN,SF"</formula1>
      <formula2>0</formula2>
    </dataValidation>
    <dataValidation allowBlank="true" error="Pick must be LAC or SEA" errorStyle="stop" errorTitle="Invalid Pick" operator="between" prompt="Pick LAC or SEA" promptTitle="ATS Pick" showDropDown="false" showErrorMessage="true" showInputMessage="true" sqref="F76:Q76" type="list">
      <formula1>"LAC,SEA"</formula1>
      <formula2>0</formula2>
    </dataValidation>
    <dataValidation allowBlank="true" error="Pick must be DET or CAR" errorStyle="stop" errorTitle="Invalid Pick" operator="between" prompt="Pick DET or CAR" promptTitle="ATS Pick" showDropDown="false" showErrorMessage="true" showInputMessage="true" sqref="F77:Q77" type="list">
      <formula1>"DET,CAR"</formula1>
      <formula2>0</formula2>
    </dataValidation>
    <dataValidation allowBlank="true" error="Pick must be ATL or NO" errorStyle="stop" errorTitle="Invalid Pick" operator="between" prompt="Pick ATL or NO" promptTitle="ATS Pick" showDropDown="false" showErrorMessage="true" showInputMessage="true" sqref="F78:Q78" type="list">
      <formula1>"ATL,NO"</formula1>
      <formula2>0</formula2>
    </dataValidation>
    <dataValidation allowBlank="true" error="Pick must be TB or DAL" errorStyle="stop" errorTitle="Invalid Pick" operator="between" prompt="Pick TB or DAL" promptTitle="ATS Pick" showDropDown="false" showErrorMessage="true" showInputMessage="true" sqref="F82:Q82" type="list">
      <formula1>"TB,DAL"</formula1>
      <formula2>0</formula2>
    </dataValidation>
    <dataValidation allowBlank="true" error="Pick must be PHI or JAX" errorStyle="stop" errorTitle="Invalid Pick" operator="between" prompt="Pick PHI or JAX" promptTitle="ATS Pick" showDropDown="false" showErrorMessage="true" showInputMessage="true" sqref="F83:Q83" type="list">
      <formula1>"PHI,JAX"</formula1>
      <formula2>0</formula2>
    </dataValidation>
    <dataValidation allowBlank="true" error="Pick must be HOU or TEN" errorStyle="stop" errorTitle="Invalid Pick" operator="between" prompt="Pick HOU or TEN" promptTitle="ATS Pick" showDropDown="false" showErrorMessage="true" showInputMessage="true" sqref="F84:Q84" type="list">
      <formula1>"HOU,TEN"</formula1>
      <formula2>0</formula2>
    </dataValidation>
    <dataValidation allowBlank="true" error="Pick must be CIN or MIA" errorStyle="stop" errorTitle="Invalid Pick" operator="between" prompt="Pick CIN or MIA" promptTitle="ATS Pick" showDropDown="false" showErrorMessage="true" showInputMessage="true" sqref="F85:Q85" type="list">
      <formula1>"CIN,MIA"</formula1>
      <formula2>0</formula2>
    </dataValidation>
    <dataValidation allowBlank="true" error="Pick must be LV or NE" errorStyle="stop" errorTitle="Invalid Pick" operator="between" prompt="Pick LV or NE" promptTitle="ATS Pick" showDropDown="false" showErrorMessage="true" showInputMessage="true" sqref="F86:Q86" type="list">
      <formula1>"LV,NE"</formula1>
      <formula2>0</formula2>
    </dataValidation>
    <dataValidation allowBlank="true" error="Pick must be MIN or NO" errorStyle="stop" errorTitle="Invalid Pick" operator="between" prompt="Pick MIN or NO" promptTitle="ATS Pick" showDropDown="false" showErrorMessage="true" showInputMessage="true" sqref="F87:Q87" type="list">
      <formula1>"MIN,NO"</formula1>
      <formula2>0</formula2>
    </dataValidation>
    <dataValidation allowBlank="true" error="Pick must be CLE or NYJ" errorStyle="stop" errorTitle="Invalid Pick" operator="between" prompt="Pick CLE or NYJ" promptTitle="ATS Pick" showDropDown="false" showErrorMessage="true" showInputMessage="true" sqref="F88:Q88" type="list">
      <formula1>"CLE,NYJ"</formula1>
      <formula2>0</formula2>
    </dataValidation>
    <dataValidation allowBlank="true" error="Pick must be IND or PIT" errorStyle="stop" errorTitle="Invalid Pick" operator="between" prompt="Pick IND or PIT" promptTitle="ATS Pick" showDropDown="false" showErrorMessage="true" showInputMessage="true" sqref="F89:Q89" type="list">
      <formula1>"IND,PIT"</formula1>
      <formula2>0</formula2>
    </dataValidation>
    <dataValidation allowBlank="true" error="Pick must be NYG or WAS" errorStyle="stop" errorTitle="Invalid Pick" operator="between" prompt="Pick NYG or WAS" promptTitle="ATS Pick" showDropDown="false" showErrorMessage="true" showInputMessage="true" sqref="F90:Q90" type="list">
      <formula1>"NYG,WAS"</formula1>
      <formula2>0</formula2>
    </dataValidation>
    <dataValidation allowBlank="true" error="Pick must be DEN or LAC" errorStyle="stop" errorTitle="Invalid Pick" operator="between" prompt="Pick DEN or LAC" promptTitle="ATS Pick" showDropDown="false" showErrorMessage="true" showInputMessage="true" sqref="F91:Q91" type="list">
      <formula1>"DEN,LAC"</formula1>
      <formula2>0</formula2>
    </dataValidation>
    <dataValidation allowBlank="true" error="Pick must be CHI or GB" errorStyle="stop" errorTitle="Invalid Pick" operator="between" prompt="Pick CHI or GB" promptTitle="ATS Pick" showDropDown="false" showErrorMessage="true" showInputMessage="true" sqref="F92:Q92" type="list">
      <formula1>"CHI,GB"</formula1>
      <formula2>0</formula2>
    </dataValidation>
    <dataValidation allowBlank="true" error="Pick must be DET or ARI" errorStyle="stop" errorTitle="Invalid Pick" operator="between" prompt="Pick DET or ARI" promptTitle="ATS Pick" showDropDown="false" showErrorMessage="true" showInputMessage="true" sqref="F93:Q93" type="list">
      <formula1>"DET,ARI"</formula1>
      <formula2>0</formula2>
    </dataValidation>
    <dataValidation allowBlank="true" error="Pick must be SF or SEA" errorStyle="stop" errorTitle="Invalid Pick" operator="between" prompt="Pick SF or SEA" promptTitle="ATS Pick" showDropDown="false" showErrorMessage="true" showInputMessage="true" sqref="F94:Q94" type="list">
      <formula1>"SF,SEA"</formula1>
      <formula2>0</formula2>
    </dataValidation>
    <dataValidation allowBlank="true" error="Pick must be BAL or ATL" errorStyle="stop" errorTitle="Invalid Pick" operator="between" prompt="Pick BAL or ATL" promptTitle="ATS Pick" showDropDown="false" showErrorMessage="true" showInputMessage="true" sqref="F95:Q95" type="list">
      <formula1>"BAL,ATL"</formula1>
      <formula2>0</formula2>
    </dataValidation>
    <dataValidation allowBlank="true" error="Pick must be BUF or LAR" errorStyle="stop" errorTitle="Invalid Pick" operator="between" prompt="Pick BUF or LAR" promptTitle="ATS Pick" showDropDown="false" showErrorMessage="true" showInputMessage="true" sqref="F96:Q96" type="list">
      <formula1>"BUF,LAR"</formula1>
      <formula2>0</formula2>
    </dataValidation>
    <dataValidation allowBlank="true" error="Pick must be SEA or DEN" errorStyle="stop" errorTitle="Invalid Pick" operator="between" prompt="Pick SEA or DEN" promptTitle="ATS Pick" showDropDown="false" showErrorMessage="true" showInputMessage="true" sqref="F100:Q100" type="list">
      <formula1>"SEA,DEN"</formula1>
      <formula2>0</formula2>
    </dataValidation>
    <dataValidation allowBlank="true" error="Pick must be HOU or JAX" errorStyle="stop" errorTitle="Invalid Pick" operator="between" prompt="Pick HOU or JAX" promptTitle="ATS Pick" showDropDown="false" showErrorMessage="true" showInputMessage="true" sqref="F101:Q101" type="list">
      <formula1>"HOU,JAX"</formula1>
      <formula2>0</formula2>
    </dataValidation>
    <dataValidation allowBlank="true" error="Pick must be CHI or ATL" errorStyle="stop" errorTitle="Invalid Pick" operator="between" prompt="Pick CHI or ATL" promptTitle="ATS Pick" showDropDown="false" showErrorMessage="true" showInputMessage="true" sqref="F102:Q102" type="list">
      <formula1>"CHI,ATL"</formula1>
      <formula2>0</formula2>
    </dataValidation>
    <dataValidation allowBlank="true" error="Pick must be BAL or CLE" errorStyle="stop" errorTitle="Invalid Pick" operator="between" prompt="Pick BAL or CLE" promptTitle="ATS Pick" showDropDown="false" showErrorMessage="true" showInputMessage="true" sqref="F103:Q103" type="list">
      <formula1>"BAL,CLE"</formula1>
      <formula2>0</formula2>
    </dataValidation>
    <dataValidation allowBlank="true" error="Pick must be TEN or IND" errorStyle="stop" errorTitle="Invalid Pick" operator="between" prompt="Pick TEN or IND" promptTitle="ATS Pick" showDropDown="false" showErrorMessage="true" showInputMessage="true" sqref="F104:Q104" type="list">
      <formula1>"TEN,IND"</formula1>
      <formula2>0</formula2>
    </dataValidation>
    <dataValidation allowBlank="true" error="Pick must be NYJ or NE" errorStyle="stop" errorTitle="Invalid Pick" operator="between" prompt="Pick NYJ or NE" promptTitle="ATS Pick" showDropDown="false" showErrorMessage="true" showInputMessage="true" sqref="F105:Q105" type="list">
      <formula1>"NYJ,NE"</formula1>
      <formula2>0</formula2>
    </dataValidation>
    <dataValidation allowBlank="true" error="Pick must be NO or NYG" errorStyle="stop" errorTitle="Invalid Pick" operator="between" prompt="Pick NO or NYG" promptTitle="ATS Pick" showDropDown="false" showErrorMessage="true" showInputMessage="true" sqref="F106:Q106" type="list">
      <formula1>"NO,NYG"</formula1>
      <formula2>0</formula2>
    </dataValidation>
    <dataValidation allowBlank="true" error="Pick must be CAR or PHI" errorStyle="stop" errorTitle="Invalid Pick" operator="between" prompt="Pick CAR or PHI" promptTitle="ATS Pick" showDropDown="false" showErrorMessage="true" showInputMessage="true" sqref="F107:Q107" type="list">
      <formula1>"CAR,PHI"</formula1>
      <formula2>0</formula2>
    </dataValidation>
    <dataValidation allowBlank="true" error="Pick must be PIT or TB" errorStyle="stop" errorTitle="Invalid Pick" operator="between" prompt="Pick PIT or TB" promptTitle="ATS Pick" showDropDown="false" showErrorMessage="true" showInputMessage="true" sqref="F108:Q108" type="list">
      <formula1>"PIT,TB"</formula1>
      <formula2>0</formula2>
    </dataValidation>
    <dataValidation allowBlank="true" error="Pick must be LAR or KC" errorStyle="stop" errorTitle="Invalid Pick" operator="between" prompt="Pick LAR or KC" promptTitle="ATS Pick" showDropDown="false" showErrorMessage="true" showInputMessage="true" sqref="F110:Q110" type="list">
      <formula1>"LAR,KC"</formula1>
      <formula2>0</formula2>
    </dataValidation>
    <dataValidation allowBlank="true" error="Pick must be BUF or LV" errorStyle="stop" errorTitle="Invalid Pick" operator="between" prompt="Pick BUF or LV" promptTitle="ATS Pick" showDropDown="false" showErrorMessage="true" showInputMessage="true" sqref="F111:Q111" type="list">
      <formula1>"BUF,LV"</formula1>
      <formula2>0</formula2>
    </dataValidation>
    <dataValidation allowBlank="true" error="Pick must be DAL or GB" errorStyle="stop" errorTitle="Invalid Pick" operator="between" prompt="Pick DAL or GB" promptTitle="ATS Pick" showDropDown="false" showErrorMessage="true" showInputMessage="true" sqref="F112:Q112" type="list">
      <formula1>"DAL,GB"</formula1>
      <formula2>0</formula2>
    </dataValidation>
    <dataValidation allowBlank="true" error="Pick must be WAS or SF" errorStyle="stop" errorTitle="Invalid Pick" operator="between" prompt="Pick WAS or SF" promptTitle="ATS Pick" showDropDown="false" showErrorMessage="true" showInputMessage="true" sqref="F113:Q113" type="list">
      <formula1>"WAS,SF"</formula1>
      <formula2>0</formula2>
    </dataValidation>
    <dataValidation allowBlank="true" error="Pick must be NE or CHI" errorStyle="stop" errorTitle="Invalid Pick" operator="between" prompt="Pick NE or CHI" promptTitle="ATS Pick" showDropDown="false" showErrorMessage="true" showInputMessage="true" sqref="F117:Q117" type="list">
      <formula1>"NE,CHI"</formula1>
      <formula2>0</formula2>
    </dataValidation>
    <dataValidation allowBlank="true" error="Pick must be PIT or NO" errorStyle="stop" errorTitle="Invalid Pick" operator="between" prompt="Pick PIT or NO" promptTitle="ATS Pick" showDropDown="false" showErrorMessage="true" showInputMessage="true" sqref="F118:Q118" type="list">
      <formula1>"PIT,NO"</formula1>
      <formula2>0</formula2>
    </dataValidation>
    <dataValidation allowBlank="true" error="Pick must be SF or ATL" errorStyle="stop" errorTitle="Invalid Pick" operator="between" prompt="Pick SF or ATL" promptTitle="ATS Pick" showDropDown="false" showErrorMessage="true" showInputMessage="true" sqref="F119:Q119" type="list">
      <formula1>"SF,ATL"</formula1>
      <formula2>0</formula2>
    </dataValidation>
    <dataValidation allowBlank="true" error="Pick must be CLE or TEN" errorStyle="stop" errorTitle="Invalid Pick" operator="between" prompt="Pick CLE or TEN" promptTitle="ATS Pick" showDropDown="false" showErrorMessage="true" showInputMessage="true" sqref="F120:Q120" type="list">
      <formula1>"CLE,TEN"</formula1>
      <formula2>0</formula2>
    </dataValidation>
    <dataValidation allowBlank="true" error="Pick must be IND or MIN" errorStyle="stop" errorTitle="Invalid Pick" operator="between" prompt="Pick IND or MIN" promptTitle="ATS Pick" showDropDown="false" showErrorMessage="true" showInputMessage="true" sqref="F121:Q121" type="list">
      <formula1>"IND,MIN"</formula1>
      <formula2>0</formula2>
    </dataValidation>
    <dataValidation allowBlank="true" error="Pick must be MIA or NYJ" errorStyle="stop" errorTitle="Invalid Pick" operator="between" prompt="Pick MIA or NYJ" promptTitle="ATS Pick" showDropDown="false" showErrorMessage="true" showInputMessage="true" sqref="F122:Q122" type="list">
      <formula1>"MIA,NYJ"</formula1>
      <formula2>0</formula2>
    </dataValidation>
    <dataValidation allowBlank="true" error="Pick must be TB or CAR" errorStyle="stop" errorTitle="Invalid Pick" operator="between" prompt="Pick TB or CAR" promptTitle="ATS Pick" showDropDown="false" showErrorMessage="true" showInputMessage="true" sqref="F123:Q123" type="list">
      <formula1>"TB,CAR"</formula1>
      <formula2>0</formula2>
    </dataValidation>
    <dataValidation allowBlank="true" error="Pick must be CIN or BAL" errorStyle="stop" errorTitle="Invalid Pick" operator="between" prompt="Pick CIN or BAL" promptTitle="ATS Pick" showDropDown="false" showErrorMessage="true" showInputMessage="true" sqref="F124:Q124" type="list">
      <formula1>"CIN,BAL"</formula1>
      <formula2>0</formula2>
    </dataValidation>
    <dataValidation allowBlank="true" error="Pick must be NYG or HOU" errorStyle="stop" errorTitle="Invalid Pick" operator="between" prompt="Pick NYG or HOU" promptTitle="ATS Pick" showDropDown="false" showErrorMessage="true" showInputMessage="true" sqref="F125:Q125" type="list">
      <formula1>"NYG,HOU"</formula1>
      <formula2>0</formula2>
    </dataValidation>
    <dataValidation allowBlank="true" error="Pick must be DEN or ARI" errorStyle="stop" errorTitle="Invalid Pick" operator="between" prompt="Pick DEN or ARI" promptTitle="ATS Pick" showDropDown="false" showErrorMessage="true" showInputMessage="true" sqref="F126:Q126" type="list">
      <formula1>"DEN,ARI"</formula1>
      <formula2>0</formula2>
    </dataValidation>
    <dataValidation allowBlank="true" error="Pick must be GB or DET" errorStyle="stop" errorTitle="Invalid Pick" operator="between" prompt="Pick GB or DET" promptTitle="ATS Pick" showDropDown="false" showErrorMessage="true" showInputMessage="true" sqref="F127:Q127" type="list">
      <formula1>"GB,DET"</formula1>
      <formula2>0</formula2>
    </dataValidation>
    <dataValidation allowBlank="true" error="Pick must be LAR or LV" errorStyle="stop" errorTitle="Invalid Pick" operator="between" prompt="Pick LAR or LV" promptTitle="ATS Pick" showDropDown="false" showErrorMessage="true" showInputMessage="true" sqref="F128:Q128" type="list">
      <formula1>"LAR,LV"</formula1>
      <formula2>0</formula2>
    </dataValidation>
    <dataValidation allowBlank="true" error="Pick must be KC or SEA" errorStyle="stop" errorTitle="Invalid Pick" operator="between" prompt="Pick KC or SEA" promptTitle="ATS Pick" showDropDown="false" showErrorMessage="true" showInputMessage="true" sqref="F129:Q129" type="list">
      <formula1>"KC,SEA"</formula1>
      <formula2>0</formula2>
    </dataValidation>
    <dataValidation allowBlank="true" error="Pick must be DAL or PHI" errorStyle="stop" errorTitle="Invalid Pick" operator="between" prompt="Pick DAL or PHI" promptTitle="ATS Pick" showDropDown="false" showErrorMessage="true" showInputMessage="true" sqref="F130:Q130" type="list">
      <formula1>"DAL,PHI"</formula1>
      <formula2>0</formula2>
    </dataValidation>
    <dataValidation allowBlank="true" error="Pick must be CAR or GB" errorStyle="stop" errorTitle="Invalid Pick" operator="between" prompt="Pick CAR or GB" promptTitle="ATS Pick" showDropDown="false" showErrorMessage="true" showInputMessage="true" sqref="F134:Q134" type="list">
      <formula1>"CAR,GB"</formula1>
      <formula2>0</formula2>
    </dataValidation>
    <dataValidation allowBlank="true" error="Pick must be BAL or BUF" errorStyle="stop" errorTitle="Invalid Pick" operator="between" prompt="Pick BAL or BUF" promptTitle="ATS Pick" showDropDown="false" showErrorMessage="true" showInputMessage="true" sqref="F135:Q135" type="list">
      <formula1>"BAL,BUF"</formula1>
      <formula2>0</formula2>
    </dataValidation>
    <dataValidation allowBlank="true" error="Pick must be TEN or CIN" errorStyle="stop" errorTitle="Invalid Pick" operator="between" prompt="Pick TEN or CIN" promptTitle="ATS Pick" showDropDown="false" showErrorMessage="true" showInputMessage="true" sqref="F136:Q136" type="list">
      <formula1>"TEN,CIN"</formula1>
      <formula2>0</formula2>
    </dataValidation>
    <dataValidation allowBlank="true" error="Pick must be ARI or DAL" errorStyle="stop" errorTitle="Invalid Pick" operator="between" prompt="Pick ARI or DAL" promptTitle="ATS Pick" showDropDown="false" showErrorMessage="true" showInputMessage="true" sqref="F137:Q137" type="list">
      <formula1>"ARI,DAL"</formula1>
      <formula2>0</formula2>
    </dataValidation>
    <dataValidation allowBlank="true" error="Pick must be MIN or DET" errorStyle="stop" errorTitle="Invalid Pick" operator="between" prompt="Pick MIN or DET" promptTitle="ATS Pick" showDropDown="false" showErrorMessage="true" showInputMessage="true" sqref="F138:Q138" type="list">
      <formula1>"MIN,DET"</formula1>
      <formula2>0</formula2>
    </dataValidation>
    <dataValidation allowBlank="true" error="Pick must be LV or NYJ" errorStyle="stop" errorTitle="Invalid Pick" operator="between" prompt="Pick LV or NYJ" promptTitle="ATS Pick" showDropDown="false" showErrorMessage="true" showInputMessage="true" sqref="F139:Q139" type="list">
      <formula1>"LV,NYJ"</formula1>
      <formula2>0</formula2>
    </dataValidation>
    <dataValidation allowBlank="true" error="Pick must be CLE or PIT" errorStyle="stop" errorTitle="Invalid Pick" operator="between" prompt="Pick CLE or PIT" promptTitle="ATS Pick" showDropDown="false" showErrorMessage="true" showInputMessage="true" sqref="F140:Q140" type="list">
      <formula1>"CLE,PIT"</formula1>
      <formula2>0</formula2>
    </dataValidation>
    <dataValidation allowBlank="true" error="Pick must be ATL or TB" errorStyle="stop" errorTitle="Invalid Pick" operator="between" prompt="Pick ATL or TB" promptTitle="ATS Pick" showDropDown="false" showErrorMessage="true" showInputMessage="true" sqref="F141:Q141" type="list">
      <formula1>"ATL,TB"</formula1>
      <formula2>0</formula2>
    </dataValidation>
    <dataValidation allowBlank="true" error="Pick must be IND or JAX" errorStyle="stop" errorTitle="Invalid Pick" operator="between" prompt="Pick IND or JAX" promptTitle="ATS Pick" showDropDown="false" showErrorMessage="true" showInputMessage="true" sqref="F142:Q142" type="list">
      <formula1>"IND,JAX"</formula1>
      <formula2>0</formula2>
    </dataValidation>
    <dataValidation allowBlank="true" error="Pick must be LAR or LAC" errorStyle="stop" errorTitle="Invalid Pick" operator="between" prompt="Pick LAR or LAC" promptTitle="ATS Pick" showDropDown="false" showErrorMessage="true" showInputMessage="true" sqref="F143:Q143" type="list">
      <formula1>"LAR,LAC"</formula1>
      <formula2>0</formula2>
    </dataValidation>
    <dataValidation allowBlank="true" error="Pick must be KC or DEN" errorStyle="stop" errorTitle="Invalid Pick" operator="between" prompt="Pick KC or DEN" promptTitle="ATS Pick" showDropDown="false" showErrorMessage="true" showInputMessage="true" sqref="F144:Q144" type="list">
      <formula1>"KC,DEN"</formula1>
      <formula2>0</formula2>
    </dataValidation>
    <dataValidation allowBlank="true" error="Pick must be NE or MIA" errorStyle="stop" errorTitle="Invalid Pick" operator="between" prompt="Pick NE or MIA" promptTitle="ATS Pick" showDropDown="false" showErrorMessage="true" showInputMessage="true" sqref="F145:Q145" type="list">
      <formula1>"NE,MIA"</formula1>
      <formula2>0</formula2>
    </dataValidation>
    <dataValidation allowBlank="true" error="Pick must be PHI or WAS" errorStyle="stop" errorTitle="Invalid Pick" operator="between" prompt="Pick PHI or WAS" promptTitle="ATS Pick" showDropDown="false" showErrorMessage="true" showInputMessage="true" sqref="F146:Q146" type="list">
      <formula1>"PHI,WAS"</formula1>
      <formula2>0</formula2>
    </dataValidation>
    <dataValidation allowBlank="true" error="Pick must be CHI or SEA" errorStyle="stop" errorTitle="Invalid Pick" operator="between" prompt="Pick CHI or SEA" promptTitle="ATS Pick" showDropDown="false" showErrorMessage="true" showInputMessage="true" sqref="F147:Q147" type="list">
      <formula1>"CHI,SEA"</formula1>
      <formula2>0</formula2>
    </dataValidation>
    <dataValidation allowBlank="true" error="Pick must be JAX or BAL" errorStyle="stop" errorTitle="Invalid Pick" operator="between" prompt="Pick JAX or BAL" promptTitle="ATS Pick" showDropDown="false" showErrorMessage="true" showInputMessage="true" sqref="F151:Q151" type="list">
      <formula1>"JAX,BAL"</formula1>
      <formula2>0</formula2>
    </dataValidation>
    <dataValidation allowBlank="true" error="Pick must be CIN or ATL" errorStyle="stop" errorTitle="Invalid Pick" operator="between" prompt="Pick CIN or ATL" promptTitle="ATS Pick" showDropDown="false" showErrorMessage="true" showInputMessage="true" sqref="F152:Q152" type="list">
      <formula1>"CIN,ATL"</formula1>
      <formula2>0</formula2>
    </dataValidation>
    <dataValidation allowBlank="true" error="Pick must be DAL or IND" errorStyle="stop" errorTitle="Invalid Pick" operator="between" prompt="Pick DAL or IND" promptTitle="ATS Pick" showDropDown="false" showErrorMessage="true" showInputMessage="true" sqref="F153:Q153" type="list">
      <formula1>"DAL,IND"</formula1>
      <formula2>0</formula2>
    </dataValidation>
    <dataValidation allowBlank="true" error="Pick must be NYJ or KC" errorStyle="stop" errorTitle="Invalid Pick" operator="between" prompt="Pick NYJ or KC" promptTitle="ATS Pick" showDropDown="false" showErrorMessage="true" showInputMessage="true" sqref="F154:Q154" type="list">
      <formula1>"NYJ,KC"</formula1>
      <formula2>0</formula2>
    </dataValidation>
    <dataValidation allowBlank="true" error="Pick must be DET or MIA" errorStyle="stop" errorTitle="Invalid Pick" operator="between" prompt="Pick DET or MIA" promptTitle="ATS Pick" showDropDown="false" showErrorMessage="true" showInputMessage="true" sqref="F155:Q155" type="list">
      <formula1>"DET,MIA"</formula1>
      <formula2>0</formula2>
    </dataValidation>
    <dataValidation allowBlank="true" error="Pick must be CLE or NO" errorStyle="stop" errorTitle="Invalid Pick" operator="between" prompt="Pick CLE or NO" promptTitle="ATS Pick" showDropDown="false" showErrorMessage="true" showInputMessage="true" sqref="F156:Q156" type="list">
      <formula1>"CLE,NO"</formula1>
      <formula2>0</formula2>
    </dataValidation>
    <dataValidation allowBlank="true" error="Pick must be NYG or PHI" errorStyle="stop" errorTitle="Invalid Pick" operator="between" prompt="Pick NYG or PHI" promptTitle="ATS Pick" showDropDown="false" showErrorMessage="true" showInputMessage="true" sqref="F157:Q157" type="list">
      <formula1>"NYG,PHI"</formula1>
      <formula2>0</formula2>
    </dataValidation>
    <dataValidation allowBlank="true" error="Pick must be LAR or WAS" errorStyle="stop" errorTitle="Invalid Pick" operator="between" prompt="Pick LAR or WAS" promptTitle="ATS Pick" showDropDown="false" showErrorMessage="true" showInputMessage="true" sqref="F158:Q158" type="list">
      <formula1>"LAR,WAS"</formula1>
      <formula2>0</formula2>
    </dataValidation>
    <dataValidation allowBlank="true" error="Pick must be DEN or CAR" errorStyle="stop" errorTitle="Invalid Pick" operator="between" prompt="Pick DEN or CAR" promptTitle="ATS Pick" showDropDown="false" showErrorMessage="true" showInputMessage="true" sqref="F159:Q159" type="list">
      <formula1>"DEN,CAR"</formula1>
      <formula2>0</formula2>
    </dataValidation>
    <dataValidation allowBlank="true" error="Pick must be HOU or LAC" errorStyle="stop" errorTitle="Invalid Pick" operator="between" prompt="Pick HOU or LAC" promptTitle="ATS Pick" showDropDown="false" showErrorMessage="true" showInputMessage="true" sqref="F160:Q160" type="list">
      <formula1>"HOU,LAC"</formula1>
      <formula2>0</formula2>
    </dataValidation>
    <dataValidation allowBlank="true" error="Pick must be LV or SF" errorStyle="stop" errorTitle="Invalid Pick" operator="between" prompt="Pick LV or SF" promptTitle="ATS Pick" showDropDown="false" showErrorMessage="true" showInputMessage="true" sqref="F161:Q161" type="list">
      <formula1>"LV,SF"</formula1>
      <formula2>0</formula2>
    </dataValidation>
    <dataValidation allowBlank="true" error="Pick must be GB or NE" errorStyle="stop" errorTitle="Invalid Pick" operator="between" prompt="Pick GB or NE" promptTitle="ATS Pick" showDropDown="false" showErrorMessage="true" showInputMessage="true" sqref="F162:Q162" type="list">
      <formula1>"GB,NE"</formula1>
      <formula2>0</formula2>
    </dataValidation>
    <dataValidation allowBlank="true" error="Pick must be ARI or SEA" errorStyle="stop" errorTitle="Invalid Pick" operator="between" prompt="Pick ARI or SEA" promptTitle="ATS Pick" showDropDown="false" showErrorMessage="true" showInputMessage="true" sqref="F163:Q163" type="list">
      <formula1>"ARI,SEA"</formula1>
      <formula2>0</formula2>
    </dataValidation>
    <dataValidation allowBlank="true" error="Pick must be TB or CHI" errorStyle="stop" errorTitle="Invalid Pick" operator="between" prompt="Pick TB or CHI" promptTitle="ATS Pick" showDropDown="false" showErrorMessage="true" showInputMessage="true" sqref="F164:Q164" type="list">
      <formula1>"TB,CHI"</formula1>
      <formula2>0</formula2>
    </dataValidation>
    <dataValidation allowBlank="true" error="Pick must be BUF or MIN" errorStyle="stop" errorTitle="Invalid Pick" operator="between" prompt="Pick BUF or MIN" promptTitle="ATS Pick" showDropDown="false" showErrorMessage="true" showInputMessage="true" sqref="F165:Q165" type="list">
      <formula1>"BUF,MIN"</formula1>
      <formula2>0</formula2>
    </dataValidation>
    <dataValidation allowBlank="true" error="Pick must be WAS or NYG" errorStyle="stop" errorTitle="Invalid Pick" operator="between" prompt="Pick WAS or NYG" promptTitle="ATS Pick" showDropDown="false" showErrorMessage="true" showInputMessage="true" sqref="F169:Q169" type="list">
      <formula1>"WAS,NYG"</formula1>
      <formula2>0</formula2>
    </dataValidation>
    <dataValidation allowBlank="true" error="Pick must be NE or DET" errorStyle="stop" errorTitle="Invalid Pick" operator="between" prompt="Pick NE or DET" promptTitle="ATS Pick" showDropDown="false" showErrorMessage="true" showInputMessage="true" sqref="F170:Q170" type="list">
      <formula1>"NE,DET"</formula1>
      <formula2>0</formula2>
    </dataValidation>
    <dataValidation allowBlank="true" error="Pick must be KC or ATL" errorStyle="stop" errorTitle="Invalid Pick" operator="between" prompt="Pick KC or ATL" promptTitle="ATS Pick" showDropDown="false" showErrorMessage="true" showInputMessage="true" sqref="F171:Q171" type="list">
      <formula1>"KC,ATL"</formula1>
      <formula2>0</formula2>
    </dataValidation>
    <dataValidation allowBlank="true" error="Pick must be HOU or CLE" errorStyle="stop" errorTitle="Invalid Pick" operator="between" prompt="Pick HOU or CLE" promptTitle="ATS Pick" showDropDown="false" showErrorMessage="true" showInputMessage="true" sqref="F172:Q172" type="list">
      <formula1>"HOU,CLE"</formula1>
      <formula2>0</formula2>
    </dataValidation>
    <dataValidation allowBlank="true" error="Pick must be MIN or GB" errorStyle="stop" errorTitle="Invalid Pick" operator="between" prompt="Pick MIN or GB" promptTitle="ATS Pick" showDropDown="false" showErrorMessage="true" showInputMessage="true" sqref="F173:Q173" type="list">
      <formula1>"MIN,GB"</formula1>
      <formula2>0</formula2>
    </dataValidation>
    <dataValidation allowBlank="true" error="Pick must be JAX or TEN" errorStyle="stop" errorTitle="Invalid Pick" operator="between" prompt="Pick JAX or TEN" promptTitle="ATS Pick" showDropDown="false" showErrorMessage="true" showInputMessage="true" sqref="F174:Q174" type="list">
      <formula1>"JAX,TEN"</formula1>
      <formula2>0</formula2>
    </dataValidation>
    <dataValidation allowBlank="true" error="Pick must be MIA or IND" errorStyle="stop" errorTitle="Invalid Pick" operator="between" prompt="Pick MIA or IND" promptTitle="ATS Pick" showDropDown="false" showErrorMessage="true" showInputMessage="true" sqref="F175:Q175" type="list">
      <formula1>"MIA,IND"</formula1>
      <formula2>0</formula2>
    </dataValidation>
    <dataValidation allowBlank="true" error="Pick must be CAR or NO" errorStyle="stop" errorTitle="Invalid Pick" operator="between" prompt="Pick CAR or NO" promptTitle="ATS Pick" showDropDown="false" showErrorMessage="true" showInputMessage="true" sqref="F176:Q176" type="list">
      <formula1>"CAR,NO"</formula1>
      <formula2>0</formula2>
    </dataValidation>
    <dataValidation allowBlank="true" error="Pick must be BUF or NYJ" errorStyle="stop" errorTitle="Invalid Pick" operator="between" prompt="Pick BUF or NYJ" promptTitle="ATS Pick" showDropDown="false" showErrorMessage="true" showInputMessage="true" sqref="F177:Q177" type="list">
      <formula1>"BUF,NYJ"</formula1>
      <formula2>0</formula2>
    </dataValidation>
    <dataValidation allowBlank="true" error="Pick must be SEA or LV" errorStyle="stop" errorTitle="Invalid Pick" operator="between" prompt="Pick SEA or LV" promptTitle="ATS Pick" showDropDown="false" showErrorMessage="true" showInputMessage="true" sqref="F178:Q178" type="list">
      <formula1>"SEA,LV"</formula1>
      <formula2>0</formula2>
    </dataValidation>
    <dataValidation allowBlank="true" error="Pick must be LAR or ARI" errorStyle="stop" errorTitle="Invalid Pick" operator="between" prompt="Pick LAR or ARI" promptTitle="ATS Pick" showDropDown="false" showErrorMessage="true" showInputMessage="true" sqref="F179:Q179" type="list">
      <formula1>"LAR,ARI"</formula1>
      <formula2>0</formula2>
    </dataValidation>
    <dataValidation allowBlank="true" error="Pick must be SF or DAL" errorStyle="stop" errorTitle="Invalid Pick" operator="between" prompt="Pick SF or DAL" promptTitle="ATS Pick" showDropDown="false" showErrorMessage="true" showInputMessage="true" sqref="F180:Q180" type="list">
      <formula1>"SF,DAL"</formula1>
      <formula2>0</formula2>
    </dataValidation>
    <dataValidation allowBlank="true" error="Pick must be PIT or CIN" errorStyle="stop" errorTitle="Invalid Pick" operator="between" prompt="Pick PIT or CIN" promptTitle="ATS Pick" showDropDown="false" showErrorMessage="true" showInputMessage="true" sqref="F181:Q181" type="list">
      <formula1>"PIT,CIN"</formula1>
      <formula2>0</formula2>
    </dataValidation>
    <dataValidation allowBlank="true" error="Pick must be LAC or BAL" errorStyle="stop" errorTitle="Invalid Pick" operator="between" prompt="Pick LAC or BAL" promptTitle="ATS Pick" showDropDown="false" showErrorMessage="true" showInputMessage="true" sqref="F182:Q182" type="list">
      <formula1>"LAC,BAL"</formula1>
      <formula2>0</formula2>
    </dataValidation>
    <dataValidation allowBlank="true" error="Pick must be IND or HOU" errorStyle="stop" errorTitle="Invalid Pick" operator="between" prompt="Pick IND or HOU" promptTitle="ATS Pick" showDropDown="false" showErrorMessage="true" showInputMessage="true" sqref="F186:Q186" type="list">
      <formula1>"IND,HOU"</formula1>
      <formula2>0</formula2>
    </dataValidation>
    <dataValidation allowBlank="true" error="Pick must be MIA or BUF" errorStyle="stop" errorTitle="Invalid Pick" operator="between" prompt="Pick MIA or BUF" promptTitle="ATS Pick" showDropDown="false" showErrorMessage="true" showInputMessage="true" sqref="F187:Q187" type="list">
      <formula1>"MIA,BUF"</formula1>
      <formula2>0</formula2>
    </dataValidation>
    <dataValidation allowBlank="true" error="Pick must be NO or CHI" errorStyle="stop" errorTitle="Invalid Pick" operator="between" prompt="Pick NO or CHI" promptTitle="ATS Pick" showDropDown="false" showErrorMessage="true" showInputMessage="true" sqref="F188:Q188" type="list">
      <formula1>"NO,CHI"</formula1>
      <formula2>0</formula2>
    </dataValidation>
    <dataValidation allowBlank="true" error="Pick must be TEN or DAL" errorStyle="stop" errorTitle="Invalid Pick" operator="between" prompt="Pick TEN or DAL" promptTitle="ATS Pick" showDropDown="false" showErrorMessage="true" showInputMessage="true" sqref="F189:Q189" type="list">
      <formula1>"TEN,DAL"</formula1>
      <formula2>0</formula2>
    </dataValidation>
    <dataValidation allowBlank="true" error="Pick must be TB or DET" errorStyle="stop" errorTitle="Invalid Pick" operator="between" prompt="Pick TB or DET" promptTitle="ATS Pick" showDropDown="false" showErrorMessage="true" showInputMessage="true" sqref="F190:Q190" type="list">
      <formula1>"TB,DET"</formula1>
      <formula2>0</formula2>
    </dataValidation>
    <dataValidation allowBlank="true" error="Pick must be ARI or KC" errorStyle="stop" errorTitle="Invalid Pick" operator="between" prompt="Pick ARI or KC" promptTitle="ATS Pick" showDropDown="false" showErrorMessage="true" showInputMessage="true" sqref="F191:Q191" type="list">
      <formula1>"ARI,KC"</formula1>
      <formula2>0</formula2>
    </dataValidation>
    <dataValidation allowBlank="true" error="Pick must be JAX or NYG" errorStyle="stop" errorTitle="Invalid Pick" operator="between" prompt="Pick JAX or NYG" promptTitle="ATS Pick" showDropDown="false" showErrorMessage="true" showInputMessage="true" sqref="F192:Q192" type="list">
      <formula1>"JAX,NYG"</formula1>
      <formula2>0</formula2>
    </dataValidation>
    <dataValidation allowBlank="true" error="Pick must be BAL or CAR" errorStyle="stop" errorTitle="Invalid Pick" operator="between" prompt="Pick BAL or CAR" promptTitle="ATS Pick" showDropDown="false" showErrorMessage="true" showInputMessage="true" sqref="F193:Q193" type="list">
      <formula1>"BAL,CAR"</formula1>
      <formula2>0</formula2>
    </dataValidation>
    <dataValidation allowBlank="true" error="Pick must be NYJ or LAC" errorStyle="stop" errorTitle="Invalid Pick" operator="between" prompt="Pick NYJ or LAC" promptTitle="ATS Pick" showDropDown="false" showErrorMessage="true" showInputMessage="true" sqref="F194:Q194" type="list">
      <formula1>"NYJ,LAC"</formula1>
      <formula2>0</formula2>
    </dataValidation>
    <dataValidation allowBlank="true" error="Pick must be LV or DEN" errorStyle="stop" errorTitle="Invalid Pick" operator="between" prompt="Pick LV or DEN" promptTitle="ATS Pick" showDropDown="false" showErrorMessage="true" showInputMessage="true" sqref="F195:Q195" type="list">
      <formula1>"LV,DEN"</formula1>
      <formula2>0</formula2>
    </dataValidation>
    <dataValidation allowBlank="true" error="Pick must be PIT or PHI" errorStyle="stop" errorTitle="Invalid Pick" operator="between" prompt="Pick PIT or PHI" promptTitle="ATS Pick" showDropDown="false" showErrorMessage="true" showInputMessage="true" sqref="F196:Q196" type="list">
      <formula1>"PIT,PHI"</formula1>
      <formula2>0</formula2>
    </dataValidation>
    <dataValidation allowBlank="true" error="Pick must be MIN or SF" errorStyle="stop" errorTitle="Invalid Pick" operator="between" prompt="Pick MIN or SF" promptTitle="ATS Pick" showDropDown="false" showErrorMessage="true" showInputMessage="true" sqref="F197:Q197" type="list">
      <formula1>"MIN,SF"</formula1>
      <formula2>0</formula2>
    </dataValidation>
    <dataValidation allowBlank="true" error="Pick must be CIN or WAS" errorStyle="stop" errorTitle="Invalid Pick" operator="between" prompt="Pick CIN or WAS" promptTitle="ATS Pick" showDropDown="false" showErrorMessage="true" showInputMessage="true" sqref="F198:Q198" type="list">
      <formula1>"CIN,WAS"</formula1>
      <formula2>0</formula2>
    </dataValidation>
    <dataValidation allowBlank="true" error="Pick must be GB or LAR" errorStyle="stop" errorTitle="Invalid Pick" operator="between" prompt="Pick GB or LAR" promptTitle="ATS Pick" showDropDown="false" showErrorMessage="true" showInputMessage="true" sqref="F202:Q202" type="list">
      <formula1>"GB,LAR"</formula1>
      <formula2>0</formula2>
    </dataValidation>
    <dataValidation allowBlank="true" error="Pick must be CHI or DET" errorStyle="stop" errorTitle="Invalid Pick" operator="between" prompt="Pick CHI or DET" promptTitle="ATS Pick" showDropDown="false" showErrorMessage="true" showInputMessage="true" sqref="F203:Q203" type="list">
      <formula1>"CHI,DET"</formula1>
      <formula2>0</formula2>
    </dataValidation>
    <dataValidation allowBlank="true" error="Pick must be PHI or DAL" errorStyle="stop" errorTitle="Invalid Pick" operator="between" prompt="Pick PHI or DAL" promptTitle="ATS Pick" showDropDown="false" showErrorMessage="true" showInputMessage="true" sqref="F204:Q204" type="list">
      <formula1>"PHI,DAL"</formula1>
      <formula2>0</formula2>
    </dataValidation>
    <dataValidation allowBlank="true" error="Pick must be KC or BUF" errorStyle="stop" errorTitle="Invalid Pick" operator="between" prompt="Pick KC or BUF" promptTitle="ATS Pick" showDropDown="false" showErrorMessage="true" showInputMessage="true" sqref="F205:Q205" type="list">
      <formula1>"KC,BUF"</formula1>
      <formula2>0</formula2>
    </dataValidation>
    <dataValidation allowBlank="true" error="Pick must be DEN or PIT" errorStyle="stop" errorTitle="Invalid Pick" operator="between" prompt="Pick DEN or PIT" promptTitle="ATS Pick" showDropDown="false" showErrorMessage="true" showInputMessage="true" sqref="F206:Q206" type="list">
      <formula1>"DEN,PIT"</formula1>
      <formula2>0</formula2>
    </dataValidation>
    <dataValidation allowBlank="true" error="Pick must be NO or CIN" errorStyle="stop" errorTitle="Invalid Pick" operator="between" prompt="Pick NO or CIN" promptTitle="ATS Pick" showDropDown="false" showErrorMessage="true" showInputMessage="true" sqref="F207:Q207" type="list">
      <formula1>"NO,CIN"</formula1>
      <formula2>0</formula2>
    </dataValidation>
    <dataValidation allowBlank="true" error="Pick must be LV or CLE" errorStyle="stop" errorTitle="Invalid Pick" operator="between" prompt="Pick LV or CLE" promptTitle="ATS Pick" showDropDown="false" showErrorMessage="true" showInputMessage="true" sqref="F208:Q208" type="list">
      <formula1>"LV,CLE"</formula1>
      <formula2>0</formula2>
    </dataValidation>
    <dataValidation allowBlank="true" error="Pick must be NYG or IND" errorStyle="stop" errorTitle="Invalid Pick" operator="between" prompt="Pick NYG or IND" promptTitle="ATS Pick" showDropDown="false" showErrorMessage="true" showInputMessage="true" sqref="F209:Q209" type="list">
      <formula1>"NYG,IND"</formula1>
      <formula2>0</formula2>
    </dataValidation>
    <dataValidation allowBlank="true" error="Pick must be NYJ or MIA" errorStyle="stop" errorTitle="Invalid Pick" operator="between" prompt="Pick NYJ or MIA" promptTitle="ATS Pick" showDropDown="false" showErrorMessage="true" showInputMessage="true" sqref="F210:Q210" type="list">
      <formula1>"NYJ,MIA"</formula1>
      <formula2>0</formula2>
    </dataValidation>
    <dataValidation allowBlank="true" error="Pick must be ATL or MIN" errorStyle="stop" errorTitle="Invalid Pick" operator="between" prompt="Pick ATL or MIN" promptTitle="ATS Pick" showDropDown="false" showErrorMessage="true" showInputMessage="true" sqref="F211:Q211" type="list">
      <formula1>"ATL,MIN"</formula1>
      <formula2>0</formula2>
    </dataValidation>
    <dataValidation allowBlank="true" error="Pick must be BAL or HOU" errorStyle="stop" errorTitle="Invalid Pick" operator="between" prompt="Pick BAL or HOU" promptTitle="ATS Pick" showDropDown="false" showErrorMessage="true" showInputMessage="true" sqref="F212:Q212" type="list">
      <formula1>"BAL,HOU"</formula1>
      <formula2>0</formula2>
    </dataValidation>
    <dataValidation allowBlank="true" error="Pick must be TEN or JAX" errorStyle="stop" errorTitle="Invalid Pick" operator="between" prompt="Pick TEN or JAX" promptTitle="ATS Pick" showDropDown="false" showErrorMessage="true" showInputMessage="true" sqref="F213:Q213" type="list">
      <formula1>"TEN,JAX"</formula1>
      <formula2>0</formula2>
    </dataValidation>
    <dataValidation allowBlank="true" error="Pick must be WAS or ARI" errorStyle="stop" errorTitle="Invalid Pick" operator="between" prompt="Pick WAS or ARI" promptTitle="ATS Pick" showDropDown="false" showErrorMessage="true" showInputMessage="true" sqref="F214:Q214" type="list">
      <formula1>"WAS,ARI"</formula1>
      <formula2>0</formula2>
    </dataValidation>
    <dataValidation allowBlank="true" error="Pick must be SEA or SF" errorStyle="stop" errorTitle="Invalid Pick" operator="between" prompt="Pick SEA or SF" promptTitle="ATS Pick" showDropDown="false" showErrorMessage="true" showInputMessage="true" sqref="F215:Q215" type="list">
      <formula1>"SEA,SF"</formula1>
      <formula2>0</formula2>
    </dataValidation>
    <dataValidation allowBlank="true" error="Pick must be NE or LAC" errorStyle="stop" errorTitle="Invalid Pick" operator="between" prompt="Pick NE or LAC" promptTitle="ATS Pick" showDropDown="false" showErrorMessage="true" showInputMessage="true" sqref="F216:Q216" type="list">
      <formula1>"NE,LAC"</formula1>
      <formula2>0</formula2>
    </dataValidation>
    <dataValidation allowBlank="true" error="Pick must be CAR or TB" errorStyle="stop" errorTitle="Invalid Pick" operator="between" prompt="Pick CAR or TB" promptTitle="ATS Pick" showDropDown="false" showErrorMessage="true" showInputMessage="true" sqref="F217:Q217" type="list">
      <formula1>"CAR,TB"</formula1>
      <formula2>0</formula2>
    </dataValidation>
    <dataValidation allowBlank="true" error="Pick must be KC or LAC" errorStyle="stop" errorTitle="Invalid Pick" operator="between" prompt="Pick KC or LAC" promptTitle="ATS Pick" showDropDown="false" showErrorMessage="true" showInputMessage="true" sqref="F221:Q221 F307:Q307" type="list">
      <formula1>"KC,LAC"</formula1>
      <formula2>0</formula2>
    </dataValidation>
    <dataValidation allowBlank="true" error="Pick must be DET or ATL" errorStyle="stop" errorTitle="Invalid Pick" operator="between" prompt="Pick DET or ATL" promptTitle="ATS Pick" showDropDown="false" showErrorMessage="true" showInputMessage="true" sqref="F222:Q222" type="list">
      <formula1>"DET,ATL"</formula1>
      <formula2>0</formula2>
    </dataValidation>
    <dataValidation allowBlank="true" error="Pick must be JAX or CHI" errorStyle="stop" errorTitle="Invalid Pick" operator="between" prompt="Pick JAX or CHI" promptTitle="ATS Pick" showDropDown="false" showErrorMessage="true" showInputMessage="true" sqref="F223:Q223" type="list">
      <formula1>"JAX,CHI"</formula1>
      <formula2>0</formula2>
    </dataValidation>
    <dataValidation allowBlank="true" error="Pick must be CIN or CLE" errorStyle="stop" errorTitle="Invalid Pick" operator="between" prompt="Pick CIN or CLE" promptTitle="ATS Pick" showDropDown="false" showErrorMessage="true" showInputMessage="true" sqref="F224:Q224" type="list">
      <formula1>"CIN,CLE"</formula1>
      <formula2>0</formula2>
    </dataValidation>
    <dataValidation allowBlank="true" error="Pick must be WAS or TEN" errorStyle="stop" errorTitle="Invalid Pick" operator="between" prompt="Pick WAS or TEN" promptTitle="ATS Pick" showDropDown="false" showErrorMessage="true" showInputMessage="true" sqref="F225:Q225" type="list">
      <formula1>"WAS,TEN"</formula1>
      <formula2>0</formula2>
    </dataValidation>
    <dataValidation allowBlank="true" error="Pick must be GB or NO" errorStyle="stop" errorTitle="Invalid Pick" operator="between" prompt="Pick GB or NO" promptTitle="ATS Pick" showDropDown="false" showErrorMessage="true" showInputMessage="true" sqref="F226:Q226" type="list">
      <formula1>"GB,NO"</formula1>
      <formula2>0</formula2>
    </dataValidation>
    <dataValidation allowBlank="true" error="Pick must be SF or NYG" errorStyle="stop" errorTitle="Invalid Pick" operator="between" prompt="Pick SF or NYG" promptTitle="ATS Pick" showDropDown="false" showErrorMessage="true" showInputMessage="true" sqref="F227:Q227" type="list">
      <formula1>"SF,NYG"</formula1>
      <formula2>0</formula2>
    </dataValidation>
    <dataValidation allowBlank="true" error="Pick must be LAR or TB" errorStyle="stop" errorTitle="Invalid Pick" operator="between" prompt="Pick LAR or TB" promptTitle="ATS Pick" showDropDown="false" showErrorMessage="true" showInputMessage="true" sqref="F228:Q228 F308:Q308" type="list">
      <formula1>"LAR,TB"</formula1>
      <formula2>0</formula2>
    </dataValidation>
    <dataValidation allowBlank="true" error="Pick must be MIA or DEN" errorStyle="stop" errorTitle="Invalid Pick" operator="between" prompt="Pick MIA or DEN" promptTitle="ATS Pick" showDropDown="false" showErrorMessage="true" showInputMessage="true" sqref="F229:Q229" type="list">
      <formula1>"MIA,DEN"</formula1>
      <formula2>0</formula2>
    </dataValidation>
    <dataValidation allowBlank="true" error="Pick must be PHI or ARI" errorStyle="stop" errorTitle="Invalid Pick" operator="between" prompt="Pick PHI or ARI" promptTitle="ATS Pick" showDropDown="false" showErrorMessage="true" showInputMessage="true" sqref="F230:Q230" type="list">
      <formula1>"PHI,ARI"</formula1>
      <formula2>0</formula2>
    </dataValidation>
    <dataValidation allowBlank="true" error="Pick must be CAR or MIN" errorStyle="stop" errorTitle="Invalid Pick" operator="between" prompt="Pick CAR or MIN" promptTitle="ATS Pick" showDropDown="false" showErrorMessage="true" showInputMessage="true" sqref="F231:Q231" type="list">
      <formula1>"CAR,MIN"</formula1>
      <formula2>0</formula2>
    </dataValidation>
    <dataValidation allowBlank="true" error="Pick must be BUF or NE" errorStyle="stop" errorTitle="Invalid Pick" operator="between" prompt="Pick BUF or NE" promptTitle="ATS Pick" showDropDown="false" showErrorMessage="true" showInputMessage="true" sqref="F232:Q232" type="list">
      <formula1>"BUF,NE"</formula1>
      <formula2>0</formula2>
    </dataValidation>
    <dataValidation allowBlank="true" error="Pick must be HOU or PIT" errorStyle="stop" errorTitle="Invalid Pick" operator="between" prompt="Pick HOU or PIT" promptTitle="ATS Pick" showDropDown="false" showErrorMessage="true" showInputMessage="true" sqref="F233:Q233" type="list">
      <formula1>"HOU,PIT"</formula1>
      <formula2>0</formula2>
    </dataValidation>
    <dataValidation allowBlank="true" error="Pick must be DAL or SEA" errorStyle="stop" errorTitle="Invalid Pick" operator="between" prompt="Pick DAL or SEA" promptTitle="ATS Pick" showDropDown="false" showErrorMessage="true" showInputMessage="true" sqref="F234:Q234" type="list">
      <formula1>"DAL,SEA"</formula1>
      <formula2>0</formula2>
    </dataValidation>
    <dataValidation allowBlank="true" error="Pick must be MIN or NE" errorStyle="stop" errorTitle="Invalid Pick" operator="between" prompt="Pick MIN or NE" promptTitle="ATS Pick" showDropDown="false" showErrorMessage="true" showInputMessage="true" sqref="F238:Q238" type="list">
      <formula1>"MIN,NE"</formula1>
      <formula2>0</formula2>
    </dataValidation>
    <dataValidation allowBlank="true" error="Pick must be ATL or CLE" errorStyle="stop" errorTitle="Invalid Pick" operator="between" prompt="Pick ATL or CLE" promptTitle="ATS Pick" showDropDown="false" showErrorMessage="true" showInputMessage="true" sqref="F239:Q239" type="list">
      <formula1>"ATL,CLE"</formula1>
      <formula2>0</formula2>
    </dataValidation>
    <dataValidation allowBlank="true" error="Pick must be TEN or DET" errorStyle="stop" errorTitle="Invalid Pick" operator="between" prompt="Pick TEN or DET" promptTitle="ATS Pick" showDropDown="false" showErrorMessage="true" showInputMessage="true" sqref="F240:Q240" type="list">
      <formula1>"TEN,DET"</formula1>
      <formula2>0</formula2>
    </dataValidation>
    <dataValidation allowBlank="true" error="Pick must be CHI or MIA" errorStyle="stop" errorTitle="Invalid Pick" operator="between" prompt="Pick CHI or MIA" promptTitle="ATS Pick" showDropDown="false" showErrorMessage="true" showInputMessage="true" sqref="F241:Q241" type="list">
      <formula1>"CHI,MIA"</formula1>
      <formula2>0</formula2>
    </dataValidation>
    <dataValidation allowBlank="true" error="Pick must be DEN or NYJ" errorStyle="stop" errorTitle="Invalid Pick" operator="between" prompt="Pick DEN or NYJ" promptTitle="ATS Pick" showDropDown="false" showErrorMessage="true" showInputMessage="true" sqref="F242:Q242" type="list">
      <formula1>"DEN,NYJ"</formula1>
      <formula2>0</formula2>
    </dataValidation>
    <dataValidation allowBlank="true" error="Pick must be IND or PHI" errorStyle="stop" errorTitle="Invalid Pick" operator="between" prompt="Pick IND or PHI" promptTitle="ATS Pick" showDropDown="false" showErrorMessage="true" showInputMessage="true" sqref="F243:Q243" type="list">
      <formula1>"IND,PHI"</formula1>
      <formula2>0</formula2>
    </dataValidation>
    <dataValidation allowBlank="true" error="Pick must be HOU or WAS" errorStyle="stop" errorTitle="Invalid Pick" operator="between" prompt="Pick HOU or WAS" promptTitle="ATS Pick" showDropDown="false" showErrorMessage="true" showInputMessage="true" sqref="F244:Q244" type="list">
      <formula1>"HOU,WAS"</formula1>
      <formula2>0</formula2>
    </dataValidation>
    <dataValidation allowBlank="true" error="Pick must be NO or CAR" errorStyle="stop" errorTitle="Invalid Pick" operator="between" prompt="Pick NO or CAR" promptTitle="ATS Pick" showDropDown="false" showErrorMessage="true" showInputMessage="true" sqref="F245:Q245" type="list">
      <formula1>"NO,CAR"</formula1>
      <formula2>0</formula2>
    </dataValidation>
    <dataValidation allowBlank="true" error="Pick must be TB or BAL" errorStyle="stop" errorTitle="Invalid Pick" operator="between" prompt="Pick TB or BAL" promptTitle="ATS Pick" showDropDown="false" showErrorMessage="true" showInputMessage="true" sqref="F246:Q246" type="list">
      <formula1>"TB,BAL"</formula1>
      <formula2>0</formula2>
    </dataValidation>
    <dataValidation allowBlank="true" error="Pick must be LAC or LV" errorStyle="stop" errorTitle="Invalid Pick" operator="between" prompt="Pick LAC or LV" promptTitle="ATS Pick" showDropDown="false" showErrorMessage="true" showInputMessage="true" sqref="F247:Q247" type="list">
      <formula1>"LAC,LV"</formula1>
      <formula2>0</formula2>
    </dataValidation>
    <dataValidation allowBlank="true" error="Pick must be KC or CIN" errorStyle="stop" errorTitle="Invalid Pick" operator="between" prompt="Pick KC or CIN" promptTitle="ATS Pick" showDropDown="false" showErrorMessage="true" showInputMessage="true" sqref="F248:Q248" type="list">
      <formula1>"KC,CIN"</formula1>
      <formula2>0</formula2>
    </dataValidation>
    <dataValidation allowBlank="true" error="Pick must be LAR or SF" errorStyle="stop" errorTitle="Invalid Pick" operator="between" prompt="Pick LAR or SF" promptTitle="ATS Pick" showDropDown="false" showErrorMessage="true" showInputMessage="true" sqref="F249:Q249" type="list">
      <formula1>"LAR,SF"</formula1>
      <formula2>0</formula2>
    </dataValidation>
    <dataValidation allowBlank="true" error="Pick must be NYG or SEA" errorStyle="stop" errorTitle="Invalid Pick" operator="between" prompt="Pick NYG or SEA" promptTitle="ATS Pick" showDropDown="false" showErrorMessage="true" showInputMessage="true" sqref="F250:Q250" type="list">
      <formula1>"NYG,SEA"</formula1>
      <formula2>0</formula2>
    </dataValidation>
    <dataValidation allowBlank="true" error="Pick must be BUF or GB" errorStyle="stop" errorTitle="Invalid Pick" operator="between" prompt="Pick BUF or GB" promptTitle="ATS Pick" showDropDown="false" showErrorMessage="true" showInputMessage="true" sqref="F251:Q251" type="list">
      <formula1>"BUF,GB"</formula1>
      <formula2>0</formula2>
    </dataValidation>
    <dataValidation allowBlank="true" error="Pick must be PIT or JAX" errorStyle="stop" errorTitle="Invalid Pick" operator="between" prompt="Pick PIT or JAX" promptTitle="ATS Pick" showDropDown="false" showErrorMessage="true" showInputMessage="true" sqref="F252:Q252" type="list">
      <formula1>"PIT,JAX"</formula1>
      <formula2>0</formula2>
    </dataValidation>
    <dataValidation allowBlank="true" error="Pick must be SF or LAC" errorStyle="stop" errorTitle="Invalid Pick" operator="between" prompt="Pick SF or LAC" promptTitle="ATS Pick" showDropDown="false" showErrorMessage="true" showInputMessage="true" sqref="F256:Q256" type="list">
      <formula1>"SF,LAC"</formula1>
      <formula2>0</formula2>
    </dataValidation>
    <dataValidation allowBlank="true" error="Pick must be SEA or PHI" errorStyle="stop" errorTitle="Invalid Pick" operator="between" prompt="Pick SEA or PHI" promptTitle="ATS Pick" showDropDown="false" showErrorMessage="true" showInputMessage="true" sqref="F257:Q257" type="list">
      <formula1>"SEA,PHI"</formula1>
      <formula2>0</formula2>
    </dataValidation>
    <dataValidation allowBlank="true" error="Pick must be CHI or BUF" errorStyle="stop" errorTitle="Invalid Pick" operator="between" prompt="Pick CHI or BUF" promptTitle="ATS Pick" showDropDown="false" showErrorMessage="true" showInputMessage="true" sqref="F258:Q258" type="list">
      <formula1>"CHI,BUF"</formula1>
      <formula2>0</formula2>
    </dataValidation>
    <dataValidation allowBlank="true" error="Pick must be MIA or GB" errorStyle="stop" errorTitle="Invalid Pick" operator="between" prompt="Pick MIA or GB" promptTitle="ATS Pick" showDropDown="false" showErrorMessage="true" showInputMessage="true" sqref="F259:Q259" type="list">
      <formula1>"MIA,GB"</formula1>
      <formula2>0</formula2>
    </dataValidation>
    <dataValidation allowBlank="true" error="Pick must be IND or TEN" errorStyle="stop" errorTitle="Invalid Pick" operator="between" prompt="Pick IND or TEN" promptTitle="ATS Pick" showDropDown="false" showErrorMessage="true" showInputMessage="true" sqref="F260:Q260" type="list">
      <formula1>"IND,TEN"</formula1>
      <formula2>0</formula2>
    </dataValidation>
    <dataValidation allowBlank="true" error="Pick must be CLE or NYG" errorStyle="stop" errorTitle="Invalid Pick" operator="between" prompt="Pick CLE or NYG" promptTitle="ATS Pick" showDropDown="false" showErrorMessage="true" showInputMessage="true" sqref="F261:Q261" type="list">
      <formula1>"CLE,NYG"</formula1>
      <formula2>0</formula2>
    </dataValidation>
    <dataValidation allowBlank="true" error="Pick must be BAL or PIT" errorStyle="stop" errorTitle="Invalid Pick" operator="between" prompt="Pick BAL or PIT" promptTitle="ATS Pick" showDropDown="false" showErrorMessage="true" showInputMessage="true" sqref="F262:Q262" type="list">
      <formula1>"BAL,PIT"</formula1>
      <formula2>0</formula2>
    </dataValidation>
    <dataValidation allowBlank="true" error="Pick must be NO or TB" errorStyle="stop" errorTitle="Invalid Pick" operator="between" prompt="Pick NO or TB" promptTitle="ATS Pick" showDropDown="false" showErrorMessage="true" showInputMessage="true" sqref="F263:Q263" type="list">
      <formula1>"NO,TB"</formula1>
      <formula2>0</formula2>
    </dataValidation>
    <dataValidation allowBlank="true" error="Pick must be ATL or WAS" errorStyle="stop" errorTitle="Invalid Pick" operator="between" prompt="Pick ATL or WAS" promptTitle="ATS Pick" showDropDown="false" showErrorMessage="true" showInputMessage="true" sqref="F264:Q264" type="list">
      <formula1>"ATL,WAS"</formula1>
      <formula2>0</formula2>
    </dataValidation>
    <dataValidation allowBlank="true" error="Pick must be CIN or CAR" errorStyle="stop" errorTitle="Invalid Pick" operator="between" prompt="Pick CIN or CAR" promptTitle="ATS Pick" showDropDown="false" showErrorMessage="true" showInputMessage="true" sqref="F265:Q265" type="list">
      <formula1>"CIN,CAR"</formula1>
      <formula2>0</formula2>
    </dataValidation>
    <dataValidation allowBlank="true" error="Pick must be JAX or HOU" errorStyle="stop" errorTitle="Invalid Pick" operator="between" prompt="Pick JAX or HOU" promptTitle="ATS Pick" showDropDown="false" showErrorMessage="true" showInputMessage="true" sqref="F266:Q266" type="list">
      <formula1>"JAX,HOU"</formula1>
      <formula2>0</formula2>
    </dataValidation>
    <dataValidation allowBlank="true" error="Pick must be NYJ or ARI" errorStyle="stop" errorTitle="Invalid Pick" operator="between" prompt="Pick NYJ or ARI" promptTitle="ATS Pick" showDropDown="false" showErrorMessage="true" showInputMessage="true" sqref="F267:Q267" type="list">
      <formula1>"NYJ,ARI"</formula1>
      <formula2>0</formula2>
    </dataValidation>
    <dataValidation allowBlank="true" error="Pick must be DEN or LV" errorStyle="stop" errorTitle="Invalid Pick" operator="between" prompt="Pick DEN or LV" promptTitle="ATS Pick" showDropDown="false" showErrorMessage="true" showInputMessage="true" sqref="F268:Q268" type="list">
      <formula1>"DEN,LV"</formula1>
      <formula2>0</formula2>
    </dataValidation>
    <dataValidation allowBlank="true" error="Pick must be DAL or LAR" errorStyle="stop" errorTitle="Invalid Pick" operator="between" prompt="Pick DAL or LAR" promptTitle="ATS Pick" showDropDown="false" showErrorMessage="true" showInputMessage="true" sqref="F269:Q269" type="list">
      <formula1>"DAL,LAR"</formula1>
      <formula2>0</formula2>
    </dataValidation>
    <dataValidation allowBlank="true" error="Pick must be DET or MIN" errorStyle="stop" errorTitle="Invalid Pick" operator="between" prompt="Pick DET or MIN" promptTitle="ATS Pick" showDropDown="false" showErrorMessage="true" showInputMessage="true" sqref="F270:Q270" type="list">
      <formula1>"DET,MIN"</formula1>
      <formula2>0</formula2>
    </dataValidation>
    <dataValidation allowBlank="true" error="Pick must be NE or KC" errorStyle="stop" errorTitle="Invalid Pick" operator="between" prompt="Pick NE or KC" promptTitle="ATS Pick" showDropDown="false" showErrorMessage="true" showInputMessage="true" sqref="F271:Q271" type="list">
      <formula1>"NE,KC"</formula1>
      <formula2>0</formula2>
    </dataValidation>
    <dataValidation allowBlank="true" error="Pick must be HOU or PHI" errorStyle="stop" errorTitle="Invalid Pick" operator="between" prompt="Pick HOU or PHI" promptTitle="ATS Pick" showDropDown="false" showErrorMessage="true" showInputMessage="true" sqref="F275:Q275" type="list">
      <formula1>"HOU,PHI"</formula1>
      <formula2>0</formula2>
    </dataValidation>
    <dataValidation allowBlank="true" error="Pick must be GB or CHI" errorStyle="stop" errorTitle="Invalid Pick" operator="between" prompt="Pick GB or CHI" promptTitle="ATS Pick" showDropDown="false" showErrorMessage="true" showInputMessage="true" sqref="F276:Q276" type="list">
      <formula1>"GB,CHI"</formula1>
      <formula2>0</formula2>
    </dataValidation>
    <dataValidation allowBlank="true" error="Pick must be BUF or DEN" errorStyle="stop" errorTitle="Invalid Pick" operator="between" prompt="Pick BUF or DEN" promptTitle="ATS Pick" showDropDown="false" showErrorMessage="true" showInputMessage="true" sqref="F277:Q277" type="list">
      <formula1>"BUF,DEN"</formula1>
      <formula2>0</formula2>
    </dataValidation>
    <dataValidation allowBlank="true" error="Pick must be LAR or SEA" errorStyle="stop" errorTitle="Invalid Pick" operator="between" prompt="Pick LAR or SEA" promptTitle="ATS Pick" showDropDown="false" showErrorMessage="true" showInputMessage="true" sqref="F278:Q278" type="list">
      <formula1>"LAR,SEA"</formula1>
      <formula2>0</formula2>
    </dataValidation>
    <dataValidation allowBlank="true" error="Pick must be LAC or MIA" errorStyle="stop" errorTitle="Invalid Pick" operator="between" prompt="Pick LAC or MIA" promptTitle="ATS Pick" showDropDown="false" showErrorMessage="true" showInputMessage="true" sqref="F279:Q279" type="list">
      <formula1>"LAC,MIA"</formula1>
      <formula2>0</formula2>
    </dataValidation>
    <dataValidation allowBlank="true" error="Pick must be ARI or NO" errorStyle="stop" errorTitle="Invalid Pick" operator="between" prompt="Pick ARI or NO" promptTitle="ATS Pick" showDropDown="false" showErrorMessage="true" showInputMessage="true" sqref="F280:Q280" type="list">
      <formula1>"ARI,NO"</formula1>
      <formula2>0</formula2>
    </dataValidation>
    <dataValidation allowBlank="true" error="Pick must be NE or NYJ" errorStyle="stop" errorTitle="Invalid Pick" operator="between" prompt="Pick NE or NYJ" promptTitle="ATS Pick" showDropDown="false" showErrorMessage="true" showInputMessage="true" sqref="F281:Q281" type="list">
      <formula1>"NE,NYJ"</formula1>
      <formula2>0</formula2>
    </dataValidation>
    <dataValidation allowBlank="true" error="Pick must be CLE or BAL" errorStyle="stop" errorTitle="Invalid Pick" operator="between" prompt="Pick CLE or BAL" promptTitle="ATS Pick" showDropDown="false" showErrorMessage="true" showInputMessage="true" sqref="F282:Q282" type="list">
      <formula1>"CLE,BAL"</formula1>
      <formula2>0</formula2>
    </dataValidation>
    <dataValidation allowBlank="true" error="Pick must be TEN or LV" errorStyle="stop" errorTitle="Invalid Pick" operator="between" prompt="Pick TEN or LV" promptTitle="ATS Pick" showDropDown="false" showErrorMessage="true" showInputMessage="true" sqref="F283:Q283" type="list">
      <formula1>"TEN,LV"</formula1>
      <formula2>0</formula2>
    </dataValidation>
    <dataValidation allowBlank="true" error="Pick must be SF or KC" errorStyle="stop" errorTitle="Invalid Pick" operator="between" prompt="Pick SF or KC" promptTitle="ATS Pick" showDropDown="false" showErrorMessage="true" showInputMessage="true" sqref="F284:Q284" type="list">
      <formula1>"SF,KC"</formula1>
      <formula2>0</formula2>
    </dataValidation>
    <dataValidation allowBlank="true" error="Pick must be JAX or DAL" errorStyle="stop" errorTitle="Invalid Pick" operator="between" prompt="Pick JAX or DAL" promptTitle="ATS Pick" showDropDown="false" showErrorMessage="true" showInputMessage="true" sqref="F285:Q285" type="list">
      <formula1>"JAX,DAL"</formula1>
      <formula2>0</formula2>
    </dataValidation>
    <dataValidation allowBlank="true" error="Pick must be NYG or DET" errorStyle="stop" errorTitle="Invalid Pick" operator="between" prompt="Pick NYG or DET" promptTitle="ATS Pick" showDropDown="false" showErrorMessage="true" showInputMessage="true" sqref="F286:Q286" type="list">
      <formula1>"NYG,DET"</formula1>
      <formula2>0</formula2>
    </dataValidation>
    <dataValidation allowBlank="true" error="Pick must be TB or ATL" errorStyle="stop" errorTitle="Invalid Pick" operator="between" prompt="Pick TB or ATL" promptTitle="ATS Pick" showDropDown="false" showErrorMessage="true" showInputMessage="true" sqref="F287:Q287" type="list">
      <formula1>"TB,ATL"</formula1>
      <formula2>0</formula2>
    </dataValidation>
    <dataValidation allowBlank="true" error="Pick must be CIN or IND" errorStyle="stop" errorTitle="Invalid Pick" operator="between" prompt="Pick CIN or IND" promptTitle="ATS Pick" showDropDown="false" showErrorMessage="true" showInputMessage="true" sqref="F288:Q288" type="list">
      <formula1>"CIN,IND"</formula1>
      <formula2>0</formula2>
    </dataValidation>
    <dataValidation allowBlank="true" error="Pick must be WAS or MIN" errorStyle="stop" errorTitle="Invalid Pick" operator="between" prompt="Pick WAS or MIN" promptTitle="ATS Pick" showDropDown="false" showErrorMessage="true" showInputMessage="true" sqref="F289:Q289" type="list">
      <formula1>"WAS,MIN"</formula1>
      <formula2>0</formula2>
    </dataValidation>
    <dataValidation allowBlank="true" error="Pick must be CAR or PIT" errorStyle="stop" errorTitle="Invalid Pick" operator="between" prompt="Pick CAR or PIT" promptTitle="ATS Pick" showDropDown="false" showErrorMessage="true" showInputMessage="true" sqref="F290:Q290" type="list">
      <formula1>"CAR,PIT"</formula1>
      <formula2>0</formula2>
    </dataValidation>
    <dataValidation allowBlank="true" error="Pick must be BAL or CIN" errorStyle="stop" errorTitle="Invalid Pick" operator="between" prompt="Pick BAL or CIN" promptTitle="ATS Pick" showDropDown="false" showErrorMessage="true" showInputMessage="true" sqref="F294:Q294" type="list">
      <formula1>"BAL,CIN"</formula1>
      <formula2>0</formula2>
    </dataValidation>
    <dataValidation allowBlank="true" error="Pick must be NO or ATL" errorStyle="stop" errorTitle="Invalid Pick" operator="between" prompt="Pick NO or ATL" promptTitle="ATS Pick" showDropDown="false" showErrorMessage="true" showInputMessage="true" sqref="F295:Q295" type="list">
      <formula1>"NO,ATL"</formula1>
      <formula2>0</formula2>
    </dataValidation>
    <dataValidation allowBlank="true" error="Pick must be IND or CLE" errorStyle="stop" errorTitle="Invalid Pick" operator="between" prompt="Pick IND or CLE" promptTitle="ATS Pick" showDropDown="false" showErrorMessage="true" showInputMessage="true" sqref="F296:Q296" type="list">
      <formula1>"IND,CLE"</formula1>
      <formula2>0</formula2>
    </dataValidation>
    <dataValidation allowBlank="true" error="Pick must be NYG or DAL" errorStyle="stop" errorTitle="Invalid Pick" operator="between" prompt="Pick NYG or DAL" promptTitle="ATS Pick" showDropDown="false" showErrorMessage="true" showInputMessage="true" sqref="F297:Q297" type="list">
      <formula1>"NYG,DAL"</formula1>
      <formula2>0</formula2>
    </dataValidation>
    <dataValidation allowBlank="true" error="Pick must be PIT or TEN" errorStyle="stop" errorTitle="Invalid Pick" operator="between" prompt="Pick PIT or TEN" promptTitle="ATS Pick" showDropDown="false" showErrorMessage="true" showInputMessage="true" sqref="F298:Q298" type="list">
      <formula1>"PIT,TEN"</formula1>
      <formula2>0</formula2>
    </dataValidation>
    <dataValidation allowBlank="true" error="Pick must be BUF or MIA" errorStyle="stop" errorTitle="Invalid Pick" operator="between" prompt="Pick BUF or MIA" promptTitle="ATS Pick" showDropDown="false" showErrorMessage="true" showInputMessage="true" sqref="F299:Q299" type="list">
      <formula1>"BUF,MIA"</formula1>
      <formula2>0</formula2>
    </dataValidation>
    <dataValidation allowBlank="true" error="Pick must be MIN or NYJ" errorStyle="stop" errorTitle="Invalid Pick" operator="between" prompt="Pick MIN or NYJ" promptTitle="ATS Pick" showDropDown="false" showErrorMessage="true" showInputMessage="true" sqref="F300:Q300" type="list">
      <formula1>"MIN,NYJ"</formula1>
      <formula2>0</formula2>
    </dataValidation>
    <dataValidation allowBlank="true" error="Pick must be SEA or CAR" errorStyle="stop" errorTitle="Invalid Pick" operator="between" prompt="Pick SEA or CAR" promptTitle="ATS Pick" showDropDown="false" showErrorMessage="true" showInputMessage="true" sqref="F301:Q301" type="list">
      <formula1>"SEA,CAR"</formula1>
      <formula2>0</formula2>
    </dataValidation>
    <dataValidation allowBlank="true" error="Pick must be LV or ARI" errorStyle="stop" errorTitle="Invalid Pick" operator="between" prompt="Pick LV or ARI" promptTitle="ATS Pick" showDropDown="false" showErrorMessage="true" showInputMessage="true" sqref="F302:Q302" type="list">
      <formula1>"LV,ARI"</formula1>
      <formula2>0</formula2>
    </dataValidation>
    <dataValidation allowBlank="true" error="Pick must be DET or CHI" errorStyle="stop" errorTitle="Invalid Pick" operator="between" prompt="Pick DET or CHI" promptTitle="ATS Pick" showDropDown="false" showErrorMessage="true" showInputMessage="true" sqref="F303:Q303" type="list">
      <formula1>"DET,CHI"</formula1>
      <formula2>0</formula2>
    </dataValidation>
    <dataValidation allowBlank="true" error="Pick must be PHI or SF" errorStyle="stop" errorTitle="Invalid Pick" operator="between" prompt="Pick PHI or SF" promptTitle="ATS Pick" showDropDown="false" showErrorMessage="true" showInputMessage="true" sqref="F304:Q304" type="list">
      <formula1>"PHI,SF"</formula1>
      <formula2>0</formula2>
    </dataValidation>
    <dataValidation allowBlank="true" error="Pick must be HOU or GB" errorStyle="stop" errorTitle="Invalid Pick" operator="between" prompt="Pick HOU or GB" promptTitle="ATS Pick" showDropDown="false" showErrorMessage="true" showInputMessage="true" sqref="F305:Q305" type="list">
      <formula1>"HOU,GB"</formula1>
      <formula2>0</formula2>
    </dataValidation>
    <dataValidation allowBlank="true" error="Pick must be DEN or NE" errorStyle="stop" errorTitle="Invalid Pick" operator="between" prompt="Pick DEN or NE" promptTitle="ATS Pick" showDropDown="false" showErrorMessage="true" showInputMessage="true" sqref="F306:Q306" type="list">
      <formula1>"DEN,NE"</formula1>
      <formula2>0</formula2>
    </dataValidation>
    <dataValidation allowBlank="true" error="Pick must be WAS or JAX" errorStyle="stop" errorTitle="Invalid Pick" operator="between" prompt="Pick WAS or JAX" promptTitle="ATS Pick" showDropDown="false" showErrorMessage="true" showInputMessage="true" sqref="F309:Q309" type="list">
      <formula1>"WAS,JAX"</formula1>
      <formula2>0</formula2>
    </dataValidation>
    <dataValidation allowBlank="true" error="Pick must be NYJ or BUF" errorStyle="stop" errorTitle="Invalid Pick" operator="between" prompt="Pick NYJ or BUF" promptTitle="ATS Pick" showDropDown="false" showErrorMessage="true" showInputMessage="true" sqref="F313:Q313" type="list">
      <formula1>"NYJ,BUF"</formula1>
      <formula2>0</formula2>
    </dataValidation>
    <dataValidation allowBlank="true" error="Pick must be CLE or CIN" errorStyle="stop" errorTitle="Invalid Pick" operator="between" prompt="Pick CLE or CIN" promptTitle="ATS Pick" showDropDown="false" showErrorMessage="true" showInputMessage="true" sqref="F314:Q314" type="list">
      <formula1>"CLE,CIN"</formula1>
      <formula2>0</formula2>
    </dataValidation>
    <dataValidation allowBlank="true" error="Pick must be DET or GB" errorStyle="stop" errorTitle="Invalid Pick" operator="between" prompt="Pick DET or GB" promptTitle="ATS Pick" showDropDown="false" showErrorMessage="true" showInputMessage="true" sqref="F316:Q316" type="list">
      <formula1>"DET,GB"</formula1>
      <formula2>0</formula2>
    </dataValidation>
    <dataValidation allowBlank="true" error="Pick must be JAX or IND" errorStyle="stop" errorTitle="Invalid Pick" operator="between" prompt="Pick JAX or IND" promptTitle="ATS Pick" showDropDown="false" showErrorMessage="true" showInputMessage="true" sqref="F317:Q317" type="list">
      <formula1>"JAX,IND"</formula1>
      <formula2>0</formula2>
    </dataValidation>
    <dataValidation allowBlank="true" error="Pick must be LV or KC" errorStyle="stop" errorTitle="Invalid Pick" operator="between" prompt="Pick LV or KC" promptTitle="ATS Pick" showDropDown="false" showErrorMessage="true" showInputMessage="true" sqref="F318:Q318" type="list">
      <formula1>"LV,KC"</formula1>
      <formula2>0</formula2>
    </dataValidation>
    <dataValidation allowBlank="true" error="Pick must be SEA or LAC" errorStyle="stop" errorTitle="Invalid Pick" operator="between" prompt="Pick SEA or LAC" promptTitle="ATS Pick" showDropDown="false" showErrorMessage="true" showInputMessage="true" sqref="F319:Q319" type="list">
      <formula1>"SEA,LAC"</formula1>
      <formula2>0</formula2>
    </dataValidation>
    <dataValidation allowBlank="true" error="Pick must be CHI or MIN" errorStyle="stop" errorTitle="Invalid Pick" operator="between" prompt="Pick CHI or MIN" promptTitle="ATS Pick" showDropDown="false" showErrorMessage="true" showInputMessage="true" sqref="F320:Q320" type="list">
      <formula1>"CHI,MIN"</formula1>
      <formula2>0</formula2>
    </dataValidation>
    <dataValidation allowBlank="true" error="Pick must be MIA or NE" errorStyle="stop" errorTitle="Invalid Pick" operator="between" prompt="Pick MIA or NE" promptTitle="ATS Pick" showDropDown="false" showErrorMessage="true" showInputMessage="true" sqref="F321:Q321" type="list">
      <formula1>"MIA,NE"</formula1>
      <formula2>0</formula2>
    </dataValidation>
    <dataValidation allowBlank="true" error="Pick must be TB or NO" errorStyle="stop" errorTitle="Invalid Pick" operator="between" prompt="Pick TB or NO" promptTitle="ATS Pick" showDropDown="false" showErrorMessage="true" showInputMessage="true" sqref="F322:Q322" type="list">
      <formula1>"TB,NO"</formula1>
      <formula2>0</formula2>
    </dataValidation>
    <dataValidation allowBlank="true" error="Pick must be PHI or NYG" errorStyle="stop" errorTitle="Invalid Pick" operator="between" prompt="Pick PHI or NYG" promptTitle="ATS Pick" showDropDown="false" showErrorMessage="true" showInputMessage="true" sqref="F323:Q323" type="list">
      <formula1>"PHI,NYG"</formula1>
      <formula2>0</formula2>
    </dataValidation>
    <dataValidation allowBlank="true" error="Pick must be SF or ARI" errorStyle="stop" errorTitle="Invalid Pick" operator="between" prompt="Pick SF or ARI" promptTitle="ATS Pick" showDropDown="false" showErrorMessage="true" showInputMessage="true" sqref="F324:Q324" type="list">
      <formula1>"SF,ARI"</formula1>
      <formula2>0</formula2>
    </dataValidation>
    <dataValidation allowBlank="true" error="Pick must be DAL or WAS" errorStyle="stop" errorTitle="Invalid Pick" operator="between" prompt="Pick DAL or WAS" promptTitle="ATS Pick" showDropDown="false" showErrorMessage="true" showInputMessage="true" sqref="F325:Q325" type="list">
      <formula1>"DAL,WAS"</formula1>
      <formula2>0</formula2>
    </dataValidation>
    <dataValidation allowBlank="true" error="Pick must be ATL or CAR" errorStyle="stop" errorTitle="Invalid Pick" operator="between" prompt="Pick ATL or CAR" promptTitle="ATS Pick" showDropDown="false" showErrorMessage="true" showInputMessage="true" sqref="F326:Q326" type="list">
      <formula1>"ATL,CAR"</formula1>
      <formula2>0</formula2>
    </dataValidation>
    <dataValidation allowBlank="true" error="Pick must be PIT or BAL" errorStyle="stop" errorTitle="Invalid Pick" operator="between" prompt="Pick PIT or BAL" promptTitle="ATS Pick" showDropDown="false" showErrorMessage="true" showInputMessage="true" sqref="F327:Q327" type="list">
      <formula1>"PIT,BAL"</formula1>
      <formula2>0</formula2>
    </dataValidation>
    <dataValidation allowBlank="true" error="Pick must be TEN or HOU" errorStyle="stop" errorTitle="Invalid Pick" operator="between" prompt="Pick TEN or HOU" promptTitle="ATS Pick" showDropDown="false" showErrorMessage="true" showInputMessage="true" sqref="F328:Q328" type="list">
      <formula1>"TEN,HOU"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8.71484375" defaultRowHeight="15" zeroHeight="false" outlineLevelRow="0" outlineLevelCol="0"/>
  <cols>
    <col collapsed="false" customWidth="true" hidden="false" outlineLevel="0" max="10" min="1" style="0" width="12"/>
  </cols>
  <sheetData>
    <row r="1" customFormat="false" ht="15" hidden="false" customHeight="true" outlineLevel="0" collapsed="false">
      <c r="A1" s="0" t="s">
        <v>52</v>
      </c>
    </row>
    <row r="2" customFormat="false" ht="15" hidden="false" customHeight="true" outlineLevel="0" collapsed="false">
      <c r="A2" s="0" t="s">
        <v>107</v>
      </c>
      <c r="B2" s="0" t="s">
        <v>108</v>
      </c>
      <c r="C2" s="0" t="s">
        <v>109</v>
      </c>
      <c r="D2" s="0" t="s">
        <v>53</v>
      </c>
      <c r="E2" s="0" t="s">
        <v>110</v>
      </c>
      <c r="F2" s="0" t="s">
        <v>55</v>
      </c>
      <c r="G2" s="0" t="s">
        <v>111</v>
      </c>
      <c r="H2" s="0" t="s">
        <v>112</v>
      </c>
      <c r="I2" s="0" t="s">
        <v>113</v>
      </c>
      <c r="J2" s="0" t="s">
        <v>114</v>
      </c>
    </row>
    <row r="3" customFormat="false" ht="15" hidden="false" customHeight="true" outlineLevel="0" collapsed="false">
      <c r="A3" s="0" t="n">
        <v>1</v>
      </c>
      <c r="B3" s="0" t="s">
        <v>115</v>
      </c>
      <c r="C3" s="0" t="s">
        <v>116</v>
      </c>
      <c r="D3" s="0" t="s">
        <v>57</v>
      </c>
      <c r="E3" s="0" t="n">
        <v>10</v>
      </c>
      <c r="F3" s="0" t="s">
        <v>58</v>
      </c>
      <c r="G3" s="0" t="n">
        <v>13</v>
      </c>
      <c r="H3" s="0" t="n">
        <v>3.5</v>
      </c>
      <c r="I3" s="0" t="str">
        <f aca="false">IF(OR(E3="",G3=""),"",IF(E3&gt;G3,D3,IF(G3&gt;E3,F3,"TIE")))</f>
        <v>SEA</v>
      </c>
      <c r="J3" s="0" t="str">
        <f aca="false">IF(OR(E3="",G3="",H3=""),"",IF(E3+H3&gt;G3,D3,IF(E3+H3&lt;G3,F3,"PUSH")))</f>
        <v>NE</v>
      </c>
    </row>
    <row r="4" customFormat="false" ht="15" hidden="false" customHeight="true" outlineLevel="0" collapsed="false">
      <c r="A4" s="0" t="n">
        <v>1</v>
      </c>
      <c r="B4" s="0" t="s">
        <v>117</v>
      </c>
      <c r="C4" s="0" t="s">
        <v>118</v>
      </c>
      <c r="D4" s="0" t="s">
        <v>59</v>
      </c>
      <c r="E4" s="0" t="n">
        <v>27</v>
      </c>
      <c r="F4" s="0" t="s">
        <v>60</v>
      </c>
      <c r="G4" s="0" t="n">
        <v>7</v>
      </c>
      <c r="H4" s="0" t="n">
        <v>3.5</v>
      </c>
      <c r="I4" s="0" t="str">
        <f aca="false">IF(OR(E4="",G4=""),"",IF(E4&gt;G4,D4,IF(G4&gt;E4,F4,"TIE")))</f>
        <v>SF</v>
      </c>
      <c r="J4" s="0" t="str">
        <f aca="false">IF(OR(E4="",G4="",H4=""),"",IF(E4+H4&gt;G4,D4,IF(E4+H4&lt;G4,F4,"PUSH")))</f>
        <v>SF</v>
      </c>
    </row>
    <row r="5" customFormat="false" ht="15" hidden="false" customHeight="true" outlineLevel="0" collapsed="false">
      <c r="A5" s="0" t="n">
        <v>1</v>
      </c>
      <c r="B5" s="0" t="s">
        <v>119</v>
      </c>
      <c r="C5" s="0" t="s">
        <v>120</v>
      </c>
      <c r="D5" s="0" t="s">
        <v>61</v>
      </c>
      <c r="E5" s="0" t="n">
        <v>59</v>
      </c>
      <c r="F5" s="0" t="s">
        <v>62</v>
      </c>
      <c r="G5" s="0" t="n">
        <v>37</v>
      </c>
      <c r="H5" s="0" t="n">
        <v>-2.5</v>
      </c>
      <c r="I5" s="0" t="str">
        <f aca="false">IF(OR(E5="",G5=""),"",IF(E5&gt;G5,D5,IF(G5&gt;E5,F5,"TIE")))</f>
        <v>CHI</v>
      </c>
      <c r="J5" s="0" t="str">
        <f aca="false">IF(OR(E5="",G5="",H5=""),"",IF(E5+H5&gt;G5,D5,IF(E5+H5&lt;G5,F5,"PUSH")))</f>
        <v>CHI</v>
      </c>
    </row>
    <row r="6" customFormat="false" ht="15" hidden="false" customHeight="true" outlineLevel="0" collapsed="false">
      <c r="A6" s="0" t="n">
        <v>1</v>
      </c>
      <c r="B6" s="0" t="s">
        <v>119</v>
      </c>
      <c r="C6" s="0" t="s">
        <v>120</v>
      </c>
      <c r="D6" s="0" t="s">
        <v>63</v>
      </c>
      <c r="E6" s="0" t="n">
        <v>27</v>
      </c>
      <c r="F6" s="0" t="s">
        <v>64</v>
      </c>
      <c r="G6" s="0" t="n">
        <v>33</v>
      </c>
      <c r="H6" s="0" t="n">
        <v>3.5</v>
      </c>
      <c r="I6" s="0" t="str">
        <f aca="false">IF(OR(E6="",G6=""),"",IF(E6&gt;G6,D6,IF(G6&gt;E6,F6,"TIE")))</f>
        <v>CIN</v>
      </c>
      <c r="J6" s="0" t="str">
        <f aca="false">IF(OR(E6="",G6="",H6=""),"",IF(E6+H6&gt;G6,D6,IF(E6+H6&lt;G6,F6,"PUSH")))</f>
        <v>CIN</v>
      </c>
    </row>
    <row r="7" customFormat="false" ht="15" hidden="false" customHeight="true" outlineLevel="0" collapsed="false">
      <c r="A7" s="0" t="n">
        <v>1</v>
      </c>
      <c r="B7" s="0" t="s">
        <v>119</v>
      </c>
      <c r="C7" s="0" t="s">
        <v>120</v>
      </c>
      <c r="D7" s="0" t="s">
        <v>65</v>
      </c>
      <c r="E7" s="0" t="n">
        <v>30</v>
      </c>
      <c r="F7" s="0" t="s">
        <v>66</v>
      </c>
      <c r="G7" s="0" t="n">
        <v>31</v>
      </c>
      <c r="H7" s="0" t="n">
        <v>7.5</v>
      </c>
      <c r="I7" s="0" t="str">
        <f aca="false">IF(OR(E7="",G7=""),"",IF(E7&gt;G7,D7,IF(G7&gt;E7,F7,"TIE")))</f>
        <v>DET</v>
      </c>
      <c r="J7" s="0" t="str">
        <f aca="false">IF(OR(E7="",G7="",H7=""),"",IF(E7+H7&gt;G7,D7,IF(E7+H7&lt;G7,F7,"PUSH")))</f>
        <v>NO</v>
      </c>
    </row>
    <row r="8" customFormat="false" ht="15" hidden="false" customHeight="true" outlineLevel="0" collapsed="false">
      <c r="A8" s="0" t="n">
        <v>1</v>
      </c>
      <c r="B8" s="0" t="s">
        <v>119</v>
      </c>
      <c r="C8" s="0" t="s">
        <v>120</v>
      </c>
      <c r="D8" s="0" t="s">
        <v>67</v>
      </c>
      <c r="E8" s="0" t="n">
        <v>36</v>
      </c>
      <c r="F8" s="0" t="s">
        <v>68</v>
      </c>
      <c r="G8" s="0" t="n">
        <v>31</v>
      </c>
      <c r="H8" s="0" t="n">
        <v>1.5</v>
      </c>
      <c r="I8" s="0" t="str">
        <f aca="false">IF(OR(E8="",G8=""),"",IF(E8&gt;G8,D8,IF(G8&gt;E8,F8,"TIE")))</f>
        <v>BUF</v>
      </c>
      <c r="J8" s="0" t="str">
        <f aca="false">IF(OR(E8="",G8="",H8=""),"",IF(E8+H8&gt;G8,D8,IF(E8+H8&lt;G8,F8,"PUSH")))</f>
        <v>BUF</v>
      </c>
    </row>
    <row r="9" customFormat="false" ht="15" hidden="false" customHeight="true" outlineLevel="0" collapsed="false">
      <c r="A9" s="0" t="n">
        <v>1</v>
      </c>
      <c r="B9" s="0" t="s">
        <v>119</v>
      </c>
      <c r="C9" s="0" t="s">
        <v>120</v>
      </c>
      <c r="D9" s="0" t="s">
        <v>69</v>
      </c>
      <c r="E9" s="0" t="n">
        <v>41</v>
      </c>
      <c r="F9" s="0" t="s">
        <v>70</v>
      </c>
      <c r="G9" s="0" t="n">
        <v>23</v>
      </c>
      <c r="H9" s="0" t="n">
        <v>-3.5</v>
      </c>
      <c r="I9" s="0" t="str">
        <f aca="false">IF(OR(E9="",G9=""),"",IF(E9&gt;G9,D9,IF(G9&gt;E9,F9,"TIE")))</f>
        <v>BAL</v>
      </c>
      <c r="J9" s="0" t="str">
        <f aca="false">IF(OR(E9="",G9="",H9=""),"",IF(E9+H9&gt;G9,D9,IF(E9+H9&lt;G9,F9,"PUSH")))</f>
        <v>BAL</v>
      </c>
    </row>
    <row r="10" customFormat="false" ht="15" hidden="false" customHeight="true" outlineLevel="0" collapsed="false">
      <c r="A10" s="0" t="n">
        <v>1</v>
      </c>
      <c r="B10" s="0" t="s">
        <v>119</v>
      </c>
      <c r="C10" s="0" t="s">
        <v>120</v>
      </c>
      <c r="D10" s="0" t="s">
        <v>71</v>
      </c>
      <c r="E10" s="0" t="n">
        <v>10</v>
      </c>
      <c r="F10" s="0" t="s">
        <v>72</v>
      </c>
      <c r="G10" s="0" t="n">
        <v>34</v>
      </c>
      <c r="H10" s="0" t="n">
        <v>7.5</v>
      </c>
      <c r="I10" s="0" t="str">
        <f aca="false">IF(OR(E10="",G10=""),"",IF(E10&gt;G10,D10,IF(G10&gt;E10,F10,"TIE")))</f>
        <v>JAX</v>
      </c>
      <c r="J10" s="0" t="str">
        <f aca="false">IF(OR(E10="",G10="",H10=""),"",IF(E10+H10&gt;G10,D10,IF(E10+H10&lt;G10,F10,"PUSH")))</f>
        <v>JAX</v>
      </c>
    </row>
    <row r="11" customFormat="false" ht="15" hidden="false" customHeight="true" outlineLevel="0" collapsed="false">
      <c r="A11" s="0" t="n">
        <v>1</v>
      </c>
      <c r="B11" s="0" t="s">
        <v>119</v>
      </c>
      <c r="C11" s="0" t="s">
        <v>120</v>
      </c>
      <c r="D11" s="0" t="s">
        <v>73</v>
      </c>
      <c r="E11" s="0" t="n">
        <v>13</v>
      </c>
      <c r="F11" s="0" t="s">
        <v>74</v>
      </c>
      <c r="G11" s="0" t="n">
        <v>20</v>
      </c>
      <c r="H11" s="0" t="n">
        <v>3.5</v>
      </c>
      <c r="I11" s="0" t="str">
        <f aca="false">IF(OR(E11="",G11=""),"",IF(E11&gt;G11,D11,IF(G11&gt;E11,F11,"TIE")))</f>
        <v>PIT</v>
      </c>
      <c r="J11" s="0" t="str">
        <f aca="false">IF(OR(E11="",G11="",H11=""),"",IF(E11+H11&gt;G11,D11,IF(E11+H11&lt;G11,F11,"PUSH")))</f>
        <v>PIT</v>
      </c>
    </row>
    <row r="12" customFormat="false" ht="15" hidden="false" customHeight="true" outlineLevel="0" collapsed="false">
      <c r="A12" s="0" t="n">
        <v>1</v>
      </c>
      <c r="B12" s="0" t="s">
        <v>119</v>
      </c>
      <c r="C12" s="0" t="s">
        <v>120</v>
      </c>
      <c r="D12" s="0" t="s">
        <v>75</v>
      </c>
      <c r="E12" s="0" t="n">
        <v>23</v>
      </c>
      <c r="F12" s="0" t="s">
        <v>76</v>
      </c>
      <c r="G12" s="0" t="n">
        <v>10</v>
      </c>
      <c r="H12" s="0" t="n">
        <v>2.5</v>
      </c>
      <c r="I12" s="0" t="str">
        <f aca="false">IF(OR(E12="",G12=""),"",IF(E12&gt;G12,D12,IF(G12&gt;E12,F12,"TIE")))</f>
        <v>NYJ</v>
      </c>
      <c r="J12" s="0" t="str">
        <f aca="false">IF(OR(E12="",G12="",H12=""),"",IF(E12+H12&gt;G12,D12,IF(E12+H12&lt;G12,F12,"PUSH")))</f>
        <v>NYJ</v>
      </c>
    </row>
    <row r="13" customFormat="false" ht="15" hidden="false" customHeight="true" outlineLevel="0" collapsed="false">
      <c r="A13" s="0" t="n">
        <v>1</v>
      </c>
      <c r="B13" s="0" t="s">
        <v>119</v>
      </c>
      <c r="C13" s="0" t="s">
        <v>121</v>
      </c>
      <c r="D13" s="0" t="s">
        <v>77</v>
      </c>
      <c r="E13" s="0" t="n">
        <v>26</v>
      </c>
      <c r="F13" s="0" t="s">
        <v>78</v>
      </c>
      <c r="G13" s="0" t="n">
        <v>14</v>
      </c>
      <c r="H13" s="0" t="n">
        <v>10.5</v>
      </c>
      <c r="I13" s="0" t="str">
        <f aca="false">IF(OR(E13="",G13=""),"",IF(E13&gt;G13,D13,IF(G13&gt;E13,F13,"TIE")))</f>
        <v>ARI</v>
      </c>
      <c r="J13" s="0" t="str">
        <f aca="false">IF(OR(E13="",G13="",H13=""),"",IF(E13+H13&gt;G13,D13,IF(E13+H13&lt;G13,F13,"PUSH")))</f>
        <v>ARI</v>
      </c>
    </row>
    <row r="14" customFormat="false" ht="15" hidden="false" customHeight="true" outlineLevel="0" collapsed="false">
      <c r="A14" s="0" t="n">
        <v>1</v>
      </c>
      <c r="B14" s="0" t="s">
        <v>119</v>
      </c>
      <c r="C14" s="0" t="s">
        <v>121</v>
      </c>
      <c r="D14" s="0" t="s">
        <v>79</v>
      </c>
      <c r="E14" s="0" t="n">
        <v>13</v>
      </c>
      <c r="F14" s="0" t="s">
        <v>80</v>
      </c>
      <c r="G14" s="0" t="n">
        <v>27</v>
      </c>
      <c r="H14" s="0" t="n">
        <v>3.5</v>
      </c>
      <c r="I14" s="0" t="str">
        <f aca="false">IF(OR(E14="",G14=""),"",IF(E14&gt;G14,D14,IF(G14&gt;E14,F14,"TIE")))</f>
        <v>LV</v>
      </c>
      <c r="J14" s="0" t="str">
        <f aca="false">IF(OR(E14="",G14="",H14=""),"",IF(E14+H14&gt;G14,D14,IF(E14+H14&lt;G14,F14,"PUSH")))</f>
        <v>LV</v>
      </c>
    </row>
    <row r="15" customFormat="false" ht="15" hidden="false" customHeight="true" outlineLevel="0" collapsed="false">
      <c r="A15" s="0" t="n">
        <v>1</v>
      </c>
      <c r="B15" s="0" t="s">
        <v>119</v>
      </c>
      <c r="C15" s="0" t="s">
        <v>121</v>
      </c>
      <c r="D15" s="0" t="s">
        <v>81</v>
      </c>
      <c r="E15" s="0" t="n">
        <v>22</v>
      </c>
      <c r="F15" s="0" t="s">
        <v>82</v>
      </c>
      <c r="G15" s="0" t="n">
        <v>39</v>
      </c>
      <c r="H15" s="0" t="n">
        <v>1.5</v>
      </c>
      <c r="I15" s="0" t="str">
        <f aca="false">IF(OR(E15="",G15=""),"",IF(E15&gt;G15,D15,IF(G15&gt;E15,F15,"TIE")))</f>
        <v>MIN</v>
      </c>
      <c r="J15" s="0" t="str">
        <f aca="false">IF(OR(E15="",G15="",H15=""),"",IF(E15+H15&gt;G15,D15,IF(E15+H15&lt;G15,F15,"PUSH")))</f>
        <v>MIN</v>
      </c>
    </row>
    <row r="16" customFormat="false" ht="15" hidden="false" customHeight="true" outlineLevel="0" collapsed="false">
      <c r="A16" s="0" t="n">
        <v>1</v>
      </c>
      <c r="B16" s="0" t="s">
        <v>119</v>
      </c>
      <c r="C16" s="0" t="s">
        <v>121</v>
      </c>
      <c r="D16" s="0" t="s">
        <v>83</v>
      </c>
      <c r="E16" s="0" t="n">
        <v>22</v>
      </c>
      <c r="F16" s="0" t="s">
        <v>84</v>
      </c>
      <c r="G16" s="0" t="n">
        <v>24</v>
      </c>
      <c r="H16" s="0" t="n">
        <v>4.5</v>
      </c>
      <c r="I16" s="0" t="str">
        <f aca="false">IF(OR(E16="",G16=""),"",IF(E16&gt;G16,D16,IF(G16&gt;E16,F16,"TIE")))</f>
        <v>PHI</v>
      </c>
      <c r="J16" s="0" t="str">
        <f aca="false">IF(OR(E16="",G16="",H16=""),"",IF(E16+H16&gt;G16,D16,IF(E16+H16&lt;G16,F16,"PUSH")))</f>
        <v>WAS</v>
      </c>
    </row>
    <row r="17" customFormat="false" ht="15" hidden="false" customHeight="true" outlineLevel="0" collapsed="false">
      <c r="A17" s="0" t="n">
        <v>1</v>
      </c>
      <c r="B17" s="0" t="s">
        <v>119</v>
      </c>
      <c r="C17" s="0" t="s">
        <v>116</v>
      </c>
      <c r="D17" s="0" t="s">
        <v>85</v>
      </c>
      <c r="E17" s="0" t="n">
        <v>20</v>
      </c>
      <c r="F17" s="0" t="s">
        <v>86</v>
      </c>
      <c r="G17" s="0" t="n">
        <v>28</v>
      </c>
      <c r="H17" s="0" t="n">
        <v>-2.5</v>
      </c>
      <c r="I17" s="0" t="str">
        <f aca="false">IF(OR(E17="",G17=""),"",IF(E17&gt;G17,D17,IF(G17&gt;E17,F17,"TIE")))</f>
        <v>NYG</v>
      </c>
      <c r="J17" s="0" t="str">
        <f aca="false">IF(OR(E17="",G17="",H17=""),"",IF(E17+H17&gt;G17,D17,IF(E17+H17&lt;G17,F17,"PUSH")))</f>
        <v>NYG</v>
      </c>
    </row>
    <row r="18" customFormat="false" ht="15" hidden="false" customHeight="true" outlineLevel="0" collapsed="false">
      <c r="A18" s="0" t="n">
        <v>1</v>
      </c>
      <c r="B18" s="0" t="s">
        <v>122</v>
      </c>
      <c r="C18" s="0" t="s">
        <v>123</v>
      </c>
      <c r="D18" s="0" t="s">
        <v>87</v>
      </c>
      <c r="E18" s="0" t="n">
        <v>25</v>
      </c>
      <c r="F18" s="0" t="s">
        <v>88</v>
      </c>
      <c r="G18" s="0" t="n">
        <v>26</v>
      </c>
      <c r="H18" s="0" t="n">
        <v>-2.5</v>
      </c>
      <c r="I18" s="0" t="str">
        <f aca="false">IF(OR(E18="",G18=""),"",IF(E18&gt;G18,D18,IF(G18&gt;E18,F18,"TIE")))</f>
        <v>KC</v>
      </c>
      <c r="J18" s="0" t="str">
        <f aca="false">IF(OR(E18="",G18="",H18=""),"",IF(E18+H18&gt;G18,D18,IF(E18+H18&lt;G18,F18,"PUSH")))</f>
        <v>KC</v>
      </c>
    </row>
    <row r="19" customFormat="false" ht="15" hidden="false" customHeight="false" outlineLevel="0" collapsed="false">
      <c r="D19" s="20" t="s">
        <v>89</v>
      </c>
      <c r="E19" s="21" t="n">
        <f aca="false">IF(AND(E18&lt;&gt;"",G18&lt;&gt;""),E18+G18,"")</f>
        <v>51</v>
      </c>
    </row>
    <row r="20" customFormat="false" ht="15" hidden="false" customHeight="true" outlineLevel="0" collapsed="false">
      <c r="A20" s="0" t="s">
        <v>90</v>
      </c>
    </row>
    <row r="21" customFormat="false" ht="15" hidden="false" customHeight="true" outlineLevel="0" collapsed="false">
      <c r="A21" s="0" t="s">
        <v>107</v>
      </c>
      <c r="B21" s="0" t="s">
        <v>108</v>
      </c>
      <c r="C21" s="0" t="s">
        <v>109</v>
      </c>
      <c r="D21" s="0" t="s">
        <v>53</v>
      </c>
      <c r="E21" s="0" t="s">
        <v>110</v>
      </c>
      <c r="F21" s="0" t="s">
        <v>55</v>
      </c>
      <c r="G21" s="0" t="s">
        <v>111</v>
      </c>
      <c r="H21" s="0" t="s">
        <v>112</v>
      </c>
      <c r="I21" s="0" t="s">
        <v>113</v>
      </c>
      <c r="J21" s="0" t="s">
        <v>114</v>
      </c>
    </row>
    <row r="22" customFormat="false" ht="15" hidden="false" customHeight="true" outlineLevel="0" collapsed="false">
      <c r="A22" s="0" t="n">
        <v>2</v>
      </c>
      <c r="B22" s="0" t="s">
        <v>124</v>
      </c>
      <c r="C22" s="0" t="s">
        <v>123</v>
      </c>
      <c r="D22" s="0" t="s">
        <v>66</v>
      </c>
      <c r="F22" s="0" t="s">
        <v>67</v>
      </c>
      <c r="I22" s="0" t="str">
        <f aca="false">IF(OR(E22="",G22=""),"",IF(E22&gt;G22,D22,IF(G22&gt;E22,F22,"TIE")))</f>
        <v/>
      </c>
      <c r="J22" s="0" t="str">
        <f aca="false">IF(OR(E22="",G22="",H22=""),"",IF(E22+H22&gt;G22,D22,IF(E22+H22&lt;G22,F22,"PUSH")))</f>
        <v/>
      </c>
    </row>
    <row r="23" customFormat="false" ht="15" hidden="false" customHeight="true" outlineLevel="0" collapsed="false">
      <c r="A23" s="0" t="n">
        <v>2</v>
      </c>
      <c r="B23" s="0" t="s">
        <v>125</v>
      </c>
      <c r="C23" s="0" t="s">
        <v>120</v>
      </c>
      <c r="D23" s="0" t="s">
        <v>62</v>
      </c>
      <c r="F23" s="0" t="s">
        <v>73</v>
      </c>
      <c r="I23" s="0" t="str">
        <f aca="false">IF(OR(E23="",G23=""),"",IF(E23&gt;G23,D23,IF(G23&gt;E23,F23,"TIE")))</f>
        <v/>
      </c>
      <c r="J23" s="0" t="str">
        <f aca="false">IF(OR(E23="",G23="",H23=""),"",IF(E23+H23&gt;G23,D23,IF(E23+H23&lt;G23,F23,"PUSH")))</f>
        <v/>
      </c>
    </row>
    <row r="24" customFormat="false" ht="15" hidden="false" customHeight="true" outlineLevel="0" collapsed="false">
      <c r="A24" s="0" t="n">
        <v>2</v>
      </c>
      <c r="B24" s="0" t="s">
        <v>125</v>
      </c>
      <c r="C24" s="0" t="s">
        <v>120</v>
      </c>
      <c r="D24" s="0" t="s">
        <v>65</v>
      </c>
      <c r="F24" s="0" t="s">
        <v>69</v>
      </c>
      <c r="I24" s="0" t="str">
        <f aca="false">IF(OR(E24="",G24=""),"",IF(E24&gt;G24,D24,IF(G24&gt;E24,F24,"TIE")))</f>
        <v/>
      </c>
      <c r="J24" s="0" t="str">
        <f aca="false">IF(OR(E24="",G24="",H24=""),"",IF(E24+H24&gt;G24,D24,IF(E24+H24&lt;G24,F24,"PUSH")))</f>
        <v/>
      </c>
    </row>
    <row r="25" customFormat="false" ht="15" hidden="false" customHeight="true" outlineLevel="0" collapsed="false">
      <c r="A25" s="0" t="n">
        <v>2</v>
      </c>
      <c r="B25" s="0" t="s">
        <v>125</v>
      </c>
      <c r="C25" s="0" t="s">
        <v>120</v>
      </c>
      <c r="D25" s="0" t="s">
        <v>82</v>
      </c>
      <c r="F25" s="0" t="s">
        <v>61</v>
      </c>
      <c r="I25" s="0" t="str">
        <f aca="false">IF(OR(E25="",G25=""),"",IF(E25&gt;G25,D25,IF(G25&gt;E25,F25,"TIE")))</f>
        <v/>
      </c>
      <c r="J25" s="0" t="str">
        <f aca="false">IF(OR(E25="",G25="",H25=""),"",IF(E25+H25&gt;G25,D25,IF(E25+H25&lt;G25,F25,"PUSH")))</f>
        <v/>
      </c>
    </row>
    <row r="26" customFormat="false" ht="15" hidden="false" customHeight="true" outlineLevel="0" collapsed="false">
      <c r="A26" s="0" t="n">
        <v>2</v>
      </c>
      <c r="B26" s="0" t="s">
        <v>125</v>
      </c>
      <c r="C26" s="0" t="s">
        <v>120</v>
      </c>
      <c r="D26" s="0" t="s">
        <v>64</v>
      </c>
      <c r="F26" s="0" t="s">
        <v>68</v>
      </c>
      <c r="I26" s="0" t="str">
        <f aca="false">IF(OR(E26="",G26=""),"",IF(E26&gt;G26,D26,IF(G26&gt;E26,F26,"TIE")))</f>
        <v/>
      </c>
      <c r="J26" s="0" t="str">
        <f aca="false">IF(OR(E26="",G26="",H26=""),"",IF(E26+H26&gt;G26,D26,IF(E26+H26&lt;G26,F26,"PUSH")))</f>
        <v/>
      </c>
    </row>
    <row r="27" customFormat="false" ht="15" hidden="false" customHeight="true" outlineLevel="0" collapsed="false">
      <c r="A27" s="0" t="n">
        <v>2</v>
      </c>
      <c r="B27" s="0" t="s">
        <v>125</v>
      </c>
      <c r="C27" s="0" t="s">
        <v>120</v>
      </c>
      <c r="D27" s="0" t="s">
        <v>74</v>
      </c>
      <c r="F27" s="0" t="s">
        <v>57</v>
      </c>
      <c r="I27" s="0" t="str">
        <f aca="false">IF(OR(E27="",G27=""),"",IF(E27&gt;G27,D27,IF(G27&gt;E27,F27,"TIE")))</f>
        <v/>
      </c>
      <c r="J27" s="0" t="str">
        <f aca="false">IF(OR(E27="",G27="",H27=""),"",IF(E27+H27&gt;G27,D27,IF(E27+H27&lt;G27,F27,"PUSH")))</f>
        <v/>
      </c>
    </row>
    <row r="28" customFormat="false" ht="15" hidden="false" customHeight="true" outlineLevel="0" collapsed="false">
      <c r="A28" s="0" t="n">
        <v>2</v>
      </c>
      <c r="B28" s="0" t="s">
        <v>125</v>
      </c>
      <c r="C28" s="0" t="s">
        <v>120</v>
      </c>
      <c r="D28" s="0" t="s">
        <v>81</v>
      </c>
      <c r="F28" s="0" t="s">
        <v>75</v>
      </c>
      <c r="I28" s="0" t="str">
        <f aca="false">IF(OR(E28="",G28=""),"",IF(E28&gt;G28,D28,IF(G28&gt;E28,F28,"TIE")))</f>
        <v/>
      </c>
      <c r="J28" s="0" t="str">
        <f aca="false">IF(OR(E28="",G28="",H28=""),"",IF(E28+H28&gt;G28,D28,IF(E28+H28&lt;G28,F28,"PUSH")))</f>
        <v/>
      </c>
    </row>
    <row r="29" customFormat="false" ht="15" hidden="false" customHeight="true" outlineLevel="0" collapsed="false">
      <c r="A29" s="0" t="n">
        <v>2</v>
      </c>
      <c r="B29" s="0" t="s">
        <v>125</v>
      </c>
      <c r="C29" s="0" t="s">
        <v>120</v>
      </c>
      <c r="D29" s="0" t="s">
        <v>71</v>
      </c>
      <c r="F29" s="0" t="s">
        <v>63</v>
      </c>
      <c r="I29" s="0" t="str">
        <f aca="false">IF(OR(E29="",G29=""),"",IF(E29&gt;G29,D29,IF(G29&gt;E29,F29,"TIE")))</f>
        <v/>
      </c>
      <c r="J29" s="0" t="str">
        <f aca="false">IF(OR(E29="",G29="",H29=""),"",IF(E29+H29&gt;G29,D29,IF(E29+H29&lt;G29,F29,"PUSH")))</f>
        <v/>
      </c>
    </row>
    <row r="30" customFormat="false" ht="15" hidden="false" customHeight="true" outlineLevel="0" collapsed="false">
      <c r="A30" s="0" t="n">
        <v>2</v>
      </c>
      <c r="B30" s="0" t="s">
        <v>125</v>
      </c>
      <c r="C30" s="0" t="s">
        <v>120</v>
      </c>
      <c r="D30" s="0" t="s">
        <v>84</v>
      </c>
      <c r="F30" s="0" t="s">
        <v>76</v>
      </c>
      <c r="I30" s="0" t="str">
        <f aca="false">IF(OR(E30="",G30=""),"",IF(E30&gt;G30,D30,IF(G30&gt;E30,F30,"TIE")))</f>
        <v/>
      </c>
      <c r="J30" s="0" t="str">
        <f aca="false">IF(OR(E30="",G30="",H30=""),"",IF(E30+H30&gt;G30,D30,IF(E30+H30&lt;G30,F30,"PUSH")))</f>
        <v/>
      </c>
    </row>
    <row r="31" customFormat="false" ht="15" hidden="false" customHeight="true" outlineLevel="0" collapsed="false">
      <c r="A31" s="0" t="n">
        <v>2</v>
      </c>
      <c r="B31" s="0" t="s">
        <v>125</v>
      </c>
      <c r="C31" s="0" t="s">
        <v>126</v>
      </c>
      <c r="D31" s="0" t="s">
        <v>72</v>
      </c>
      <c r="F31" s="0" t="s">
        <v>87</v>
      </c>
      <c r="I31" s="0" t="str">
        <f aca="false">IF(OR(E31="",G31=""),"",IF(E31&gt;G31,D31,IF(G31&gt;E31,F31,"TIE")))</f>
        <v/>
      </c>
      <c r="J31" s="0" t="str">
        <f aca="false">IF(OR(E31="",G31="",H31=""),"",IF(E31+H31&gt;G31,D31,IF(E31+H31&lt;G31,F31,"PUSH")))</f>
        <v/>
      </c>
    </row>
    <row r="32" customFormat="false" ht="15" hidden="false" customHeight="true" outlineLevel="0" collapsed="false">
      <c r="A32" s="0" t="n">
        <v>2</v>
      </c>
      <c r="B32" s="0" t="s">
        <v>125</v>
      </c>
      <c r="C32" s="0" t="s">
        <v>126</v>
      </c>
      <c r="D32" s="0" t="s">
        <v>80</v>
      </c>
      <c r="F32" s="0" t="s">
        <v>78</v>
      </c>
      <c r="I32" s="0" t="str">
        <f aca="false">IF(OR(E32="",G32=""),"",IF(E32&gt;G32,D32,IF(G32&gt;E32,F32,"TIE")))</f>
        <v/>
      </c>
      <c r="J32" s="0" t="str">
        <f aca="false">IF(OR(E32="",G32="",H32=""),"",IF(E32+H32&gt;G32,D32,IF(E32+H32&lt;G32,F32,"PUSH")))</f>
        <v/>
      </c>
    </row>
    <row r="33" customFormat="false" ht="15" hidden="false" customHeight="true" outlineLevel="0" collapsed="false">
      <c r="A33" s="0" t="n">
        <v>2</v>
      </c>
      <c r="B33" s="0" t="s">
        <v>125</v>
      </c>
      <c r="C33" s="0" t="s">
        <v>121</v>
      </c>
      <c r="D33" s="0" t="s">
        <v>58</v>
      </c>
      <c r="F33" s="0" t="s">
        <v>77</v>
      </c>
      <c r="I33" s="0" t="str">
        <f aca="false">IF(OR(E33="",G33=""),"",IF(E33&gt;G33,D33,IF(G33&gt;E33,F33,"TIE")))</f>
        <v/>
      </c>
      <c r="J33" s="0" t="str">
        <f aca="false">IF(OR(E33="",G33="",H33=""),"",IF(E33+H33&gt;G33,D33,IF(E33+H33&lt;G33,F33,"PUSH")))</f>
        <v/>
      </c>
    </row>
    <row r="34" customFormat="false" ht="15" hidden="false" customHeight="true" outlineLevel="0" collapsed="false">
      <c r="A34" s="0" t="n">
        <v>2</v>
      </c>
      <c r="B34" s="0" t="s">
        <v>125</v>
      </c>
      <c r="C34" s="0" t="s">
        <v>121</v>
      </c>
      <c r="D34" s="0" t="s">
        <v>83</v>
      </c>
      <c r="F34" s="0" t="s">
        <v>85</v>
      </c>
      <c r="I34" s="0" t="str">
        <f aca="false">IF(OR(E34="",G34=""),"",IF(E34&gt;G34,D34,IF(G34&gt;E34,F34,"TIE")))</f>
        <v/>
      </c>
      <c r="J34" s="0" t="str">
        <f aca="false">IF(OR(E34="",G34="",H34=""),"",IF(E34+H34&gt;G34,D34,IF(E34+H34&lt;G34,F34,"PUSH")))</f>
        <v/>
      </c>
    </row>
    <row r="35" customFormat="false" ht="15" hidden="false" customHeight="true" outlineLevel="0" collapsed="false">
      <c r="A35" s="0" t="n">
        <v>2</v>
      </c>
      <c r="B35" s="0" t="s">
        <v>125</v>
      </c>
      <c r="C35" s="0" t="s">
        <v>121</v>
      </c>
      <c r="D35" s="0" t="s">
        <v>79</v>
      </c>
      <c r="F35" s="0" t="s">
        <v>59</v>
      </c>
      <c r="I35" s="0" t="str">
        <f aca="false">IF(OR(E35="",G35=""),"",IF(E35&gt;G35,D35,IF(G35&gt;E35,F35,"TIE")))</f>
        <v/>
      </c>
      <c r="J35" s="0" t="str">
        <f aca="false">IF(OR(E35="",G35="",H35=""),"",IF(E35+H35&gt;G35,D35,IF(E35+H35&lt;G35,F35,"PUSH")))</f>
        <v/>
      </c>
    </row>
    <row r="36" customFormat="false" ht="15" hidden="false" customHeight="true" outlineLevel="0" collapsed="false">
      <c r="A36" s="0" t="n">
        <v>2</v>
      </c>
      <c r="B36" s="0" t="s">
        <v>125</v>
      </c>
      <c r="C36" s="0" t="s">
        <v>116</v>
      </c>
      <c r="D36" s="0" t="s">
        <v>70</v>
      </c>
      <c r="F36" s="0" t="s">
        <v>88</v>
      </c>
      <c r="I36" s="0" t="str">
        <f aca="false">IF(OR(E36="",G36=""),"",IF(E36&gt;G36,D36,IF(G36&gt;E36,F36,"TIE")))</f>
        <v/>
      </c>
      <c r="J36" s="0" t="str">
        <f aca="false">IF(OR(E36="",G36="",H36=""),"",IF(E36+H36&gt;G36,D36,IF(E36+H36&lt;G36,F36,"PUSH")))</f>
        <v/>
      </c>
    </row>
    <row r="37" customFormat="false" ht="15" hidden="false" customHeight="true" outlineLevel="0" collapsed="false">
      <c r="A37" s="0" t="n">
        <v>2</v>
      </c>
      <c r="B37" s="0" t="s">
        <v>127</v>
      </c>
      <c r="C37" s="0" t="s">
        <v>123</v>
      </c>
      <c r="D37" s="0" t="s">
        <v>86</v>
      </c>
      <c r="F37" s="0" t="s">
        <v>60</v>
      </c>
      <c r="I37" s="0" t="str">
        <f aca="false">IF(OR(E37="",G37=""),"",IF(E37&gt;G37,D37,IF(G37&gt;E37,F37,"TIE")))</f>
        <v/>
      </c>
      <c r="J37" s="0" t="str">
        <f aca="false">IF(OR(E37="",G37="",H37=""),"",IF(E37+H37&gt;G37,D37,IF(E37+H37&lt;G37,F37,"PUSH")))</f>
        <v/>
      </c>
    </row>
    <row r="38" customFormat="false" ht="15" hidden="false" customHeight="false" outlineLevel="0" collapsed="false">
      <c r="D38" s="20" t="s">
        <v>89</v>
      </c>
      <c r="E38" s="21" t="str">
        <f aca="false">IF(AND(E37&lt;&gt;"",G37&lt;&gt;""),E37+G37,"")</f>
        <v/>
      </c>
    </row>
    <row r="39" customFormat="false" ht="15" hidden="false" customHeight="true" outlineLevel="0" collapsed="false">
      <c r="A39" s="0" t="s">
        <v>91</v>
      </c>
    </row>
    <row r="40" customFormat="false" ht="15" hidden="false" customHeight="true" outlineLevel="0" collapsed="false">
      <c r="A40" s="0" t="s">
        <v>107</v>
      </c>
      <c r="B40" s="0" t="s">
        <v>108</v>
      </c>
      <c r="C40" s="0" t="s">
        <v>109</v>
      </c>
      <c r="D40" s="0" t="s">
        <v>53</v>
      </c>
      <c r="E40" s="0" t="s">
        <v>110</v>
      </c>
      <c r="F40" s="0" t="s">
        <v>55</v>
      </c>
      <c r="G40" s="0" t="s">
        <v>111</v>
      </c>
      <c r="H40" s="0" t="s">
        <v>112</v>
      </c>
      <c r="I40" s="0" t="s">
        <v>113</v>
      </c>
      <c r="J40" s="0" t="s">
        <v>114</v>
      </c>
    </row>
    <row r="41" customFormat="false" ht="15" hidden="false" customHeight="true" outlineLevel="0" collapsed="false">
      <c r="A41" s="0" t="n">
        <v>3</v>
      </c>
      <c r="B41" s="0" t="s">
        <v>128</v>
      </c>
      <c r="C41" s="0" t="s">
        <v>123</v>
      </c>
      <c r="D41" s="0" t="s">
        <v>73</v>
      </c>
      <c r="F41" s="0" t="s">
        <v>81</v>
      </c>
      <c r="I41" s="0" t="str">
        <f aca="false">IF(OR(E41="",G41=""),"",IF(E41&gt;G41,D41,IF(G41&gt;E41,F41,"TIE")))</f>
        <v/>
      </c>
      <c r="J41" s="0" t="str">
        <f aca="false">IF(OR(E41="",G41="",H41=""),"",IF(E41+H41&gt;G41,D41,IF(E41+H41&lt;G41,F41,"PUSH")))</f>
        <v/>
      </c>
    </row>
    <row r="42" customFormat="false" ht="15" hidden="false" customHeight="true" outlineLevel="0" collapsed="false">
      <c r="A42" s="0" t="n">
        <v>3</v>
      </c>
      <c r="B42" s="0" t="s">
        <v>129</v>
      </c>
      <c r="C42" s="0" t="s">
        <v>120</v>
      </c>
      <c r="D42" s="0" t="s">
        <v>78</v>
      </c>
      <c r="F42" s="0" t="s">
        <v>67</v>
      </c>
      <c r="I42" s="0" t="str">
        <f aca="false">IF(OR(E42="",G42=""),"",IF(E42&gt;G42,D42,IF(G42&gt;E42,F42,"TIE")))</f>
        <v/>
      </c>
      <c r="J42" s="0" t="str">
        <f aca="false">IF(OR(E42="",G42="",H42=""),"",IF(E42+H42&gt;G42,D42,IF(E42+H42&lt;G42,F42,"PUSH")))</f>
        <v/>
      </c>
    </row>
    <row r="43" customFormat="false" ht="15" hidden="false" customHeight="true" outlineLevel="0" collapsed="false">
      <c r="A43" s="0" t="n">
        <v>3</v>
      </c>
      <c r="B43" s="0" t="s">
        <v>129</v>
      </c>
      <c r="C43" s="0" t="s">
        <v>120</v>
      </c>
      <c r="D43" s="0" t="s">
        <v>62</v>
      </c>
      <c r="F43" s="0" t="s">
        <v>71</v>
      </c>
      <c r="I43" s="0" t="str">
        <f aca="false">IF(OR(E43="",G43=""),"",IF(E43&gt;G43,D43,IF(G43&gt;E43,F43,"TIE")))</f>
        <v/>
      </c>
      <c r="J43" s="0" t="str">
        <f aca="false">IF(OR(E43="",G43="",H43=""),"",IF(E43+H43&gt;G43,D43,IF(E43+H43&lt;G43,F43,"PUSH")))</f>
        <v/>
      </c>
    </row>
    <row r="44" customFormat="false" ht="15" hidden="false" customHeight="true" outlineLevel="0" collapsed="false">
      <c r="A44" s="0" t="n">
        <v>3</v>
      </c>
      <c r="B44" s="0" t="s">
        <v>129</v>
      </c>
      <c r="C44" s="0" t="s">
        <v>120</v>
      </c>
      <c r="D44" s="0" t="s">
        <v>75</v>
      </c>
      <c r="F44" s="0" t="s">
        <v>66</v>
      </c>
      <c r="I44" s="0" t="str">
        <f aca="false">IF(OR(E44="",G44=""),"",IF(E44&gt;G44,D44,IF(G44&gt;E44,F44,"TIE")))</f>
        <v/>
      </c>
      <c r="J44" s="0" t="str">
        <f aca="false">IF(OR(E44="",G44="",H44=""),"",IF(E44+H44&gt;G44,D44,IF(E44+H44&lt;G44,F44,"PUSH")))</f>
        <v/>
      </c>
    </row>
    <row r="45" customFormat="false" ht="15" hidden="false" customHeight="true" outlineLevel="0" collapsed="false">
      <c r="A45" s="0" t="n">
        <v>3</v>
      </c>
      <c r="B45" s="0" t="s">
        <v>129</v>
      </c>
      <c r="C45" s="0" t="s">
        <v>120</v>
      </c>
      <c r="D45" s="0" t="s">
        <v>68</v>
      </c>
      <c r="F45" s="0" t="s">
        <v>70</v>
      </c>
      <c r="I45" s="0" t="str">
        <f aca="false">IF(OR(E45="",G45=""),"",IF(E45&gt;G45,D45,IF(G45&gt;E45,F45,"TIE")))</f>
        <v/>
      </c>
      <c r="J45" s="0" t="str">
        <f aca="false">IF(OR(E45="",G45="",H45=""),"",IF(E45+H45&gt;G45,D45,IF(E45+H45&lt;G45,F45,"PUSH")))</f>
        <v/>
      </c>
    </row>
    <row r="46" customFormat="false" ht="15" hidden="false" customHeight="true" outlineLevel="0" collapsed="false">
      <c r="A46" s="0" t="n">
        <v>3</v>
      </c>
      <c r="B46" s="0" t="s">
        <v>129</v>
      </c>
      <c r="C46" s="0" t="s">
        <v>120</v>
      </c>
      <c r="D46" s="0" t="s">
        <v>88</v>
      </c>
      <c r="F46" s="0" t="s">
        <v>79</v>
      </c>
      <c r="I46" s="0" t="str">
        <f aca="false">IF(OR(E46="",G46=""),"",IF(E46&gt;G46,D46,IF(G46&gt;E46,F46,"TIE")))</f>
        <v/>
      </c>
      <c r="J46" s="0" t="str">
        <f aca="false">IF(OR(E46="",G46="",H46=""),"",IF(E46+H46&gt;G46,D46,IF(E46+H46&lt;G46,F46,"PUSH")))</f>
        <v/>
      </c>
    </row>
    <row r="47" customFormat="false" ht="15" hidden="false" customHeight="true" outlineLevel="0" collapsed="false">
      <c r="A47" s="0" t="n">
        <v>3</v>
      </c>
      <c r="B47" s="0" t="s">
        <v>129</v>
      </c>
      <c r="C47" s="0" t="s">
        <v>120</v>
      </c>
      <c r="D47" s="0" t="s">
        <v>76</v>
      </c>
      <c r="F47" s="0" t="s">
        <v>86</v>
      </c>
      <c r="I47" s="0" t="str">
        <f aca="false">IF(OR(E47="",G47=""),"",IF(E47&gt;G47,D47,IF(G47&gt;E47,F47,"TIE")))</f>
        <v/>
      </c>
      <c r="J47" s="0" t="str">
        <f aca="false">IF(OR(E47="",G47="",H47=""),"",IF(E47+H47&gt;G47,D47,IF(E47+H47&lt;G47,F47,"PUSH")))</f>
        <v/>
      </c>
    </row>
    <row r="48" customFormat="false" ht="15" hidden="false" customHeight="true" outlineLevel="0" collapsed="false">
      <c r="A48" s="0" t="n">
        <v>3</v>
      </c>
      <c r="B48" s="0" t="s">
        <v>129</v>
      </c>
      <c r="C48" s="0" t="s">
        <v>120</v>
      </c>
      <c r="D48" s="0" t="s">
        <v>64</v>
      </c>
      <c r="F48" s="0" t="s">
        <v>74</v>
      </c>
      <c r="I48" s="0" t="str">
        <f aca="false">IF(OR(E48="",G48=""),"",IF(E48&gt;G48,D48,IF(G48&gt;E48,F48,"TIE")))</f>
        <v/>
      </c>
      <c r="J48" s="0" t="str">
        <f aca="false">IF(OR(E48="",G48="",H48=""),"",IF(E48+H48&gt;G48,D48,IF(E48+H48&lt;G48,F48,"PUSH")))</f>
        <v/>
      </c>
    </row>
    <row r="49" customFormat="false" ht="15" hidden="false" customHeight="true" outlineLevel="0" collapsed="false">
      <c r="A49" s="0" t="n">
        <v>3</v>
      </c>
      <c r="B49" s="0" t="s">
        <v>129</v>
      </c>
      <c r="C49" s="0" t="s">
        <v>120</v>
      </c>
      <c r="D49" s="0" t="s">
        <v>58</v>
      </c>
      <c r="F49" s="0" t="s">
        <v>83</v>
      </c>
      <c r="I49" s="0" t="str">
        <f aca="false">IF(OR(E49="",G49=""),"",IF(E49&gt;G49,D49,IF(G49&gt;E49,F49,"TIE")))</f>
        <v/>
      </c>
      <c r="J49" s="0" t="str">
        <f aca="false">IF(OR(E49="",G49="",H49=""),"",IF(E49+H49&gt;G49,D49,IF(E49+H49&lt;G49,F49,"PUSH")))</f>
        <v/>
      </c>
    </row>
    <row r="50" customFormat="false" ht="15" hidden="false" customHeight="true" outlineLevel="0" collapsed="false">
      <c r="A50" s="0" t="n">
        <v>3</v>
      </c>
      <c r="B50" s="0" t="s">
        <v>129</v>
      </c>
      <c r="C50" s="0" t="s">
        <v>120</v>
      </c>
      <c r="D50" s="0" t="s">
        <v>57</v>
      </c>
      <c r="F50" s="0" t="s">
        <v>72</v>
      </c>
      <c r="I50" s="0" t="str">
        <f aca="false">IF(OR(E50="",G50=""),"",IF(E50&gt;G50,D50,IF(G50&gt;E50,F50,"TIE")))</f>
        <v/>
      </c>
      <c r="J50" s="0" t="str">
        <f aca="false">IF(OR(E50="",G50="",H50=""),"",IF(E50+H50&gt;G50,D50,IF(E50+H50&lt;G50,F50,"PUSH")))</f>
        <v/>
      </c>
    </row>
    <row r="51" customFormat="false" ht="15" hidden="false" customHeight="true" outlineLevel="0" collapsed="false">
      <c r="A51" s="0" t="n">
        <v>3</v>
      </c>
      <c r="B51" s="0" t="s">
        <v>129</v>
      </c>
      <c r="C51" s="0" t="s">
        <v>126</v>
      </c>
      <c r="D51" s="0" t="s">
        <v>77</v>
      </c>
      <c r="F51" s="0" t="s">
        <v>59</v>
      </c>
      <c r="I51" s="0" t="str">
        <f aca="false">IF(OR(E51="",G51=""),"",IF(E51&gt;G51,D51,IF(G51&gt;E51,F51,"TIE")))</f>
        <v/>
      </c>
      <c r="J51" s="0" t="str">
        <f aca="false">IF(OR(E51="",G51="",H51=""),"",IF(E51+H51&gt;G51,D51,IF(E51+H51&lt;G51,F51,"PUSH")))</f>
        <v/>
      </c>
    </row>
    <row r="52" customFormat="false" ht="15" hidden="false" customHeight="true" outlineLevel="0" collapsed="false">
      <c r="A52" s="0" t="n">
        <v>3</v>
      </c>
      <c r="B52" s="0" t="s">
        <v>129</v>
      </c>
      <c r="C52" s="0" t="s">
        <v>126</v>
      </c>
      <c r="D52" s="0" t="s">
        <v>82</v>
      </c>
      <c r="F52" s="0" t="s">
        <v>63</v>
      </c>
      <c r="I52" s="0" t="str">
        <f aca="false">IF(OR(E52="",G52=""),"",IF(E52&gt;G52,D52,IF(G52&gt;E52,F52,"TIE")))</f>
        <v/>
      </c>
      <c r="J52" s="0" t="str">
        <f aca="false">IF(OR(E52="",G52="",H52=""),"",IF(E52+H52&gt;G52,D52,IF(E52+H52&lt;G52,F52,"PUSH")))</f>
        <v/>
      </c>
    </row>
    <row r="53" customFormat="false" ht="15" hidden="false" customHeight="true" outlineLevel="0" collapsed="false">
      <c r="A53" s="0" t="n">
        <v>3</v>
      </c>
      <c r="B53" s="0" t="s">
        <v>129</v>
      </c>
      <c r="C53" s="0" t="s">
        <v>121</v>
      </c>
      <c r="D53" s="0" t="s">
        <v>69</v>
      </c>
      <c r="F53" s="0" t="s">
        <v>85</v>
      </c>
      <c r="I53" s="0" t="str">
        <f aca="false">IF(OR(E53="",G53=""),"",IF(E53&gt;G53,D53,IF(G53&gt;E53,F53,"TIE")))</f>
        <v/>
      </c>
      <c r="J53" s="0" t="str">
        <f aca="false">IF(OR(E53="",G53="",H53=""),"",IF(E53+H53&gt;G53,D53,IF(E53+H53&lt;G53,F53,"PUSH")))</f>
        <v/>
      </c>
    </row>
    <row r="54" customFormat="false" ht="15" hidden="false" customHeight="true" outlineLevel="0" collapsed="false">
      <c r="A54" s="0" t="n">
        <v>3</v>
      </c>
      <c r="B54" s="0" t="s">
        <v>129</v>
      </c>
      <c r="C54" s="0" t="s">
        <v>121</v>
      </c>
      <c r="D54" s="0" t="s">
        <v>80</v>
      </c>
      <c r="F54" s="0" t="s">
        <v>65</v>
      </c>
      <c r="I54" s="0" t="str">
        <f aca="false">IF(OR(E54="",G54=""),"",IF(E54&gt;G54,D54,IF(G54&gt;E54,F54,"TIE")))</f>
        <v/>
      </c>
      <c r="J54" s="0" t="str">
        <f aca="false">IF(OR(E54="",G54="",H54=""),"",IF(E54+H54&gt;G54,D54,IF(E54+H54&lt;G54,F54,"PUSH")))</f>
        <v/>
      </c>
    </row>
    <row r="55" customFormat="false" ht="15" hidden="false" customHeight="true" outlineLevel="0" collapsed="false">
      <c r="A55" s="0" t="n">
        <v>3</v>
      </c>
      <c r="B55" s="0" t="s">
        <v>129</v>
      </c>
      <c r="C55" s="0" t="s">
        <v>116</v>
      </c>
      <c r="D55" s="0" t="s">
        <v>60</v>
      </c>
      <c r="F55" s="0" t="s">
        <v>87</v>
      </c>
      <c r="I55" s="0" t="str">
        <f aca="false">IF(OR(E55="",G55=""),"",IF(E55&gt;G55,D55,IF(G55&gt;E55,F55,"TIE")))</f>
        <v/>
      </c>
      <c r="J55" s="0" t="str">
        <f aca="false">IF(OR(E55="",G55="",H55=""),"",IF(E55+H55&gt;G55,D55,IF(E55+H55&lt;G55,F55,"PUSH")))</f>
        <v/>
      </c>
    </row>
    <row r="56" customFormat="false" ht="15" hidden="false" customHeight="true" outlineLevel="0" collapsed="false">
      <c r="A56" s="0" t="n">
        <v>3</v>
      </c>
      <c r="B56" s="0" t="s">
        <v>130</v>
      </c>
      <c r="C56" s="0" t="s">
        <v>123</v>
      </c>
      <c r="D56" s="0" t="s">
        <v>84</v>
      </c>
      <c r="F56" s="0" t="s">
        <v>61</v>
      </c>
      <c r="I56" s="0" t="str">
        <f aca="false">IF(OR(E56="",G56=""),"",IF(E56&gt;G56,D56,IF(G56&gt;E56,F56,"TIE")))</f>
        <v/>
      </c>
      <c r="J56" s="0" t="str">
        <f aca="false">IF(OR(E56="",G56="",H56=""),"",IF(E56+H56&gt;G56,D56,IF(E56+H56&lt;G56,F56,"PUSH")))</f>
        <v/>
      </c>
    </row>
    <row r="57" customFormat="false" ht="15" hidden="false" customHeight="false" outlineLevel="0" collapsed="false">
      <c r="D57" s="20" t="s">
        <v>89</v>
      </c>
      <c r="E57" s="21" t="str">
        <f aca="false">IF(AND(E56&lt;&gt;"",G56&lt;&gt;""),E56+G56,"")</f>
        <v/>
      </c>
    </row>
    <row r="58" customFormat="false" ht="15" hidden="false" customHeight="true" outlineLevel="0" collapsed="false">
      <c r="A58" s="0" t="s">
        <v>92</v>
      </c>
    </row>
    <row r="59" customFormat="false" ht="15" hidden="false" customHeight="true" outlineLevel="0" collapsed="false">
      <c r="A59" s="0" t="s">
        <v>107</v>
      </c>
      <c r="B59" s="0" t="s">
        <v>108</v>
      </c>
      <c r="C59" s="0" t="s">
        <v>109</v>
      </c>
      <c r="D59" s="0" t="s">
        <v>53</v>
      </c>
      <c r="E59" s="0" t="s">
        <v>110</v>
      </c>
      <c r="F59" s="0" t="s">
        <v>55</v>
      </c>
      <c r="G59" s="0" t="s">
        <v>111</v>
      </c>
      <c r="H59" s="0" t="s">
        <v>112</v>
      </c>
      <c r="I59" s="0" t="s">
        <v>113</v>
      </c>
      <c r="J59" s="0" t="s">
        <v>114</v>
      </c>
    </row>
    <row r="60" customFormat="false" ht="15" hidden="false" customHeight="true" outlineLevel="0" collapsed="false">
      <c r="A60" s="0" t="n">
        <v>4</v>
      </c>
      <c r="B60" s="0" t="s">
        <v>131</v>
      </c>
      <c r="C60" s="0" t="s">
        <v>123</v>
      </c>
      <c r="D60" s="0" t="s">
        <v>74</v>
      </c>
      <c r="F60" s="0" t="s">
        <v>71</v>
      </c>
      <c r="I60" s="0" t="str">
        <f aca="false">IF(OR(E60="",G60=""),"",IF(E60&gt;G60,D60,IF(G60&gt;E60,F60,"TIE")))</f>
        <v/>
      </c>
      <c r="J60" s="0" t="str">
        <f aca="false">IF(OR(E60="",G60="",H60=""),"",IF(E60+H60&gt;G60,D60,IF(E60+H60&lt;G60,F60,"PUSH")))</f>
        <v/>
      </c>
    </row>
    <row r="61" customFormat="false" ht="15" hidden="false" customHeight="true" outlineLevel="0" collapsed="false">
      <c r="A61" s="0" t="n">
        <v>4</v>
      </c>
      <c r="B61" s="0" t="s">
        <v>132</v>
      </c>
      <c r="C61" s="0" t="s">
        <v>133</v>
      </c>
      <c r="D61" s="0" t="s">
        <v>70</v>
      </c>
      <c r="F61" s="0" t="s">
        <v>83</v>
      </c>
      <c r="I61" s="0" t="str">
        <f aca="false">IF(OR(E61="",G61=""),"",IF(E61&gt;G61,D61,IF(G61&gt;E61,F61,"TIE")))</f>
        <v/>
      </c>
      <c r="J61" s="0" t="str">
        <f aca="false">IF(OR(E61="",G61="",H61=""),"",IF(E61+H61&gt;G61,D61,IF(E61+H61&lt;G61,F61,"PUSH")))</f>
        <v/>
      </c>
    </row>
    <row r="62" customFormat="false" ht="15" hidden="false" customHeight="true" outlineLevel="0" collapsed="false">
      <c r="A62" s="0" t="n">
        <v>4</v>
      </c>
      <c r="B62" s="0" t="s">
        <v>132</v>
      </c>
      <c r="C62" s="0" t="s">
        <v>120</v>
      </c>
      <c r="D62" s="0" t="s">
        <v>57</v>
      </c>
      <c r="F62" s="0" t="s">
        <v>67</v>
      </c>
      <c r="I62" s="0" t="str">
        <f aca="false">IF(OR(E62="",G62=""),"",IF(E62&gt;G62,D62,IF(G62&gt;E62,F62,"TIE")))</f>
        <v/>
      </c>
      <c r="J62" s="0" t="str">
        <f aca="false">IF(OR(E62="",G62="",H62=""),"",IF(E62+H62&gt;G62,D62,IF(E62+H62&lt;G62,F62,"PUSH")))</f>
        <v/>
      </c>
    </row>
    <row r="63" customFormat="false" ht="15" hidden="false" customHeight="true" outlineLevel="0" collapsed="false">
      <c r="A63" s="0" t="n">
        <v>4</v>
      </c>
      <c r="B63" s="0" t="s">
        <v>132</v>
      </c>
      <c r="C63" s="0" t="s">
        <v>120</v>
      </c>
      <c r="D63" s="0" t="s">
        <v>75</v>
      </c>
      <c r="F63" s="0" t="s">
        <v>61</v>
      </c>
      <c r="I63" s="0" t="str">
        <f aca="false">IF(OR(E63="",G63=""),"",IF(E63&gt;G63,D63,IF(G63&gt;E63,F63,"TIE")))</f>
        <v/>
      </c>
      <c r="J63" s="0" t="str">
        <f aca="false">IF(OR(E63="",G63="",H63=""),"",IF(E63+H63&gt;G63,D63,IF(E63+H63&lt;G63,F63,"PUSH")))</f>
        <v/>
      </c>
    </row>
    <row r="64" customFormat="false" ht="15" hidden="false" customHeight="true" outlineLevel="0" collapsed="false">
      <c r="A64" s="0" t="n">
        <v>4</v>
      </c>
      <c r="B64" s="0" t="s">
        <v>132</v>
      </c>
      <c r="C64" s="0" t="s">
        <v>120</v>
      </c>
      <c r="D64" s="0" t="s">
        <v>72</v>
      </c>
      <c r="F64" s="0" t="s">
        <v>64</v>
      </c>
      <c r="I64" s="0" t="str">
        <f aca="false">IF(OR(E64="",G64=""),"",IF(E64&gt;G64,D64,IF(G64&gt;E64,F64,"TIE")))</f>
        <v/>
      </c>
      <c r="J64" s="0" t="str">
        <f aca="false">IF(OR(E64="",G64="",H64=""),"",IF(E64+H64&gt;G64,D64,IF(E64+H64&lt;G64,F64,"PUSH")))</f>
        <v/>
      </c>
    </row>
    <row r="65" customFormat="false" ht="15" hidden="false" customHeight="true" outlineLevel="0" collapsed="false">
      <c r="A65" s="0" t="n">
        <v>4</v>
      </c>
      <c r="B65" s="0" t="s">
        <v>132</v>
      </c>
      <c r="C65" s="0" t="s">
        <v>120</v>
      </c>
      <c r="D65" s="0" t="s">
        <v>77</v>
      </c>
      <c r="F65" s="0" t="s">
        <v>86</v>
      </c>
      <c r="I65" s="0" t="str">
        <f aca="false">IF(OR(E65="",G65=""),"",IF(E65&gt;G65,D65,IF(G65&gt;E65,F65,"TIE")))</f>
        <v/>
      </c>
      <c r="J65" s="0" t="str">
        <f aca="false">IF(OR(E65="",G65="",H65=""),"",IF(E65+H65&gt;G65,D65,IF(E65+H65&lt;G65,F65,"PUSH")))</f>
        <v/>
      </c>
    </row>
    <row r="66" customFormat="false" ht="15" hidden="false" customHeight="true" outlineLevel="0" collapsed="false">
      <c r="A66" s="0" t="n">
        <v>4</v>
      </c>
      <c r="B66" s="0" t="s">
        <v>132</v>
      </c>
      <c r="C66" s="0" t="s">
        <v>120</v>
      </c>
      <c r="D66" s="0" t="s">
        <v>60</v>
      </c>
      <c r="F66" s="0" t="s">
        <v>84</v>
      </c>
      <c r="I66" s="0" t="str">
        <f aca="false">IF(OR(E66="",G66=""),"",IF(E66&gt;G66,D66,IF(G66&gt;E66,F66,"TIE")))</f>
        <v/>
      </c>
      <c r="J66" s="0" t="str">
        <f aca="false">IF(OR(E66="",G66="",H66=""),"",IF(E66+H66&gt;G66,D66,IF(E66+H66&lt;G66,F66,"PUSH")))</f>
        <v/>
      </c>
    </row>
    <row r="67" customFormat="false" ht="15" hidden="false" customHeight="true" outlineLevel="0" collapsed="false">
      <c r="A67" s="0" t="n">
        <v>4</v>
      </c>
      <c r="B67" s="0" t="s">
        <v>132</v>
      </c>
      <c r="C67" s="0" t="s">
        <v>120</v>
      </c>
      <c r="D67" s="0" t="s">
        <v>81</v>
      </c>
      <c r="F67" s="0" t="s">
        <v>63</v>
      </c>
      <c r="I67" s="0" t="str">
        <f aca="false">IF(OR(E67="",G67=""),"",IF(E67&gt;G67,D67,IF(G67&gt;E67,F67,"TIE")))</f>
        <v/>
      </c>
      <c r="J67" s="0" t="str">
        <f aca="false">IF(OR(E67="",G67="",H67=""),"",IF(E67+H67&gt;G67,D67,IF(E67+H67&lt;G67,F67,"PUSH")))</f>
        <v/>
      </c>
    </row>
    <row r="68" customFormat="false" ht="15" hidden="false" customHeight="true" outlineLevel="0" collapsed="false">
      <c r="A68" s="0" t="n">
        <v>4</v>
      </c>
      <c r="B68" s="0" t="s">
        <v>132</v>
      </c>
      <c r="C68" s="0" t="s">
        <v>120</v>
      </c>
      <c r="D68" s="0" t="s">
        <v>76</v>
      </c>
      <c r="F68" s="0" t="s">
        <v>69</v>
      </c>
      <c r="I68" s="0" t="str">
        <f aca="false">IF(OR(E68="",G68=""),"",IF(E68&gt;G68,D68,IF(G68&gt;E68,F68,"TIE")))</f>
        <v/>
      </c>
      <c r="J68" s="0" t="str">
        <f aca="false">IF(OR(E68="",G68="",H68=""),"",IF(E68+H68&gt;G68,D68,IF(E68+H68&lt;G68,F68,"PUSH")))</f>
        <v/>
      </c>
    </row>
    <row r="69" customFormat="false" ht="15" hidden="false" customHeight="true" outlineLevel="0" collapsed="false">
      <c r="A69" s="0" t="n">
        <v>4</v>
      </c>
      <c r="B69" s="0" t="s">
        <v>132</v>
      </c>
      <c r="C69" s="0" t="s">
        <v>120</v>
      </c>
      <c r="D69" s="0" t="s">
        <v>85</v>
      </c>
      <c r="F69" s="0" t="s">
        <v>68</v>
      </c>
      <c r="I69" s="0" t="str">
        <f aca="false">IF(OR(E69="",G69=""),"",IF(E69&gt;G69,D69,IF(G69&gt;E69,F69,"TIE")))</f>
        <v/>
      </c>
      <c r="J69" s="0" t="str">
        <f aca="false">IF(OR(E69="",G69="",H69=""),"",IF(E69+H69&gt;G69,D69,IF(E69+H69&lt;G69,F69,"PUSH")))</f>
        <v/>
      </c>
    </row>
    <row r="70" customFormat="false" ht="15" hidden="false" customHeight="true" outlineLevel="0" collapsed="false">
      <c r="A70" s="0" t="n">
        <v>4</v>
      </c>
      <c r="B70" s="0" t="s">
        <v>132</v>
      </c>
      <c r="C70" s="0" t="s">
        <v>126</v>
      </c>
      <c r="D70" s="0" t="s">
        <v>79</v>
      </c>
      <c r="F70" s="0" t="s">
        <v>82</v>
      </c>
      <c r="I70" s="0" t="str">
        <f aca="false">IF(OR(E70="",G70=""),"",IF(E70&gt;G70,D70,IF(G70&gt;E70,F70,"TIE")))</f>
        <v/>
      </c>
      <c r="J70" s="0" t="str">
        <f aca="false">IF(OR(E70="",G70="",H70=""),"",IF(E70+H70&gt;G70,D70,IF(E70+H70&lt;G70,F70,"PUSH")))</f>
        <v/>
      </c>
    </row>
    <row r="71" customFormat="false" ht="15" hidden="false" customHeight="true" outlineLevel="0" collapsed="false">
      <c r="A71" s="0" t="n">
        <v>4</v>
      </c>
      <c r="B71" s="0" t="s">
        <v>132</v>
      </c>
      <c r="C71" s="0" t="s">
        <v>121</v>
      </c>
      <c r="D71" s="0" t="s">
        <v>88</v>
      </c>
      <c r="F71" s="0" t="s">
        <v>80</v>
      </c>
      <c r="I71" s="0" t="str">
        <f aca="false">IF(OR(E71="",G71=""),"",IF(E71&gt;G71,D71,IF(G71&gt;E71,F71,"TIE")))</f>
        <v/>
      </c>
      <c r="J71" s="0" t="str">
        <f aca="false">IF(OR(E71="",G71="",H71=""),"",IF(E71+H71&gt;G71,D71,IF(E71+H71&lt;G71,F71,"PUSH")))</f>
        <v/>
      </c>
    </row>
    <row r="72" customFormat="false" ht="15" hidden="false" customHeight="true" outlineLevel="0" collapsed="false">
      <c r="A72" s="0" t="n">
        <v>4</v>
      </c>
      <c r="B72" s="0" t="s">
        <v>132</v>
      </c>
      <c r="C72" s="0" t="s">
        <v>121</v>
      </c>
      <c r="D72" s="0" t="s">
        <v>87</v>
      </c>
      <c r="F72" s="0" t="s">
        <v>59</v>
      </c>
      <c r="I72" s="0" t="str">
        <f aca="false">IF(OR(E72="",G72=""),"",IF(E72&gt;G72,D72,IF(G72&gt;E72,F72,"TIE")))</f>
        <v/>
      </c>
      <c r="J72" s="0" t="str">
        <f aca="false">IF(OR(E72="",G72="",H72=""),"",IF(E72+H72&gt;G72,D72,IF(E72+H72&lt;G72,F72,"PUSH")))</f>
        <v/>
      </c>
    </row>
    <row r="73" customFormat="false" ht="15" hidden="false" customHeight="true" outlineLevel="0" collapsed="false">
      <c r="A73" s="0" t="n">
        <v>4</v>
      </c>
      <c r="B73" s="0" t="s">
        <v>132</v>
      </c>
      <c r="C73" s="0" t="s">
        <v>121</v>
      </c>
      <c r="D73" s="0" t="s">
        <v>78</v>
      </c>
      <c r="F73" s="0" t="s">
        <v>58</v>
      </c>
      <c r="I73" s="0" t="str">
        <f aca="false">IF(OR(E73="",G73=""),"",IF(E73&gt;G73,D73,IF(G73&gt;E73,F73,"TIE")))</f>
        <v/>
      </c>
      <c r="J73" s="0" t="str">
        <f aca="false">IF(OR(E73="",G73="",H73=""),"",IF(E73+H73&gt;G73,D73,IF(E73+H73&lt;G73,F73,"PUSH")))</f>
        <v/>
      </c>
    </row>
    <row r="74" customFormat="false" ht="15" hidden="false" customHeight="true" outlineLevel="0" collapsed="false">
      <c r="A74" s="0" t="n">
        <v>4</v>
      </c>
      <c r="B74" s="0" t="s">
        <v>132</v>
      </c>
      <c r="C74" s="0" t="s">
        <v>116</v>
      </c>
      <c r="D74" s="0" t="s">
        <v>66</v>
      </c>
      <c r="F74" s="0" t="s">
        <v>62</v>
      </c>
      <c r="I74" s="0" t="str">
        <f aca="false">IF(OR(E74="",G74=""),"",IF(E74&gt;G74,D74,IF(G74&gt;E74,F74,"TIE")))</f>
        <v/>
      </c>
      <c r="J74" s="0" t="str">
        <f aca="false">IF(OR(E74="",G74="",H74=""),"",IF(E74+H74&gt;G74,D74,IF(E74+H74&lt;G74,F74,"PUSH")))</f>
        <v/>
      </c>
    </row>
    <row r="75" customFormat="false" ht="15" hidden="false" customHeight="true" outlineLevel="0" collapsed="false">
      <c r="A75" s="0" t="n">
        <v>4</v>
      </c>
      <c r="B75" s="0" t="s">
        <v>134</v>
      </c>
      <c r="C75" s="0" t="s">
        <v>123</v>
      </c>
      <c r="D75" s="0" t="s">
        <v>73</v>
      </c>
      <c r="F75" s="0" t="s">
        <v>65</v>
      </c>
      <c r="I75" s="0" t="str">
        <f aca="false">IF(OR(E75="",G75=""),"",IF(E75&gt;G75,D75,IF(G75&gt;E75,F75,"TIE")))</f>
        <v/>
      </c>
      <c r="J75" s="0" t="str">
        <f aca="false">IF(OR(E75="",G75="",H75=""),"",IF(E75+H75&gt;G75,D75,IF(E75+H75&lt;G75,F75,"PUSH")))</f>
        <v/>
      </c>
    </row>
    <row r="76" customFormat="false" ht="15" hidden="false" customHeight="false" outlineLevel="0" collapsed="false">
      <c r="D76" s="20" t="s">
        <v>89</v>
      </c>
      <c r="E76" s="21" t="str">
        <f aca="false">IF(AND(E75&lt;&gt;"",G75&lt;&gt;""),E75+G75,"")</f>
        <v/>
      </c>
    </row>
    <row r="77" customFormat="false" ht="15" hidden="false" customHeight="true" outlineLevel="0" collapsed="false">
      <c r="A77" s="0" t="s">
        <v>93</v>
      </c>
    </row>
    <row r="78" customFormat="false" ht="15" hidden="false" customHeight="true" outlineLevel="0" collapsed="false">
      <c r="A78" s="0" t="s">
        <v>107</v>
      </c>
      <c r="B78" s="0" t="s">
        <v>108</v>
      </c>
      <c r="C78" s="0" t="s">
        <v>109</v>
      </c>
      <c r="D78" s="0" t="s">
        <v>53</v>
      </c>
      <c r="E78" s="0" t="s">
        <v>110</v>
      </c>
      <c r="F78" s="0" t="s">
        <v>55</v>
      </c>
      <c r="G78" s="0" t="s">
        <v>111</v>
      </c>
      <c r="H78" s="0" t="s">
        <v>112</v>
      </c>
      <c r="I78" s="0" t="s">
        <v>113</v>
      </c>
      <c r="J78" s="0" t="s">
        <v>114</v>
      </c>
    </row>
    <row r="79" customFormat="false" ht="15" hidden="false" customHeight="true" outlineLevel="0" collapsed="false">
      <c r="A79" s="0" t="n">
        <v>5</v>
      </c>
      <c r="B79" s="0" t="s">
        <v>135</v>
      </c>
      <c r="C79" s="0" t="s">
        <v>123</v>
      </c>
      <c r="D79" s="0" t="s">
        <v>63</v>
      </c>
      <c r="F79" s="0" t="s">
        <v>85</v>
      </c>
      <c r="I79" s="0" t="str">
        <f aca="false">IF(OR(E79="",G79=""),"",IF(E79&gt;G79,D79,IF(G79&gt;E79,F79,"TIE")))</f>
        <v/>
      </c>
      <c r="J79" s="0" t="str">
        <f aca="false">IF(OR(E79="",G79="",H79=""),"",IF(E79+H79&gt;G79,D79,IF(E79+H79&lt;G79,F79,"PUSH")))</f>
        <v/>
      </c>
    </row>
    <row r="80" customFormat="false" ht="15" hidden="false" customHeight="true" outlineLevel="0" collapsed="false">
      <c r="A80" s="0" t="n">
        <v>5</v>
      </c>
      <c r="B80" s="0" t="s">
        <v>136</v>
      </c>
      <c r="C80" s="0" t="s">
        <v>133</v>
      </c>
      <c r="D80" s="0" t="s">
        <v>84</v>
      </c>
      <c r="F80" s="0" t="s">
        <v>72</v>
      </c>
      <c r="I80" s="0" t="str">
        <f aca="false">IF(OR(E80="",G80=""),"",IF(E80&gt;G80,D80,IF(G80&gt;E80,F80,"TIE")))</f>
        <v/>
      </c>
      <c r="J80" s="0" t="str">
        <f aca="false">IF(OR(E80="",G80="",H80=""),"",IF(E80+H80&gt;G80,D80,IF(E80+H80&lt;G80,F80,"PUSH")))</f>
        <v/>
      </c>
    </row>
    <row r="81" customFormat="false" ht="15" hidden="false" customHeight="true" outlineLevel="0" collapsed="false">
      <c r="A81" s="0" t="n">
        <v>5</v>
      </c>
      <c r="B81" s="0" t="s">
        <v>136</v>
      </c>
      <c r="C81" s="0" t="s">
        <v>120</v>
      </c>
      <c r="D81" s="0" t="s">
        <v>68</v>
      </c>
      <c r="F81" s="0" t="s">
        <v>76</v>
      </c>
      <c r="I81" s="0" t="str">
        <f aca="false">IF(OR(E81="",G81=""),"",IF(E81&gt;G81,D81,IF(G81&gt;E81,F81,"TIE")))</f>
        <v/>
      </c>
      <c r="J81" s="0" t="str">
        <f aca="false">IF(OR(E81="",G81="",H81=""),"",IF(E81+H81&gt;G81,D81,IF(E81+H81&lt;G81,F81,"PUSH")))</f>
        <v/>
      </c>
    </row>
    <row r="82" customFormat="false" ht="15" hidden="false" customHeight="true" outlineLevel="0" collapsed="false">
      <c r="A82" s="0" t="n">
        <v>5</v>
      </c>
      <c r="B82" s="0" t="s">
        <v>136</v>
      </c>
      <c r="C82" s="0" t="s">
        <v>120</v>
      </c>
      <c r="D82" s="0" t="s">
        <v>64</v>
      </c>
      <c r="F82" s="0" t="s">
        <v>79</v>
      </c>
      <c r="I82" s="0" t="str">
        <f aca="false">IF(OR(E82="",G82=""),"",IF(E82&gt;G82,D82,IF(G82&gt;E82,F82,"TIE")))</f>
        <v/>
      </c>
      <c r="J82" s="0" t="str">
        <f aca="false">IF(OR(E82="",G82="",H82=""),"",IF(E82+H82&gt;G82,D82,IF(E82+H82&lt;G82,F82,"PUSH")))</f>
        <v/>
      </c>
    </row>
    <row r="83" customFormat="false" ht="15" hidden="false" customHeight="true" outlineLevel="0" collapsed="false">
      <c r="A83" s="0" t="n">
        <v>5</v>
      </c>
      <c r="B83" s="0" t="s">
        <v>136</v>
      </c>
      <c r="C83" s="0" t="s">
        <v>120</v>
      </c>
      <c r="D83" s="0" t="s">
        <v>80</v>
      </c>
      <c r="F83" s="0" t="s">
        <v>57</v>
      </c>
      <c r="I83" s="0" t="str">
        <f aca="false">IF(OR(E83="",G83=""),"",IF(E83&gt;G83,D83,IF(G83&gt;E83,F83,"TIE")))</f>
        <v/>
      </c>
      <c r="J83" s="0" t="str">
        <f aca="false">IF(OR(E83="",G83="",H83=""),"",IF(E83+H83&gt;G83,D83,IF(E83+H83&lt;G83,F83,"PUSH")))</f>
        <v/>
      </c>
    </row>
    <row r="84" customFormat="false" ht="15" hidden="false" customHeight="true" outlineLevel="0" collapsed="false">
      <c r="A84" s="0" t="n">
        <v>5</v>
      </c>
      <c r="B84" s="0" t="s">
        <v>136</v>
      </c>
      <c r="C84" s="0" t="s">
        <v>120</v>
      </c>
      <c r="D84" s="0" t="s">
        <v>82</v>
      </c>
      <c r="F84" s="0" t="s">
        <v>65</v>
      </c>
      <c r="I84" s="0" t="str">
        <f aca="false">IF(OR(E84="",G84=""),"",IF(E84&gt;G84,D84,IF(G84&gt;E84,F84,"TIE")))</f>
        <v/>
      </c>
      <c r="J84" s="0" t="str">
        <f aca="false">IF(OR(E84="",G84="",H84=""),"",IF(E84+H84&gt;G84,D84,IF(E84+H84&lt;G84,F84,"PUSH")))</f>
        <v/>
      </c>
    </row>
    <row r="85" customFormat="false" ht="15" hidden="false" customHeight="true" outlineLevel="0" collapsed="false">
      <c r="A85" s="0" t="n">
        <v>5</v>
      </c>
      <c r="B85" s="0" t="s">
        <v>136</v>
      </c>
      <c r="C85" s="0" t="s">
        <v>120</v>
      </c>
      <c r="D85" s="0" t="s">
        <v>71</v>
      </c>
      <c r="F85" s="0" t="s">
        <v>75</v>
      </c>
      <c r="I85" s="0" t="str">
        <f aca="false">IF(OR(E85="",G85=""),"",IF(E85&gt;G85,D85,IF(G85&gt;E85,F85,"TIE")))</f>
        <v/>
      </c>
      <c r="J85" s="0" t="str">
        <f aca="false">IF(OR(E85="",G85="",H85=""),"",IF(E85+H85&gt;G85,D85,IF(E85+H85&lt;G85,F85,"PUSH")))</f>
        <v/>
      </c>
    </row>
    <row r="86" customFormat="false" ht="15" hidden="false" customHeight="true" outlineLevel="0" collapsed="false">
      <c r="A86" s="0" t="n">
        <v>5</v>
      </c>
      <c r="B86" s="0" t="s">
        <v>136</v>
      </c>
      <c r="C86" s="0" t="s">
        <v>120</v>
      </c>
      <c r="D86" s="0" t="s">
        <v>70</v>
      </c>
      <c r="F86" s="0" t="s">
        <v>74</v>
      </c>
      <c r="I86" s="0" t="str">
        <f aca="false">IF(OR(E86="",G86=""),"",IF(E86&gt;G86,D86,IF(G86&gt;E86,F86,"TIE")))</f>
        <v/>
      </c>
      <c r="J86" s="0" t="str">
        <f aca="false">IF(OR(E86="",G86="",H86=""),"",IF(E86+H86&gt;G86,D86,IF(E86+H86&lt;G86,F86,"PUSH")))</f>
        <v/>
      </c>
    </row>
    <row r="87" customFormat="false" ht="15" hidden="false" customHeight="true" outlineLevel="0" collapsed="false">
      <c r="A87" s="0" t="n">
        <v>5</v>
      </c>
      <c r="B87" s="0" t="s">
        <v>136</v>
      </c>
      <c r="C87" s="0" t="s">
        <v>120</v>
      </c>
      <c r="D87" s="0" t="s">
        <v>86</v>
      </c>
      <c r="F87" s="0" t="s">
        <v>83</v>
      </c>
      <c r="I87" s="0" t="str">
        <f aca="false">IF(OR(E87="",G87=""),"",IF(E87&gt;G87,D87,IF(G87&gt;E87,F87,"TIE")))</f>
        <v/>
      </c>
      <c r="J87" s="0" t="str">
        <f aca="false">IF(OR(E87="",G87="",H87=""),"",IF(E87+H87&gt;G87,D87,IF(E87+H87&lt;G87,F87,"PUSH")))</f>
        <v/>
      </c>
    </row>
    <row r="88" customFormat="false" ht="15" hidden="false" customHeight="true" outlineLevel="0" collapsed="false">
      <c r="A88" s="0" t="n">
        <v>5</v>
      </c>
      <c r="B88" s="0" t="s">
        <v>136</v>
      </c>
      <c r="C88" s="0" t="s">
        <v>126</v>
      </c>
      <c r="D88" s="0" t="s">
        <v>87</v>
      </c>
      <c r="F88" s="0" t="s">
        <v>78</v>
      </c>
      <c r="I88" s="0" t="str">
        <f aca="false">IF(OR(E88="",G88=""),"",IF(E88&gt;G88,D88,IF(G88&gt;E88,F88,"TIE")))</f>
        <v/>
      </c>
      <c r="J88" s="0" t="str">
        <f aca="false">IF(OR(E88="",G88="",H88=""),"",IF(E88+H88&gt;G88,D88,IF(E88+H88&lt;G88,F88,"PUSH")))</f>
        <v/>
      </c>
    </row>
    <row r="89" customFormat="false" ht="15" hidden="false" customHeight="true" outlineLevel="0" collapsed="false">
      <c r="A89" s="0" t="n">
        <v>5</v>
      </c>
      <c r="B89" s="0" t="s">
        <v>136</v>
      </c>
      <c r="C89" s="0" t="s">
        <v>121</v>
      </c>
      <c r="D89" s="0" t="s">
        <v>61</v>
      </c>
      <c r="F89" s="0" t="s">
        <v>81</v>
      </c>
      <c r="I89" s="0" t="str">
        <f aca="false">IF(OR(E89="",G89=""),"",IF(E89&gt;G89,D89,IF(G89&gt;E89,F89,"TIE")))</f>
        <v/>
      </c>
      <c r="J89" s="0" t="str">
        <f aca="false">IF(OR(E89="",G89="",H89=""),"",IF(E89+H89&gt;G89,D89,IF(E89+H89&lt;G89,F89,"PUSH")))</f>
        <v/>
      </c>
    </row>
    <row r="90" customFormat="false" ht="15" hidden="false" customHeight="true" outlineLevel="0" collapsed="false">
      <c r="A90" s="0" t="n">
        <v>5</v>
      </c>
      <c r="B90" s="0" t="s">
        <v>136</v>
      </c>
      <c r="C90" s="0" t="s">
        <v>121</v>
      </c>
      <c r="D90" s="0" t="s">
        <v>66</v>
      </c>
      <c r="F90" s="0" t="s">
        <v>77</v>
      </c>
      <c r="I90" s="0" t="str">
        <f aca="false">IF(OR(E90="",G90=""),"",IF(E90&gt;G90,D90,IF(G90&gt;E90,F90,"TIE")))</f>
        <v/>
      </c>
      <c r="J90" s="0" t="str">
        <f aca="false">IF(OR(E90="",G90="",H90=""),"",IF(E90+H90&gt;G90,D90,IF(E90+H90&lt;G90,F90,"PUSH")))</f>
        <v/>
      </c>
    </row>
    <row r="91" customFormat="false" ht="15" hidden="false" customHeight="true" outlineLevel="0" collapsed="false">
      <c r="A91" s="0" t="n">
        <v>5</v>
      </c>
      <c r="B91" s="0" t="s">
        <v>136</v>
      </c>
      <c r="C91" s="0" t="s">
        <v>121</v>
      </c>
      <c r="D91" s="0" t="s">
        <v>59</v>
      </c>
      <c r="F91" s="0" t="s">
        <v>58</v>
      </c>
      <c r="I91" s="0" t="str">
        <f aca="false">IF(OR(E91="",G91=""),"",IF(E91&gt;G91,D91,IF(G91&gt;E91,F91,"TIE")))</f>
        <v/>
      </c>
      <c r="J91" s="0" t="str">
        <f aca="false">IF(OR(E91="",G91="",H91=""),"",IF(E91+H91&gt;G91,D91,IF(E91+H91&lt;G91,F91,"PUSH")))</f>
        <v/>
      </c>
    </row>
    <row r="92" customFormat="false" ht="15" hidden="false" customHeight="true" outlineLevel="0" collapsed="false">
      <c r="A92" s="0" t="n">
        <v>5</v>
      </c>
      <c r="B92" s="0" t="s">
        <v>136</v>
      </c>
      <c r="C92" s="0" t="s">
        <v>116</v>
      </c>
      <c r="D92" s="0" t="s">
        <v>69</v>
      </c>
      <c r="F92" s="0" t="s">
        <v>73</v>
      </c>
      <c r="I92" s="0" t="str">
        <f aca="false">IF(OR(E92="",G92=""),"",IF(E92&gt;G92,D92,IF(G92&gt;E92,F92,"TIE")))</f>
        <v/>
      </c>
      <c r="J92" s="0" t="str">
        <f aca="false">IF(OR(E92="",G92="",H92=""),"",IF(E92+H92&gt;G92,D92,IF(E92+H92&lt;G92,F92,"PUSH")))</f>
        <v/>
      </c>
    </row>
    <row r="93" customFormat="false" ht="15" hidden="false" customHeight="true" outlineLevel="0" collapsed="false">
      <c r="A93" s="0" t="n">
        <v>5</v>
      </c>
      <c r="B93" s="0" t="s">
        <v>137</v>
      </c>
      <c r="C93" s="0" t="s">
        <v>123</v>
      </c>
      <c r="D93" s="0" t="s">
        <v>67</v>
      </c>
      <c r="F93" s="0" t="s">
        <v>60</v>
      </c>
      <c r="I93" s="0" t="str">
        <f aca="false">IF(OR(E93="",G93=""),"",IF(E93&gt;G93,D93,IF(G93&gt;E93,F93,"TIE")))</f>
        <v/>
      </c>
      <c r="J93" s="0" t="str">
        <f aca="false">IF(OR(E93="",G93="",H93=""),"",IF(E93+H93&gt;G93,D93,IF(E93+H93&lt;G93,F93,"PUSH")))</f>
        <v/>
      </c>
    </row>
    <row r="94" customFormat="false" ht="15" hidden="false" customHeight="false" outlineLevel="0" collapsed="false">
      <c r="D94" s="20" t="s">
        <v>89</v>
      </c>
      <c r="E94" s="21" t="str">
        <f aca="false">IF(AND(E93&lt;&gt;"",G93&lt;&gt;""),E93+G93,"")</f>
        <v/>
      </c>
    </row>
    <row r="95" customFormat="false" ht="15" hidden="false" customHeight="true" outlineLevel="0" collapsed="false">
      <c r="A95" s="0" t="s">
        <v>94</v>
      </c>
    </row>
    <row r="96" customFormat="false" ht="15" hidden="false" customHeight="true" outlineLevel="0" collapsed="false">
      <c r="A96" s="0" t="s">
        <v>107</v>
      </c>
      <c r="B96" s="0" t="s">
        <v>108</v>
      </c>
      <c r="C96" s="0" t="s">
        <v>109</v>
      </c>
      <c r="D96" s="0" t="s">
        <v>53</v>
      </c>
      <c r="E96" s="0" t="s">
        <v>110</v>
      </c>
      <c r="F96" s="0" t="s">
        <v>55</v>
      </c>
      <c r="G96" s="0" t="s">
        <v>111</v>
      </c>
      <c r="H96" s="0" t="s">
        <v>112</v>
      </c>
      <c r="I96" s="0" t="s">
        <v>113</v>
      </c>
      <c r="J96" s="0" t="s">
        <v>114</v>
      </c>
    </row>
    <row r="97" customFormat="false" ht="15" hidden="false" customHeight="true" outlineLevel="0" collapsed="false">
      <c r="A97" s="0" t="n">
        <v>6</v>
      </c>
      <c r="B97" s="0" t="s">
        <v>138</v>
      </c>
      <c r="C97" s="0" t="s">
        <v>123</v>
      </c>
      <c r="D97" s="0" t="s">
        <v>58</v>
      </c>
      <c r="F97" s="0" t="s">
        <v>87</v>
      </c>
      <c r="I97" s="0" t="str">
        <f aca="false">IF(OR(E97="",G97=""),"",IF(E97&gt;G97,D97,IF(G97&gt;E97,F97,"TIE")))</f>
        <v/>
      </c>
      <c r="J97" s="0" t="str">
        <f aca="false">IF(OR(E97="",G97="",H97=""),"",IF(E97+H97&gt;G97,D97,IF(E97+H97&lt;G97,F97,"PUSH")))</f>
        <v/>
      </c>
    </row>
    <row r="98" customFormat="false" ht="15" hidden="false" customHeight="true" outlineLevel="0" collapsed="false">
      <c r="A98" s="0" t="n">
        <v>6</v>
      </c>
      <c r="B98" s="0" t="s">
        <v>139</v>
      </c>
      <c r="C98" s="0" t="s">
        <v>133</v>
      </c>
      <c r="D98" s="0" t="s">
        <v>68</v>
      </c>
      <c r="F98" s="0" t="s">
        <v>72</v>
      </c>
      <c r="I98" s="0" t="str">
        <f aca="false">IF(OR(E98="",G98=""),"",IF(E98&gt;G98,D98,IF(G98&gt;E98,F98,"TIE")))</f>
        <v/>
      </c>
      <c r="J98" s="0" t="str">
        <f aca="false">IF(OR(E98="",G98="",H98=""),"",IF(E98+H98&gt;G98,D98,IF(E98+H98&lt;G98,F98,"PUSH")))</f>
        <v/>
      </c>
    </row>
    <row r="99" customFormat="false" ht="15" hidden="false" customHeight="true" outlineLevel="0" collapsed="false">
      <c r="A99" s="0" t="n">
        <v>6</v>
      </c>
      <c r="B99" s="0" t="s">
        <v>139</v>
      </c>
      <c r="C99" s="0" t="s">
        <v>120</v>
      </c>
      <c r="D99" s="0" t="s">
        <v>61</v>
      </c>
      <c r="F99" s="0" t="s">
        <v>73</v>
      </c>
      <c r="I99" s="0" t="str">
        <f aca="false">IF(OR(E99="",G99=""),"",IF(E99&gt;G99,D99,IF(G99&gt;E99,F99,"TIE")))</f>
        <v/>
      </c>
      <c r="J99" s="0" t="str">
        <f aca="false">IF(OR(E99="",G99="",H99=""),"",IF(E99+H99&gt;G99,D99,IF(E99+H99&lt;G99,F99,"PUSH")))</f>
        <v/>
      </c>
    </row>
    <row r="100" customFormat="false" ht="15" hidden="false" customHeight="true" outlineLevel="0" collapsed="false">
      <c r="A100" s="0" t="n">
        <v>6</v>
      </c>
      <c r="B100" s="0" t="s">
        <v>139</v>
      </c>
      <c r="C100" s="0" t="s">
        <v>120</v>
      </c>
      <c r="D100" s="0" t="s">
        <v>69</v>
      </c>
      <c r="F100" s="0" t="s">
        <v>71</v>
      </c>
      <c r="I100" s="0" t="str">
        <f aca="false">IF(OR(E100="",G100=""),"",IF(E100&gt;G100,D100,IF(G100&gt;E100,F100,"TIE")))</f>
        <v/>
      </c>
      <c r="J100" s="0" t="str">
        <f aca="false">IF(OR(E100="",G100="",H100=""),"",IF(E100+H100&gt;G100,D100,IF(E100+H100&lt;G100,F100,"PUSH")))</f>
        <v/>
      </c>
    </row>
    <row r="101" customFormat="false" ht="15" hidden="false" customHeight="true" outlineLevel="0" collapsed="false">
      <c r="A101" s="0" t="n">
        <v>6</v>
      </c>
      <c r="B101" s="0" t="s">
        <v>139</v>
      </c>
      <c r="C101" s="0" t="s">
        <v>120</v>
      </c>
      <c r="D101" s="0" t="s">
        <v>76</v>
      </c>
      <c r="F101" s="0" t="s">
        <v>70</v>
      </c>
      <c r="I101" s="0" t="str">
        <f aca="false">IF(OR(E101="",G101=""),"",IF(E101&gt;G101,D101,IF(G101&gt;E101,F101,"TIE")))</f>
        <v/>
      </c>
      <c r="J101" s="0" t="str">
        <f aca="false">IF(OR(E101="",G101="",H101=""),"",IF(E101+H101&gt;G101,D101,IF(E101+H101&lt;G101,F101,"PUSH")))</f>
        <v/>
      </c>
    </row>
    <row r="102" customFormat="false" ht="15" hidden="false" customHeight="true" outlineLevel="0" collapsed="false">
      <c r="A102" s="0" t="n">
        <v>6</v>
      </c>
      <c r="B102" s="0" t="s">
        <v>139</v>
      </c>
      <c r="C102" s="0" t="s">
        <v>120</v>
      </c>
      <c r="D102" s="0" t="s">
        <v>75</v>
      </c>
      <c r="F102" s="0" t="s">
        <v>57</v>
      </c>
      <c r="I102" s="0" t="str">
        <f aca="false">IF(OR(E102="",G102=""),"",IF(E102&gt;G102,D102,IF(G102&gt;E102,F102,"TIE")))</f>
        <v/>
      </c>
      <c r="J102" s="0" t="str">
        <f aca="false">IF(OR(E102="",G102="",H102=""),"",IF(E102+H102&gt;G102,D102,IF(E102+H102&lt;G102,F102,"PUSH")))</f>
        <v/>
      </c>
    </row>
    <row r="103" customFormat="false" ht="15" hidden="false" customHeight="true" outlineLevel="0" collapsed="false">
      <c r="A103" s="0" t="n">
        <v>6</v>
      </c>
      <c r="B103" s="0" t="s">
        <v>139</v>
      </c>
      <c r="C103" s="0" t="s">
        <v>120</v>
      </c>
      <c r="D103" s="0" t="s">
        <v>65</v>
      </c>
      <c r="F103" s="0" t="s">
        <v>86</v>
      </c>
      <c r="I103" s="0" t="str">
        <f aca="false">IF(OR(E103="",G103=""),"",IF(E103&gt;G103,D103,IF(G103&gt;E103,F103,"TIE")))</f>
        <v/>
      </c>
      <c r="J103" s="0" t="str">
        <f aca="false">IF(OR(E103="",G103="",H103=""),"",IF(E103+H103&gt;G103,D103,IF(E103+H103&lt;G103,F103,"PUSH")))</f>
        <v/>
      </c>
    </row>
    <row r="104" customFormat="false" ht="15" hidden="false" customHeight="true" outlineLevel="0" collapsed="false">
      <c r="A104" s="0" t="n">
        <v>6</v>
      </c>
      <c r="B104" s="0" t="s">
        <v>139</v>
      </c>
      <c r="C104" s="0" t="s">
        <v>120</v>
      </c>
      <c r="D104" s="0" t="s">
        <v>62</v>
      </c>
      <c r="F104" s="0" t="s">
        <v>84</v>
      </c>
      <c r="I104" s="0" t="str">
        <f aca="false">IF(OR(E104="",G104=""),"",IF(E104&gt;G104,D104,IF(G104&gt;E104,F104,"TIE")))</f>
        <v/>
      </c>
      <c r="J104" s="0" t="str">
        <f aca="false">IF(OR(E104="",G104="",H104=""),"",IF(E104+H104&gt;G104,D104,IF(E104+H104&lt;G104,F104,"PUSH")))</f>
        <v/>
      </c>
    </row>
    <row r="105" customFormat="false" ht="15" hidden="false" customHeight="true" outlineLevel="0" collapsed="false">
      <c r="A105" s="0" t="n">
        <v>6</v>
      </c>
      <c r="B105" s="0" t="s">
        <v>139</v>
      </c>
      <c r="C105" s="0" t="s">
        <v>120</v>
      </c>
      <c r="D105" s="0" t="s">
        <v>74</v>
      </c>
      <c r="F105" s="0" t="s">
        <v>63</v>
      </c>
      <c r="I105" s="0" t="str">
        <f aca="false">IF(OR(E105="",G105=""),"",IF(E105&gt;G105,D105,IF(G105&gt;E105,F105,"TIE")))</f>
        <v/>
      </c>
      <c r="J105" s="0" t="str">
        <f aca="false">IF(OR(E105="",G105="",H105=""),"",IF(E105+H105&gt;G105,D105,IF(E105+H105&lt;G105,F105,"PUSH")))</f>
        <v/>
      </c>
    </row>
    <row r="106" customFormat="false" ht="15" hidden="false" customHeight="true" outlineLevel="0" collapsed="false">
      <c r="A106" s="0" t="n">
        <v>6</v>
      </c>
      <c r="B106" s="0" t="s">
        <v>139</v>
      </c>
      <c r="C106" s="0" t="s">
        <v>126</v>
      </c>
      <c r="D106" s="0" t="s">
        <v>77</v>
      </c>
      <c r="F106" s="0" t="s">
        <v>78</v>
      </c>
      <c r="I106" s="0" t="str">
        <f aca="false">IF(OR(E106="",G106=""),"",IF(E106&gt;G106,D106,IF(G106&gt;E106,F106,"TIE")))</f>
        <v/>
      </c>
      <c r="J106" s="0" t="str">
        <f aca="false">IF(OR(E106="",G106="",H106=""),"",IF(E106+H106&gt;G106,D106,IF(E106+H106&lt;G106,F106,"PUSH")))</f>
        <v/>
      </c>
    </row>
    <row r="107" customFormat="false" ht="15" hidden="false" customHeight="true" outlineLevel="0" collapsed="false">
      <c r="A107" s="0" t="n">
        <v>6</v>
      </c>
      <c r="B107" s="0" t="s">
        <v>139</v>
      </c>
      <c r="C107" s="0" t="s">
        <v>121</v>
      </c>
      <c r="D107" s="0" t="s">
        <v>60</v>
      </c>
      <c r="F107" s="0" t="s">
        <v>88</v>
      </c>
      <c r="I107" s="0" t="str">
        <f aca="false">IF(OR(E107="",G107=""),"",IF(E107&gt;G107,D107,IF(G107&gt;E107,F107,"TIE")))</f>
        <v/>
      </c>
      <c r="J107" s="0" t="str">
        <f aca="false">IF(OR(E107="",G107="",H107=""),"",IF(E107+H107&gt;G107,D107,IF(E107+H107&lt;G107,F107,"PUSH")))</f>
        <v/>
      </c>
    </row>
    <row r="108" customFormat="false" ht="15" hidden="false" customHeight="true" outlineLevel="0" collapsed="false">
      <c r="A108" s="0" t="n">
        <v>6</v>
      </c>
      <c r="B108" s="0" t="s">
        <v>139</v>
      </c>
      <c r="C108" s="0" t="s">
        <v>121</v>
      </c>
      <c r="D108" s="0" t="s">
        <v>67</v>
      </c>
      <c r="F108" s="0" t="s">
        <v>80</v>
      </c>
      <c r="I108" s="0" t="str">
        <f aca="false">IF(OR(E108="",G108=""),"",IF(E108&gt;G108,D108,IF(G108&gt;E108,F108,"TIE")))</f>
        <v/>
      </c>
      <c r="J108" s="0" t="str">
        <f aca="false">IF(OR(E108="",G108="",H108=""),"",IF(E108+H108&gt;G108,D108,IF(E108+H108&lt;G108,F108,"PUSH")))</f>
        <v/>
      </c>
    </row>
    <row r="109" customFormat="false" ht="15" hidden="false" customHeight="true" outlineLevel="0" collapsed="false">
      <c r="A109" s="0" t="n">
        <v>6</v>
      </c>
      <c r="B109" s="0" t="s">
        <v>139</v>
      </c>
      <c r="C109" s="0" t="s">
        <v>116</v>
      </c>
      <c r="D109" s="0" t="s">
        <v>85</v>
      </c>
      <c r="F109" s="0" t="s">
        <v>81</v>
      </c>
      <c r="I109" s="0" t="str">
        <f aca="false">IF(OR(E109="",G109=""),"",IF(E109&gt;G109,D109,IF(G109&gt;E109,F109,"TIE")))</f>
        <v/>
      </c>
      <c r="J109" s="0" t="str">
        <f aca="false">IF(OR(E109="",G109="",H109=""),"",IF(E109+H109&gt;G109,D109,IF(E109+H109&lt;G109,F109,"PUSH")))</f>
        <v/>
      </c>
    </row>
    <row r="110" customFormat="false" ht="15" hidden="false" customHeight="true" outlineLevel="0" collapsed="false">
      <c r="A110" s="0" t="n">
        <v>6</v>
      </c>
      <c r="B110" s="0" t="s">
        <v>140</v>
      </c>
      <c r="C110" s="0" t="s">
        <v>123</v>
      </c>
      <c r="D110" s="0" t="s">
        <v>83</v>
      </c>
      <c r="F110" s="0" t="s">
        <v>59</v>
      </c>
      <c r="I110" s="0" t="str">
        <f aca="false">IF(OR(E110="",G110=""),"",IF(E110&gt;G110,D110,IF(G110&gt;E110,F110,"TIE")))</f>
        <v/>
      </c>
      <c r="J110" s="0" t="str">
        <f aca="false">IF(OR(E110="",G110="",H110=""),"",IF(E110+H110&gt;G110,D110,IF(E110+H110&lt;G110,F110,"PUSH")))</f>
        <v/>
      </c>
    </row>
    <row r="111" customFormat="false" ht="15" hidden="false" customHeight="false" outlineLevel="0" collapsed="false">
      <c r="D111" s="20" t="s">
        <v>89</v>
      </c>
      <c r="E111" s="21" t="str">
        <f aca="false">IF(AND(E110&lt;&gt;"",G110&lt;&gt;""),E110+G110,"")</f>
        <v/>
      </c>
    </row>
    <row r="112" customFormat="false" ht="15" hidden="false" customHeight="true" outlineLevel="0" collapsed="false">
      <c r="A112" s="0" t="s">
        <v>95</v>
      </c>
    </row>
    <row r="113" customFormat="false" ht="15" hidden="false" customHeight="true" outlineLevel="0" collapsed="false">
      <c r="A113" s="0" t="s">
        <v>107</v>
      </c>
      <c r="B113" s="0" t="s">
        <v>108</v>
      </c>
      <c r="C113" s="0" t="s">
        <v>109</v>
      </c>
      <c r="D113" s="0" t="s">
        <v>53</v>
      </c>
      <c r="E113" s="0" t="s">
        <v>110</v>
      </c>
      <c r="F113" s="0" t="s">
        <v>55</v>
      </c>
      <c r="G113" s="0" t="s">
        <v>111</v>
      </c>
      <c r="H113" s="0" t="s">
        <v>112</v>
      </c>
      <c r="I113" s="0" t="s">
        <v>113</v>
      </c>
      <c r="J113" s="0" t="s">
        <v>114</v>
      </c>
    </row>
    <row r="114" customFormat="false" ht="15" hidden="false" customHeight="true" outlineLevel="0" collapsed="false">
      <c r="A114" s="0" t="n">
        <v>7</v>
      </c>
      <c r="B114" s="0" t="s">
        <v>141</v>
      </c>
      <c r="C114" s="0" t="s">
        <v>123</v>
      </c>
      <c r="D114" s="0" t="s">
        <v>57</v>
      </c>
      <c r="F114" s="0" t="s">
        <v>61</v>
      </c>
      <c r="I114" s="0" t="str">
        <f aca="false">IF(OR(E114="",G114=""),"",IF(E114&gt;G114,D114,IF(G114&gt;E114,F114,"TIE")))</f>
        <v/>
      </c>
      <c r="J114" s="0" t="str">
        <f aca="false">IF(OR(E114="",G114="",H114=""),"",IF(E114+H114&gt;G114,D114,IF(E114+H114&lt;G114,F114,"PUSH")))</f>
        <v/>
      </c>
    </row>
    <row r="115" customFormat="false" ht="15" hidden="false" customHeight="true" outlineLevel="0" collapsed="false">
      <c r="A115" s="0" t="n">
        <v>7</v>
      </c>
      <c r="B115" s="0" t="s">
        <v>142</v>
      </c>
      <c r="C115" s="0" t="s">
        <v>133</v>
      </c>
      <c r="D115" s="0" t="s">
        <v>74</v>
      </c>
      <c r="F115" s="0" t="s">
        <v>65</v>
      </c>
      <c r="I115" s="0" t="str">
        <f aca="false">IF(OR(E115="",G115=""),"",IF(E115&gt;G115,D115,IF(G115&gt;E115,F115,"TIE")))</f>
        <v/>
      </c>
      <c r="J115" s="0" t="str">
        <f aca="false">IF(OR(E115="",G115="",H115=""),"",IF(E115+H115&gt;G115,D115,IF(E115+H115&lt;G115,F115,"PUSH")))</f>
        <v/>
      </c>
    </row>
    <row r="116" customFormat="false" ht="15" hidden="false" customHeight="true" outlineLevel="0" collapsed="false">
      <c r="A116" s="0" t="n">
        <v>7</v>
      </c>
      <c r="B116" s="0" t="s">
        <v>142</v>
      </c>
      <c r="C116" s="0" t="s">
        <v>120</v>
      </c>
      <c r="D116" s="0" t="s">
        <v>59</v>
      </c>
      <c r="F116" s="0" t="s">
        <v>73</v>
      </c>
      <c r="I116" s="0" t="str">
        <f aca="false">IF(OR(E116="",G116=""),"",IF(E116&gt;G116,D116,IF(G116&gt;E116,F116,"TIE")))</f>
        <v/>
      </c>
      <c r="J116" s="0" t="str">
        <f aca="false">IF(OR(E116="",G116="",H116=""),"",IF(E116+H116&gt;G116,D116,IF(E116+H116&lt;G116,F116,"PUSH")))</f>
        <v/>
      </c>
    </row>
    <row r="117" customFormat="false" ht="15" hidden="false" customHeight="true" outlineLevel="0" collapsed="false">
      <c r="A117" s="0" t="n">
        <v>7</v>
      </c>
      <c r="B117" s="0" t="s">
        <v>142</v>
      </c>
      <c r="C117" s="0" t="s">
        <v>120</v>
      </c>
      <c r="D117" s="0" t="s">
        <v>71</v>
      </c>
      <c r="F117" s="0" t="s">
        <v>76</v>
      </c>
      <c r="I117" s="0" t="str">
        <f aca="false">IF(OR(E117="",G117=""),"",IF(E117&gt;G117,D117,IF(G117&gt;E117,F117,"TIE")))</f>
        <v/>
      </c>
      <c r="J117" s="0" t="str">
        <f aca="false">IF(OR(E117="",G117="",H117=""),"",IF(E117+H117&gt;G117,D117,IF(E117+H117&lt;G117,F117,"PUSH")))</f>
        <v/>
      </c>
    </row>
    <row r="118" customFormat="false" ht="15" hidden="false" customHeight="true" outlineLevel="0" collapsed="false">
      <c r="A118" s="0" t="n">
        <v>7</v>
      </c>
      <c r="B118" s="0" t="s">
        <v>142</v>
      </c>
      <c r="C118" s="0" t="s">
        <v>120</v>
      </c>
      <c r="D118" s="0" t="s">
        <v>70</v>
      </c>
      <c r="F118" s="0" t="s">
        <v>82</v>
      </c>
      <c r="I118" s="0" t="str">
        <f aca="false">IF(OR(E118="",G118=""),"",IF(E118&gt;G118,D118,IF(G118&gt;E118,F118,"TIE")))</f>
        <v/>
      </c>
      <c r="J118" s="0" t="str">
        <f aca="false">IF(OR(E118="",G118="",H118=""),"",IF(E118+H118&gt;G118,D118,IF(E118+H118&lt;G118,F118,"PUSH")))</f>
        <v/>
      </c>
    </row>
    <row r="119" customFormat="false" ht="15" hidden="false" customHeight="true" outlineLevel="0" collapsed="false">
      <c r="A119" s="0" t="n">
        <v>7</v>
      </c>
      <c r="B119" s="0" t="s">
        <v>142</v>
      </c>
      <c r="C119" s="0" t="s">
        <v>120</v>
      </c>
      <c r="D119" s="0" t="s">
        <v>79</v>
      </c>
      <c r="F119" s="0" t="s">
        <v>75</v>
      </c>
      <c r="I119" s="0" t="str">
        <f aca="false">IF(OR(E119="",G119=""),"",IF(E119&gt;G119,D119,IF(G119&gt;E119,F119,"TIE")))</f>
        <v/>
      </c>
      <c r="J119" s="0" t="str">
        <f aca="false">IF(OR(E119="",G119="",H119=""),"",IF(E119+H119&gt;G119,D119,IF(E119+H119&lt;G119,F119,"PUSH")))</f>
        <v/>
      </c>
    </row>
    <row r="120" customFormat="false" ht="15" hidden="false" customHeight="true" outlineLevel="0" collapsed="false">
      <c r="A120" s="0" t="n">
        <v>7</v>
      </c>
      <c r="B120" s="0" t="s">
        <v>142</v>
      </c>
      <c r="C120" s="0" t="s">
        <v>120</v>
      </c>
      <c r="D120" s="0" t="s">
        <v>63</v>
      </c>
      <c r="F120" s="0" t="s">
        <v>62</v>
      </c>
      <c r="I120" s="0" t="str">
        <f aca="false">IF(OR(E120="",G120=""),"",IF(E120&gt;G120,D120,IF(G120&gt;E120,F120,"TIE")))</f>
        <v/>
      </c>
      <c r="J120" s="0" t="str">
        <f aca="false">IF(OR(E120="",G120="",H120=""),"",IF(E120+H120&gt;G120,D120,IF(E120+H120&lt;G120,F120,"PUSH")))</f>
        <v/>
      </c>
    </row>
    <row r="121" customFormat="false" ht="15" hidden="false" customHeight="true" outlineLevel="0" collapsed="false">
      <c r="A121" s="0" t="n">
        <v>7</v>
      </c>
      <c r="B121" s="0" t="s">
        <v>142</v>
      </c>
      <c r="C121" s="0" t="s">
        <v>120</v>
      </c>
      <c r="D121" s="0" t="s">
        <v>64</v>
      </c>
      <c r="F121" s="0" t="s">
        <v>69</v>
      </c>
      <c r="I121" s="0" t="str">
        <f aca="false">IF(OR(E121="",G121=""),"",IF(E121&gt;G121,D121,IF(G121&gt;E121,F121,"TIE")))</f>
        <v/>
      </c>
      <c r="J121" s="0" t="str">
        <f aca="false">IF(OR(E121="",G121="",H121=""),"",IF(E121+H121&gt;G121,D121,IF(E121+H121&lt;G121,F121,"PUSH")))</f>
        <v/>
      </c>
    </row>
    <row r="122" customFormat="false" ht="15" hidden="false" customHeight="true" outlineLevel="0" collapsed="false">
      <c r="A122" s="0" t="n">
        <v>7</v>
      </c>
      <c r="B122" s="0" t="s">
        <v>142</v>
      </c>
      <c r="C122" s="0" t="s">
        <v>120</v>
      </c>
      <c r="D122" s="0" t="s">
        <v>86</v>
      </c>
      <c r="F122" s="0" t="s">
        <v>68</v>
      </c>
      <c r="I122" s="0" t="str">
        <f aca="false">IF(OR(E122="",G122=""),"",IF(E122&gt;G122,D122,IF(G122&gt;E122,F122,"TIE")))</f>
        <v/>
      </c>
      <c r="J122" s="0" t="str">
        <f aca="false">IF(OR(E122="",G122="",H122=""),"",IF(E122+H122&gt;G122,D122,IF(E122+H122&lt;G122,F122,"PUSH")))</f>
        <v/>
      </c>
    </row>
    <row r="123" customFormat="false" ht="15" hidden="false" customHeight="true" outlineLevel="0" collapsed="false">
      <c r="A123" s="0" t="n">
        <v>7</v>
      </c>
      <c r="B123" s="0" t="s">
        <v>142</v>
      </c>
      <c r="C123" s="0" t="s">
        <v>126</v>
      </c>
      <c r="D123" s="0" t="s">
        <v>87</v>
      </c>
      <c r="F123" s="0" t="s">
        <v>77</v>
      </c>
      <c r="I123" s="0" t="str">
        <f aca="false">IF(OR(E123="",G123=""),"",IF(E123&gt;G123,D123,IF(G123&gt;E123,F123,"TIE")))</f>
        <v/>
      </c>
      <c r="J123" s="0" t="str">
        <f aca="false">IF(OR(E123="",G123="",H123=""),"",IF(E123+H123&gt;G123,D123,IF(E123+H123&lt;G123,F123,"PUSH")))</f>
        <v/>
      </c>
    </row>
    <row r="124" customFormat="false" ht="15" hidden="false" customHeight="true" outlineLevel="0" collapsed="false">
      <c r="A124" s="0" t="n">
        <v>7</v>
      </c>
      <c r="B124" s="0" t="s">
        <v>142</v>
      </c>
      <c r="C124" s="0" t="s">
        <v>121</v>
      </c>
      <c r="D124" s="0" t="s">
        <v>81</v>
      </c>
      <c r="F124" s="0" t="s">
        <v>66</v>
      </c>
      <c r="I124" s="0" t="str">
        <f aca="false">IF(OR(E124="",G124=""),"",IF(E124&gt;G124,D124,IF(G124&gt;E124,F124,"TIE")))</f>
        <v/>
      </c>
      <c r="J124" s="0" t="str">
        <f aca="false">IF(OR(E124="",G124="",H124=""),"",IF(E124+H124&gt;G124,D124,IF(E124+H124&lt;G124,F124,"PUSH")))</f>
        <v/>
      </c>
    </row>
    <row r="125" customFormat="false" ht="15" hidden="false" customHeight="true" outlineLevel="0" collapsed="false">
      <c r="A125" s="0" t="n">
        <v>7</v>
      </c>
      <c r="B125" s="0" t="s">
        <v>142</v>
      </c>
      <c r="C125" s="0" t="s">
        <v>121</v>
      </c>
      <c r="D125" s="0" t="s">
        <v>60</v>
      </c>
      <c r="F125" s="0" t="s">
        <v>80</v>
      </c>
      <c r="I125" s="0" t="str">
        <f aca="false">IF(OR(E125="",G125=""),"",IF(E125&gt;G125,D125,IF(G125&gt;E125,F125,"TIE")))</f>
        <v/>
      </c>
      <c r="J125" s="0" t="str">
        <f aca="false">IF(OR(E125="",G125="",H125=""),"",IF(E125+H125&gt;G125,D125,IF(E125+H125&lt;G125,F125,"PUSH")))</f>
        <v/>
      </c>
    </row>
    <row r="126" customFormat="false" ht="15" hidden="false" customHeight="true" outlineLevel="0" collapsed="false">
      <c r="A126" s="0" t="n">
        <v>7</v>
      </c>
      <c r="B126" s="0" t="s">
        <v>142</v>
      </c>
      <c r="C126" s="0" t="s">
        <v>116</v>
      </c>
      <c r="D126" s="0" t="s">
        <v>88</v>
      </c>
      <c r="F126" s="0" t="s">
        <v>58</v>
      </c>
      <c r="I126" s="0" t="str">
        <f aca="false">IF(OR(E126="",G126=""),"",IF(E126&gt;G126,D126,IF(G126&gt;E126,F126,"TIE")))</f>
        <v/>
      </c>
      <c r="J126" s="0" t="str">
        <f aca="false">IF(OR(E126="",G126="",H126=""),"",IF(E126+H126&gt;G126,D126,IF(E126+H126&lt;G126,F126,"PUSH")))</f>
        <v/>
      </c>
    </row>
    <row r="127" customFormat="false" ht="15" hidden="false" customHeight="true" outlineLevel="0" collapsed="false">
      <c r="A127" s="0" t="n">
        <v>7</v>
      </c>
      <c r="B127" s="0" t="s">
        <v>143</v>
      </c>
      <c r="C127" s="0" t="s">
        <v>123</v>
      </c>
      <c r="D127" s="0" t="s">
        <v>85</v>
      </c>
      <c r="F127" s="0" t="s">
        <v>84</v>
      </c>
      <c r="I127" s="0" t="str">
        <f aca="false">IF(OR(E127="",G127=""),"",IF(E127&gt;G127,D127,IF(G127&gt;E127,F127,"TIE")))</f>
        <v/>
      </c>
      <c r="J127" s="0" t="str">
        <f aca="false">IF(OR(E127="",G127="",H127=""),"",IF(E127+H127&gt;G127,D127,IF(E127+H127&lt;G127,F127,"PUSH")))</f>
        <v/>
      </c>
    </row>
    <row r="128" customFormat="false" ht="15" hidden="false" customHeight="false" outlineLevel="0" collapsed="false">
      <c r="D128" s="20" t="s">
        <v>89</v>
      </c>
      <c r="E128" s="21" t="str">
        <f aca="false">IF(AND(E127&lt;&gt;"",G127&lt;&gt;""),E127+G127,"")</f>
        <v/>
      </c>
    </row>
    <row r="129" customFormat="false" ht="15" hidden="false" customHeight="true" outlineLevel="0" collapsed="false">
      <c r="A129" s="0" t="s">
        <v>96</v>
      </c>
    </row>
    <row r="130" customFormat="false" ht="15" hidden="false" customHeight="true" outlineLevel="0" collapsed="false">
      <c r="A130" s="0" t="s">
        <v>107</v>
      </c>
      <c r="B130" s="0" t="s">
        <v>108</v>
      </c>
      <c r="C130" s="0" t="s">
        <v>109</v>
      </c>
      <c r="D130" s="0" t="s">
        <v>53</v>
      </c>
      <c r="E130" s="0" t="s">
        <v>110</v>
      </c>
      <c r="F130" s="0" t="s">
        <v>55</v>
      </c>
      <c r="G130" s="0" t="s">
        <v>111</v>
      </c>
      <c r="H130" s="0" t="s">
        <v>112</v>
      </c>
      <c r="I130" s="0" t="s">
        <v>113</v>
      </c>
      <c r="J130" s="0" t="s">
        <v>114</v>
      </c>
    </row>
    <row r="131" customFormat="false" ht="15" hidden="false" customHeight="true" outlineLevel="0" collapsed="false">
      <c r="A131" s="0" t="n">
        <v>8</v>
      </c>
      <c r="B131" s="0" t="s">
        <v>144</v>
      </c>
      <c r="C131" s="0" t="s">
        <v>123</v>
      </c>
      <c r="D131" s="0" t="s">
        <v>62</v>
      </c>
      <c r="F131" s="0" t="s">
        <v>81</v>
      </c>
      <c r="I131" s="0" t="str">
        <f aca="false">IF(OR(E131="",G131=""),"",IF(E131&gt;G131,D131,IF(G131&gt;E131,F131,"TIE")))</f>
        <v/>
      </c>
      <c r="J131" s="0" t="str">
        <f aca="false">IF(OR(E131="",G131="",H131=""),"",IF(E131+H131&gt;G131,D131,IF(E131+H131&lt;G131,F131,"PUSH")))</f>
        <v/>
      </c>
    </row>
    <row r="132" customFormat="false" ht="15" hidden="false" customHeight="true" outlineLevel="0" collapsed="false">
      <c r="A132" s="0" t="n">
        <v>8</v>
      </c>
      <c r="B132" s="0" t="s">
        <v>145</v>
      </c>
      <c r="C132" s="0" t="s">
        <v>120</v>
      </c>
      <c r="D132" s="0" t="s">
        <v>69</v>
      </c>
      <c r="F132" s="0" t="s">
        <v>67</v>
      </c>
      <c r="I132" s="0" t="str">
        <f aca="false">IF(OR(E132="",G132=""),"",IF(E132&gt;G132,D132,IF(G132&gt;E132,F132,"TIE")))</f>
        <v/>
      </c>
      <c r="J132" s="0" t="str">
        <f aca="false">IF(OR(E132="",G132="",H132=""),"",IF(E132+H132&gt;G132,D132,IF(E132+H132&lt;G132,F132,"PUSH")))</f>
        <v/>
      </c>
    </row>
    <row r="133" customFormat="false" ht="15" hidden="false" customHeight="true" outlineLevel="0" collapsed="false">
      <c r="A133" s="0" t="n">
        <v>8</v>
      </c>
      <c r="B133" s="0" t="s">
        <v>145</v>
      </c>
      <c r="C133" s="0" t="s">
        <v>120</v>
      </c>
      <c r="D133" s="0" t="s">
        <v>76</v>
      </c>
      <c r="F133" s="0" t="s">
        <v>64</v>
      </c>
      <c r="I133" s="0" t="str">
        <f aca="false">IF(OR(E133="",G133=""),"",IF(E133&gt;G133,D133,IF(G133&gt;E133,F133,"TIE")))</f>
        <v/>
      </c>
      <c r="J133" s="0" t="str">
        <f aca="false">IF(OR(E133="",G133="",H133=""),"",IF(E133+H133&gt;G133,D133,IF(E133+H133&lt;G133,F133,"PUSH")))</f>
        <v/>
      </c>
    </row>
    <row r="134" customFormat="false" ht="15" hidden="false" customHeight="true" outlineLevel="0" collapsed="false">
      <c r="A134" s="0" t="n">
        <v>8</v>
      </c>
      <c r="B134" s="0" t="s">
        <v>145</v>
      </c>
      <c r="C134" s="0" t="s">
        <v>120</v>
      </c>
      <c r="D134" s="0" t="s">
        <v>77</v>
      </c>
      <c r="F134" s="0" t="s">
        <v>85</v>
      </c>
      <c r="I134" s="0" t="str">
        <f aca="false">IF(OR(E134="",G134=""),"",IF(E134&gt;G134,D134,IF(G134&gt;E134,F134,"TIE")))</f>
        <v/>
      </c>
      <c r="J134" s="0" t="str">
        <f aca="false">IF(OR(E134="",G134="",H134=""),"",IF(E134+H134&gt;G134,D134,IF(E134+H134&lt;G134,F134,"PUSH")))</f>
        <v/>
      </c>
    </row>
    <row r="135" customFormat="false" ht="15" hidden="false" customHeight="true" outlineLevel="0" collapsed="false">
      <c r="A135" s="0" t="n">
        <v>8</v>
      </c>
      <c r="B135" s="0" t="s">
        <v>145</v>
      </c>
      <c r="C135" s="0" t="s">
        <v>120</v>
      </c>
      <c r="D135" s="0" t="s">
        <v>82</v>
      </c>
      <c r="F135" s="0" t="s">
        <v>66</v>
      </c>
      <c r="I135" s="0" t="str">
        <f aca="false">IF(OR(E135="",G135=""),"",IF(E135&gt;G135,D135,IF(G135&gt;E135,F135,"TIE")))</f>
        <v/>
      </c>
      <c r="J135" s="0" t="str">
        <f aca="false">IF(OR(E135="",G135="",H135=""),"",IF(E135+H135&gt;G135,D135,IF(E135+H135&lt;G135,F135,"PUSH")))</f>
        <v/>
      </c>
    </row>
    <row r="136" customFormat="false" ht="15" hidden="false" customHeight="true" outlineLevel="0" collapsed="false">
      <c r="A136" s="0" t="n">
        <v>8</v>
      </c>
      <c r="B136" s="0" t="s">
        <v>145</v>
      </c>
      <c r="C136" s="0" t="s">
        <v>120</v>
      </c>
      <c r="D136" s="0" t="s">
        <v>80</v>
      </c>
      <c r="F136" s="0" t="s">
        <v>75</v>
      </c>
      <c r="I136" s="0" t="str">
        <f aca="false">IF(OR(E136="",G136=""),"",IF(E136&gt;G136,D136,IF(G136&gt;E136,F136,"TIE")))</f>
        <v/>
      </c>
      <c r="J136" s="0" t="str">
        <f aca="false">IF(OR(E136="",G136="",H136=""),"",IF(E136+H136&gt;G136,D136,IF(E136+H136&lt;G136,F136,"PUSH")))</f>
        <v/>
      </c>
    </row>
    <row r="137" customFormat="false" ht="15" hidden="false" customHeight="true" outlineLevel="0" collapsed="false">
      <c r="A137" s="0" t="n">
        <v>8</v>
      </c>
      <c r="B137" s="0" t="s">
        <v>145</v>
      </c>
      <c r="C137" s="0" t="s">
        <v>120</v>
      </c>
      <c r="D137" s="0" t="s">
        <v>71</v>
      </c>
      <c r="F137" s="0" t="s">
        <v>74</v>
      </c>
      <c r="I137" s="0" t="str">
        <f aca="false">IF(OR(E137="",G137=""),"",IF(E137&gt;G137,D137,IF(G137&gt;E137,F137,"TIE")))</f>
        <v/>
      </c>
      <c r="J137" s="0" t="str">
        <f aca="false">IF(OR(E137="",G137="",H137=""),"",IF(E137+H137&gt;G137,D137,IF(E137+H137&lt;G137,F137,"PUSH")))</f>
        <v/>
      </c>
    </row>
    <row r="138" customFormat="false" ht="15" hidden="false" customHeight="true" outlineLevel="0" collapsed="false">
      <c r="A138" s="0" t="n">
        <v>8</v>
      </c>
      <c r="B138" s="0" t="s">
        <v>145</v>
      </c>
      <c r="C138" s="0" t="s">
        <v>120</v>
      </c>
      <c r="D138" s="0" t="s">
        <v>73</v>
      </c>
      <c r="F138" s="0" t="s">
        <v>63</v>
      </c>
      <c r="I138" s="0" t="str">
        <f aca="false">IF(OR(E138="",G138=""),"",IF(E138&gt;G138,D138,IF(G138&gt;E138,F138,"TIE")))</f>
        <v/>
      </c>
      <c r="J138" s="0" t="str">
        <f aca="false">IF(OR(E138="",G138="",H138=""),"",IF(E138+H138&gt;G138,D138,IF(E138+H138&lt;G138,F138,"PUSH")))</f>
        <v/>
      </c>
    </row>
    <row r="139" customFormat="false" ht="15" hidden="false" customHeight="true" outlineLevel="0" collapsed="false">
      <c r="A139" s="0" t="n">
        <v>8</v>
      </c>
      <c r="B139" s="0" t="s">
        <v>145</v>
      </c>
      <c r="C139" s="0" t="s">
        <v>120</v>
      </c>
      <c r="D139" s="0" t="s">
        <v>70</v>
      </c>
      <c r="F139" s="0" t="s">
        <v>72</v>
      </c>
      <c r="I139" s="0" t="str">
        <f aca="false">IF(OR(E139="",G139=""),"",IF(E139&gt;G139,D139,IF(G139&gt;E139,F139,"TIE")))</f>
        <v/>
      </c>
      <c r="J139" s="0" t="str">
        <f aca="false">IF(OR(E139="",G139="",H139=""),"",IF(E139+H139&gt;G139,D139,IF(E139+H139&lt;G139,F139,"PUSH")))</f>
        <v/>
      </c>
    </row>
    <row r="140" customFormat="false" ht="15" hidden="false" customHeight="true" outlineLevel="0" collapsed="false">
      <c r="A140" s="0" t="n">
        <v>8</v>
      </c>
      <c r="B140" s="0" t="s">
        <v>145</v>
      </c>
      <c r="C140" s="0" t="s">
        <v>126</v>
      </c>
      <c r="D140" s="0" t="s">
        <v>60</v>
      </c>
      <c r="F140" s="0" t="s">
        <v>78</v>
      </c>
      <c r="I140" s="0" t="str">
        <f aca="false">IF(OR(E140="",G140=""),"",IF(E140&gt;G140,D140,IF(G140&gt;E140,F140,"TIE")))</f>
        <v/>
      </c>
      <c r="J140" s="0" t="str">
        <f aca="false">IF(OR(E140="",G140="",H140=""),"",IF(E140+H140&gt;G140,D140,IF(E140+H140&lt;G140,F140,"PUSH")))</f>
        <v/>
      </c>
    </row>
    <row r="141" customFormat="false" ht="15" hidden="false" customHeight="true" outlineLevel="0" collapsed="false">
      <c r="A141" s="0" t="n">
        <v>8</v>
      </c>
      <c r="B141" s="0" t="s">
        <v>145</v>
      </c>
      <c r="C141" s="0" t="s">
        <v>121</v>
      </c>
      <c r="D141" s="0" t="s">
        <v>88</v>
      </c>
      <c r="F141" s="0" t="s">
        <v>87</v>
      </c>
      <c r="I141" s="0" t="str">
        <f aca="false">IF(OR(E141="",G141=""),"",IF(E141&gt;G141,D141,IF(G141&gt;E141,F141,"TIE")))</f>
        <v/>
      </c>
      <c r="J141" s="0" t="str">
        <f aca="false">IF(OR(E141="",G141="",H141=""),"",IF(E141+H141&gt;G141,D141,IF(E141+H141&lt;G141,F141,"PUSH")))</f>
        <v/>
      </c>
    </row>
    <row r="142" customFormat="false" ht="15" hidden="false" customHeight="true" outlineLevel="0" collapsed="false">
      <c r="A142" s="0" t="n">
        <v>8</v>
      </c>
      <c r="B142" s="0" t="s">
        <v>145</v>
      </c>
      <c r="C142" s="0" t="s">
        <v>121</v>
      </c>
      <c r="D142" s="0" t="s">
        <v>57</v>
      </c>
      <c r="F142" s="0" t="s">
        <v>79</v>
      </c>
      <c r="I142" s="0" t="str">
        <f aca="false">IF(OR(E142="",G142=""),"",IF(E142&gt;G142,D142,IF(G142&gt;E142,F142,"TIE")))</f>
        <v/>
      </c>
      <c r="J142" s="0" t="str">
        <f aca="false">IF(OR(E142="",G142="",H142=""),"",IF(E142+H142&gt;G142,D142,IF(E142+H142&lt;G142,F142,"PUSH")))</f>
        <v/>
      </c>
    </row>
    <row r="143" customFormat="false" ht="15" hidden="false" customHeight="true" outlineLevel="0" collapsed="false">
      <c r="A143" s="0" t="n">
        <v>8</v>
      </c>
      <c r="B143" s="0" t="s">
        <v>145</v>
      </c>
      <c r="C143" s="0" t="s">
        <v>116</v>
      </c>
      <c r="D143" s="0" t="s">
        <v>84</v>
      </c>
      <c r="F143" s="0" t="s">
        <v>83</v>
      </c>
      <c r="I143" s="0" t="str">
        <f aca="false">IF(OR(E143="",G143=""),"",IF(E143&gt;G143,D143,IF(G143&gt;E143,F143,"TIE")))</f>
        <v/>
      </c>
      <c r="J143" s="0" t="str">
        <f aca="false">IF(OR(E143="",G143="",H143=""),"",IF(E143+H143&gt;G143,D143,IF(E143+H143&lt;G143,F143,"PUSH")))</f>
        <v/>
      </c>
    </row>
    <row r="144" customFormat="false" ht="15" hidden="false" customHeight="true" outlineLevel="0" collapsed="false">
      <c r="A144" s="0" t="n">
        <v>8</v>
      </c>
      <c r="B144" s="0" t="s">
        <v>146</v>
      </c>
      <c r="C144" s="0" t="s">
        <v>123</v>
      </c>
      <c r="D144" s="0" t="s">
        <v>61</v>
      </c>
      <c r="F144" s="0" t="s">
        <v>58</v>
      </c>
      <c r="I144" s="0" t="str">
        <f aca="false">IF(OR(E144="",G144=""),"",IF(E144&gt;G144,D144,IF(G144&gt;E144,F144,"TIE")))</f>
        <v/>
      </c>
      <c r="J144" s="0" t="str">
        <f aca="false">IF(OR(E144="",G144="",H144=""),"",IF(E144+H144&gt;G144,D144,IF(E144+H144&lt;G144,F144,"PUSH")))</f>
        <v/>
      </c>
    </row>
    <row r="145" customFormat="false" ht="15" hidden="false" customHeight="false" outlineLevel="0" collapsed="false">
      <c r="D145" s="20" t="s">
        <v>89</v>
      </c>
      <c r="E145" s="21" t="str">
        <f aca="false">IF(AND(E144&lt;&gt;"",G144&lt;&gt;""),E144+G144,"")</f>
        <v/>
      </c>
    </row>
    <row r="146" customFormat="false" ht="15" hidden="false" customHeight="true" outlineLevel="0" collapsed="false">
      <c r="A146" s="0" t="s">
        <v>97</v>
      </c>
    </row>
    <row r="147" customFormat="false" ht="15" hidden="false" customHeight="true" outlineLevel="0" collapsed="false">
      <c r="A147" s="0" t="s">
        <v>107</v>
      </c>
      <c r="B147" s="0" t="s">
        <v>108</v>
      </c>
      <c r="C147" s="0" t="s">
        <v>109</v>
      </c>
      <c r="D147" s="0" t="s">
        <v>53</v>
      </c>
      <c r="E147" s="0" t="s">
        <v>110</v>
      </c>
      <c r="F147" s="0" t="s">
        <v>55</v>
      </c>
      <c r="G147" s="0" t="s">
        <v>111</v>
      </c>
      <c r="H147" s="0" t="s">
        <v>112</v>
      </c>
      <c r="I147" s="0" t="s">
        <v>113</v>
      </c>
      <c r="J147" s="0" t="s">
        <v>114</v>
      </c>
    </row>
    <row r="148" customFormat="false" ht="15" hidden="false" customHeight="true" outlineLevel="0" collapsed="false">
      <c r="A148" s="0" t="n">
        <v>9</v>
      </c>
      <c r="B148" s="0" t="s">
        <v>147</v>
      </c>
      <c r="C148" s="0" t="s">
        <v>123</v>
      </c>
      <c r="D148" s="0" t="s">
        <v>72</v>
      </c>
      <c r="F148" s="0" t="s">
        <v>69</v>
      </c>
      <c r="I148" s="0" t="str">
        <f aca="false">IF(OR(E148="",G148=""),"",IF(E148&gt;G148,D148,IF(G148&gt;E148,F148,"TIE")))</f>
        <v/>
      </c>
      <c r="J148" s="0" t="str">
        <f aca="false">IF(OR(E148="",G148="",H148=""),"",IF(E148+H148&gt;G148,D148,IF(E148+H148&lt;G148,F148,"PUSH")))</f>
        <v/>
      </c>
    </row>
    <row r="149" customFormat="false" ht="15" hidden="false" customHeight="true" outlineLevel="0" collapsed="false">
      <c r="A149" s="0" t="n">
        <v>9</v>
      </c>
      <c r="B149" s="0" t="s">
        <v>148</v>
      </c>
      <c r="C149" s="0" t="s">
        <v>133</v>
      </c>
      <c r="D149" s="0" t="s">
        <v>64</v>
      </c>
      <c r="F149" s="0" t="s">
        <v>73</v>
      </c>
      <c r="I149" s="0" t="str">
        <f aca="false">IF(OR(E149="",G149=""),"",IF(E149&gt;G149,D149,IF(G149&gt;E149,F149,"TIE")))</f>
        <v/>
      </c>
      <c r="J149" s="0" t="str">
        <f aca="false">IF(OR(E149="",G149="",H149=""),"",IF(E149+H149&gt;G149,D149,IF(E149+H149&lt;G149,F149,"PUSH")))</f>
        <v/>
      </c>
    </row>
    <row r="150" customFormat="false" ht="15" hidden="false" customHeight="true" outlineLevel="0" collapsed="false">
      <c r="A150" s="0" t="n">
        <v>9</v>
      </c>
      <c r="B150" s="0" t="s">
        <v>148</v>
      </c>
      <c r="C150" s="0" t="s">
        <v>120</v>
      </c>
      <c r="D150" s="0" t="s">
        <v>85</v>
      </c>
      <c r="F150" s="0" t="s">
        <v>70</v>
      </c>
      <c r="I150" s="0" t="str">
        <f aca="false">IF(OR(E150="",G150=""),"",IF(E150&gt;G150,D150,IF(G150&gt;E150,F150,"TIE")))</f>
        <v/>
      </c>
      <c r="J150" s="0" t="str">
        <f aca="false">IF(OR(E150="",G150="",H150=""),"",IF(E150+H150&gt;G150,D150,IF(E150+H150&lt;G150,F150,"PUSH")))</f>
        <v/>
      </c>
    </row>
    <row r="151" customFormat="false" ht="15" hidden="false" customHeight="true" outlineLevel="0" collapsed="false">
      <c r="A151" s="0" t="n">
        <v>9</v>
      </c>
      <c r="B151" s="0" t="s">
        <v>148</v>
      </c>
      <c r="C151" s="0" t="s">
        <v>120</v>
      </c>
      <c r="D151" s="0" t="s">
        <v>75</v>
      </c>
      <c r="F151" s="0" t="s">
        <v>88</v>
      </c>
      <c r="I151" s="0" t="str">
        <f aca="false">IF(OR(E151="",G151=""),"",IF(E151&gt;G151,D151,IF(G151&gt;E151,F151,"TIE")))</f>
        <v/>
      </c>
      <c r="J151" s="0" t="str">
        <f aca="false">IF(OR(E151="",G151="",H151=""),"",IF(E151+H151&gt;G151,D151,IF(E151+H151&lt;G151,F151,"PUSH")))</f>
        <v/>
      </c>
    </row>
    <row r="152" customFormat="false" ht="15" hidden="false" customHeight="true" outlineLevel="0" collapsed="false">
      <c r="A152" s="0" t="n">
        <v>9</v>
      </c>
      <c r="B152" s="0" t="s">
        <v>148</v>
      </c>
      <c r="C152" s="0" t="s">
        <v>120</v>
      </c>
      <c r="D152" s="0" t="s">
        <v>66</v>
      </c>
      <c r="F152" s="0" t="s">
        <v>79</v>
      </c>
      <c r="I152" s="0" t="str">
        <f aca="false">IF(OR(E152="",G152=""),"",IF(E152&gt;G152,D152,IF(G152&gt;E152,F152,"TIE")))</f>
        <v/>
      </c>
      <c r="J152" s="0" t="str">
        <f aca="false">IF(OR(E152="",G152="",H152=""),"",IF(E152+H152&gt;G152,D152,IF(E152+H152&lt;G152,F152,"PUSH")))</f>
        <v/>
      </c>
    </row>
    <row r="153" customFormat="false" ht="15" hidden="false" customHeight="true" outlineLevel="0" collapsed="false">
      <c r="A153" s="0" t="n">
        <v>9</v>
      </c>
      <c r="B153" s="0" t="s">
        <v>148</v>
      </c>
      <c r="C153" s="0" t="s">
        <v>120</v>
      </c>
      <c r="D153" s="0" t="s">
        <v>71</v>
      </c>
      <c r="F153" s="0" t="s">
        <v>65</v>
      </c>
      <c r="I153" s="0" t="str">
        <f aca="false">IF(OR(E153="",G153=""),"",IF(E153&gt;G153,D153,IF(G153&gt;E153,F153,"TIE")))</f>
        <v/>
      </c>
      <c r="J153" s="0" t="str">
        <f aca="false">IF(OR(E153="",G153="",H153=""),"",IF(E153+H153&gt;G153,D153,IF(E153+H153&lt;G153,F153,"PUSH")))</f>
        <v/>
      </c>
    </row>
    <row r="154" customFormat="false" ht="15" hidden="false" customHeight="true" outlineLevel="0" collapsed="false">
      <c r="A154" s="0" t="n">
        <v>9</v>
      </c>
      <c r="B154" s="0" t="s">
        <v>148</v>
      </c>
      <c r="C154" s="0" t="s">
        <v>120</v>
      </c>
      <c r="D154" s="0" t="s">
        <v>86</v>
      </c>
      <c r="F154" s="0" t="s">
        <v>84</v>
      </c>
      <c r="I154" s="0" t="str">
        <f aca="false">IF(OR(E154="",G154=""),"",IF(E154&gt;G154,D154,IF(G154&gt;E154,F154,"TIE")))</f>
        <v/>
      </c>
      <c r="J154" s="0" t="str">
        <f aca="false">IF(OR(E154="",G154="",H154=""),"",IF(E154+H154&gt;G154,D154,IF(E154+H154&lt;G154,F154,"PUSH")))</f>
        <v/>
      </c>
    </row>
    <row r="155" customFormat="false" ht="15" hidden="false" customHeight="true" outlineLevel="0" collapsed="false">
      <c r="A155" s="0" t="n">
        <v>9</v>
      </c>
      <c r="B155" s="0" t="s">
        <v>148</v>
      </c>
      <c r="C155" s="0" t="s">
        <v>120</v>
      </c>
      <c r="D155" s="0" t="s">
        <v>60</v>
      </c>
      <c r="F155" s="0" t="s">
        <v>83</v>
      </c>
      <c r="I155" s="0" t="str">
        <f aca="false">IF(OR(E155="",G155=""),"",IF(E155&gt;G155,D155,IF(G155&gt;E155,F155,"TIE")))</f>
        <v/>
      </c>
      <c r="J155" s="0" t="str">
        <f aca="false">IF(OR(E155="",G155="",H155=""),"",IF(E155+H155&gt;G155,D155,IF(E155+H155&lt;G155,F155,"PUSH")))</f>
        <v/>
      </c>
    </row>
    <row r="156" customFormat="false" ht="15" hidden="false" customHeight="true" outlineLevel="0" collapsed="false">
      <c r="A156" s="0" t="n">
        <v>9</v>
      </c>
      <c r="B156" s="0" t="s">
        <v>148</v>
      </c>
      <c r="C156" s="0" t="s">
        <v>120</v>
      </c>
      <c r="D156" s="0" t="s">
        <v>87</v>
      </c>
      <c r="F156" s="0" t="s">
        <v>62</v>
      </c>
      <c r="I156" s="0" t="str">
        <f aca="false">IF(OR(E156="",G156=""),"",IF(E156&gt;G156,D156,IF(G156&gt;E156,F156,"TIE")))</f>
        <v/>
      </c>
      <c r="J156" s="0" t="str">
        <f aca="false">IF(OR(E156="",G156="",H156=""),"",IF(E156+H156&gt;G156,D156,IF(E156+H156&lt;G156,F156,"PUSH")))</f>
        <v/>
      </c>
    </row>
    <row r="157" customFormat="false" ht="15" hidden="false" customHeight="true" outlineLevel="0" collapsed="false">
      <c r="A157" s="0" t="n">
        <v>9</v>
      </c>
      <c r="B157" s="0" t="s">
        <v>148</v>
      </c>
      <c r="C157" s="0" t="s">
        <v>126</v>
      </c>
      <c r="D157" s="0" t="s">
        <v>68</v>
      </c>
      <c r="F157" s="0" t="s">
        <v>78</v>
      </c>
      <c r="I157" s="0" t="str">
        <f aca="false">IF(OR(E157="",G157=""),"",IF(E157&gt;G157,D157,IF(G157&gt;E157,F157,"TIE")))</f>
        <v/>
      </c>
      <c r="J157" s="0" t="str">
        <f aca="false">IF(OR(E157="",G157="",H157=""),"",IF(E157+H157&gt;G157,D157,IF(E157+H157&lt;G157,F157,"PUSH")))</f>
        <v/>
      </c>
    </row>
    <row r="158" customFormat="false" ht="15" hidden="false" customHeight="true" outlineLevel="0" collapsed="false">
      <c r="A158" s="0" t="n">
        <v>9</v>
      </c>
      <c r="B158" s="0" t="s">
        <v>148</v>
      </c>
      <c r="C158" s="0" t="s">
        <v>126</v>
      </c>
      <c r="D158" s="0" t="s">
        <v>80</v>
      </c>
      <c r="F158" s="0" t="s">
        <v>59</v>
      </c>
      <c r="I158" s="0" t="str">
        <f aca="false">IF(OR(E158="",G158=""),"",IF(E158&gt;G158,D158,IF(G158&gt;E158,F158,"TIE")))</f>
        <v/>
      </c>
      <c r="J158" s="0" t="str">
        <f aca="false">IF(OR(E158="",G158="",H158=""),"",IF(E158+H158&gt;G158,D158,IF(E158+H158&lt;G158,F158,"PUSH")))</f>
        <v/>
      </c>
    </row>
    <row r="159" customFormat="false" ht="15" hidden="false" customHeight="true" outlineLevel="0" collapsed="false">
      <c r="A159" s="0" t="n">
        <v>9</v>
      </c>
      <c r="B159" s="0" t="s">
        <v>148</v>
      </c>
      <c r="C159" s="0" t="s">
        <v>121</v>
      </c>
      <c r="D159" s="0" t="s">
        <v>81</v>
      </c>
      <c r="F159" s="0" t="s">
        <v>57</v>
      </c>
      <c r="I159" s="0" t="str">
        <f aca="false">IF(OR(E159="",G159=""),"",IF(E159&gt;G159,D159,IF(G159&gt;E159,F159,"TIE")))</f>
        <v/>
      </c>
      <c r="J159" s="0" t="str">
        <f aca="false">IF(OR(E159="",G159="",H159=""),"",IF(E159+H159&gt;G159,D159,IF(E159+H159&lt;G159,F159,"PUSH")))</f>
        <v/>
      </c>
    </row>
    <row r="160" customFormat="false" ht="15" hidden="false" customHeight="true" outlineLevel="0" collapsed="false">
      <c r="A160" s="0" t="n">
        <v>9</v>
      </c>
      <c r="B160" s="0" t="s">
        <v>148</v>
      </c>
      <c r="C160" s="0" t="s">
        <v>121</v>
      </c>
      <c r="D160" s="0" t="s">
        <v>77</v>
      </c>
      <c r="F160" s="0" t="s">
        <v>58</v>
      </c>
      <c r="I160" s="0" t="str">
        <f aca="false">IF(OR(E160="",G160=""),"",IF(E160&gt;G160,D160,IF(G160&gt;E160,F160,"TIE")))</f>
        <v/>
      </c>
      <c r="J160" s="0" t="str">
        <f aca="false">IF(OR(E160="",G160="",H160=""),"",IF(E160+H160&gt;G160,D160,IF(E160+H160&lt;G160,F160,"PUSH")))</f>
        <v/>
      </c>
    </row>
    <row r="161" customFormat="false" ht="15" hidden="false" customHeight="true" outlineLevel="0" collapsed="false">
      <c r="A161" s="0" t="n">
        <v>9</v>
      </c>
      <c r="B161" s="0" t="s">
        <v>148</v>
      </c>
      <c r="C161" s="0" t="s">
        <v>116</v>
      </c>
      <c r="D161" s="0" t="s">
        <v>63</v>
      </c>
      <c r="F161" s="0" t="s">
        <v>61</v>
      </c>
      <c r="I161" s="0" t="str">
        <f aca="false">IF(OR(E161="",G161=""),"",IF(E161&gt;G161,D161,IF(G161&gt;E161,F161,"TIE")))</f>
        <v/>
      </c>
      <c r="J161" s="0" t="str">
        <f aca="false">IF(OR(E161="",G161="",H161=""),"",IF(E161+H161&gt;G161,D161,IF(E161+H161&lt;G161,F161,"PUSH")))</f>
        <v/>
      </c>
    </row>
    <row r="162" customFormat="false" ht="15" hidden="false" customHeight="true" outlineLevel="0" collapsed="false">
      <c r="A162" s="0" t="n">
        <v>9</v>
      </c>
      <c r="B162" s="0" t="s">
        <v>149</v>
      </c>
      <c r="C162" s="0" t="s">
        <v>123</v>
      </c>
      <c r="D162" s="0" t="s">
        <v>67</v>
      </c>
      <c r="F162" s="0" t="s">
        <v>82</v>
      </c>
      <c r="I162" s="0" t="str">
        <f aca="false">IF(OR(E162="",G162=""),"",IF(E162&gt;G162,D162,IF(G162&gt;E162,F162,"TIE")))</f>
        <v/>
      </c>
      <c r="J162" s="0" t="str">
        <f aca="false">IF(OR(E162="",G162="",H162=""),"",IF(E162+H162&gt;G162,D162,IF(E162+H162&lt;G162,F162,"PUSH")))</f>
        <v/>
      </c>
    </row>
    <row r="163" customFormat="false" ht="15" hidden="false" customHeight="false" outlineLevel="0" collapsed="false">
      <c r="D163" s="20" t="s">
        <v>89</v>
      </c>
      <c r="E163" s="21" t="str">
        <f aca="false">IF(AND(E162&lt;&gt;"",G162&lt;&gt;""),E162+G162,"")</f>
        <v/>
      </c>
    </row>
    <row r="164" customFormat="false" ht="15" hidden="false" customHeight="true" outlineLevel="0" collapsed="false">
      <c r="A164" s="0" t="s">
        <v>98</v>
      </c>
    </row>
    <row r="165" customFormat="false" ht="15" hidden="false" customHeight="true" outlineLevel="0" collapsed="false">
      <c r="A165" s="0" t="s">
        <v>107</v>
      </c>
      <c r="B165" s="0" t="s">
        <v>108</v>
      </c>
      <c r="C165" s="0" t="s">
        <v>109</v>
      </c>
      <c r="D165" s="0" t="s">
        <v>53</v>
      </c>
      <c r="E165" s="0" t="s">
        <v>110</v>
      </c>
      <c r="F165" s="0" t="s">
        <v>55</v>
      </c>
      <c r="G165" s="0" t="s">
        <v>111</v>
      </c>
      <c r="H165" s="0" t="s">
        <v>112</v>
      </c>
      <c r="I165" s="0" t="s">
        <v>113</v>
      </c>
      <c r="J165" s="0" t="s">
        <v>114</v>
      </c>
    </row>
    <row r="166" customFormat="false" ht="15" hidden="false" customHeight="true" outlineLevel="0" collapsed="false">
      <c r="A166" s="0" t="n">
        <v>10</v>
      </c>
      <c r="B166" s="0" t="s">
        <v>150</v>
      </c>
      <c r="C166" s="0" t="s">
        <v>123</v>
      </c>
      <c r="D166" s="0" t="s">
        <v>83</v>
      </c>
      <c r="F166" s="0" t="s">
        <v>86</v>
      </c>
      <c r="I166" s="0" t="str">
        <f aca="false">IF(OR(E166="",G166=""),"",IF(E166&gt;G166,D166,IF(G166&gt;E166,F166,"TIE")))</f>
        <v/>
      </c>
      <c r="J166" s="0" t="str">
        <f aca="false">IF(OR(E166="",G166="",H166=""),"",IF(E166+H166&gt;G166,D166,IF(E166+H166&lt;G166,F166,"PUSH")))</f>
        <v/>
      </c>
    </row>
    <row r="167" customFormat="false" ht="15" hidden="false" customHeight="true" outlineLevel="0" collapsed="false">
      <c r="A167" s="0" t="n">
        <v>10</v>
      </c>
      <c r="B167" s="0" t="s">
        <v>151</v>
      </c>
      <c r="C167" s="0" t="s">
        <v>133</v>
      </c>
      <c r="D167" s="0" t="s">
        <v>57</v>
      </c>
      <c r="F167" s="0" t="s">
        <v>66</v>
      </c>
      <c r="I167" s="0" t="str">
        <f aca="false">IF(OR(E167="",G167=""),"",IF(E167&gt;G167,D167,IF(G167&gt;E167,F167,"TIE")))</f>
        <v/>
      </c>
      <c r="J167" s="0" t="str">
        <f aca="false">IF(OR(E167="",G167="",H167=""),"",IF(E167+H167&gt;G167,D167,IF(E167+H167&lt;G167,F167,"PUSH")))</f>
        <v/>
      </c>
    </row>
    <row r="168" customFormat="false" ht="15" hidden="false" customHeight="true" outlineLevel="0" collapsed="false">
      <c r="A168" s="0" t="n">
        <v>10</v>
      </c>
      <c r="B168" s="0" t="s">
        <v>151</v>
      </c>
      <c r="C168" s="0" t="s">
        <v>120</v>
      </c>
      <c r="D168" s="0" t="s">
        <v>88</v>
      </c>
      <c r="F168" s="0" t="s">
        <v>73</v>
      </c>
      <c r="I168" s="0" t="str">
        <f aca="false">IF(OR(E168="",G168=""),"",IF(E168&gt;G168,D168,IF(G168&gt;E168,F168,"TIE")))</f>
        <v/>
      </c>
      <c r="J168" s="0" t="str">
        <f aca="false">IF(OR(E168="",G168="",H168=""),"",IF(E168+H168&gt;G168,D168,IF(E168+H168&lt;G168,F168,"PUSH")))</f>
        <v/>
      </c>
    </row>
    <row r="169" customFormat="false" ht="15" hidden="false" customHeight="true" outlineLevel="0" collapsed="false">
      <c r="A169" s="0" t="n">
        <v>10</v>
      </c>
      <c r="B169" s="0" t="s">
        <v>151</v>
      </c>
      <c r="C169" s="0" t="s">
        <v>120</v>
      </c>
      <c r="D169" s="0" t="s">
        <v>68</v>
      </c>
      <c r="F169" s="0" t="s">
        <v>71</v>
      </c>
      <c r="I169" s="0" t="str">
        <f aca="false">IF(OR(E169="",G169=""),"",IF(E169&gt;G169,D169,IF(G169&gt;E169,F169,"TIE")))</f>
        <v/>
      </c>
      <c r="J169" s="0" t="str">
        <f aca="false">IF(OR(E169="",G169="",H169=""),"",IF(E169+H169&gt;G169,D169,IF(E169+H169&lt;G169,F169,"PUSH")))</f>
        <v/>
      </c>
    </row>
    <row r="170" customFormat="false" ht="15" hidden="false" customHeight="true" outlineLevel="0" collapsed="false">
      <c r="A170" s="0" t="n">
        <v>10</v>
      </c>
      <c r="B170" s="0" t="s">
        <v>151</v>
      </c>
      <c r="C170" s="0" t="s">
        <v>120</v>
      </c>
      <c r="D170" s="0" t="s">
        <v>82</v>
      </c>
      <c r="F170" s="0" t="s">
        <v>81</v>
      </c>
      <c r="I170" s="0" t="str">
        <f aca="false">IF(OR(E170="",G170=""),"",IF(E170&gt;G170,D170,IF(G170&gt;E170,F170,"TIE")))</f>
        <v/>
      </c>
      <c r="J170" s="0" t="str">
        <f aca="false">IF(OR(E170="",G170="",H170=""),"",IF(E170+H170&gt;G170,D170,IF(E170+H170&lt;G170,F170,"PUSH")))</f>
        <v/>
      </c>
    </row>
    <row r="171" customFormat="false" ht="15" hidden="false" customHeight="true" outlineLevel="0" collapsed="false">
      <c r="A171" s="0" t="n">
        <v>10</v>
      </c>
      <c r="B171" s="0" t="s">
        <v>151</v>
      </c>
      <c r="C171" s="0" t="s">
        <v>120</v>
      </c>
      <c r="D171" s="0" t="s">
        <v>72</v>
      </c>
      <c r="F171" s="0" t="s">
        <v>76</v>
      </c>
      <c r="I171" s="0" t="str">
        <f aca="false">IF(OR(E171="",G171=""),"",IF(E171&gt;G171,D171,IF(G171&gt;E171,F171,"TIE")))</f>
        <v/>
      </c>
      <c r="J171" s="0" t="str">
        <f aca="false">IF(OR(E171="",G171="",H171=""),"",IF(E171+H171&gt;G171,D171,IF(E171+H171&lt;G171,F171,"PUSH")))</f>
        <v/>
      </c>
    </row>
    <row r="172" customFormat="false" ht="15" hidden="false" customHeight="true" outlineLevel="0" collapsed="false">
      <c r="A172" s="0" t="n">
        <v>10</v>
      </c>
      <c r="B172" s="0" t="s">
        <v>151</v>
      </c>
      <c r="C172" s="0" t="s">
        <v>120</v>
      </c>
      <c r="D172" s="0" t="s">
        <v>79</v>
      </c>
      <c r="F172" s="0" t="s">
        <v>70</v>
      </c>
      <c r="I172" s="0" t="str">
        <f aca="false">IF(OR(E172="",G172=""),"",IF(E172&gt;G172,D172,IF(G172&gt;E172,F172,"TIE")))</f>
        <v/>
      </c>
      <c r="J172" s="0" t="str">
        <f aca="false">IF(OR(E172="",G172="",H172=""),"",IF(E172+H172&gt;G172,D172,IF(E172+H172&lt;G172,F172,"PUSH")))</f>
        <v/>
      </c>
    </row>
    <row r="173" customFormat="false" ht="15" hidden="false" customHeight="true" outlineLevel="0" collapsed="false">
      <c r="A173" s="0" t="n">
        <v>10</v>
      </c>
      <c r="B173" s="0" t="s">
        <v>151</v>
      </c>
      <c r="C173" s="0" t="s">
        <v>120</v>
      </c>
      <c r="D173" s="0" t="s">
        <v>62</v>
      </c>
      <c r="F173" s="0" t="s">
        <v>65</v>
      </c>
      <c r="I173" s="0" t="str">
        <f aca="false">IF(OR(E173="",G173=""),"",IF(E173&gt;G173,D173,IF(G173&gt;E173,F173,"TIE")))</f>
        <v/>
      </c>
      <c r="J173" s="0" t="str">
        <f aca="false">IF(OR(E173="",G173="",H173=""),"",IF(E173+H173&gt;G173,D173,IF(E173+H173&lt;G173,F173,"PUSH")))</f>
        <v/>
      </c>
    </row>
    <row r="174" customFormat="false" ht="15" hidden="false" customHeight="true" outlineLevel="0" collapsed="false">
      <c r="A174" s="0" t="n">
        <v>10</v>
      </c>
      <c r="B174" s="0" t="s">
        <v>151</v>
      </c>
      <c r="C174" s="0" t="s">
        <v>120</v>
      </c>
      <c r="D174" s="0" t="s">
        <v>67</v>
      </c>
      <c r="F174" s="0" t="s">
        <v>75</v>
      </c>
      <c r="I174" s="0" t="str">
        <f aca="false">IF(OR(E174="",G174=""),"",IF(E174&gt;G174,D174,IF(G174&gt;E174,F174,"TIE")))</f>
        <v/>
      </c>
      <c r="J174" s="0" t="str">
        <f aca="false">IF(OR(E174="",G174="",H174=""),"",IF(E174+H174&gt;G174,D174,IF(E174+H174&lt;G174,F174,"PUSH")))</f>
        <v/>
      </c>
    </row>
    <row r="175" customFormat="false" ht="15" hidden="false" customHeight="true" outlineLevel="0" collapsed="false">
      <c r="A175" s="0" t="n">
        <v>10</v>
      </c>
      <c r="B175" s="0" t="s">
        <v>151</v>
      </c>
      <c r="C175" s="0" t="s">
        <v>126</v>
      </c>
      <c r="D175" s="0" t="s">
        <v>58</v>
      </c>
      <c r="F175" s="0" t="s">
        <v>80</v>
      </c>
      <c r="I175" s="0" t="str">
        <f aca="false">IF(OR(E175="",G175=""),"",IF(E175&gt;G175,D175,IF(G175&gt;E175,F175,"TIE")))</f>
        <v/>
      </c>
      <c r="J175" s="0" t="str">
        <f aca="false">IF(OR(E175="",G175="",H175=""),"",IF(E175+H175&gt;G175,D175,IF(E175+H175&lt;G175,F175,"PUSH")))</f>
        <v/>
      </c>
    </row>
    <row r="176" customFormat="false" ht="15" hidden="false" customHeight="true" outlineLevel="0" collapsed="false">
      <c r="A176" s="0" t="n">
        <v>10</v>
      </c>
      <c r="B176" s="0" t="s">
        <v>151</v>
      </c>
      <c r="C176" s="0" t="s">
        <v>126</v>
      </c>
      <c r="D176" s="0" t="s">
        <v>60</v>
      </c>
      <c r="F176" s="0" t="s">
        <v>77</v>
      </c>
      <c r="I176" s="0" t="str">
        <f aca="false">IF(OR(E176="",G176=""),"",IF(E176&gt;G176,D176,IF(G176&gt;E176,F176,"TIE")))</f>
        <v/>
      </c>
      <c r="J176" s="0" t="str">
        <f aca="false">IF(OR(E176="",G176="",H176=""),"",IF(E176+H176&gt;G176,D176,IF(E176+H176&lt;G176,F176,"PUSH")))</f>
        <v/>
      </c>
    </row>
    <row r="177" customFormat="false" ht="15" hidden="false" customHeight="true" outlineLevel="0" collapsed="false">
      <c r="A177" s="0" t="n">
        <v>10</v>
      </c>
      <c r="B177" s="0" t="s">
        <v>151</v>
      </c>
      <c r="C177" s="0" t="s">
        <v>121</v>
      </c>
      <c r="D177" s="0" t="s">
        <v>59</v>
      </c>
      <c r="F177" s="0" t="s">
        <v>85</v>
      </c>
      <c r="I177" s="0" t="str">
        <f aca="false">IF(OR(E177="",G177=""),"",IF(E177&gt;G177,D177,IF(G177&gt;E177,F177,"TIE")))</f>
        <v/>
      </c>
      <c r="J177" s="0" t="str">
        <f aca="false">IF(OR(E177="",G177="",H177=""),"",IF(E177+H177&gt;G177,D177,IF(E177+H177&lt;G177,F177,"PUSH")))</f>
        <v/>
      </c>
    </row>
    <row r="178" customFormat="false" ht="15" hidden="false" customHeight="true" outlineLevel="0" collapsed="false">
      <c r="A178" s="0" t="n">
        <v>10</v>
      </c>
      <c r="B178" s="0" t="s">
        <v>151</v>
      </c>
      <c r="C178" s="0" t="s">
        <v>116</v>
      </c>
      <c r="D178" s="0" t="s">
        <v>74</v>
      </c>
      <c r="F178" s="0" t="s">
        <v>64</v>
      </c>
      <c r="I178" s="0" t="str">
        <f aca="false">IF(OR(E178="",G178=""),"",IF(E178&gt;G178,D178,IF(G178&gt;E178,F178,"TIE")))</f>
        <v/>
      </c>
      <c r="J178" s="0" t="str">
        <f aca="false">IF(OR(E178="",G178="",H178=""),"",IF(E178+H178&gt;G178,D178,IF(E178+H178&lt;G178,F178,"PUSH")))</f>
        <v/>
      </c>
    </row>
    <row r="179" customFormat="false" ht="15" hidden="false" customHeight="true" outlineLevel="0" collapsed="false">
      <c r="A179" s="0" t="n">
        <v>10</v>
      </c>
      <c r="B179" s="0" t="s">
        <v>152</v>
      </c>
      <c r="C179" s="0" t="s">
        <v>123</v>
      </c>
      <c r="D179" s="0" t="s">
        <v>78</v>
      </c>
      <c r="F179" s="0" t="s">
        <v>69</v>
      </c>
      <c r="I179" s="0" t="str">
        <f aca="false">IF(OR(E179="",G179=""),"",IF(E179&gt;G179,D179,IF(G179&gt;E179,F179,"TIE")))</f>
        <v/>
      </c>
      <c r="J179" s="0" t="str">
        <f aca="false">IF(OR(E179="",G179="",H179=""),"",IF(E179+H179&gt;G179,D179,IF(E179+H179&lt;G179,F179,"PUSH")))</f>
        <v/>
      </c>
    </row>
    <row r="180" customFormat="false" ht="15" hidden="false" customHeight="false" outlineLevel="0" collapsed="false">
      <c r="D180" s="20" t="s">
        <v>89</v>
      </c>
      <c r="E180" s="21" t="str">
        <f aca="false">IF(AND(E179&lt;&gt;"",G179&lt;&gt;""),E179+G179,"")</f>
        <v/>
      </c>
    </row>
    <row r="181" customFormat="false" ht="15" hidden="false" customHeight="true" outlineLevel="0" collapsed="false">
      <c r="A181" s="0" t="s">
        <v>99</v>
      </c>
    </row>
    <row r="182" customFormat="false" ht="15" hidden="false" customHeight="true" outlineLevel="0" collapsed="false">
      <c r="A182" s="0" t="s">
        <v>107</v>
      </c>
      <c r="B182" s="0" t="s">
        <v>108</v>
      </c>
      <c r="C182" s="0" t="s">
        <v>109</v>
      </c>
      <c r="D182" s="0" t="s">
        <v>53</v>
      </c>
      <c r="E182" s="0" t="s">
        <v>110</v>
      </c>
      <c r="F182" s="0" t="s">
        <v>55</v>
      </c>
      <c r="G182" s="0" t="s">
        <v>111</v>
      </c>
      <c r="H182" s="0" t="s">
        <v>112</v>
      </c>
      <c r="I182" s="0" t="s">
        <v>113</v>
      </c>
      <c r="J182" s="0" t="s">
        <v>114</v>
      </c>
    </row>
    <row r="183" customFormat="false" ht="15" hidden="false" customHeight="true" outlineLevel="0" collapsed="false">
      <c r="A183" s="0" t="n">
        <v>11</v>
      </c>
      <c r="B183" s="0" t="s">
        <v>153</v>
      </c>
      <c r="C183" s="0" t="s">
        <v>123</v>
      </c>
      <c r="D183" s="0" t="s">
        <v>70</v>
      </c>
      <c r="F183" s="0" t="s">
        <v>68</v>
      </c>
      <c r="I183" s="0" t="str">
        <f aca="false">IF(OR(E183="",G183=""),"",IF(E183&gt;G183,D183,IF(G183&gt;E183,F183,"TIE")))</f>
        <v/>
      </c>
      <c r="J183" s="0" t="str">
        <f aca="false">IF(OR(E183="",G183="",H183=""),"",IF(E183+H183&gt;G183,D183,IF(E183+H183&lt;G183,F183,"PUSH")))</f>
        <v/>
      </c>
    </row>
    <row r="184" customFormat="false" ht="15" hidden="false" customHeight="true" outlineLevel="0" collapsed="false">
      <c r="A184" s="0" t="n">
        <v>11</v>
      </c>
      <c r="B184" s="0" t="s">
        <v>154</v>
      </c>
      <c r="C184" s="0" t="s">
        <v>120</v>
      </c>
      <c r="D184" s="0" t="s">
        <v>79</v>
      </c>
      <c r="F184" s="0" t="s">
        <v>67</v>
      </c>
      <c r="I184" s="0" t="str">
        <f aca="false">IF(OR(E184="",G184=""),"",IF(E184&gt;G184,D184,IF(G184&gt;E184,F184,"TIE")))</f>
        <v/>
      </c>
      <c r="J184" s="0" t="str">
        <f aca="false">IF(OR(E184="",G184="",H184=""),"",IF(E184+H184&gt;G184,D184,IF(E184+H184&lt;G184,F184,"PUSH")))</f>
        <v/>
      </c>
    </row>
    <row r="185" customFormat="false" ht="15" hidden="false" customHeight="true" outlineLevel="0" collapsed="false">
      <c r="A185" s="0" t="n">
        <v>11</v>
      </c>
      <c r="B185" s="0" t="s">
        <v>154</v>
      </c>
      <c r="C185" s="0" t="s">
        <v>120</v>
      </c>
      <c r="D185" s="0" t="s">
        <v>65</v>
      </c>
      <c r="F185" s="0" t="s">
        <v>61</v>
      </c>
      <c r="I185" s="0" t="str">
        <f aca="false">IF(OR(E185="",G185=""),"",IF(E185&gt;G185,D185,IF(G185&gt;E185,F185,"TIE")))</f>
        <v/>
      </c>
      <c r="J185" s="0" t="str">
        <f aca="false">IF(OR(E185="",G185="",H185=""),"",IF(E185+H185&gt;G185,D185,IF(E185+H185&lt;G185,F185,"PUSH")))</f>
        <v/>
      </c>
    </row>
    <row r="186" customFormat="false" ht="15" hidden="false" customHeight="true" outlineLevel="0" collapsed="false">
      <c r="A186" s="0" t="n">
        <v>11</v>
      </c>
      <c r="B186" s="0" t="s">
        <v>154</v>
      </c>
      <c r="C186" s="0" t="s">
        <v>120</v>
      </c>
      <c r="D186" s="0" t="s">
        <v>76</v>
      </c>
      <c r="F186" s="0" t="s">
        <v>85</v>
      </c>
      <c r="I186" s="0" t="str">
        <f aca="false">IF(OR(E186="",G186=""),"",IF(E186&gt;G186,D186,IF(G186&gt;E186,F186,"TIE")))</f>
        <v/>
      </c>
      <c r="J186" s="0" t="str">
        <f aca="false">IF(OR(E186="",G186="",H186=""),"",IF(E186+H186&gt;G186,D186,IF(E186+H186&lt;G186,F186,"PUSH")))</f>
        <v/>
      </c>
    </row>
    <row r="187" customFormat="false" ht="15" hidden="false" customHeight="true" outlineLevel="0" collapsed="false">
      <c r="A187" s="0" t="n">
        <v>11</v>
      </c>
      <c r="B187" s="0" t="s">
        <v>154</v>
      </c>
      <c r="C187" s="0" t="s">
        <v>120</v>
      </c>
      <c r="D187" s="0" t="s">
        <v>63</v>
      </c>
      <c r="F187" s="0" t="s">
        <v>66</v>
      </c>
      <c r="I187" s="0" t="str">
        <f aca="false">IF(OR(E187="",G187=""),"",IF(E187&gt;G187,D187,IF(G187&gt;E187,F187,"TIE")))</f>
        <v/>
      </c>
      <c r="J187" s="0" t="str">
        <f aca="false">IF(OR(E187="",G187="",H187=""),"",IF(E187+H187&gt;G187,D187,IF(E187+H187&lt;G187,F187,"PUSH")))</f>
        <v/>
      </c>
    </row>
    <row r="188" customFormat="false" ht="15" hidden="false" customHeight="true" outlineLevel="0" collapsed="false">
      <c r="A188" s="0" t="n">
        <v>11</v>
      </c>
      <c r="B188" s="0" t="s">
        <v>154</v>
      </c>
      <c r="C188" s="0" t="s">
        <v>120</v>
      </c>
      <c r="D188" s="0" t="s">
        <v>77</v>
      </c>
      <c r="F188" s="0" t="s">
        <v>88</v>
      </c>
      <c r="I188" s="0" t="str">
        <f aca="false">IF(OR(E188="",G188=""),"",IF(E188&gt;G188,D188,IF(G188&gt;E188,F188,"TIE")))</f>
        <v/>
      </c>
      <c r="J188" s="0" t="str">
        <f aca="false">IF(OR(E188="",G188="",H188=""),"",IF(E188+H188&gt;G188,D188,IF(E188+H188&lt;G188,F188,"PUSH")))</f>
        <v/>
      </c>
    </row>
    <row r="189" customFormat="false" ht="15" hidden="false" customHeight="true" outlineLevel="0" collapsed="false">
      <c r="A189" s="0" t="n">
        <v>11</v>
      </c>
      <c r="B189" s="0" t="s">
        <v>154</v>
      </c>
      <c r="C189" s="0" t="s">
        <v>120</v>
      </c>
      <c r="D189" s="0" t="s">
        <v>72</v>
      </c>
      <c r="F189" s="0" t="s">
        <v>86</v>
      </c>
      <c r="I189" s="0" t="str">
        <f aca="false">IF(OR(E189="",G189=""),"",IF(E189&gt;G189,D189,IF(G189&gt;E189,F189,"TIE")))</f>
        <v/>
      </c>
      <c r="J189" s="0" t="str">
        <f aca="false">IF(OR(E189="",G189="",H189=""),"",IF(E189+H189&gt;G189,D189,IF(E189+H189&lt;G189,F189,"PUSH")))</f>
        <v/>
      </c>
    </row>
    <row r="190" customFormat="false" ht="15" hidden="false" customHeight="true" outlineLevel="0" collapsed="false">
      <c r="A190" s="0" t="n">
        <v>11</v>
      </c>
      <c r="B190" s="0" t="s">
        <v>154</v>
      </c>
      <c r="C190" s="0" t="s">
        <v>120</v>
      </c>
      <c r="D190" s="0" t="s">
        <v>69</v>
      </c>
      <c r="F190" s="0" t="s">
        <v>62</v>
      </c>
      <c r="I190" s="0" t="str">
        <f aca="false">IF(OR(E190="",G190=""),"",IF(E190&gt;G190,D190,IF(G190&gt;E190,F190,"TIE")))</f>
        <v/>
      </c>
      <c r="J190" s="0" t="str">
        <f aca="false">IF(OR(E190="",G190="",H190=""),"",IF(E190+H190&gt;G190,D190,IF(E190+H190&lt;G190,F190,"PUSH")))</f>
        <v/>
      </c>
    </row>
    <row r="191" customFormat="false" ht="15" hidden="false" customHeight="true" outlineLevel="0" collapsed="false">
      <c r="A191" s="0" t="n">
        <v>11</v>
      </c>
      <c r="B191" s="0" t="s">
        <v>154</v>
      </c>
      <c r="C191" s="0" t="s">
        <v>126</v>
      </c>
      <c r="D191" s="0" t="s">
        <v>75</v>
      </c>
      <c r="F191" s="0" t="s">
        <v>78</v>
      </c>
      <c r="I191" s="0" t="str">
        <f aca="false">IF(OR(E191="",G191=""),"",IF(E191&gt;G191,D191,IF(G191&gt;E191,F191,"TIE")))</f>
        <v/>
      </c>
      <c r="J191" s="0" t="str">
        <f aca="false">IF(OR(E191="",G191="",H191=""),"",IF(E191+H191&gt;G191,D191,IF(E191+H191&lt;G191,F191,"PUSH")))</f>
        <v/>
      </c>
    </row>
    <row r="192" customFormat="false" ht="15" hidden="false" customHeight="true" outlineLevel="0" collapsed="false">
      <c r="A192" s="0" t="n">
        <v>11</v>
      </c>
      <c r="B192" s="0" t="s">
        <v>154</v>
      </c>
      <c r="C192" s="0" t="s">
        <v>121</v>
      </c>
      <c r="D192" s="0" t="s">
        <v>80</v>
      </c>
      <c r="F192" s="0" t="s">
        <v>87</v>
      </c>
      <c r="I192" s="0" t="str">
        <f aca="false">IF(OR(E192="",G192=""),"",IF(E192&gt;G192,D192,IF(G192&gt;E192,F192,"TIE")))</f>
        <v/>
      </c>
      <c r="J192" s="0" t="str">
        <f aca="false">IF(OR(E192="",G192="",H192=""),"",IF(E192+H192&gt;G192,D192,IF(E192+H192&lt;G192,F192,"PUSH")))</f>
        <v/>
      </c>
    </row>
    <row r="193" customFormat="false" ht="15" hidden="false" customHeight="true" outlineLevel="0" collapsed="false">
      <c r="A193" s="0" t="n">
        <v>11</v>
      </c>
      <c r="B193" s="0" t="s">
        <v>154</v>
      </c>
      <c r="C193" s="0" t="s">
        <v>121</v>
      </c>
      <c r="D193" s="0" t="s">
        <v>74</v>
      </c>
      <c r="F193" s="0" t="s">
        <v>84</v>
      </c>
      <c r="I193" s="0" t="str">
        <f aca="false">IF(OR(E193="",G193=""),"",IF(E193&gt;G193,D193,IF(G193&gt;E193,F193,"TIE")))</f>
        <v/>
      </c>
      <c r="J193" s="0" t="str">
        <f aca="false">IF(OR(E193="",G193="",H193=""),"",IF(E193+H193&gt;G193,D193,IF(E193+H193&lt;G193,F193,"PUSH")))</f>
        <v/>
      </c>
    </row>
    <row r="194" customFormat="false" ht="15" hidden="false" customHeight="true" outlineLevel="0" collapsed="false">
      <c r="A194" s="0" t="n">
        <v>11</v>
      </c>
      <c r="B194" s="0" t="s">
        <v>154</v>
      </c>
      <c r="C194" s="0" t="s">
        <v>116</v>
      </c>
      <c r="D194" s="0" t="s">
        <v>82</v>
      </c>
      <c r="F194" s="0" t="s">
        <v>59</v>
      </c>
      <c r="I194" s="0" t="str">
        <f aca="false">IF(OR(E194="",G194=""),"",IF(E194&gt;G194,D194,IF(G194&gt;E194,F194,"TIE")))</f>
        <v/>
      </c>
      <c r="J194" s="0" t="str">
        <f aca="false">IF(OR(E194="",G194="",H194=""),"",IF(E194+H194&gt;G194,D194,IF(E194+H194&lt;G194,F194,"PUSH")))</f>
        <v/>
      </c>
    </row>
    <row r="195" customFormat="false" ht="15" hidden="false" customHeight="true" outlineLevel="0" collapsed="false">
      <c r="A195" s="0" t="n">
        <v>11</v>
      </c>
      <c r="B195" s="0" t="s">
        <v>155</v>
      </c>
      <c r="C195" s="0" t="s">
        <v>123</v>
      </c>
      <c r="D195" s="0" t="s">
        <v>64</v>
      </c>
      <c r="F195" s="0" t="s">
        <v>83</v>
      </c>
      <c r="I195" s="0" t="str">
        <f aca="false">IF(OR(E195="",G195=""),"",IF(E195&gt;G195,D195,IF(G195&gt;E195,F195,"TIE")))</f>
        <v/>
      </c>
      <c r="J195" s="0" t="str">
        <f aca="false">IF(OR(E195="",G195="",H195=""),"",IF(E195+H195&gt;G195,D195,IF(E195+H195&lt;G195,F195,"PUSH")))</f>
        <v/>
      </c>
    </row>
    <row r="196" customFormat="false" ht="15" hidden="false" customHeight="false" outlineLevel="0" collapsed="false">
      <c r="D196" s="20" t="s">
        <v>89</v>
      </c>
      <c r="E196" s="21" t="str">
        <f aca="false">IF(AND(E195&lt;&gt;"",G195&lt;&gt;""),E195+G195,"")</f>
        <v/>
      </c>
    </row>
    <row r="197" customFormat="false" ht="15" hidden="false" customHeight="true" outlineLevel="0" collapsed="false">
      <c r="A197" s="0" t="s">
        <v>100</v>
      </c>
    </row>
    <row r="198" customFormat="false" ht="15" hidden="false" customHeight="true" outlineLevel="0" collapsed="false">
      <c r="A198" s="0" t="s">
        <v>107</v>
      </c>
      <c r="B198" s="0" t="s">
        <v>108</v>
      </c>
      <c r="C198" s="0" t="s">
        <v>109</v>
      </c>
      <c r="D198" s="0" t="s">
        <v>53</v>
      </c>
      <c r="E198" s="0" t="s">
        <v>110</v>
      </c>
      <c r="F198" s="0" t="s">
        <v>55</v>
      </c>
      <c r="G198" s="0" t="s">
        <v>111</v>
      </c>
      <c r="H198" s="0" t="s">
        <v>112</v>
      </c>
      <c r="I198" s="0" t="s">
        <v>113</v>
      </c>
      <c r="J198" s="0" t="s">
        <v>114</v>
      </c>
    </row>
    <row r="199" customFormat="false" ht="15" hidden="false" customHeight="true" outlineLevel="0" collapsed="false">
      <c r="A199" s="0" t="n">
        <v>12</v>
      </c>
      <c r="B199" s="0" t="s">
        <v>156</v>
      </c>
      <c r="C199" s="0" t="s">
        <v>157</v>
      </c>
      <c r="D199" s="0" t="s">
        <v>81</v>
      </c>
      <c r="F199" s="0" t="s">
        <v>60</v>
      </c>
      <c r="I199" s="0" t="str">
        <f aca="false">IF(OR(E199="",G199=""),"",IF(E199&gt;G199,D199,IF(G199&gt;E199,F199,"TIE")))</f>
        <v/>
      </c>
      <c r="J199" s="0" t="str">
        <f aca="false">IF(OR(E199="",G199="",H199=""),"",IF(E199+H199&gt;G199,D199,IF(E199+H199&lt;G199,F199,"PUSH")))</f>
        <v/>
      </c>
    </row>
    <row r="200" customFormat="false" ht="15" hidden="false" customHeight="true" outlineLevel="0" collapsed="false">
      <c r="A200" s="0" t="n">
        <v>12</v>
      </c>
      <c r="B200" s="0" t="s">
        <v>158</v>
      </c>
      <c r="C200" s="0" t="s">
        <v>120</v>
      </c>
      <c r="D200" s="0" t="s">
        <v>61</v>
      </c>
      <c r="F200" s="0" t="s">
        <v>66</v>
      </c>
      <c r="I200" s="0" t="str">
        <f aca="false">IF(OR(E200="",G200=""),"",IF(E200&gt;G200,D200,IF(G200&gt;E200,F200,"TIE")))</f>
        <v/>
      </c>
      <c r="J200" s="0" t="str">
        <f aca="false">IF(OR(E200="",G200="",H200=""),"",IF(E200+H200&gt;G200,D200,IF(E200+H200&lt;G200,F200,"PUSH")))</f>
        <v/>
      </c>
    </row>
    <row r="201" customFormat="false" ht="15" hidden="false" customHeight="true" outlineLevel="0" collapsed="false">
      <c r="A201" s="0" t="n">
        <v>12</v>
      </c>
      <c r="B201" s="0" t="s">
        <v>158</v>
      </c>
      <c r="C201" s="0" t="s">
        <v>159</v>
      </c>
      <c r="D201" s="0" t="s">
        <v>84</v>
      </c>
      <c r="F201" s="0" t="s">
        <v>85</v>
      </c>
      <c r="I201" s="0" t="str">
        <f aca="false">IF(OR(E201="",G201=""),"",IF(E201&gt;G201,D201,IF(G201&gt;E201,F201,"TIE")))</f>
        <v/>
      </c>
      <c r="J201" s="0" t="str">
        <f aca="false">IF(OR(E201="",G201="",H201=""),"",IF(E201+H201&gt;G201,D201,IF(E201+H201&lt;G201,F201,"PUSH")))</f>
        <v/>
      </c>
    </row>
    <row r="202" customFormat="false" ht="15" hidden="false" customHeight="true" outlineLevel="0" collapsed="false">
      <c r="A202" s="0" t="n">
        <v>12</v>
      </c>
      <c r="B202" s="0" t="s">
        <v>158</v>
      </c>
      <c r="C202" s="0" t="s">
        <v>116</v>
      </c>
      <c r="D202" s="0" t="s">
        <v>88</v>
      </c>
      <c r="F202" s="0" t="s">
        <v>67</v>
      </c>
      <c r="I202" s="0" t="str">
        <f aca="false">IF(OR(E202="",G202=""),"",IF(E202&gt;G202,D202,IF(G202&gt;E202,F202,"TIE")))</f>
        <v/>
      </c>
      <c r="J202" s="0" t="str">
        <f aca="false">IF(OR(E202="",G202="",H202=""),"",IF(E202+H202&gt;G202,D202,IF(E202+H202&lt;G202,F202,"PUSH")))</f>
        <v/>
      </c>
    </row>
    <row r="203" customFormat="false" ht="15" hidden="false" customHeight="true" outlineLevel="0" collapsed="false">
      <c r="A203" s="0" t="n">
        <v>12</v>
      </c>
      <c r="B203" s="0" t="s">
        <v>160</v>
      </c>
      <c r="C203" s="0" t="s">
        <v>161</v>
      </c>
      <c r="D203" s="0" t="s">
        <v>87</v>
      </c>
      <c r="F203" s="0" t="s">
        <v>74</v>
      </c>
      <c r="I203" s="0" t="str">
        <f aca="false">IF(OR(E203="",G203=""),"",IF(E203&gt;G203,D203,IF(G203&gt;E203,F203,"TIE")))</f>
        <v/>
      </c>
      <c r="J203" s="0" t="str">
        <f aca="false">IF(OR(E203="",G203="",H203=""),"",IF(E203+H203&gt;G203,D203,IF(E203+H203&lt;G203,F203,"PUSH")))</f>
        <v/>
      </c>
    </row>
    <row r="204" customFormat="false" ht="15" hidden="false" customHeight="true" outlineLevel="0" collapsed="false">
      <c r="A204" s="0" t="n">
        <v>12</v>
      </c>
      <c r="B204" s="0" t="s">
        <v>162</v>
      </c>
      <c r="C204" s="0" t="s">
        <v>120</v>
      </c>
      <c r="D204" s="0" t="s">
        <v>65</v>
      </c>
      <c r="F204" s="0" t="s">
        <v>64</v>
      </c>
      <c r="I204" s="0" t="str">
        <f aca="false">IF(OR(E204="",G204=""),"",IF(E204&gt;G204,D204,IF(G204&gt;E204,F204,"TIE")))</f>
        <v/>
      </c>
      <c r="J204" s="0" t="str">
        <f aca="false">IF(OR(E204="",G204="",H204=""),"",IF(E204+H204&gt;G204,D204,IF(E204+H204&lt;G204,F204,"PUSH")))</f>
        <v/>
      </c>
    </row>
    <row r="205" customFormat="false" ht="15" hidden="false" customHeight="true" outlineLevel="0" collapsed="false">
      <c r="A205" s="0" t="n">
        <v>12</v>
      </c>
      <c r="B205" s="0" t="s">
        <v>162</v>
      </c>
      <c r="C205" s="0" t="s">
        <v>120</v>
      </c>
      <c r="D205" s="0" t="s">
        <v>80</v>
      </c>
      <c r="F205" s="0" t="s">
        <v>71</v>
      </c>
      <c r="I205" s="0" t="str">
        <f aca="false">IF(OR(E205="",G205=""),"",IF(E205&gt;G205,D205,IF(G205&gt;E205,F205,"TIE")))</f>
        <v/>
      </c>
      <c r="J205" s="0" t="str">
        <f aca="false">IF(OR(E205="",G205="",H205=""),"",IF(E205+H205&gt;G205,D205,IF(E205+H205&lt;G205,F205,"PUSH")))</f>
        <v/>
      </c>
    </row>
    <row r="206" customFormat="false" ht="15" hidden="false" customHeight="true" outlineLevel="0" collapsed="false">
      <c r="A206" s="0" t="n">
        <v>12</v>
      </c>
      <c r="B206" s="0" t="s">
        <v>162</v>
      </c>
      <c r="C206" s="0" t="s">
        <v>120</v>
      </c>
      <c r="D206" s="0" t="s">
        <v>86</v>
      </c>
      <c r="F206" s="0" t="s">
        <v>70</v>
      </c>
      <c r="I206" s="0" t="str">
        <f aca="false">IF(OR(E206="",G206=""),"",IF(E206&gt;G206,D206,IF(G206&gt;E206,F206,"TIE")))</f>
        <v/>
      </c>
      <c r="J206" s="0" t="str">
        <f aca="false">IF(OR(E206="",G206="",H206=""),"",IF(E206+H206&gt;G206,D206,IF(E206+H206&lt;G206,F206,"PUSH")))</f>
        <v/>
      </c>
    </row>
    <row r="207" customFormat="false" ht="15" hidden="false" customHeight="true" outlineLevel="0" collapsed="false">
      <c r="A207" s="0" t="n">
        <v>12</v>
      </c>
      <c r="B207" s="0" t="s">
        <v>162</v>
      </c>
      <c r="C207" s="0" t="s">
        <v>120</v>
      </c>
      <c r="D207" s="0" t="s">
        <v>75</v>
      </c>
      <c r="F207" s="0" t="s">
        <v>79</v>
      </c>
      <c r="I207" s="0" t="str">
        <f aca="false">IF(OR(E207="",G207=""),"",IF(E207&gt;G207,D207,IF(G207&gt;E207,F207,"TIE")))</f>
        <v/>
      </c>
      <c r="J207" s="0" t="str">
        <f aca="false">IF(OR(E207="",G207="",H207=""),"",IF(E207+H207&gt;G207,D207,IF(E207+H207&lt;G207,F207,"PUSH")))</f>
        <v/>
      </c>
    </row>
    <row r="208" customFormat="false" ht="15" hidden="false" customHeight="true" outlineLevel="0" collapsed="false">
      <c r="A208" s="0" t="n">
        <v>12</v>
      </c>
      <c r="B208" s="0" t="s">
        <v>162</v>
      </c>
      <c r="C208" s="0" t="s">
        <v>120</v>
      </c>
      <c r="D208" s="0" t="s">
        <v>73</v>
      </c>
      <c r="F208" s="0" t="s">
        <v>82</v>
      </c>
      <c r="I208" s="0" t="str">
        <f aca="false">IF(OR(E208="",G208=""),"",IF(E208&gt;G208,D208,IF(G208&gt;E208,F208,"TIE")))</f>
        <v/>
      </c>
      <c r="J208" s="0" t="str">
        <f aca="false">IF(OR(E208="",G208="",H208=""),"",IF(E208+H208&gt;G208,D208,IF(E208+H208&lt;G208,F208,"PUSH")))</f>
        <v/>
      </c>
    </row>
    <row r="209" customFormat="false" ht="15" hidden="false" customHeight="true" outlineLevel="0" collapsed="false">
      <c r="A209" s="0" t="n">
        <v>12</v>
      </c>
      <c r="B209" s="0" t="s">
        <v>162</v>
      </c>
      <c r="C209" s="0" t="s">
        <v>120</v>
      </c>
      <c r="D209" s="0" t="s">
        <v>69</v>
      </c>
      <c r="F209" s="0" t="s">
        <v>68</v>
      </c>
      <c r="I209" s="0" t="str">
        <f aca="false">IF(OR(E209="",G209=""),"",IF(E209&gt;G209,D209,IF(G209&gt;E209,F209,"TIE")))</f>
        <v/>
      </c>
      <c r="J209" s="0" t="str">
        <f aca="false">IF(OR(E209="",G209="",H209=""),"",IF(E209+H209&gt;G209,D209,IF(E209+H209&lt;G209,F209,"PUSH")))</f>
        <v/>
      </c>
    </row>
    <row r="210" customFormat="false" ht="15" hidden="false" customHeight="true" outlineLevel="0" collapsed="false">
      <c r="A210" s="0" t="n">
        <v>12</v>
      </c>
      <c r="B210" s="0" t="s">
        <v>162</v>
      </c>
      <c r="C210" s="0" t="s">
        <v>126</v>
      </c>
      <c r="D210" s="0" t="s">
        <v>76</v>
      </c>
      <c r="F210" s="0" t="s">
        <v>72</v>
      </c>
      <c r="I210" s="0" t="str">
        <f aca="false">IF(OR(E210="",G210=""),"",IF(E210&gt;G210,D210,IF(G210&gt;E210,F210,"TIE")))</f>
        <v/>
      </c>
      <c r="J210" s="0" t="str">
        <f aca="false">IF(OR(E210="",G210="",H210=""),"",IF(E210+H210&gt;G210,D210,IF(E210+H210&lt;G210,F210,"PUSH")))</f>
        <v/>
      </c>
    </row>
    <row r="211" customFormat="false" ht="15" hidden="false" customHeight="true" outlineLevel="0" collapsed="false">
      <c r="A211" s="0" t="n">
        <v>12</v>
      </c>
      <c r="B211" s="0" t="s">
        <v>162</v>
      </c>
      <c r="C211" s="0" t="s">
        <v>121</v>
      </c>
      <c r="D211" s="0" t="s">
        <v>83</v>
      </c>
      <c r="F211" s="0" t="s">
        <v>77</v>
      </c>
      <c r="I211" s="0" t="str">
        <f aca="false">IF(OR(E211="",G211=""),"",IF(E211&gt;G211,D211,IF(G211&gt;E211,F211,"TIE")))</f>
        <v/>
      </c>
      <c r="J211" s="0" t="str">
        <f aca="false">IF(OR(E211="",G211="",H211=""),"",IF(E211+H211&gt;G211,D211,IF(E211+H211&lt;G211,F211,"PUSH")))</f>
        <v/>
      </c>
    </row>
    <row r="212" customFormat="false" ht="15" hidden="false" customHeight="true" outlineLevel="0" collapsed="false">
      <c r="A212" s="0" t="n">
        <v>12</v>
      </c>
      <c r="B212" s="0" t="s">
        <v>162</v>
      </c>
      <c r="C212" s="0" t="s">
        <v>121</v>
      </c>
      <c r="D212" s="0" t="s">
        <v>58</v>
      </c>
      <c r="F212" s="0" t="s">
        <v>59</v>
      </c>
      <c r="I212" s="0" t="str">
        <f aca="false">IF(OR(E212="",G212=""),"",IF(E212&gt;G212,D212,IF(G212&gt;E212,F212,"TIE")))</f>
        <v/>
      </c>
      <c r="J212" s="0" t="str">
        <f aca="false">IF(OR(E212="",G212="",H212=""),"",IF(E212+H212&gt;G212,D212,IF(E212+H212&lt;G212,F212,"PUSH")))</f>
        <v/>
      </c>
    </row>
    <row r="213" customFormat="false" ht="15" hidden="false" customHeight="true" outlineLevel="0" collapsed="false">
      <c r="A213" s="0" t="n">
        <v>12</v>
      </c>
      <c r="B213" s="0" t="s">
        <v>162</v>
      </c>
      <c r="C213" s="0" t="s">
        <v>116</v>
      </c>
      <c r="D213" s="0" t="s">
        <v>57</v>
      </c>
      <c r="F213" s="0" t="s">
        <v>78</v>
      </c>
      <c r="I213" s="0" t="str">
        <f aca="false">IF(OR(E213="",G213=""),"",IF(E213&gt;G213,D213,IF(G213&gt;E213,F213,"TIE")))</f>
        <v/>
      </c>
      <c r="J213" s="0" t="str">
        <f aca="false">IF(OR(E213="",G213="",H213=""),"",IF(E213+H213&gt;G213,D213,IF(E213+H213&lt;G213,F213,"PUSH")))</f>
        <v/>
      </c>
    </row>
    <row r="214" customFormat="false" ht="15" hidden="false" customHeight="true" outlineLevel="0" collapsed="false">
      <c r="A214" s="0" t="n">
        <v>12</v>
      </c>
      <c r="B214" s="0" t="s">
        <v>163</v>
      </c>
      <c r="C214" s="0" t="s">
        <v>123</v>
      </c>
      <c r="D214" s="0" t="s">
        <v>62</v>
      </c>
      <c r="F214" s="0" t="s">
        <v>63</v>
      </c>
      <c r="I214" s="0" t="str">
        <f aca="false">IF(OR(E214="",G214=""),"",IF(E214&gt;G214,D214,IF(G214&gt;E214,F214,"TIE")))</f>
        <v/>
      </c>
      <c r="J214" s="0" t="str">
        <f aca="false">IF(OR(E214="",G214="",H214=""),"",IF(E214+H214&gt;G214,D214,IF(E214+H214&lt;G214,F214,"PUSH")))</f>
        <v/>
      </c>
    </row>
    <row r="215" customFormat="false" ht="15" hidden="false" customHeight="false" outlineLevel="0" collapsed="false">
      <c r="D215" s="20" t="s">
        <v>89</v>
      </c>
      <c r="E215" s="21" t="str">
        <f aca="false">IF(AND(E214&lt;&gt;"",G214&lt;&gt;""),E214+G214,"")</f>
        <v/>
      </c>
    </row>
    <row r="216" customFormat="false" ht="15" hidden="false" customHeight="true" outlineLevel="0" collapsed="false">
      <c r="A216" s="0" t="s">
        <v>101</v>
      </c>
    </row>
    <row r="217" customFormat="false" ht="15" hidden="false" customHeight="true" outlineLevel="0" collapsed="false">
      <c r="A217" s="0" t="s">
        <v>107</v>
      </c>
      <c r="B217" s="0" t="s">
        <v>108</v>
      </c>
      <c r="C217" s="0" t="s">
        <v>109</v>
      </c>
      <c r="D217" s="0" t="s">
        <v>53</v>
      </c>
      <c r="E217" s="0" t="s">
        <v>110</v>
      </c>
      <c r="F217" s="0" t="s">
        <v>55</v>
      </c>
      <c r="G217" s="0" t="s">
        <v>111</v>
      </c>
      <c r="H217" s="0" t="s">
        <v>112</v>
      </c>
      <c r="I217" s="0" t="s">
        <v>113</v>
      </c>
      <c r="J217" s="0" t="s">
        <v>114</v>
      </c>
    </row>
    <row r="218" customFormat="false" ht="15" hidden="false" customHeight="true" outlineLevel="0" collapsed="false">
      <c r="A218" s="0" t="n">
        <v>13</v>
      </c>
      <c r="B218" s="0" t="s">
        <v>164</v>
      </c>
      <c r="C218" s="0" t="s">
        <v>123</v>
      </c>
      <c r="D218" s="0" t="s">
        <v>88</v>
      </c>
      <c r="F218" s="0" t="s">
        <v>78</v>
      </c>
      <c r="I218" s="0" t="str">
        <f aca="false">IF(OR(E218="",G218=""),"",IF(E218&gt;G218,D218,IF(G218&gt;E218,F218,"TIE")))</f>
        <v/>
      </c>
      <c r="J218" s="0" t="str">
        <f aca="false">IF(OR(E218="",G218="",H218=""),"",IF(E218+H218&gt;G218,D218,IF(E218+H218&lt;G218,F218,"PUSH")))</f>
        <v/>
      </c>
    </row>
    <row r="219" customFormat="false" ht="15" hidden="false" customHeight="true" outlineLevel="0" collapsed="false">
      <c r="A219" s="0" t="n">
        <v>13</v>
      </c>
      <c r="B219" s="0" t="s">
        <v>165</v>
      </c>
      <c r="C219" s="0" t="s">
        <v>120</v>
      </c>
      <c r="D219" s="0" t="s">
        <v>66</v>
      </c>
      <c r="F219" s="0" t="s">
        <v>73</v>
      </c>
      <c r="I219" s="0" t="str">
        <f aca="false">IF(OR(E219="",G219=""),"",IF(E219&gt;G219,D219,IF(G219&gt;E219,F219,"TIE")))</f>
        <v/>
      </c>
      <c r="J219" s="0" t="str">
        <f aca="false">IF(OR(E219="",G219="",H219=""),"",IF(E219+H219&gt;G219,D219,IF(E219+H219&lt;G219,F219,"PUSH")))</f>
        <v/>
      </c>
    </row>
    <row r="220" customFormat="false" ht="15" hidden="false" customHeight="true" outlineLevel="0" collapsed="false">
      <c r="A220" s="0" t="n">
        <v>13</v>
      </c>
      <c r="B220" s="0" t="s">
        <v>165</v>
      </c>
      <c r="C220" s="0" t="s">
        <v>120</v>
      </c>
      <c r="D220" s="0" t="s">
        <v>72</v>
      </c>
      <c r="F220" s="0" t="s">
        <v>61</v>
      </c>
      <c r="I220" s="0" t="str">
        <f aca="false">IF(OR(E220="",G220=""),"",IF(E220&gt;G220,D220,IF(G220&gt;E220,F220,"TIE")))</f>
        <v/>
      </c>
      <c r="J220" s="0" t="str">
        <f aca="false">IF(OR(E220="",G220="",H220=""),"",IF(E220+H220&gt;G220,D220,IF(E220+H220&lt;G220,F220,"PUSH")))</f>
        <v/>
      </c>
    </row>
    <row r="221" customFormat="false" ht="15" hidden="false" customHeight="true" outlineLevel="0" collapsed="false">
      <c r="A221" s="0" t="n">
        <v>13</v>
      </c>
      <c r="B221" s="0" t="s">
        <v>165</v>
      </c>
      <c r="C221" s="0" t="s">
        <v>120</v>
      </c>
      <c r="D221" s="0" t="s">
        <v>64</v>
      </c>
      <c r="F221" s="0" t="s">
        <v>71</v>
      </c>
      <c r="I221" s="0" t="str">
        <f aca="false">IF(OR(E221="",G221=""),"",IF(E221&gt;G221,D221,IF(G221&gt;E221,F221,"TIE")))</f>
        <v/>
      </c>
      <c r="J221" s="0" t="str">
        <f aca="false">IF(OR(E221="",G221="",H221=""),"",IF(E221+H221&gt;G221,D221,IF(E221+H221&lt;G221,F221,"PUSH")))</f>
        <v/>
      </c>
    </row>
    <row r="222" customFormat="false" ht="15" hidden="false" customHeight="true" outlineLevel="0" collapsed="false">
      <c r="A222" s="0" t="n">
        <v>13</v>
      </c>
      <c r="B222" s="0" t="s">
        <v>165</v>
      </c>
      <c r="C222" s="0" t="s">
        <v>120</v>
      </c>
      <c r="D222" s="0" t="s">
        <v>83</v>
      </c>
      <c r="F222" s="0" t="s">
        <v>76</v>
      </c>
      <c r="I222" s="0" t="str">
        <f aca="false">IF(OR(E222="",G222=""),"",IF(E222&gt;G222,D222,IF(G222&gt;E222,F222,"TIE")))</f>
        <v/>
      </c>
      <c r="J222" s="0" t="str">
        <f aca="false">IF(OR(E222="",G222="",H222=""),"",IF(E222+H222&gt;G222,D222,IF(E222+H222&lt;G222,F222,"PUSH")))</f>
        <v/>
      </c>
    </row>
    <row r="223" customFormat="false" ht="15" hidden="false" customHeight="true" outlineLevel="0" collapsed="false">
      <c r="A223" s="0" t="n">
        <v>13</v>
      </c>
      <c r="B223" s="0" t="s">
        <v>165</v>
      </c>
      <c r="C223" s="0" t="s">
        <v>120</v>
      </c>
      <c r="D223" s="0" t="s">
        <v>81</v>
      </c>
      <c r="F223" s="0" t="s">
        <v>65</v>
      </c>
      <c r="I223" s="0" t="str">
        <f aca="false">IF(OR(E223="",G223=""),"",IF(E223&gt;G223,D223,IF(G223&gt;E223,F223,"TIE")))</f>
        <v/>
      </c>
      <c r="J223" s="0" t="str">
        <f aca="false">IF(OR(E223="",G223="",H223=""),"",IF(E223+H223&gt;G223,D223,IF(E223+H223&lt;G223,F223,"PUSH")))</f>
        <v/>
      </c>
    </row>
    <row r="224" customFormat="false" ht="15" hidden="false" customHeight="true" outlineLevel="0" collapsed="false">
      <c r="A224" s="0" t="n">
        <v>13</v>
      </c>
      <c r="B224" s="0" t="s">
        <v>165</v>
      </c>
      <c r="C224" s="0" t="s">
        <v>120</v>
      </c>
      <c r="D224" s="0" t="s">
        <v>59</v>
      </c>
      <c r="F224" s="0" t="s">
        <v>86</v>
      </c>
      <c r="I224" s="0" t="str">
        <f aca="false">IF(OR(E224="",G224=""),"",IF(E224&gt;G224,D224,IF(G224&gt;E224,F224,"TIE")))</f>
        <v/>
      </c>
      <c r="J224" s="0" t="str">
        <f aca="false">IF(OR(E224="",G224="",H224=""),"",IF(E224+H224&gt;G224,D224,IF(E224+H224&lt;G224,F224,"PUSH")))</f>
        <v/>
      </c>
    </row>
    <row r="225" customFormat="false" ht="15" hidden="false" customHeight="true" outlineLevel="0" collapsed="false">
      <c r="A225" s="0" t="n">
        <v>13</v>
      </c>
      <c r="B225" s="0" t="s">
        <v>165</v>
      </c>
      <c r="C225" s="0" t="s">
        <v>120</v>
      </c>
      <c r="D225" s="0" t="s">
        <v>60</v>
      </c>
      <c r="F225" s="0" t="s">
        <v>63</v>
      </c>
      <c r="I225" s="0" t="str">
        <f aca="false">IF(OR(E225="",G225=""),"",IF(E225&gt;G225,D225,IF(G225&gt;E225,F225,"TIE")))</f>
        <v/>
      </c>
      <c r="J225" s="0" t="str">
        <f aca="false">IF(OR(E225="",G225="",H225=""),"",IF(E225+H225&gt;G225,D225,IF(E225+H225&lt;G225,F225,"PUSH")))</f>
        <v/>
      </c>
    </row>
    <row r="226" customFormat="false" ht="15" hidden="false" customHeight="true" outlineLevel="0" collapsed="false">
      <c r="A226" s="0" t="n">
        <v>13</v>
      </c>
      <c r="B226" s="0" t="s">
        <v>165</v>
      </c>
      <c r="C226" s="0" t="s">
        <v>126</v>
      </c>
      <c r="D226" s="0" t="s">
        <v>79</v>
      </c>
      <c r="F226" s="0" t="s">
        <v>87</v>
      </c>
      <c r="I226" s="0" t="str">
        <f aca="false">IF(OR(E226="",G226=""),"",IF(E226&gt;G226,D226,IF(G226&gt;E226,F226,"TIE")))</f>
        <v/>
      </c>
      <c r="J226" s="0" t="str">
        <f aca="false">IF(OR(E226="",G226="",H226=""),"",IF(E226+H226&gt;G226,D226,IF(E226+H226&lt;G226,F226,"PUSH")))</f>
        <v/>
      </c>
    </row>
    <row r="227" customFormat="false" ht="15" hidden="false" customHeight="true" outlineLevel="0" collapsed="false">
      <c r="A227" s="0" t="n">
        <v>13</v>
      </c>
      <c r="B227" s="0" t="s">
        <v>165</v>
      </c>
      <c r="C227" s="0" t="s">
        <v>126</v>
      </c>
      <c r="D227" s="0" t="s">
        <v>84</v>
      </c>
      <c r="F227" s="0" t="s">
        <v>77</v>
      </c>
      <c r="I227" s="0" t="str">
        <f aca="false">IF(OR(E227="",G227=""),"",IF(E227&gt;G227,D227,IF(G227&gt;E227,F227,"TIE")))</f>
        <v/>
      </c>
      <c r="J227" s="0" t="str">
        <f aca="false">IF(OR(E227="",G227="",H227=""),"",IF(E227+H227&gt;G227,D227,IF(E227+H227&lt;G227,F227,"PUSH")))</f>
        <v/>
      </c>
    </row>
    <row r="228" customFormat="false" ht="15" hidden="false" customHeight="true" outlineLevel="0" collapsed="false">
      <c r="A228" s="0" t="n">
        <v>13</v>
      </c>
      <c r="B228" s="0" t="s">
        <v>165</v>
      </c>
      <c r="C228" s="0" t="s">
        <v>121</v>
      </c>
      <c r="D228" s="0" t="s">
        <v>62</v>
      </c>
      <c r="F228" s="0" t="s">
        <v>82</v>
      </c>
      <c r="I228" s="0" t="str">
        <f aca="false">IF(OR(E228="",G228=""),"",IF(E228&gt;G228,D228,IF(G228&gt;E228,F228,"TIE")))</f>
        <v/>
      </c>
      <c r="J228" s="0" t="str">
        <f aca="false">IF(OR(E228="",G228="",H228=""),"",IF(E228+H228&gt;G228,D228,IF(E228+H228&lt;G228,F228,"PUSH")))</f>
        <v/>
      </c>
    </row>
    <row r="229" customFormat="false" ht="15" hidden="false" customHeight="true" outlineLevel="0" collapsed="false">
      <c r="A229" s="0" t="n">
        <v>13</v>
      </c>
      <c r="B229" s="0" t="s">
        <v>165</v>
      </c>
      <c r="C229" s="0" t="s">
        <v>121</v>
      </c>
      <c r="D229" s="0" t="s">
        <v>67</v>
      </c>
      <c r="F229" s="0" t="s">
        <v>57</v>
      </c>
      <c r="I229" s="0" t="str">
        <f aca="false">IF(OR(E229="",G229=""),"",IF(E229&gt;G229,D229,IF(G229&gt;E229,F229,"TIE")))</f>
        <v/>
      </c>
      <c r="J229" s="0" t="str">
        <f aca="false">IF(OR(E229="",G229="",H229=""),"",IF(E229+H229&gt;G229,D229,IF(E229+H229&lt;G229,F229,"PUSH")))</f>
        <v/>
      </c>
    </row>
    <row r="230" customFormat="false" ht="15" hidden="false" customHeight="true" outlineLevel="0" collapsed="false">
      <c r="A230" s="0" t="n">
        <v>13</v>
      </c>
      <c r="B230" s="0" t="s">
        <v>165</v>
      </c>
      <c r="C230" s="0" t="s">
        <v>116</v>
      </c>
      <c r="D230" s="0" t="s">
        <v>68</v>
      </c>
      <c r="F230" s="0" t="s">
        <v>74</v>
      </c>
      <c r="I230" s="0" t="str">
        <f aca="false">IF(OR(E230="",G230=""),"",IF(E230&gt;G230,D230,IF(G230&gt;E230,F230,"TIE")))</f>
        <v/>
      </c>
      <c r="J230" s="0" t="str">
        <f aca="false">IF(OR(E230="",G230="",H230=""),"",IF(E230+H230&gt;G230,D230,IF(E230+H230&lt;G230,F230,"PUSH")))</f>
        <v/>
      </c>
    </row>
    <row r="231" customFormat="false" ht="15" hidden="false" customHeight="true" outlineLevel="0" collapsed="false">
      <c r="A231" s="0" t="n">
        <v>13</v>
      </c>
      <c r="B231" s="0" t="s">
        <v>166</v>
      </c>
      <c r="C231" s="0" t="s">
        <v>123</v>
      </c>
      <c r="D231" s="0" t="s">
        <v>85</v>
      </c>
      <c r="F231" s="0" t="s">
        <v>58</v>
      </c>
      <c r="I231" s="0" t="str">
        <f aca="false">IF(OR(E231="",G231=""),"",IF(E231&gt;G231,D231,IF(G231&gt;E231,F231,"TIE")))</f>
        <v/>
      </c>
      <c r="J231" s="0" t="str">
        <f aca="false">IF(OR(E231="",G231="",H231=""),"",IF(E231+H231&gt;G231,D231,IF(E231+H231&lt;G231,F231,"PUSH")))</f>
        <v/>
      </c>
    </row>
    <row r="232" customFormat="false" ht="15" hidden="false" customHeight="false" outlineLevel="0" collapsed="false">
      <c r="D232" s="20" t="s">
        <v>89</v>
      </c>
      <c r="E232" s="21" t="str">
        <f aca="false">IF(AND(E231&lt;&gt;"",G231&lt;&gt;""),E231+G231,"")</f>
        <v/>
      </c>
    </row>
    <row r="233" customFormat="false" ht="15" hidden="false" customHeight="true" outlineLevel="0" collapsed="false">
      <c r="A233" s="0" t="s">
        <v>102</v>
      </c>
    </row>
    <row r="234" customFormat="false" ht="15" hidden="false" customHeight="true" outlineLevel="0" collapsed="false">
      <c r="A234" s="0" t="s">
        <v>107</v>
      </c>
      <c r="B234" s="0" t="s">
        <v>108</v>
      </c>
      <c r="C234" s="0" t="s">
        <v>109</v>
      </c>
      <c r="D234" s="0" t="s">
        <v>53</v>
      </c>
      <c r="E234" s="0" t="s">
        <v>110</v>
      </c>
      <c r="F234" s="0" t="s">
        <v>55</v>
      </c>
      <c r="G234" s="0" t="s">
        <v>111</v>
      </c>
      <c r="H234" s="0" t="s">
        <v>112</v>
      </c>
      <c r="I234" s="0" t="s">
        <v>113</v>
      </c>
      <c r="J234" s="0" t="s">
        <v>114</v>
      </c>
    </row>
    <row r="235" customFormat="false" ht="15" hidden="false" customHeight="true" outlineLevel="0" collapsed="false">
      <c r="A235" s="0" t="n">
        <v>14</v>
      </c>
      <c r="B235" s="0" t="s">
        <v>167</v>
      </c>
      <c r="C235" s="0" t="s">
        <v>123</v>
      </c>
      <c r="D235" s="0" t="s">
        <v>82</v>
      </c>
      <c r="F235" s="0" t="s">
        <v>57</v>
      </c>
      <c r="I235" s="0" t="str">
        <f aca="false">IF(OR(E235="",G235=""),"",IF(E235&gt;G235,D235,IF(G235&gt;E235,F235,"TIE")))</f>
        <v/>
      </c>
      <c r="J235" s="0" t="str">
        <f aca="false">IF(OR(E235="",G235="",H235=""),"",IF(E235+H235&gt;G235,D235,IF(E235+H235&lt;G235,F235,"PUSH")))</f>
        <v/>
      </c>
    </row>
    <row r="236" customFormat="false" ht="15" hidden="false" customHeight="true" outlineLevel="0" collapsed="false">
      <c r="A236" s="0" t="n">
        <v>14</v>
      </c>
      <c r="B236" s="0" t="s">
        <v>168</v>
      </c>
      <c r="C236" s="0" t="s">
        <v>120</v>
      </c>
      <c r="D236" s="0" t="s">
        <v>73</v>
      </c>
      <c r="F236" s="0" t="s">
        <v>71</v>
      </c>
      <c r="I236" s="0" t="str">
        <f aca="false">IF(OR(E236="",G236=""),"",IF(E236&gt;G236,D236,IF(G236&gt;E236,F236,"TIE")))</f>
        <v/>
      </c>
      <c r="J236" s="0" t="str">
        <f aca="false">IF(OR(E236="",G236="",H236=""),"",IF(E236+H236&gt;G236,D236,IF(E236+H236&lt;G236,F236,"PUSH")))</f>
        <v/>
      </c>
    </row>
    <row r="237" customFormat="false" ht="15" hidden="false" customHeight="true" outlineLevel="0" collapsed="false">
      <c r="A237" s="0" t="n">
        <v>14</v>
      </c>
      <c r="B237" s="0" t="s">
        <v>168</v>
      </c>
      <c r="C237" s="0" t="s">
        <v>120</v>
      </c>
      <c r="D237" s="0" t="s">
        <v>76</v>
      </c>
      <c r="F237" s="0" t="s">
        <v>66</v>
      </c>
      <c r="I237" s="0" t="str">
        <f aca="false">IF(OR(E237="",G237=""),"",IF(E237&gt;G237,D237,IF(G237&gt;E237,F237,"TIE")))</f>
        <v/>
      </c>
      <c r="J237" s="0" t="str">
        <f aca="false">IF(OR(E237="",G237="",H237=""),"",IF(E237+H237&gt;G237,D237,IF(E237+H237&lt;G237,F237,"PUSH")))</f>
        <v/>
      </c>
    </row>
    <row r="238" customFormat="false" ht="15" hidden="false" customHeight="true" outlineLevel="0" collapsed="false">
      <c r="A238" s="0" t="n">
        <v>14</v>
      </c>
      <c r="B238" s="0" t="s">
        <v>168</v>
      </c>
      <c r="C238" s="0" t="s">
        <v>120</v>
      </c>
      <c r="D238" s="0" t="s">
        <v>61</v>
      </c>
      <c r="F238" s="0" t="s">
        <v>79</v>
      </c>
      <c r="I238" s="0" t="str">
        <f aca="false">IF(OR(E238="",G238=""),"",IF(E238&gt;G238,D238,IF(G238&gt;E238,F238,"TIE")))</f>
        <v/>
      </c>
      <c r="J238" s="0" t="str">
        <f aca="false">IF(OR(E238="",G238="",H238=""),"",IF(E238+H238&gt;G238,D238,IF(E238+H238&lt;G238,F238,"PUSH")))</f>
        <v/>
      </c>
    </row>
    <row r="239" customFormat="false" ht="15" hidden="false" customHeight="true" outlineLevel="0" collapsed="false">
      <c r="A239" s="0" t="n">
        <v>14</v>
      </c>
      <c r="B239" s="0" t="s">
        <v>168</v>
      </c>
      <c r="C239" s="0" t="s">
        <v>120</v>
      </c>
      <c r="D239" s="0" t="s">
        <v>87</v>
      </c>
      <c r="F239" s="0" t="s">
        <v>75</v>
      </c>
      <c r="I239" s="0" t="str">
        <f aca="false">IF(OR(E239="",G239=""),"",IF(E239&gt;G239,D239,IF(G239&gt;E239,F239,"TIE")))</f>
        <v/>
      </c>
      <c r="J239" s="0" t="str">
        <f aca="false">IF(OR(E239="",G239="",H239=""),"",IF(E239+H239&gt;G239,D239,IF(E239+H239&lt;G239,F239,"PUSH")))</f>
        <v/>
      </c>
    </row>
    <row r="240" customFormat="false" ht="15" hidden="false" customHeight="true" outlineLevel="0" collapsed="false">
      <c r="A240" s="0" t="n">
        <v>14</v>
      </c>
      <c r="B240" s="0" t="s">
        <v>168</v>
      </c>
      <c r="C240" s="0" t="s">
        <v>120</v>
      </c>
      <c r="D240" s="0" t="s">
        <v>70</v>
      </c>
      <c r="F240" s="0" t="s">
        <v>84</v>
      </c>
      <c r="I240" s="0" t="str">
        <f aca="false">IF(OR(E240="",G240=""),"",IF(E240&gt;G240,D240,IF(G240&gt;E240,F240,"TIE")))</f>
        <v/>
      </c>
      <c r="J240" s="0" t="str">
        <f aca="false">IF(OR(E240="",G240="",H240=""),"",IF(E240+H240&gt;G240,D240,IF(E240+H240&lt;G240,F240,"PUSH")))</f>
        <v/>
      </c>
    </row>
    <row r="241" customFormat="false" ht="15" hidden="false" customHeight="true" outlineLevel="0" collapsed="false">
      <c r="A241" s="0" t="n">
        <v>14</v>
      </c>
      <c r="B241" s="0" t="s">
        <v>168</v>
      </c>
      <c r="C241" s="0" t="s">
        <v>120</v>
      </c>
      <c r="D241" s="0" t="s">
        <v>68</v>
      </c>
      <c r="F241" s="0" t="s">
        <v>83</v>
      </c>
      <c r="I241" s="0" t="str">
        <f aca="false">IF(OR(E241="",G241=""),"",IF(E241&gt;G241,D241,IF(G241&gt;E241,F241,"TIE")))</f>
        <v/>
      </c>
      <c r="J241" s="0" t="str">
        <f aca="false">IF(OR(E241="",G241="",H241=""),"",IF(E241+H241&gt;G241,D241,IF(E241+H241&lt;G241,F241,"PUSH")))</f>
        <v/>
      </c>
    </row>
    <row r="242" customFormat="false" ht="15" hidden="false" customHeight="true" outlineLevel="0" collapsed="false">
      <c r="A242" s="0" t="n">
        <v>14</v>
      </c>
      <c r="B242" s="0" t="s">
        <v>168</v>
      </c>
      <c r="C242" s="0" t="s">
        <v>120</v>
      </c>
      <c r="D242" s="0" t="s">
        <v>65</v>
      </c>
      <c r="F242" s="0" t="s">
        <v>62</v>
      </c>
      <c r="I242" s="0" t="str">
        <f aca="false">IF(OR(E242="",G242=""),"",IF(E242&gt;G242,D242,IF(G242&gt;E242,F242,"TIE")))</f>
        <v/>
      </c>
      <c r="J242" s="0" t="str">
        <f aca="false">IF(OR(E242="",G242="",H242=""),"",IF(E242+H242&gt;G242,D242,IF(E242+H242&lt;G242,F242,"PUSH")))</f>
        <v/>
      </c>
    </row>
    <row r="243" customFormat="false" ht="15" hidden="false" customHeight="true" outlineLevel="0" collapsed="false">
      <c r="A243" s="0" t="n">
        <v>14</v>
      </c>
      <c r="B243" s="0" t="s">
        <v>168</v>
      </c>
      <c r="C243" s="0" t="s">
        <v>120</v>
      </c>
      <c r="D243" s="0" t="s">
        <v>63</v>
      </c>
      <c r="F243" s="0" t="s">
        <v>69</v>
      </c>
      <c r="I243" s="0" t="str">
        <f aca="false">IF(OR(E243="",G243=""),"",IF(E243&gt;G243,D243,IF(G243&gt;E243,F243,"TIE")))</f>
        <v/>
      </c>
      <c r="J243" s="0" t="str">
        <f aca="false">IF(OR(E243="",G243="",H243=""),"",IF(E243+H243&gt;G243,D243,IF(E243+H243&lt;G243,F243,"PUSH")))</f>
        <v/>
      </c>
    </row>
    <row r="244" customFormat="false" ht="15" hidden="false" customHeight="true" outlineLevel="0" collapsed="false">
      <c r="A244" s="0" t="n">
        <v>14</v>
      </c>
      <c r="B244" s="0" t="s">
        <v>168</v>
      </c>
      <c r="C244" s="0" t="s">
        <v>126</v>
      </c>
      <c r="D244" s="0" t="s">
        <v>78</v>
      </c>
      <c r="F244" s="0" t="s">
        <v>80</v>
      </c>
      <c r="I244" s="0" t="str">
        <f aca="false">IF(OR(E244="",G244=""),"",IF(E244&gt;G244,D244,IF(G244&gt;E244,F244,"TIE")))</f>
        <v/>
      </c>
      <c r="J244" s="0" t="str">
        <f aca="false">IF(OR(E244="",G244="",H244=""),"",IF(E244+H244&gt;G244,D244,IF(E244+H244&lt;G244,F244,"PUSH")))</f>
        <v/>
      </c>
    </row>
    <row r="245" customFormat="false" ht="15" hidden="false" customHeight="true" outlineLevel="0" collapsed="false">
      <c r="A245" s="0" t="n">
        <v>14</v>
      </c>
      <c r="B245" s="0" t="s">
        <v>168</v>
      </c>
      <c r="C245" s="0" t="s">
        <v>121</v>
      </c>
      <c r="D245" s="0" t="s">
        <v>88</v>
      </c>
      <c r="F245" s="0" t="s">
        <v>64</v>
      </c>
      <c r="I245" s="0" t="str">
        <f aca="false">IF(OR(E245="",G245=""),"",IF(E245&gt;G245,D245,IF(G245&gt;E245,F245,"TIE")))</f>
        <v/>
      </c>
      <c r="J245" s="0" t="str">
        <f aca="false">IF(OR(E245="",G245="",H245=""),"",IF(E245+H245&gt;G245,D245,IF(E245+H245&lt;G245,F245,"PUSH")))</f>
        <v/>
      </c>
    </row>
    <row r="246" customFormat="false" ht="15" hidden="false" customHeight="true" outlineLevel="0" collapsed="false">
      <c r="A246" s="0" t="n">
        <v>14</v>
      </c>
      <c r="B246" s="0" t="s">
        <v>168</v>
      </c>
      <c r="C246" s="0" t="s">
        <v>121</v>
      </c>
      <c r="D246" s="0" t="s">
        <v>60</v>
      </c>
      <c r="F246" s="0" t="s">
        <v>59</v>
      </c>
      <c r="I246" s="0" t="str">
        <f aca="false">IF(OR(E246="",G246=""),"",IF(E246&gt;G246,D246,IF(G246&gt;E246,F246,"TIE")))</f>
        <v/>
      </c>
      <c r="J246" s="0" t="str">
        <f aca="false">IF(OR(E246="",G246="",H246=""),"",IF(E246+H246&gt;G246,D246,IF(E246+H246&lt;G246,F246,"PUSH")))</f>
        <v/>
      </c>
    </row>
    <row r="247" customFormat="false" ht="15" hidden="false" customHeight="true" outlineLevel="0" collapsed="false">
      <c r="A247" s="0" t="n">
        <v>14</v>
      </c>
      <c r="B247" s="0" t="s">
        <v>168</v>
      </c>
      <c r="C247" s="0" t="s">
        <v>121</v>
      </c>
      <c r="D247" s="0" t="s">
        <v>86</v>
      </c>
      <c r="F247" s="0" t="s">
        <v>58</v>
      </c>
      <c r="I247" s="0" t="str">
        <f aca="false">IF(OR(E247="",G247=""),"",IF(E247&gt;G247,D247,IF(G247&gt;E247,F247,"TIE")))</f>
        <v/>
      </c>
      <c r="J247" s="0" t="str">
        <f aca="false">IF(OR(E247="",G247="",H247=""),"",IF(E247+H247&gt;G247,D247,IF(E247+H247&lt;G247,F247,"PUSH")))</f>
        <v/>
      </c>
    </row>
    <row r="248" customFormat="false" ht="15" hidden="false" customHeight="true" outlineLevel="0" collapsed="false">
      <c r="A248" s="0" t="n">
        <v>14</v>
      </c>
      <c r="B248" s="0" t="s">
        <v>168</v>
      </c>
      <c r="C248" s="0" t="s">
        <v>116</v>
      </c>
      <c r="D248" s="0" t="s">
        <v>67</v>
      </c>
      <c r="F248" s="0" t="s">
        <v>81</v>
      </c>
      <c r="I248" s="0" t="str">
        <f aca="false">IF(OR(E248="",G248=""),"",IF(E248&gt;G248,D248,IF(G248&gt;E248,F248,"TIE")))</f>
        <v/>
      </c>
      <c r="J248" s="0" t="str">
        <f aca="false">IF(OR(E248="",G248="",H248=""),"",IF(E248+H248&gt;G248,D248,IF(E248+H248&lt;G248,F248,"PUSH")))</f>
        <v/>
      </c>
    </row>
    <row r="249" customFormat="false" ht="15" hidden="false" customHeight="true" outlineLevel="0" collapsed="false">
      <c r="A249" s="0" t="n">
        <v>14</v>
      </c>
      <c r="B249" s="0" t="s">
        <v>169</v>
      </c>
      <c r="C249" s="0" t="s">
        <v>123</v>
      </c>
      <c r="D249" s="0" t="s">
        <v>74</v>
      </c>
      <c r="F249" s="0" t="s">
        <v>72</v>
      </c>
      <c r="I249" s="0" t="str">
        <f aca="false">IF(OR(E249="",G249=""),"",IF(E249&gt;G249,D249,IF(G249&gt;E249,F249,"TIE")))</f>
        <v/>
      </c>
      <c r="J249" s="0" t="str">
        <f aca="false">IF(OR(E249="",G249="",H249=""),"",IF(E249+H249&gt;G249,D249,IF(E249+H249&lt;G249,F249,"PUSH")))</f>
        <v/>
      </c>
    </row>
    <row r="250" customFormat="false" ht="15" hidden="false" customHeight="false" outlineLevel="0" collapsed="false">
      <c r="D250" s="20" t="s">
        <v>89</v>
      </c>
      <c r="E250" s="21" t="str">
        <f aca="false">IF(AND(E249&lt;&gt;"",G249&lt;&gt;""),E249+G249,"")</f>
        <v/>
      </c>
    </row>
    <row r="251" customFormat="false" ht="15" hidden="false" customHeight="true" outlineLevel="0" collapsed="false">
      <c r="A251" s="0" t="s">
        <v>103</v>
      </c>
    </row>
    <row r="252" customFormat="false" ht="15" hidden="false" customHeight="true" outlineLevel="0" collapsed="false">
      <c r="A252" s="0" t="s">
        <v>107</v>
      </c>
      <c r="B252" s="0" t="s">
        <v>108</v>
      </c>
      <c r="C252" s="0" t="s">
        <v>109</v>
      </c>
      <c r="D252" s="0" t="s">
        <v>53</v>
      </c>
      <c r="E252" s="0" t="s">
        <v>110</v>
      </c>
      <c r="F252" s="0" t="s">
        <v>55</v>
      </c>
      <c r="G252" s="0" t="s">
        <v>111</v>
      </c>
      <c r="H252" s="0" t="s">
        <v>112</v>
      </c>
      <c r="I252" s="0" t="s">
        <v>113</v>
      </c>
      <c r="J252" s="0" t="s">
        <v>114</v>
      </c>
    </row>
    <row r="253" customFormat="false" ht="15" hidden="false" customHeight="true" outlineLevel="0" collapsed="false">
      <c r="A253" s="0" t="n">
        <v>15</v>
      </c>
      <c r="B253" s="0" t="s">
        <v>170</v>
      </c>
      <c r="C253" s="0" t="s">
        <v>123</v>
      </c>
      <c r="D253" s="0" t="s">
        <v>59</v>
      </c>
      <c r="F253" s="0" t="s">
        <v>78</v>
      </c>
      <c r="I253" s="0" t="str">
        <f aca="false">IF(OR(E253="",G253=""),"",IF(E253&gt;G253,D253,IF(G253&gt;E253,F253,"TIE")))</f>
        <v/>
      </c>
      <c r="J253" s="0" t="str">
        <f aca="false">IF(OR(E253="",G253="",H253=""),"",IF(E253+H253&gt;G253,D253,IF(E253+H253&lt;G253,F253,"PUSH")))</f>
        <v/>
      </c>
    </row>
    <row r="254" customFormat="false" ht="15" hidden="false" customHeight="true" outlineLevel="0" collapsed="false">
      <c r="A254" s="0" t="n">
        <v>15</v>
      </c>
      <c r="B254" s="0" t="s">
        <v>171</v>
      </c>
      <c r="C254" s="0" t="s">
        <v>172</v>
      </c>
      <c r="D254" s="0" t="s">
        <v>58</v>
      </c>
      <c r="F254" s="0" t="s">
        <v>84</v>
      </c>
      <c r="I254" s="0" t="str">
        <f aca="false">IF(OR(E254="",G254=""),"",IF(E254&gt;G254,D254,IF(G254&gt;E254,F254,"TIE")))</f>
        <v/>
      </c>
      <c r="J254" s="0" t="str">
        <f aca="false">IF(OR(E254="",G254="",H254=""),"",IF(E254+H254&gt;G254,D254,IF(E254+H254&lt;G254,F254,"PUSH")))</f>
        <v/>
      </c>
    </row>
    <row r="255" customFormat="false" ht="15" hidden="false" customHeight="true" outlineLevel="0" collapsed="false">
      <c r="A255" s="0" t="n">
        <v>15</v>
      </c>
      <c r="B255" s="0" t="s">
        <v>171</v>
      </c>
      <c r="C255" s="0" t="s">
        <v>116</v>
      </c>
      <c r="D255" s="0" t="s">
        <v>61</v>
      </c>
      <c r="F255" s="0" t="s">
        <v>67</v>
      </c>
      <c r="I255" s="0" t="str">
        <f aca="false">IF(OR(E255="",G255=""),"",IF(E255&gt;G255,D255,IF(G255&gt;E255,F255,"TIE")))</f>
        <v/>
      </c>
      <c r="J255" s="0" t="str">
        <f aca="false">IF(OR(E255="",G255="",H255=""),"",IF(E255+H255&gt;G255,D255,IF(E255+H255&lt;G255,F255,"PUSH")))</f>
        <v/>
      </c>
    </row>
    <row r="256" customFormat="false" ht="15" hidden="false" customHeight="true" outlineLevel="0" collapsed="false">
      <c r="A256" s="0" t="n">
        <v>15</v>
      </c>
      <c r="B256" s="0" t="s">
        <v>173</v>
      </c>
      <c r="C256" s="0" t="s">
        <v>120</v>
      </c>
      <c r="D256" s="0" t="s">
        <v>79</v>
      </c>
      <c r="F256" s="0" t="s">
        <v>81</v>
      </c>
      <c r="I256" s="0" t="str">
        <f aca="false">IF(OR(E256="",G256=""),"",IF(E256&gt;G256,D256,IF(G256&gt;E256,F256,"TIE")))</f>
        <v/>
      </c>
      <c r="J256" s="0" t="str">
        <f aca="false">IF(OR(E256="",G256="",H256=""),"",IF(E256+H256&gt;G256,D256,IF(E256+H256&lt;G256,F256,"PUSH")))</f>
        <v/>
      </c>
    </row>
    <row r="257" customFormat="false" ht="15" hidden="false" customHeight="true" outlineLevel="0" collapsed="false">
      <c r="A257" s="0" t="n">
        <v>15</v>
      </c>
      <c r="B257" s="0" t="s">
        <v>173</v>
      </c>
      <c r="C257" s="0" t="s">
        <v>120</v>
      </c>
      <c r="D257" s="0" t="s">
        <v>70</v>
      </c>
      <c r="F257" s="0" t="s">
        <v>76</v>
      </c>
      <c r="I257" s="0" t="str">
        <f aca="false">IF(OR(E257="",G257=""),"",IF(E257&gt;G257,D257,IF(G257&gt;E257,F257,"TIE")))</f>
        <v/>
      </c>
      <c r="J257" s="0" t="str">
        <f aca="false">IF(OR(E257="",G257="",H257=""),"",IF(E257+H257&gt;G257,D257,IF(E257+H257&lt;G257,F257,"PUSH")))</f>
        <v/>
      </c>
    </row>
    <row r="258" customFormat="false" ht="15" hidden="false" customHeight="true" outlineLevel="0" collapsed="false">
      <c r="A258" s="0" t="n">
        <v>15</v>
      </c>
      <c r="B258" s="0" t="s">
        <v>173</v>
      </c>
      <c r="C258" s="0" t="s">
        <v>120</v>
      </c>
      <c r="D258" s="0" t="s">
        <v>71</v>
      </c>
      <c r="F258" s="0" t="s">
        <v>86</v>
      </c>
      <c r="I258" s="0" t="str">
        <f aca="false">IF(OR(E258="",G258=""),"",IF(E258&gt;G258,D258,IF(G258&gt;E258,F258,"TIE")))</f>
        <v/>
      </c>
      <c r="J258" s="0" t="str">
        <f aca="false">IF(OR(E258="",G258="",H258=""),"",IF(E258+H258&gt;G258,D258,IF(E258+H258&lt;G258,F258,"PUSH")))</f>
        <v/>
      </c>
    </row>
    <row r="259" customFormat="false" ht="15" hidden="false" customHeight="true" outlineLevel="0" collapsed="false">
      <c r="A259" s="0" t="n">
        <v>15</v>
      </c>
      <c r="B259" s="0" t="s">
        <v>173</v>
      </c>
      <c r="C259" s="0" t="s">
        <v>120</v>
      </c>
      <c r="D259" s="0" t="s">
        <v>69</v>
      </c>
      <c r="F259" s="0" t="s">
        <v>74</v>
      </c>
      <c r="I259" s="0" t="str">
        <f aca="false">IF(OR(E259="",G259=""),"",IF(E259&gt;G259,D259,IF(G259&gt;E259,F259,"TIE")))</f>
        <v/>
      </c>
      <c r="J259" s="0" t="str">
        <f aca="false">IF(OR(E259="",G259="",H259=""),"",IF(E259+H259&gt;G259,D259,IF(E259+H259&lt;G259,F259,"PUSH")))</f>
        <v/>
      </c>
    </row>
    <row r="260" customFormat="false" ht="15" hidden="false" customHeight="true" outlineLevel="0" collapsed="false">
      <c r="A260" s="0" t="n">
        <v>15</v>
      </c>
      <c r="B260" s="0" t="s">
        <v>173</v>
      </c>
      <c r="C260" s="0" t="s">
        <v>120</v>
      </c>
      <c r="D260" s="0" t="s">
        <v>65</v>
      </c>
      <c r="F260" s="0" t="s">
        <v>63</v>
      </c>
      <c r="I260" s="0" t="str">
        <f aca="false">IF(OR(E260="",G260=""),"",IF(E260&gt;G260,D260,IF(G260&gt;E260,F260,"TIE")))</f>
        <v/>
      </c>
      <c r="J260" s="0" t="str">
        <f aca="false">IF(OR(E260="",G260="",H260=""),"",IF(E260+H260&gt;G260,D260,IF(E260+H260&lt;G260,F260,"PUSH")))</f>
        <v/>
      </c>
    </row>
    <row r="261" customFormat="false" ht="15" hidden="false" customHeight="true" outlineLevel="0" collapsed="false">
      <c r="A261" s="0" t="n">
        <v>15</v>
      </c>
      <c r="B261" s="0" t="s">
        <v>173</v>
      </c>
      <c r="C261" s="0" t="s">
        <v>120</v>
      </c>
      <c r="D261" s="0" t="s">
        <v>73</v>
      </c>
      <c r="F261" s="0" t="s">
        <v>83</v>
      </c>
      <c r="I261" s="0" t="str">
        <f aca="false">IF(OR(E261="",G261=""),"",IF(E261&gt;G261,D261,IF(G261&gt;E261,F261,"TIE")))</f>
        <v/>
      </c>
      <c r="J261" s="0" t="str">
        <f aca="false">IF(OR(E261="",G261="",H261=""),"",IF(E261+H261&gt;G261,D261,IF(E261+H261&lt;G261,F261,"PUSH")))</f>
        <v/>
      </c>
    </row>
    <row r="262" customFormat="false" ht="15" hidden="false" customHeight="true" outlineLevel="0" collapsed="false">
      <c r="A262" s="0" t="n">
        <v>15</v>
      </c>
      <c r="B262" s="0" t="s">
        <v>173</v>
      </c>
      <c r="C262" s="0" t="s">
        <v>120</v>
      </c>
      <c r="D262" s="0" t="s">
        <v>64</v>
      </c>
      <c r="F262" s="0" t="s">
        <v>62</v>
      </c>
      <c r="I262" s="0" t="str">
        <f aca="false">IF(OR(E262="",G262=""),"",IF(E262&gt;G262,D262,IF(G262&gt;E262,F262,"TIE")))</f>
        <v/>
      </c>
      <c r="J262" s="0" t="str">
        <f aca="false">IF(OR(E262="",G262="",H262=""),"",IF(E262+H262&gt;G262,D262,IF(E262+H262&lt;G262,F262,"PUSH")))</f>
        <v/>
      </c>
    </row>
    <row r="263" customFormat="false" ht="15" hidden="false" customHeight="true" outlineLevel="0" collapsed="false">
      <c r="A263" s="0" t="n">
        <v>15</v>
      </c>
      <c r="B263" s="0" t="s">
        <v>173</v>
      </c>
      <c r="C263" s="0" t="s">
        <v>120</v>
      </c>
      <c r="D263" s="0" t="s">
        <v>72</v>
      </c>
      <c r="F263" s="0" t="s">
        <v>68</v>
      </c>
      <c r="I263" s="0" t="str">
        <f aca="false">IF(OR(E263="",G263=""),"",IF(E263&gt;G263,D263,IF(G263&gt;E263,F263,"TIE")))</f>
        <v/>
      </c>
      <c r="J263" s="0" t="str">
        <f aca="false">IF(OR(E263="",G263="",H263=""),"",IF(E263+H263&gt;G263,D263,IF(E263+H263&lt;G263,F263,"PUSH")))</f>
        <v/>
      </c>
    </row>
    <row r="264" customFormat="false" ht="15" hidden="false" customHeight="true" outlineLevel="0" collapsed="false">
      <c r="A264" s="0" t="n">
        <v>15</v>
      </c>
      <c r="B264" s="0" t="s">
        <v>173</v>
      </c>
      <c r="C264" s="0" t="s">
        <v>126</v>
      </c>
      <c r="D264" s="0" t="s">
        <v>75</v>
      </c>
      <c r="F264" s="0" t="s">
        <v>77</v>
      </c>
      <c r="I264" s="0" t="str">
        <f aca="false">IF(OR(E264="",G264=""),"",IF(E264&gt;G264,D264,IF(G264&gt;E264,F264,"TIE")))</f>
        <v/>
      </c>
      <c r="J264" s="0" t="str">
        <f aca="false">IF(OR(E264="",G264="",H264=""),"",IF(E264+H264&gt;G264,D264,IF(E264+H264&lt;G264,F264,"PUSH")))</f>
        <v/>
      </c>
    </row>
    <row r="265" customFormat="false" ht="15" hidden="false" customHeight="true" outlineLevel="0" collapsed="false">
      <c r="A265" s="0" t="n">
        <v>15</v>
      </c>
      <c r="B265" s="0" t="s">
        <v>173</v>
      </c>
      <c r="C265" s="0" t="s">
        <v>121</v>
      </c>
      <c r="D265" s="0" t="s">
        <v>87</v>
      </c>
      <c r="F265" s="0" t="s">
        <v>80</v>
      </c>
      <c r="I265" s="0" t="str">
        <f aca="false">IF(OR(E265="",G265=""),"",IF(E265&gt;G265,D265,IF(G265&gt;E265,F265,"TIE")))</f>
        <v/>
      </c>
      <c r="J265" s="0" t="str">
        <f aca="false">IF(OR(E265="",G265="",H265=""),"",IF(E265+H265&gt;G265,D265,IF(E265+H265&lt;G265,F265,"PUSH")))</f>
        <v/>
      </c>
    </row>
    <row r="266" customFormat="false" ht="15" hidden="false" customHeight="true" outlineLevel="0" collapsed="false">
      <c r="A266" s="0" t="n">
        <v>15</v>
      </c>
      <c r="B266" s="0" t="s">
        <v>173</v>
      </c>
      <c r="C266" s="0" t="s">
        <v>121</v>
      </c>
      <c r="D266" s="0" t="s">
        <v>85</v>
      </c>
      <c r="F266" s="0" t="s">
        <v>60</v>
      </c>
      <c r="I266" s="0" t="str">
        <f aca="false">IF(OR(E266="",G266=""),"",IF(E266&gt;G266,D266,IF(G266&gt;E266,F266,"TIE")))</f>
        <v/>
      </c>
      <c r="J266" s="0" t="str">
        <f aca="false">IF(OR(E266="",G266="",H266=""),"",IF(E266+H266&gt;G266,D266,IF(E266+H266&lt;G266,F266,"PUSH")))</f>
        <v/>
      </c>
    </row>
    <row r="267" customFormat="false" ht="15" hidden="false" customHeight="true" outlineLevel="0" collapsed="false">
      <c r="A267" s="0" t="n">
        <v>15</v>
      </c>
      <c r="B267" s="0" t="s">
        <v>173</v>
      </c>
      <c r="C267" s="0" t="s">
        <v>116</v>
      </c>
      <c r="D267" s="0" t="s">
        <v>66</v>
      </c>
      <c r="F267" s="0" t="s">
        <v>82</v>
      </c>
      <c r="I267" s="0" t="str">
        <f aca="false">IF(OR(E267="",G267=""),"",IF(E267&gt;G267,D267,IF(G267&gt;E267,F267,"TIE")))</f>
        <v/>
      </c>
      <c r="J267" s="0" t="str">
        <f aca="false">IF(OR(E267="",G267="",H267=""),"",IF(E267+H267&gt;G267,D267,IF(E267+H267&lt;G267,F267,"PUSH")))</f>
        <v/>
      </c>
    </row>
    <row r="268" customFormat="false" ht="15" hidden="false" customHeight="true" outlineLevel="0" collapsed="false">
      <c r="A268" s="0" t="n">
        <v>15</v>
      </c>
      <c r="B268" s="0" t="s">
        <v>174</v>
      </c>
      <c r="C268" s="0" t="s">
        <v>123</v>
      </c>
      <c r="D268" s="0" t="s">
        <v>57</v>
      </c>
      <c r="F268" s="0" t="s">
        <v>88</v>
      </c>
      <c r="I268" s="0" t="str">
        <f aca="false">IF(OR(E268="",G268=""),"",IF(E268&gt;G268,D268,IF(G268&gt;E268,F268,"TIE")))</f>
        <v/>
      </c>
      <c r="J268" s="0" t="str">
        <f aca="false">IF(OR(E268="",G268="",H268=""),"",IF(E268+H268&gt;G268,D268,IF(E268+H268&lt;G268,F268,"PUSH")))</f>
        <v/>
      </c>
    </row>
    <row r="269" customFormat="false" ht="15" hidden="false" customHeight="false" outlineLevel="0" collapsed="false">
      <c r="D269" s="20" t="s">
        <v>89</v>
      </c>
      <c r="E269" s="21" t="str">
        <f aca="false">IF(AND(E268&lt;&gt;"",G268&lt;&gt;""),E268+G268,"")</f>
        <v/>
      </c>
    </row>
    <row r="270" customFormat="false" ht="15" hidden="false" customHeight="true" outlineLevel="0" collapsed="false">
      <c r="A270" s="0" t="s">
        <v>104</v>
      </c>
    </row>
    <row r="271" customFormat="false" ht="15" hidden="false" customHeight="true" outlineLevel="0" collapsed="false">
      <c r="A271" s="0" t="s">
        <v>107</v>
      </c>
      <c r="B271" s="0" t="s">
        <v>108</v>
      </c>
      <c r="C271" s="0" t="s">
        <v>109</v>
      </c>
      <c r="D271" s="0" t="s">
        <v>53</v>
      </c>
      <c r="E271" s="0" t="s">
        <v>110</v>
      </c>
      <c r="F271" s="0" t="s">
        <v>55</v>
      </c>
      <c r="G271" s="0" t="s">
        <v>111</v>
      </c>
      <c r="H271" s="0" t="s">
        <v>112</v>
      </c>
      <c r="I271" s="0" t="s">
        <v>113</v>
      </c>
      <c r="J271" s="0" t="s">
        <v>114</v>
      </c>
    </row>
    <row r="272" customFormat="false" ht="15" hidden="false" customHeight="true" outlineLevel="0" collapsed="false">
      <c r="A272" s="0" t="n">
        <v>16</v>
      </c>
      <c r="B272" s="0" t="s">
        <v>175</v>
      </c>
      <c r="C272" s="0" t="s">
        <v>123</v>
      </c>
      <c r="D272" s="0" t="s">
        <v>68</v>
      </c>
      <c r="F272" s="0" t="s">
        <v>84</v>
      </c>
      <c r="I272" s="0" t="str">
        <f aca="false">IF(OR(E272="",G272=""),"",IF(E272&gt;G272,D272,IF(G272&gt;E272,F272,"TIE")))</f>
        <v/>
      </c>
      <c r="J272" s="0" t="str">
        <f aca="false">IF(OR(E272="",G272="",H272=""),"",IF(E272+H272&gt;G272,D272,IF(E272+H272&lt;G272,F272,"PUSH")))</f>
        <v/>
      </c>
    </row>
    <row r="273" customFormat="false" ht="15" hidden="false" customHeight="true" outlineLevel="0" collapsed="false">
      <c r="A273" s="0" t="n">
        <v>16</v>
      </c>
      <c r="B273" s="0" t="s">
        <v>176</v>
      </c>
      <c r="C273" s="0" t="s">
        <v>120</v>
      </c>
      <c r="D273" s="0" t="s">
        <v>81</v>
      </c>
      <c r="F273" s="0" t="s">
        <v>61</v>
      </c>
      <c r="I273" s="0" t="str">
        <f aca="false">IF(OR(E273="",G273=""),"",IF(E273&gt;G273,D273,IF(G273&gt;E273,F273,"TIE")))</f>
        <v/>
      </c>
      <c r="J273" s="0" t="str">
        <f aca="false">IF(OR(E273="",G273="",H273=""),"",IF(E273+H273&gt;G273,D273,IF(E273+H273&lt;G273,F273,"PUSH")))</f>
        <v/>
      </c>
    </row>
    <row r="274" customFormat="false" ht="15" hidden="false" customHeight="true" outlineLevel="0" collapsed="false">
      <c r="A274" s="0" t="n">
        <v>16</v>
      </c>
      <c r="B274" s="0" t="s">
        <v>176</v>
      </c>
      <c r="C274" s="0" t="s">
        <v>159</v>
      </c>
      <c r="D274" s="0" t="s">
        <v>67</v>
      </c>
      <c r="F274" s="0" t="s">
        <v>87</v>
      </c>
      <c r="I274" s="0" t="str">
        <f aca="false">IF(OR(E274="",G274=""),"",IF(E274&gt;G274,D274,IF(G274&gt;E274,F274,"TIE")))</f>
        <v/>
      </c>
      <c r="J274" s="0" t="str">
        <f aca="false">IF(OR(E274="",G274="",H274=""),"",IF(E274+H274&gt;G274,D274,IF(E274+H274&lt;G274,F274,"PUSH")))</f>
        <v/>
      </c>
    </row>
    <row r="275" customFormat="false" ht="15" hidden="false" customHeight="true" outlineLevel="0" collapsed="false">
      <c r="A275" s="0" t="n">
        <v>16</v>
      </c>
      <c r="B275" s="0" t="s">
        <v>176</v>
      </c>
      <c r="C275" s="0" t="s">
        <v>123</v>
      </c>
      <c r="D275" s="0" t="s">
        <v>60</v>
      </c>
      <c r="F275" s="0" t="s">
        <v>58</v>
      </c>
      <c r="I275" s="0" t="str">
        <f aca="false">IF(OR(E275="",G275=""),"",IF(E275&gt;G275,D275,IF(G275&gt;E275,F275,"TIE")))</f>
        <v/>
      </c>
      <c r="J275" s="0" t="str">
        <f aca="false">IF(OR(E275="",G275="",H275=""),"",IF(E275+H275&gt;G275,D275,IF(E275+H275&lt;G275,F275,"PUSH")))</f>
        <v/>
      </c>
    </row>
    <row r="276" customFormat="false" ht="15" hidden="false" customHeight="true" outlineLevel="0" collapsed="false">
      <c r="A276" s="0" t="n">
        <v>16</v>
      </c>
      <c r="B276" s="0" t="s">
        <v>177</v>
      </c>
      <c r="C276" s="0" t="s">
        <v>120</v>
      </c>
      <c r="D276" s="0" t="s">
        <v>78</v>
      </c>
      <c r="F276" s="0" t="s">
        <v>79</v>
      </c>
      <c r="I276" s="0" t="str">
        <f aca="false">IF(OR(E276="",G276=""),"",IF(E276&gt;G276,D276,IF(G276&gt;E276,F276,"TIE")))</f>
        <v/>
      </c>
      <c r="J276" s="0" t="str">
        <f aca="false">IF(OR(E276="",G276="",H276=""),"",IF(E276+H276&gt;G276,D276,IF(E276+H276&lt;G276,F276,"PUSH")))</f>
        <v/>
      </c>
    </row>
    <row r="277" customFormat="false" ht="15" hidden="false" customHeight="true" outlineLevel="0" collapsed="false">
      <c r="A277" s="0" t="n">
        <v>16</v>
      </c>
      <c r="B277" s="0" t="s">
        <v>177</v>
      </c>
      <c r="C277" s="0" t="s">
        <v>120</v>
      </c>
      <c r="D277" s="0" t="s">
        <v>77</v>
      </c>
      <c r="F277" s="0" t="s">
        <v>65</v>
      </c>
      <c r="I277" s="0" t="str">
        <f aca="false">IF(OR(E277="",G277=""),"",IF(E277&gt;G277,D277,IF(G277&gt;E277,F277,"TIE")))</f>
        <v/>
      </c>
      <c r="J277" s="0" t="str">
        <f aca="false">IF(OR(E277="",G277="",H277=""),"",IF(E277+H277&gt;G277,D277,IF(E277+H277&lt;G277,F277,"PUSH")))</f>
        <v/>
      </c>
    </row>
    <row r="278" customFormat="false" ht="15" hidden="false" customHeight="true" outlineLevel="0" collapsed="false">
      <c r="A278" s="0" t="n">
        <v>16</v>
      </c>
      <c r="B278" s="0" t="s">
        <v>177</v>
      </c>
      <c r="C278" s="0" t="s">
        <v>120</v>
      </c>
      <c r="D278" s="0" t="s">
        <v>57</v>
      </c>
      <c r="F278" s="0" t="s">
        <v>75</v>
      </c>
      <c r="I278" s="0" t="str">
        <f aca="false">IF(OR(E278="",G278=""),"",IF(E278&gt;G278,D278,IF(G278&gt;E278,F278,"TIE")))</f>
        <v/>
      </c>
      <c r="J278" s="0" t="str">
        <f aca="false">IF(OR(E278="",G278="",H278=""),"",IF(E278+H278&gt;G278,D278,IF(E278+H278&lt;G278,F278,"PUSH")))</f>
        <v/>
      </c>
    </row>
    <row r="279" customFormat="false" ht="15" hidden="false" customHeight="true" outlineLevel="0" collapsed="false">
      <c r="A279" s="0" t="n">
        <v>16</v>
      </c>
      <c r="B279" s="0" t="s">
        <v>177</v>
      </c>
      <c r="C279" s="0" t="s">
        <v>120</v>
      </c>
      <c r="D279" s="0" t="s">
        <v>71</v>
      </c>
      <c r="F279" s="0" t="s">
        <v>69</v>
      </c>
      <c r="I279" s="0" t="str">
        <f aca="false">IF(OR(E279="",G279=""),"",IF(E279&gt;G279,D279,IF(G279&gt;E279,F279,"TIE")))</f>
        <v/>
      </c>
      <c r="J279" s="0" t="str">
        <f aca="false">IF(OR(E279="",G279="",H279=""),"",IF(E279+H279&gt;G279,D279,IF(E279+H279&lt;G279,F279,"PUSH")))</f>
        <v/>
      </c>
    </row>
    <row r="280" customFormat="false" ht="15" hidden="false" customHeight="true" outlineLevel="0" collapsed="false">
      <c r="A280" s="0" t="n">
        <v>16</v>
      </c>
      <c r="B280" s="0" t="s">
        <v>177</v>
      </c>
      <c r="C280" s="0" t="s">
        <v>126</v>
      </c>
      <c r="D280" s="0" t="s">
        <v>76</v>
      </c>
      <c r="F280" s="0" t="s">
        <v>80</v>
      </c>
      <c r="I280" s="0" t="str">
        <f aca="false">IF(OR(E280="",G280=""),"",IF(E280&gt;G280,D280,IF(G280&gt;E280,F280,"TIE")))</f>
        <v/>
      </c>
      <c r="J280" s="0" t="str">
        <f aca="false">IF(OR(E280="",G280="",H280=""),"",IF(E280+H280&gt;G280,D280,IF(E280+H280&lt;G280,F280,"PUSH")))</f>
        <v/>
      </c>
    </row>
    <row r="281" customFormat="false" ht="15" hidden="false" customHeight="true" outlineLevel="0" collapsed="false">
      <c r="A281" s="0" t="n">
        <v>16</v>
      </c>
      <c r="B281" s="0" t="s">
        <v>177</v>
      </c>
      <c r="C281" s="0" t="s">
        <v>121</v>
      </c>
      <c r="D281" s="0" t="s">
        <v>59</v>
      </c>
      <c r="F281" s="0" t="s">
        <v>88</v>
      </c>
      <c r="I281" s="0" t="str">
        <f aca="false">IF(OR(E281="",G281=""),"",IF(E281&gt;G281,D281,IF(G281&gt;E281,F281,"TIE")))</f>
        <v/>
      </c>
      <c r="J281" s="0" t="str">
        <f aca="false">IF(OR(E281="",G281="",H281=""),"",IF(E281+H281&gt;G281,D281,IF(E281+H281&lt;G281,F281,"PUSH")))</f>
        <v/>
      </c>
    </row>
    <row r="282" customFormat="false" ht="15" hidden="false" customHeight="true" outlineLevel="0" collapsed="false">
      <c r="A282" s="0" t="n">
        <v>16</v>
      </c>
      <c r="B282" s="0" t="s">
        <v>177</v>
      </c>
      <c r="C282" s="0" t="s">
        <v>116</v>
      </c>
      <c r="D282" s="0" t="s">
        <v>72</v>
      </c>
      <c r="F282" s="0" t="s">
        <v>85</v>
      </c>
      <c r="I282" s="0" t="str">
        <f aca="false">IF(OR(E282="",G282=""),"",IF(E282&gt;G282,D282,IF(G282&gt;E282,F282,"TIE")))</f>
        <v/>
      </c>
      <c r="J282" s="0" t="str">
        <f aca="false">IF(OR(E282="",G282="",H282=""),"",IF(E282+H282&gt;G282,D282,IF(E282+H282&lt;G282,F282,"PUSH")))</f>
        <v/>
      </c>
    </row>
    <row r="283" customFormat="false" ht="15" hidden="false" customHeight="true" outlineLevel="0" collapsed="false">
      <c r="A283" s="0" t="n">
        <v>16</v>
      </c>
      <c r="B283" s="0" t="s">
        <v>178</v>
      </c>
      <c r="C283" s="0" t="s">
        <v>123</v>
      </c>
      <c r="D283" s="0" t="s">
        <v>86</v>
      </c>
      <c r="F283" s="0" t="s">
        <v>66</v>
      </c>
      <c r="I283" s="0" t="str">
        <f aca="false">IF(OR(E283="",G283=""),"",IF(E283&gt;G283,D283,IF(G283&gt;E283,F283,"TIE")))</f>
        <v/>
      </c>
      <c r="J283" s="0" t="str">
        <f aca="false">IF(OR(E283="",G283="",H283=""),"",IF(E283+H283&gt;G283,D283,IF(E283+H283&lt;G283,F283,"PUSH")))</f>
        <v/>
      </c>
    </row>
    <row r="284" customFormat="false" ht="15" hidden="false" customHeight="true" outlineLevel="0" collapsed="false">
      <c r="A284" s="0" t="n">
        <v>16</v>
      </c>
      <c r="B284" s="0" t="s">
        <v>179</v>
      </c>
      <c r="C284" s="0" t="s">
        <v>179</v>
      </c>
      <c r="D284" s="0" t="s">
        <v>63</v>
      </c>
      <c r="F284" s="0" t="s">
        <v>73</v>
      </c>
      <c r="I284" s="0" t="str">
        <f aca="false">IF(OR(E284="",G284=""),"",IF(E284&gt;G284,D284,IF(G284&gt;E284,F284,"TIE")))</f>
        <v/>
      </c>
      <c r="J284" s="0" t="str">
        <f aca="false">IF(OR(E284="",G284="",H284=""),"",IF(E284+H284&gt;G284,D284,IF(E284+H284&lt;G284,F284,"PUSH")))</f>
        <v/>
      </c>
    </row>
    <row r="285" customFormat="false" ht="15" hidden="false" customHeight="true" outlineLevel="0" collapsed="false">
      <c r="A285" s="0" t="n">
        <v>16</v>
      </c>
      <c r="B285" s="0" t="s">
        <v>179</v>
      </c>
      <c r="C285" s="0" t="s">
        <v>179</v>
      </c>
      <c r="D285" s="0" t="s">
        <v>64</v>
      </c>
      <c r="F285" s="0" t="s">
        <v>70</v>
      </c>
      <c r="I285" s="0" t="str">
        <f aca="false">IF(OR(E285="",G285=""),"",IF(E285&gt;G285,D285,IF(G285&gt;E285,F285,"TIE")))</f>
        <v/>
      </c>
      <c r="J285" s="0" t="str">
        <f aca="false">IF(OR(E285="",G285="",H285=""),"",IF(E285+H285&gt;G285,D285,IF(E285+H285&lt;G285,F285,"PUSH")))</f>
        <v/>
      </c>
    </row>
    <row r="286" customFormat="false" ht="15" hidden="false" customHeight="true" outlineLevel="0" collapsed="false">
      <c r="A286" s="0" t="n">
        <v>16</v>
      </c>
      <c r="B286" s="0" t="s">
        <v>179</v>
      </c>
      <c r="C286" s="0" t="s">
        <v>179</v>
      </c>
      <c r="D286" s="0" t="s">
        <v>83</v>
      </c>
      <c r="F286" s="0" t="s">
        <v>82</v>
      </c>
      <c r="I286" s="0" t="str">
        <f aca="false">IF(OR(E286="",G286=""),"",IF(E286&gt;G286,D286,IF(G286&gt;E286,F286,"TIE")))</f>
        <v/>
      </c>
      <c r="J286" s="0" t="str">
        <f aca="false">IF(OR(E286="",G286="",H286=""),"",IF(E286+H286&gt;G286,D286,IF(E286+H286&lt;G286,F286,"PUSH")))</f>
        <v/>
      </c>
    </row>
    <row r="287" customFormat="false" ht="15" hidden="false" customHeight="true" outlineLevel="0" collapsed="false">
      <c r="A287" s="0" t="n">
        <v>16</v>
      </c>
      <c r="B287" s="0" t="s">
        <v>179</v>
      </c>
      <c r="C287" s="0" t="s">
        <v>179</v>
      </c>
      <c r="D287" s="0" t="s">
        <v>62</v>
      </c>
      <c r="F287" s="0" t="s">
        <v>74</v>
      </c>
      <c r="I287" s="0" t="str">
        <f aca="false">IF(OR(E287="",G287=""),"",IF(E287&gt;G287,D287,IF(G287&gt;E287,F287,"TIE")))</f>
        <v/>
      </c>
      <c r="J287" s="0" t="str">
        <f aca="false">IF(OR(E287="",G287="",H287=""),"",IF(E287+H287&gt;G287,D287,IF(E287+H287&lt;G287,F287,"PUSH")))</f>
        <v/>
      </c>
    </row>
    <row r="288" customFormat="false" ht="15" hidden="false" customHeight="false" outlineLevel="0" collapsed="false">
      <c r="D288" s="20" t="s">
        <v>89</v>
      </c>
      <c r="E288" s="21" t="str">
        <f aca="false">IF(AND(E287&lt;&gt;"",G287&lt;&gt;""),E287+G287,"")</f>
        <v/>
      </c>
    </row>
    <row r="289" customFormat="false" ht="15" hidden="false" customHeight="true" outlineLevel="0" collapsed="false">
      <c r="A289" s="0" t="s">
        <v>105</v>
      </c>
    </row>
    <row r="290" customFormat="false" ht="15" hidden="false" customHeight="true" outlineLevel="0" collapsed="false">
      <c r="A290" s="0" t="s">
        <v>107</v>
      </c>
      <c r="B290" s="0" t="s">
        <v>108</v>
      </c>
      <c r="C290" s="0" t="s">
        <v>109</v>
      </c>
      <c r="D290" s="0" t="s">
        <v>53</v>
      </c>
      <c r="E290" s="0" t="s">
        <v>110</v>
      </c>
      <c r="F290" s="0" t="s">
        <v>55</v>
      </c>
      <c r="G290" s="0" t="s">
        <v>111</v>
      </c>
      <c r="H290" s="0" t="s">
        <v>112</v>
      </c>
      <c r="I290" s="0" t="s">
        <v>113</v>
      </c>
      <c r="J290" s="0" t="s">
        <v>114</v>
      </c>
    </row>
    <row r="291" customFormat="false" ht="15" hidden="false" customHeight="true" outlineLevel="0" collapsed="false">
      <c r="A291" s="0" t="n">
        <v>17</v>
      </c>
      <c r="B291" s="0" t="s">
        <v>180</v>
      </c>
      <c r="C291" s="0" t="s">
        <v>123</v>
      </c>
      <c r="D291" s="0" t="s">
        <v>69</v>
      </c>
      <c r="F291" s="0" t="s">
        <v>64</v>
      </c>
      <c r="I291" s="0" t="str">
        <f aca="false">IF(OR(E291="",G291=""),"",IF(E291&gt;G291,D291,IF(G291&gt;E291,F291,"TIE")))</f>
        <v/>
      </c>
      <c r="J291" s="0" t="str">
        <f aca="false">IF(OR(E291="",G291="",H291=""),"",IF(E291+H291&gt;G291,D291,IF(E291+H291&lt;G291,F291,"PUSH")))</f>
        <v/>
      </c>
    </row>
    <row r="292" customFormat="false" ht="15" hidden="false" customHeight="true" outlineLevel="0" collapsed="false">
      <c r="A292" s="0" t="n">
        <v>17</v>
      </c>
      <c r="B292" s="0" t="s">
        <v>181</v>
      </c>
      <c r="C292" s="0" t="s">
        <v>120</v>
      </c>
      <c r="D292" s="0" t="s">
        <v>65</v>
      </c>
      <c r="F292" s="0" t="s">
        <v>73</v>
      </c>
      <c r="I292" s="0" t="str">
        <f aca="false">IF(OR(E292="",G292=""),"",IF(E292&gt;G292,D292,IF(G292&gt;E292,F292,"TIE")))</f>
        <v/>
      </c>
      <c r="J292" s="0" t="str">
        <f aca="false">IF(OR(E292="",G292="",H292=""),"",IF(E292+H292&gt;G292,D292,IF(E292+H292&lt;G292,F292,"PUSH")))</f>
        <v/>
      </c>
    </row>
    <row r="293" customFormat="false" ht="15" hidden="false" customHeight="true" outlineLevel="0" collapsed="false">
      <c r="A293" s="0" t="n">
        <v>17</v>
      </c>
      <c r="B293" s="0" t="s">
        <v>181</v>
      </c>
      <c r="C293" s="0" t="s">
        <v>120</v>
      </c>
      <c r="D293" s="0" t="s">
        <v>70</v>
      </c>
      <c r="F293" s="0" t="s">
        <v>71</v>
      </c>
      <c r="I293" s="0" t="str">
        <f aca="false">IF(OR(E293="",G293=""),"",IF(E293&gt;G293,D293,IF(G293&gt;E293,F293,"TIE")))</f>
        <v/>
      </c>
      <c r="J293" s="0" t="str">
        <f aca="false">IF(OR(E293="",G293="",H293=""),"",IF(E293+H293&gt;G293,D293,IF(E293+H293&lt;G293,F293,"PUSH")))</f>
        <v/>
      </c>
    </row>
    <row r="294" customFormat="false" ht="15" hidden="false" customHeight="true" outlineLevel="0" collapsed="false">
      <c r="A294" s="0" t="n">
        <v>17</v>
      </c>
      <c r="B294" s="0" t="s">
        <v>181</v>
      </c>
      <c r="C294" s="0" t="s">
        <v>120</v>
      </c>
      <c r="D294" s="0" t="s">
        <v>86</v>
      </c>
      <c r="F294" s="0" t="s">
        <v>85</v>
      </c>
      <c r="I294" s="0" t="str">
        <f aca="false">IF(OR(E294="",G294=""),"",IF(E294&gt;G294,D294,IF(G294&gt;E294,F294,"TIE")))</f>
        <v/>
      </c>
      <c r="J294" s="0" t="str">
        <f aca="false">IF(OR(E294="",G294="",H294=""),"",IF(E294+H294&gt;G294,D294,IF(E294+H294&lt;G294,F294,"PUSH")))</f>
        <v/>
      </c>
    </row>
    <row r="295" customFormat="false" ht="15" hidden="false" customHeight="true" outlineLevel="0" collapsed="false">
      <c r="A295" s="0" t="n">
        <v>17</v>
      </c>
      <c r="B295" s="0" t="s">
        <v>181</v>
      </c>
      <c r="C295" s="0" t="s">
        <v>120</v>
      </c>
      <c r="D295" s="0" t="s">
        <v>74</v>
      </c>
      <c r="F295" s="0" t="s">
        <v>76</v>
      </c>
      <c r="I295" s="0" t="str">
        <f aca="false">IF(OR(E295="",G295=""),"",IF(E295&gt;G295,D295,IF(G295&gt;E295,F295,"TIE")))</f>
        <v/>
      </c>
      <c r="J295" s="0" t="str">
        <f aca="false">IF(OR(E295="",G295="",H295=""),"",IF(E295+H295&gt;G295,D295,IF(E295+H295&lt;G295,F295,"PUSH")))</f>
        <v/>
      </c>
    </row>
    <row r="296" customFormat="false" ht="15" hidden="false" customHeight="true" outlineLevel="0" collapsed="false">
      <c r="A296" s="0" t="n">
        <v>17</v>
      </c>
      <c r="B296" s="0" t="s">
        <v>181</v>
      </c>
      <c r="C296" s="0" t="s">
        <v>120</v>
      </c>
      <c r="D296" s="0" t="s">
        <v>67</v>
      </c>
      <c r="F296" s="0" t="s">
        <v>79</v>
      </c>
      <c r="I296" s="0" t="str">
        <f aca="false">IF(OR(E296="",G296=""),"",IF(E296&gt;G296,D296,IF(G296&gt;E296,F296,"TIE")))</f>
        <v/>
      </c>
      <c r="J296" s="0" t="str">
        <f aca="false">IF(OR(E296="",G296="",H296=""),"",IF(E296+H296&gt;G296,D296,IF(E296+H296&lt;G296,F296,"PUSH")))</f>
        <v/>
      </c>
    </row>
    <row r="297" customFormat="false" ht="15" hidden="false" customHeight="true" outlineLevel="0" collapsed="false">
      <c r="A297" s="0" t="n">
        <v>17</v>
      </c>
      <c r="B297" s="0" t="s">
        <v>181</v>
      </c>
      <c r="C297" s="0" t="s">
        <v>120</v>
      </c>
      <c r="D297" s="0" t="s">
        <v>82</v>
      </c>
      <c r="F297" s="0" t="s">
        <v>75</v>
      </c>
      <c r="I297" s="0" t="str">
        <f aca="false">IF(OR(E297="",G297=""),"",IF(E297&gt;G297,D297,IF(G297&gt;E297,F297,"TIE")))</f>
        <v/>
      </c>
      <c r="J297" s="0" t="str">
        <f aca="false">IF(OR(E297="",G297="",H297=""),"",IF(E297+H297&gt;G297,D297,IF(E297+H297&lt;G297,F297,"PUSH")))</f>
        <v/>
      </c>
    </row>
    <row r="298" customFormat="false" ht="15" hidden="false" customHeight="true" outlineLevel="0" collapsed="false">
      <c r="A298" s="0" t="n">
        <v>17</v>
      </c>
      <c r="B298" s="0" t="s">
        <v>181</v>
      </c>
      <c r="C298" s="0" t="s">
        <v>120</v>
      </c>
      <c r="D298" s="0" t="s">
        <v>58</v>
      </c>
      <c r="F298" s="0" t="s">
        <v>62</v>
      </c>
      <c r="I298" s="0" t="str">
        <f aca="false">IF(OR(E298="",G298=""),"",IF(E298&gt;G298,D298,IF(G298&gt;E298,F298,"TIE")))</f>
        <v/>
      </c>
      <c r="J298" s="0" t="str">
        <f aca="false">IF(OR(E298="",G298="",H298=""),"",IF(E298+H298&gt;G298,D298,IF(E298+H298&lt;G298,F298,"PUSH")))</f>
        <v/>
      </c>
    </row>
    <row r="299" customFormat="false" ht="15" hidden="false" customHeight="true" outlineLevel="0" collapsed="false">
      <c r="A299" s="0" t="n">
        <v>17</v>
      </c>
      <c r="B299" s="0" t="s">
        <v>181</v>
      </c>
      <c r="C299" s="0" t="s">
        <v>126</v>
      </c>
      <c r="D299" s="0" t="s">
        <v>80</v>
      </c>
      <c r="F299" s="0" t="s">
        <v>77</v>
      </c>
      <c r="I299" s="0" t="str">
        <f aca="false">IF(OR(E299="",G299=""),"",IF(E299&gt;G299,D299,IF(G299&gt;E299,F299,"TIE")))</f>
        <v/>
      </c>
      <c r="J299" s="0" t="str">
        <f aca="false">IF(OR(E299="",G299="",H299=""),"",IF(E299+H299&gt;G299,D299,IF(E299+H299&lt;G299,F299,"PUSH")))</f>
        <v/>
      </c>
    </row>
    <row r="300" customFormat="false" ht="15" hidden="false" customHeight="true" outlineLevel="0" collapsed="false">
      <c r="A300" s="0" t="n">
        <v>17</v>
      </c>
      <c r="B300" s="0" t="s">
        <v>181</v>
      </c>
      <c r="C300" s="0" t="s">
        <v>121</v>
      </c>
      <c r="D300" s="0" t="s">
        <v>66</v>
      </c>
      <c r="F300" s="0" t="s">
        <v>61</v>
      </c>
      <c r="I300" s="0" t="str">
        <f aca="false">IF(OR(E300="",G300=""),"",IF(E300&gt;G300,D300,IF(G300&gt;E300,F300,"TIE")))</f>
        <v/>
      </c>
      <c r="J300" s="0" t="str">
        <f aca="false">IF(OR(E300="",G300="",H300=""),"",IF(E300+H300&gt;G300,D300,IF(E300+H300&lt;G300,F300,"PUSH")))</f>
        <v/>
      </c>
    </row>
    <row r="301" customFormat="false" ht="15" hidden="false" customHeight="true" outlineLevel="0" collapsed="false">
      <c r="A301" s="0" t="n">
        <v>17</v>
      </c>
      <c r="B301" s="0" t="s">
        <v>181</v>
      </c>
      <c r="C301" s="0" t="s">
        <v>116</v>
      </c>
      <c r="D301" s="0" t="s">
        <v>84</v>
      </c>
      <c r="F301" s="0" t="s">
        <v>59</v>
      </c>
      <c r="I301" s="0" t="str">
        <f aca="false">IF(OR(E301="",G301=""),"",IF(E301&gt;G301,D301,IF(G301&gt;E301,F301,"TIE")))</f>
        <v/>
      </c>
      <c r="J301" s="0" t="str">
        <f aca="false">IF(OR(E301="",G301="",H301=""),"",IF(E301+H301&gt;G301,D301,IF(E301+H301&lt;G301,F301,"PUSH")))</f>
        <v/>
      </c>
    </row>
    <row r="302" customFormat="false" ht="15" hidden="false" customHeight="true" outlineLevel="0" collapsed="false">
      <c r="A302" s="0" t="n">
        <v>17</v>
      </c>
      <c r="B302" s="0" t="s">
        <v>182</v>
      </c>
      <c r="C302" s="0" t="s">
        <v>123</v>
      </c>
      <c r="D302" s="0" t="s">
        <v>68</v>
      </c>
      <c r="F302" s="0" t="s">
        <v>81</v>
      </c>
      <c r="I302" s="0" t="str">
        <f aca="false">IF(OR(E302="",G302=""),"",IF(E302&gt;G302,D302,IF(G302&gt;E302,F302,"TIE")))</f>
        <v/>
      </c>
      <c r="J302" s="0" t="str">
        <f aca="false">IF(OR(E302="",G302="",H302=""),"",IF(E302+H302&gt;G302,D302,IF(E302+H302&lt;G302,F302,"PUSH")))</f>
        <v/>
      </c>
    </row>
    <row r="303" customFormat="false" ht="15" hidden="false" customHeight="true" outlineLevel="0" collapsed="false">
      <c r="A303" s="0" t="n">
        <v>17</v>
      </c>
      <c r="B303" s="0" t="s">
        <v>179</v>
      </c>
      <c r="C303" s="0" t="s">
        <v>179</v>
      </c>
      <c r="D303" s="0" t="s">
        <v>87</v>
      </c>
      <c r="F303" s="0" t="s">
        <v>57</v>
      </c>
      <c r="I303" s="0" t="str">
        <f aca="false">IF(OR(E303="",G303=""),"",IF(E303&gt;G303,D303,IF(G303&gt;E303,F303,"TIE")))</f>
        <v/>
      </c>
      <c r="J303" s="0" t="str">
        <f aca="false">IF(OR(E303="",G303="",H303=""),"",IF(E303+H303&gt;G303,D303,IF(E303+H303&lt;G303,F303,"PUSH")))</f>
        <v/>
      </c>
    </row>
    <row r="304" customFormat="false" ht="15" hidden="false" customHeight="true" outlineLevel="0" collapsed="false">
      <c r="A304" s="0" t="n">
        <v>17</v>
      </c>
      <c r="B304" s="0" t="s">
        <v>179</v>
      </c>
      <c r="C304" s="0" t="s">
        <v>179</v>
      </c>
      <c r="D304" s="0" t="s">
        <v>88</v>
      </c>
      <c r="F304" s="0" t="s">
        <v>78</v>
      </c>
      <c r="I304" s="0" t="str">
        <f aca="false">IF(OR(E304="",G304=""),"",IF(E304&gt;G304,D304,IF(G304&gt;E304,F304,"TIE")))</f>
        <v/>
      </c>
      <c r="J304" s="0" t="str">
        <f aca="false">IF(OR(E304="",G304="",H304=""),"",IF(E304+H304&gt;G304,D304,IF(E304+H304&lt;G304,F304,"PUSH")))</f>
        <v/>
      </c>
    </row>
    <row r="305" customFormat="false" ht="15" hidden="false" customHeight="true" outlineLevel="0" collapsed="false">
      <c r="A305" s="0" t="n">
        <v>17</v>
      </c>
      <c r="B305" s="0" t="s">
        <v>179</v>
      </c>
      <c r="C305" s="0" t="s">
        <v>179</v>
      </c>
      <c r="D305" s="0" t="s">
        <v>60</v>
      </c>
      <c r="F305" s="0" t="s">
        <v>63</v>
      </c>
      <c r="I305" s="0" t="str">
        <f aca="false">IF(OR(E305="",G305=""),"",IF(E305&gt;G305,D305,IF(G305&gt;E305,F305,"TIE")))</f>
        <v/>
      </c>
      <c r="J305" s="0" t="str">
        <f aca="false">IF(OR(E305="",G305="",H305=""),"",IF(E305+H305&gt;G305,D305,IF(E305+H305&lt;G305,F305,"PUSH")))</f>
        <v/>
      </c>
    </row>
    <row r="306" customFormat="false" ht="15" hidden="false" customHeight="true" outlineLevel="0" collapsed="false">
      <c r="A306" s="0" t="n">
        <v>17</v>
      </c>
      <c r="B306" s="0" t="s">
        <v>179</v>
      </c>
      <c r="C306" s="0" t="s">
        <v>179</v>
      </c>
      <c r="D306" s="0" t="s">
        <v>83</v>
      </c>
      <c r="F306" s="0" t="s">
        <v>72</v>
      </c>
      <c r="I306" s="0" t="str">
        <f aca="false">IF(OR(E306="",G306=""),"",IF(E306&gt;G306,D306,IF(G306&gt;E306,F306,"TIE")))</f>
        <v/>
      </c>
      <c r="J306" s="0" t="str">
        <f aca="false">IF(OR(E306="",G306="",H306=""),"",IF(E306+H306&gt;G306,D306,IF(E306+H306&lt;G306,F306,"PUSH")))</f>
        <v/>
      </c>
    </row>
    <row r="307" customFormat="false" ht="15" hidden="false" customHeight="false" outlineLevel="0" collapsed="false">
      <c r="D307" s="20" t="s">
        <v>89</v>
      </c>
      <c r="E307" s="21" t="str">
        <f aca="false">IF(AND(E306&lt;&gt;"",G306&lt;&gt;""),E306+G306,"")</f>
        <v/>
      </c>
    </row>
    <row r="308" customFormat="false" ht="15" hidden="false" customHeight="true" outlineLevel="0" collapsed="false">
      <c r="A308" s="0" t="s">
        <v>106</v>
      </c>
    </row>
    <row r="309" customFormat="false" ht="15" hidden="false" customHeight="true" outlineLevel="0" collapsed="false">
      <c r="A309" s="0" t="s">
        <v>107</v>
      </c>
      <c r="B309" s="0" t="s">
        <v>108</v>
      </c>
      <c r="C309" s="0" t="s">
        <v>109</v>
      </c>
      <c r="D309" s="0" t="s">
        <v>53</v>
      </c>
      <c r="E309" s="0" t="s">
        <v>110</v>
      </c>
      <c r="F309" s="0" t="s">
        <v>55</v>
      </c>
      <c r="G309" s="0" t="s">
        <v>111</v>
      </c>
      <c r="H309" s="0" t="s">
        <v>112</v>
      </c>
      <c r="I309" s="0" t="s">
        <v>113</v>
      </c>
      <c r="J309" s="0" t="s">
        <v>114</v>
      </c>
    </row>
    <row r="310" customFormat="false" ht="15" hidden="false" customHeight="true" outlineLevel="0" collapsed="false">
      <c r="A310" s="0" t="n">
        <v>18</v>
      </c>
      <c r="B310" s="0" t="s">
        <v>179</v>
      </c>
      <c r="C310" s="0" t="s">
        <v>179</v>
      </c>
      <c r="D310" s="0" t="s">
        <v>75</v>
      </c>
      <c r="F310" s="0" t="s">
        <v>67</v>
      </c>
      <c r="I310" s="0" t="str">
        <f aca="false">IF(OR(E310="",G310=""),"",IF(E310&gt;G310,D310,IF(G310&gt;E310,F310,"TIE")))</f>
        <v/>
      </c>
      <c r="J310" s="0" t="str">
        <f aca="false">IF(OR(E310="",G310="",H310=""),"",IF(E310+H310&gt;G310,D310,IF(E310+H310&lt;G310,F310,"PUSH")))</f>
        <v/>
      </c>
    </row>
    <row r="311" customFormat="false" ht="15" hidden="false" customHeight="true" outlineLevel="0" collapsed="false">
      <c r="A311" s="0" t="n">
        <v>18</v>
      </c>
      <c r="B311" s="0" t="s">
        <v>179</v>
      </c>
      <c r="C311" s="0" t="s">
        <v>179</v>
      </c>
      <c r="D311" s="0" t="s">
        <v>71</v>
      </c>
      <c r="F311" s="0" t="s">
        <v>64</v>
      </c>
      <c r="I311" s="0" t="str">
        <f aca="false">IF(OR(E311="",G311=""),"",IF(E311&gt;G311,D311,IF(G311&gt;E311,F311,"TIE")))</f>
        <v/>
      </c>
      <c r="J311" s="0" t="str">
        <f aca="false">IF(OR(E311="",G311="",H311=""),"",IF(E311+H311&gt;G311,D311,IF(E311+H311&lt;G311,F311,"PUSH")))</f>
        <v/>
      </c>
    </row>
    <row r="312" customFormat="false" ht="15" hidden="false" customHeight="true" outlineLevel="0" collapsed="false">
      <c r="A312" s="0" t="n">
        <v>18</v>
      </c>
      <c r="B312" s="0" t="s">
        <v>179</v>
      </c>
      <c r="C312" s="0" t="s">
        <v>179</v>
      </c>
      <c r="D312" s="0" t="s">
        <v>60</v>
      </c>
      <c r="F312" s="0" t="s">
        <v>87</v>
      </c>
      <c r="I312" s="0" t="str">
        <f aca="false">IF(OR(E312="",G312=""),"",IF(E312&gt;G312,D312,IF(G312&gt;E312,F312,"TIE")))</f>
        <v/>
      </c>
      <c r="J312" s="0" t="str">
        <f aca="false">IF(OR(E312="",G312="",H312=""),"",IF(E312+H312&gt;G312,D312,IF(E312+H312&lt;G312,F312,"PUSH")))</f>
        <v/>
      </c>
    </row>
    <row r="313" customFormat="false" ht="15" hidden="false" customHeight="true" outlineLevel="0" collapsed="false">
      <c r="A313" s="0" t="n">
        <v>18</v>
      </c>
      <c r="B313" s="0" t="s">
        <v>179</v>
      </c>
      <c r="C313" s="0" t="s">
        <v>179</v>
      </c>
      <c r="D313" s="0" t="s">
        <v>66</v>
      </c>
      <c r="F313" s="0" t="s">
        <v>81</v>
      </c>
      <c r="I313" s="0" t="str">
        <f aca="false">IF(OR(E313="",G313=""),"",IF(E313&gt;G313,D313,IF(G313&gt;E313,F313,"TIE")))</f>
        <v/>
      </c>
      <c r="J313" s="0" t="str">
        <f aca="false">IF(OR(E313="",G313="",H313=""),"",IF(E313+H313&gt;G313,D313,IF(E313+H313&lt;G313,F313,"PUSH")))</f>
        <v/>
      </c>
    </row>
    <row r="314" customFormat="false" ht="15" hidden="false" customHeight="true" outlineLevel="0" collapsed="false">
      <c r="A314" s="0" t="n">
        <v>18</v>
      </c>
      <c r="B314" s="0" t="s">
        <v>179</v>
      </c>
      <c r="C314" s="0" t="s">
        <v>179</v>
      </c>
      <c r="D314" s="0" t="s">
        <v>72</v>
      </c>
      <c r="F314" s="0" t="s">
        <v>70</v>
      </c>
      <c r="I314" s="0" t="str">
        <f aca="false">IF(OR(E314="",G314=""),"",IF(E314&gt;G314,D314,IF(G314&gt;E314,F314,"TIE")))</f>
        <v/>
      </c>
      <c r="J314" s="0" t="str">
        <f aca="false">IF(OR(E314="",G314="",H314=""),"",IF(E314+H314&gt;G314,D314,IF(E314+H314&lt;G314,F314,"PUSH")))</f>
        <v/>
      </c>
    </row>
    <row r="315" customFormat="false" ht="15" hidden="false" customHeight="true" outlineLevel="0" collapsed="false">
      <c r="A315" s="0" t="n">
        <v>18</v>
      </c>
      <c r="B315" s="0" t="s">
        <v>179</v>
      </c>
      <c r="C315" s="0" t="s">
        <v>179</v>
      </c>
      <c r="D315" s="0" t="s">
        <v>80</v>
      </c>
      <c r="F315" s="0" t="s">
        <v>88</v>
      </c>
      <c r="I315" s="0" t="str">
        <f aca="false">IF(OR(E315="",G315=""),"",IF(E315&gt;G315,D315,IF(G315&gt;E315,F315,"TIE")))</f>
        <v/>
      </c>
      <c r="J315" s="0" t="str">
        <f aca="false">IF(OR(E315="",G315="",H315=""),"",IF(E315+H315&gt;G315,D315,IF(E315+H315&lt;G315,F315,"PUSH")))</f>
        <v/>
      </c>
    </row>
    <row r="316" customFormat="false" ht="15" hidden="false" customHeight="true" outlineLevel="0" collapsed="false">
      <c r="A316" s="0" t="n">
        <v>18</v>
      </c>
      <c r="B316" s="0" t="s">
        <v>179</v>
      </c>
      <c r="C316" s="0" t="s">
        <v>179</v>
      </c>
      <c r="D316" s="0" t="s">
        <v>58</v>
      </c>
      <c r="F316" s="0" t="s">
        <v>78</v>
      </c>
      <c r="I316" s="0" t="str">
        <f aca="false">IF(OR(E316="",G316=""),"",IF(E316&gt;G316,D316,IF(G316&gt;E316,F316,"TIE")))</f>
        <v/>
      </c>
      <c r="J316" s="0" t="str">
        <f aca="false">IF(OR(E316="",G316="",H316=""),"",IF(E316+H316&gt;G316,D316,IF(E316+H316&lt;G316,F316,"PUSH")))</f>
        <v/>
      </c>
    </row>
    <row r="317" customFormat="false" ht="15" hidden="false" customHeight="true" outlineLevel="0" collapsed="false">
      <c r="A317" s="0" t="n">
        <v>18</v>
      </c>
      <c r="B317" s="0" t="s">
        <v>179</v>
      </c>
      <c r="C317" s="0" t="s">
        <v>179</v>
      </c>
      <c r="D317" s="0" t="s">
        <v>61</v>
      </c>
      <c r="F317" s="0" t="s">
        <v>82</v>
      </c>
      <c r="I317" s="0" t="str">
        <f aca="false">IF(OR(E317="",G317=""),"",IF(E317&gt;G317,D317,IF(G317&gt;E317,F317,"TIE")))</f>
        <v/>
      </c>
      <c r="J317" s="0" t="str">
        <f aca="false">IF(OR(E317="",G317="",H317=""),"",IF(E317+H317&gt;G317,D317,IF(E317+H317&lt;G317,F317,"PUSH")))</f>
        <v/>
      </c>
    </row>
    <row r="318" customFormat="false" ht="15" hidden="false" customHeight="true" outlineLevel="0" collapsed="false">
      <c r="A318" s="0" t="n">
        <v>18</v>
      </c>
      <c r="B318" s="0" t="s">
        <v>179</v>
      </c>
      <c r="C318" s="0" t="s">
        <v>179</v>
      </c>
      <c r="D318" s="0" t="s">
        <v>79</v>
      </c>
      <c r="F318" s="0" t="s">
        <v>57</v>
      </c>
      <c r="I318" s="0" t="str">
        <f aca="false">IF(OR(E318="",G318=""),"",IF(E318&gt;G318,D318,IF(G318&gt;E318,F318,"TIE")))</f>
        <v/>
      </c>
      <c r="J318" s="0" t="str">
        <f aca="false">IF(OR(E318="",G318="",H318=""),"",IF(E318+H318&gt;G318,D318,IF(E318+H318&lt;G318,F318,"PUSH")))</f>
        <v/>
      </c>
    </row>
    <row r="319" customFormat="false" ht="15" hidden="false" customHeight="true" outlineLevel="0" collapsed="false">
      <c r="A319" s="0" t="n">
        <v>18</v>
      </c>
      <c r="B319" s="0" t="s">
        <v>179</v>
      </c>
      <c r="C319" s="0" t="s">
        <v>179</v>
      </c>
      <c r="D319" s="0" t="s">
        <v>63</v>
      </c>
      <c r="F319" s="0" t="s">
        <v>65</v>
      </c>
      <c r="I319" s="0" t="str">
        <f aca="false">IF(OR(E319="",G319=""),"",IF(E319&gt;G319,D319,IF(G319&gt;E319,F319,"TIE")))</f>
        <v/>
      </c>
      <c r="J319" s="0" t="str">
        <f aca="false">IF(OR(E319="",G319="",H319=""),"",IF(E319+H319&gt;G319,D319,IF(E319+H319&lt;G319,F319,"PUSH")))</f>
        <v/>
      </c>
    </row>
    <row r="320" customFormat="false" ht="15" hidden="false" customHeight="true" outlineLevel="0" collapsed="false">
      <c r="A320" s="0" t="n">
        <v>18</v>
      </c>
      <c r="B320" s="0" t="s">
        <v>179</v>
      </c>
      <c r="C320" s="0" t="s">
        <v>179</v>
      </c>
      <c r="D320" s="0" t="s">
        <v>84</v>
      </c>
      <c r="F320" s="0" t="s">
        <v>86</v>
      </c>
      <c r="I320" s="0" t="str">
        <f aca="false">IF(OR(E320="",G320=""),"",IF(E320&gt;G320,D320,IF(G320&gt;E320,F320,"TIE")))</f>
        <v/>
      </c>
      <c r="J320" s="0" t="str">
        <f aca="false">IF(OR(E320="",G320="",H320=""),"",IF(E320+H320&gt;G320,D320,IF(E320+H320&lt;G320,F320,"PUSH")))</f>
        <v/>
      </c>
    </row>
    <row r="321" customFormat="false" ht="15" hidden="false" customHeight="true" outlineLevel="0" collapsed="false">
      <c r="A321" s="0" t="n">
        <v>18</v>
      </c>
      <c r="B321" s="0" t="s">
        <v>179</v>
      </c>
      <c r="C321" s="0" t="s">
        <v>179</v>
      </c>
      <c r="D321" s="0" t="s">
        <v>59</v>
      </c>
      <c r="F321" s="0" t="s">
        <v>77</v>
      </c>
      <c r="I321" s="0" t="str">
        <f aca="false">IF(OR(E321="",G321=""),"",IF(E321&gt;G321,D321,IF(G321&gt;E321,F321,"TIE")))</f>
        <v/>
      </c>
      <c r="J321" s="0" t="str">
        <f aca="false">IF(OR(E321="",G321="",H321=""),"",IF(E321+H321&gt;G321,D321,IF(E321+H321&lt;G321,F321,"PUSH")))</f>
        <v/>
      </c>
    </row>
    <row r="322" customFormat="false" ht="15" hidden="false" customHeight="true" outlineLevel="0" collapsed="false">
      <c r="A322" s="0" t="n">
        <v>18</v>
      </c>
      <c r="B322" s="0" t="s">
        <v>179</v>
      </c>
      <c r="C322" s="0" t="s">
        <v>179</v>
      </c>
      <c r="D322" s="0" t="s">
        <v>85</v>
      </c>
      <c r="F322" s="0" t="s">
        <v>83</v>
      </c>
      <c r="I322" s="0" t="str">
        <f aca="false">IF(OR(E322="",G322=""),"",IF(E322&gt;G322,D322,IF(G322&gt;E322,F322,"TIE")))</f>
        <v/>
      </c>
      <c r="J322" s="0" t="str">
        <f aca="false">IF(OR(E322="",G322="",H322=""),"",IF(E322+H322&gt;G322,D322,IF(E322+H322&lt;G322,F322,"PUSH")))</f>
        <v/>
      </c>
    </row>
    <row r="323" customFormat="false" ht="15" hidden="false" customHeight="true" outlineLevel="0" collapsed="false">
      <c r="A323" s="0" t="n">
        <v>18</v>
      </c>
      <c r="B323" s="0" t="s">
        <v>179</v>
      </c>
      <c r="C323" s="0" t="s">
        <v>179</v>
      </c>
      <c r="D323" s="0" t="s">
        <v>73</v>
      </c>
      <c r="F323" s="0" t="s">
        <v>62</v>
      </c>
      <c r="I323" s="0" t="str">
        <f aca="false">IF(OR(E323="",G323=""),"",IF(E323&gt;G323,D323,IF(G323&gt;E323,F323,"TIE")))</f>
        <v/>
      </c>
      <c r="J323" s="0" t="str">
        <f aca="false">IF(OR(E323="",G323="",H323=""),"",IF(E323+H323&gt;G323,D323,IF(E323+H323&lt;G323,F323,"PUSH")))</f>
        <v/>
      </c>
    </row>
    <row r="324" customFormat="false" ht="15" hidden="false" customHeight="true" outlineLevel="0" collapsed="false">
      <c r="A324" s="0" t="n">
        <v>18</v>
      </c>
      <c r="B324" s="0" t="s">
        <v>179</v>
      </c>
      <c r="C324" s="0" t="s">
        <v>179</v>
      </c>
      <c r="D324" s="0" t="s">
        <v>74</v>
      </c>
      <c r="F324" s="0" t="s">
        <v>69</v>
      </c>
      <c r="I324" s="0" t="str">
        <f aca="false">IF(OR(E324="",G324=""),"",IF(E324&gt;G324,D324,IF(G324&gt;E324,F324,"TIE")))</f>
        <v/>
      </c>
      <c r="J324" s="0" t="str">
        <f aca="false">IF(OR(E324="",G324="",H324=""),"",IF(E324+H324&gt;G324,D324,IF(E324+H324&lt;G324,F324,"PUSH")))</f>
        <v/>
      </c>
    </row>
    <row r="325" customFormat="false" ht="15" hidden="false" customHeight="true" outlineLevel="0" collapsed="false">
      <c r="A325" s="0" t="n">
        <v>18</v>
      </c>
      <c r="B325" s="0" t="s">
        <v>179</v>
      </c>
      <c r="C325" s="0" t="s">
        <v>179</v>
      </c>
      <c r="D325" s="0" t="s">
        <v>76</v>
      </c>
      <c r="F325" s="0" t="s">
        <v>68</v>
      </c>
      <c r="I325" s="0" t="str">
        <f aca="false">IF(OR(E325="",G325=""),"",IF(E325&gt;G325,D325,IF(G325&gt;E325,F325,"TIE")))</f>
        <v/>
      </c>
      <c r="J325" s="0" t="str">
        <f aca="false">IF(OR(E325="",G325="",H325=""),"",IF(E325+H325&gt;G325,D325,IF(E325+H325&lt;G325,F325,"PUSH")))</f>
        <v/>
      </c>
    </row>
    <row r="326" customFormat="false" ht="15" hidden="false" customHeight="false" outlineLevel="0" collapsed="false">
      <c r="D326" s="20" t="s">
        <v>89</v>
      </c>
      <c r="E326" s="21" t="str">
        <f aca="false">IF(AND(E325&lt;&gt;"",G325&lt;&gt;""),E325+G325,"")</f>
        <v/>
      </c>
    </row>
    <row r="327" customFormat="false" ht="15" hidden="false" customHeight="true" outlineLevel="0" collapsed="false">
      <c r="A327" s="0" t="s">
        <v>183</v>
      </c>
    </row>
    <row r="328" customFormat="false" ht="15" hidden="false" customHeight="true" outlineLevel="0" collapsed="false">
      <c r="A328" s="0" t="s">
        <v>107</v>
      </c>
      <c r="B328" s="0" t="s">
        <v>108</v>
      </c>
      <c r="C328" s="0" t="s">
        <v>109</v>
      </c>
      <c r="D328" s="0" t="s">
        <v>53</v>
      </c>
      <c r="E328" s="0" t="s">
        <v>110</v>
      </c>
      <c r="F328" s="0" t="s">
        <v>55</v>
      </c>
      <c r="G328" s="0" t="s">
        <v>111</v>
      </c>
      <c r="H328" s="0" t="s">
        <v>112</v>
      </c>
      <c r="I328" s="0" t="s">
        <v>113</v>
      </c>
      <c r="J328" s="0" t="s">
        <v>114</v>
      </c>
    </row>
    <row r="329" customFormat="false" ht="15" hidden="false" customHeight="true" outlineLevel="0" collapsed="false">
      <c r="A329" s="0" t="n">
        <v>19</v>
      </c>
      <c r="B329" s="0" t="s">
        <v>179</v>
      </c>
      <c r="C329" s="0" t="s">
        <v>179</v>
      </c>
      <c r="I329" s="0" t="str">
        <f aca="false">IF(OR(E329="",G329=""),"",IF(E329&gt;G329,D329,IF(G329&gt;E329,F329,"TIE")))</f>
        <v/>
      </c>
      <c r="J329" s="0" t="str">
        <f aca="false">IF(OR(E329="",G329="",H329=""),"",IF(E329+H329&gt;G329,D329,IF(E329+H329&lt;G329,F329,"PUSH")))</f>
        <v/>
      </c>
    </row>
    <row r="330" customFormat="false" ht="15" hidden="false" customHeight="true" outlineLevel="0" collapsed="false">
      <c r="A330" s="0" t="n">
        <v>19</v>
      </c>
      <c r="B330" s="0" t="s">
        <v>179</v>
      </c>
      <c r="C330" s="0" t="s">
        <v>179</v>
      </c>
      <c r="I330" s="0" t="str">
        <f aca="false">IF(OR(E330="",G330=""),"",IF(E330&gt;G330,D330,IF(G330&gt;E330,F330,"TIE")))</f>
        <v/>
      </c>
      <c r="J330" s="0" t="str">
        <f aca="false">IF(OR(E330="",G330="",H330=""),"",IF(E330+H330&gt;G330,D330,IF(E330+H330&lt;G330,F330,"PUSH")))</f>
        <v/>
      </c>
    </row>
    <row r="331" customFormat="false" ht="15" hidden="false" customHeight="true" outlineLevel="0" collapsed="false">
      <c r="A331" s="0" t="n">
        <v>19</v>
      </c>
      <c r="B331" s="0" t="s">
        <v>179</v>
      </c>
      <c r="C331" s="0" t="s">
        <v>179</v>
      </c>
      <c r="I331" s="0" t="str">
        <f aca="false">IF(OR(E331="",G331=""),"",IF(E331&gt;G331,D331,IF(G331&gt;E331,F331,"TIE")))</f>
        <v/>
      </c>
      <c r="J331" s="0" t="str">
        <f aca="false">IF(OR(E331="",G331="",H331=""),"",IF(E331+H331&gt;G331,D331,IF(E331+H331&lt;G331,F331,"PUSH")))</f>
        <v/>
      </c>
    </row>
    <row r="332" customFormat="false" ht="15" hidden="false" customHeight="true" outlineLevel="0" collapsed="false">
      <c r="A332" s="0" t="n">
        <v>19</v>
      </c>
      <c r="B332" s="0" t="s">
        <v>179</v>
      </c>
      <c r="C332" s="0" t="s">
        <v>179</v>
      </c>
      <c r="I332" s="0" t="str">
        <f aca="false">IF(OR(E332="",G332=""),"",IF(E332&gt;G332,D332,IF(G332&gt;E332,F332,"TIE")))</f>
        <v/>
      </c>
      <c r="J332" s="0" t="str">
        <f aca="false">IF(OR(E332="",G332="",H332=""),"",IF(E332+H332&gt;G332,D332,IF(E332+H332&lt;G332,F332,"PUSH")))</f>
        <v/>
      </c>
    </row>
    <row r="334" customFormat="false" ht="15" hidden="false" customHeight="true" outlineLevel="0" collapsed="false">
      <c r="A334" s="0" t="s">
        <v>184</v>
      </c>
    </row>
    <row r="335" customFormat="false" ht="15" hidden="false" customHeight="true" outlineLevel="0" collapsed="false">
      <c r="A335" s="0" t="s">
        <v>107</v>
      </c>
      <c r="B335" s="0" t="s">
        <v>108</v>
      </c>
      <c r="C335" s="0" t="s">
        <v>109</v>
      </c>
      <c r="D335" s="0" t="s">
        <v>53</v>
      </c>
      <c r="E335" s="0" t="s">
        <v>110</v>
      </c>
      <c r="F335" s="0" t="s">
        <v>55</v>
      </c>
      <c r="G335" s="0" t="s">
        <v>111</v>
      </c>
      <c r="H335" s="0" t="s">
        <v>112</v>
      </c>
      <c r="I335" s="0" t="s">
        <v>113</v>
      </c>
      <c r="J335" s="0" t="s">
        <v>114</v>
      </c>
    </row>
    <row r="336" customFormat="false" ht="15" hidden="false" customHeight="true" outlineLevel="0" collapsed="false">
      <c r="A336" s="0" t="n">
        <v>20</v>
      </c>
      <c r="B336" s="0" t="s">
        <v>179</v>
      </c>
      <c r="C336" s="0" t="s">
        <v>179</v>
      </c>
      <c r="I336" s="0" t="str">
        <f aca="false">IF(OR(E336="",G336=""),"",IF(E336&gt;G336,D336,IF(G336&gt;E336,F336,"TIE")))</f>
        <v/>
      </c>
      <c r="J336" s="0" t="str">
        <f aca="false">IF(OR(E336="",G336="",H336=""),"",IF(E336+H336&gt;G336,D336,IF(E336+H336&lt;G336,F336,"PUSH")))</f>
        <v/>
      </c>
    </row>
    <row r="337" customFormat="false" ht="15" hidden="false" customHeight="true" outlineLevel="0" collapsed="false">
      <c r="A337" s="0" t="n">
        <v>20</v>
      </c>
      <c r="B337" s="0" t="s">
        <v>179</v>
      </c>
      <c r="C337" s="0" t="s">
        <v>179</v>
      </c>
      <c r="I337" s="0" t="str">
        <f aca="false">IF(OR(E337="",G337=""),"",IF(E337&gt;G337,D337,IF(G337&gt;E337,F337,"TIE")))</f>
        <v/>
      </c>
      <c r="J337" s="0" t="str">
        <f aca="false">IF(OR(E337="",G337="",H337=""),"",IF(E337+H337&gt;G337,D337,IF(E337+H337&lt;G337,F337,"PUSH")))</f>
        <v/>
      </c>
    </row>
    <row r="338" customFormat="false" ht="15" hidden="false" customHeight="true" outlineLevel="0" collapsed="false">
      <c r="A338" s="0" t="n">
        <v>20</v>
      </c>
      <c r="B338" s="0" t="s">
        <v>179</v>
      </c>
      <c r="C338" s="0" t="s">
        <v>179</v>
      </c>
      <c r="I338" s="0" t="str">
        <f aca="false">IF(OR(E338="",G338=""),"",IF(E338&gt;G338,D338,IF(G338&gt;E338,F338,"TIE")))</f>
        <v/>
      </c>
      <c r="J338" s="0" t="str">
        <f aca="false">IF(OR(E338="",G338="",H338=""),"",IF(E338+H338&gt;G338,D338,IF(E338+H338&lt;G338,F338,"PUSH")))</f>
        <v/>
      </c>
    </row>
    <row r="339" customFormat="false" ht="15" hidden="false" customHeight="true" outlineLevel="0" collapsed="false">
      <c r="A339" s="0" t="n">
        <v>20</v>
      </c>
      <c r="B339" s="0" t="s">
        <v>179</v>
      </c>
      <c r="C339" s="0" t="s">
        <v>179</v>
      </c>
      <c r="I339" s="0" t="str">
        <f aca="false">IF(OR(E339="",G339=""),"",IF(E339&gt;G339,D339,IF(G339&gt;E339,F339,"TIE")))</f>
        <v/>
      </c>
      <c r="J339" s="0" t="str">
        <f aca="false">IF(OR(E339="",G339="",H339=""),"",IF(E339+H339&gt;G339,D339,IF(E339+H339&lt;G339,F339,"PUSH")))</f>
        <v/>
      </c>
    </row>
    <row r="341" customFormat="false" ht="15" hidden="false" customHeight="true" outlineLevel="0" collapsed="false">
      <c r="A341" s="0" t="s">
        <v>185</v>
      </c>
    </row>
    <row r="342" customFormat="false" ht="15" hidden="false" customHeight="true" outlineLevel="0" collapsed="false">
      <c r="A342" s="0" t="s">
        <v>107</v>
      </c>
      <c r="B342" s="0" t="s">
        <v>108</v>
      </c>
      <c r="C342" s="0" t="s">
        <v>109</v>
      </c>
      <c r="D342" s="0" t="s">
        <v>53</v>
      </c>
      <c r="E342" s="0" t="s">
        <v>110</v>
      </c>
      <c r="F342" s="0" t="s">
        <v>55</v>
      </c>
      <c r="G342" s="0" t="s">
        <v>111</v>
      </c>
      <c r="H342" s="0" t="s">
        <v>112</v>
      </c>
      <c r="I342" s="0" t="s">
        <v>113</v>
      </c>
      <c r="J342" s="0" t="s">
        <v>114</v>
      </c>
    </row>
    <row r="343" customFormat="false" ht="15" hidden="false" customHeight="true" outlineLevel="0" collapsed="false">
      <c r="A343" s="0" t="n">
        <v>21</v>
      </c>
      <c r="B343" s="0" t="s">
        <v>179</v>
      </c>
      <c r="C343" s="0" t="s">
        <v>179</v>
      </c>
      <c r="I343" s="0" t="str">
        <f aca="false">IF(OR(E343="",G343=""),"",IF(E343&gt;G343,D343,IF(G343&gt;E343,F343,"TIE")))</f>
        <v/>
      </c>
      <c r="J343" s="0" t="str">
        <f aca="false">IF(OR(E343="",G343="",H343=""),"",IF(E343+H343&gt;G343,D343,IF(E343+H343&lt;G343,F343,"PUSH")))</f>
        <v/>
      </c>
    </row>
    <row r="344" customFormat="false" ht="15" hidden="false" customHeight="true" outlineLevel="0" collapsed="false">
      <c r="A344" s="0" t="n">
        <v>21</v>
      </c>
      <c r="B344" s="0" t="s">
        <v>179</v>
      </c>
      <c r="C344" s="0" t="s">
        <v>179</v>
      </c>
      <c r="I344" s="0" t="str">
        <f aca="false">IF(OR(E344="",G344=""),"",IF(E344&gt;G344,D344,IF(G344&gt;E344,F344,"TIE")))</f>
        <v/>
      </c>
      <c r="J344" s="0" t="str">
        <f aca="false">IF(OR(E344="",G344="",H344=""),"",IF(E344+H344&gt;G344,D344,IF(E344+H344&lt;G344,F344,"PUSH")))</f>
        <v/>
      </c>
    </row>
    <row r="346" customFormat="false" ht="15" hidden="false" customHeight="true" outlineLevel="0" collapsed="false">
      <c r="A346" s="0" t="s">
        <v>186</v>
      </c>
    </row>
    <row r="347" customFormat="false" ht="15" hidden="false" customHeight="true" outlineLevel="0" collapsed="false">
      <c r="A347" s="0" t="s">
        <v>107</v>
      </c>
      <c r="B347" s="0" t="s">
        <v>108</v>
      </c>
      <c r="C347" s="0" t="s">
        <v>109</v>
      </c>
      <c r="D347" s="0" t="s">
        <v>53</v>
      </c>
      <c r="E347" s="0" t="s">
        <v>110</v>
      </c>
      <c r="F347" s="0" t="s">
        <v>55</v>
      </c>
      <c r="G347" s="0" t="s">
        <v>111</v>
      </c>
      <c r="H347" s="0" t="s">
        <v>112</v>
      </c>
      <c r="I347" s="0" t="s">
        <v>113</v>
      </c>
      <c r="J347" s="0" t="s">
        <v>114</v>
      </c>
    </row>
    <row r="348" customFormat="false" ht="15" hidden="false" customHeight="true" outlineLevel="0" collapsed="false">
      <c r="A348" s="0" t="n">
        <v>22</v>
      </c>
      <c r="B348" s="0" t="s">
        <v>179</v>
      </c>
      <c r="C348" s="0" t="s">
        <v>179</v>
      </c>
      <c r="I348" s="0" t="str">
        <f aca="false">IF(OR(E348="",G348=""),"",IF(E348&gt;G348,D348,IF(G348&gt;E348,F348,"TIE")))</f>
        <v/>
      </c>
      <c r="J348" s="0" t="str">
        <f aca="false">IF(OR(E348="",G348="",H348=""),"",IF(E348+H348&gt;G348,D348,IF(E348+H348&lt;G348,F348,"PUSH")))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9" min="3" style="0" width="14"/>
  </cols>
  <sheetData>
    <row r="1" customFormat="false" ht="17.25" hidden="false" customHeight="true" outlineLevel="0" collapsed="false">
      <c r="A1" s="7" t="s">
        <v>187</v>
      </c>
      <c r="B1" s="7"/>
      <c r="C1" s="7"/>
      <c r="D1" s="7"/>
      <c r="E1" s="7"/>
      <c r="F1" s="7"/>
      <c r="G1" s="7"/>
      <c r="H1" s="7"/>
      <c r="I1" s="7"/>
    </row>
    <row r="2" customFormat="false" ht="15" hidden="false" customHeight="true" outlineLevel="0" collapsed="false">
      <c r="A2" s="6" t="s">
        <v>188</v>
      </c>
    </row>
    <row r="4" customFormat="false" ht="15" hidden="false" customHeight="true" outlineLevel="0" collapsed="false">
      <c r="A4" s="22" t="s">
        <v>52</v>
      </c>
    </row>
    <row r="5" customFormat="false" ht="15" hidden="false" customHeight="true" outlineLevel="0" collapsed="false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customFormat="false" ht="15" hidden="false" customHeight="true" outlineLevel="0" collapsed="false">
      <c r="A6" s="0" t="n">
        <v>1</v>
      </c>
      <c r="B6" s="0" t="str">
        <f aca="false">Roster!B3</f>
        <v>Evan Loeser</v>
      </c>
      <c r="C6" s="3" t="n">
        <f aca="false">SUMPRODUCT(('Picks Detail'!F6:F21&lt;&gt;"")*('Picks Detail'!E6:E21&lt;&gt;"")*('Picks Detail'!F6:F21='Picks Detail'!E6:E21))</f>
        <v>5</v>
      </c>
      <c r="D6" s="0" t="n">
        <v>5</v>
      </c>
      <c r="E6" s="4" t="n">
        <f aca="false">IFERROR(INDEX(C$6:C$17,MATCH(5,A$6:A$17,0)),0)</f>
        <v>10</v>
      </c>
      <c r="F6" s="0" t="str">
        <f aca="false"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 s="4" t="n">
        <f aca="false">IF(F6="W",6,IF(F6="T",3,0))</f>
        <v>0</v>
      </c>
      <c r="H6" s="4" t="n">
        <f aca="false">IF(C6="",0,C6)</f>
        <v>5</v>
      </c>
      <c r="I6" s="4" t="n">
        <f aca="false">G6+H6</f>
        <v>5</v>
      </c>
    </row>
    <row r="7" customFormat="false" ht="15" hidden="false" customHeight="true" outlineLevel="0" collapsed="false">
      <c r="A7" s="0" t="n">
        <v>2</v>
      </c>
      <c r="B7" s="0" t="str">
        <f aca="false">Roster!B4</f>
        <v>Chris Simmons</v>
      </c>
      <c r="C7" s="3" t="n">
        <f aca="false">SUMPRODUCT(('Picks Detail'!G6:G21&lt;&gt;"")*('Picks Detail'!E6:E21&lt;&gt;"")*('Picks Detail'!G6:G21='Picks Detail'!E6:E21))</f>
        <v>6</v>
      </c>
      <c r="D7" s="0" t="n">
        <v>6</v>
      </c>
      <c r="E7" s="4" t="n">
        <f aca="false">IFERROR(INDEX(C$6:C$17,MATCH(6,A$6:A$17,0)),0)</f>
        <v>6</v>
      </c>
      <c r="F7" s="0" t="str">
        <f aca="false"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T</v>
      </c>
      <c r="G7" s="4" t="n">
        <f aca="false">IF(F7="W",6,IF(F7="T",3,0))</f>
        <v>3</v>
      </c>
      <c r="H7" s="4" t="n">
        <f aca="false">IF(C7="",0,C7)</f>
        <v>6</v>
      </c>
      <c r="I7" s="4" t="n">
        <f aca="false">G7+H7</f>
        <v>9</v>
      </c>
    </row>
    <row r="8" customFormat="false" ht="15" hidden="false" customHeight="true" outlineLevel="0" collapsed="false">
      <c r="A8" s="0" t="n">
        <v>3</v>
      </c>
      <c r="B8" s="0" t="str">
        <f aca="false">Roster!B5</f>
        <v>Jack Smith</v>
      </c>
      <c r="C8" s="3" t="n">
        <f aca="false">SUMPRODUCT(('Picks Detail'!H6:H21&lt;&gt;"")*('Picks Detail'!E6:E21&lt;&gt;"")*('Picks Detail'!H6:H21='Picks Detail'!E6:E21))</f>
        <v>8</v>
      </c>
      <c r="D8" s="0" t="n">
        <v>9</v>
      </c>
      <c r="E8" s="4" t="n">
        <f aca="false">IFERROR(INDEX(C$6:C$17,MATCH(9,A$6:A$17,0)),0)</f>
        <v>8</v>
      </c>
      <c r="F8" s="0" t="str">
        <f aca="false"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T</v>
      </c>
      <c r="G8" s="4" t="n">
        <f aca="false">IF(F8="W",6,IF(F8="T",3,0))</f>
        <v>3</v>
      </c>
      <c r="H8" s="4" t="n">
        <f aca="false">IF(C8="",0,C8)</f>
        <v>8</v>
      </c>
      <c r="I8" s="4" t="n">
        <f aca="false">G8+H8</f>
        <v>11</v>
      </c>
    </row>
    <row r="9" customFormat="false" ht="15" hidden="false" customHeight="true" outlineLevel="0" collapsed="false">
      <c r="A9" s="0" t="n">
        <v>4</v>
      </c>
      <c r="B9" s="0" t="str">
        <f aca="false">Roster!B6</f>
        <v>Luke Ussery</v>
      </c>
      <c r="C9" s="3" t="n">
        <f aca="false">SUMPRODUCT(('Picks Detail'!I6:I21&lt;&gt;"")*('Picks Detail'!E6:E21&lt;&gt;"")*('Picks Detail'!I6:I21='Picks Detail'!E6:E21))</f>
        <v>5</v>
      </c>
      <c r="D9" s="0" t="n">
        <v>10</v>
      </c>
      <c r="E9" s="4" t="n">
        <f aca="false">IFERROR(INDEX(C$6:C$17,MATCH(10,A$6:A$17,0)),0)</f>
        <v>11</v>
      </c>
      <c r="F9" s="0" t="str">
        <f aca="false"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 s="4" t="n">
        <f aca="false">IF(F9="W",6,IF(F9="T",3,0))</f>
        <v>0</v>
      </c>
      <c r="H9" s="4" t="n">
        <f aca="false">IF(C9="",0,C9)</f>
        <v>5</v>
      </c>
      <c r="I9" s="4" t="n">
        <f aca="false">G9+H9</f>
        <v>5</v>
      </c>
    </row>
    <row r="10" customFormat="false" ht="15" hidden="false" customHeight="true" outlineLevel="0" collapsed="false">
      <c r="A10" s="0" t="n">
        <v>5</v>
      </c>
      <c r="B10" s="0" t="str">
        <f aca="false">Roster!B7</f>
        <v>Mikayla Simmons</v>
      </c>
      <c r="C10" s="3" t="n">
        <f aca="false">SUMPRODUCT(('Picks Detail'!J6:J21&lt;&gt;"")*('Picks Detail'!E6:E21&lt;&gt;"")*('Picks Detail'!J6:J21='Picks Detail'!E6:E21))</f>
        <v>10</v>
      </c>
      <c r="D10" s="0" t="n">
        <v>1</v>
      </c>
      <c r="E10" s="4" t="n">
        <f aca="false">IFERROR(INDEX(C$6:C$17,MATCH(1,A$6:A$17,0)),0)</f>
        <v>5</v>
      </c>
      <c r="F10" s="0" t="str">
        <f aca="false"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 s="4" t="n">
        <f aca="false">IF(F10="W",6,IF(F10="T",3,0))</f>
        <v>6</v>
      </c>
      <c r="H10" s="4" t="n">
        <f aca="false">IF(C10="",0,C10)</f>
        <v>10</v>
      </c>
      <c r="I10" s="4" t="n">
        <f aca="false">G10+H10</f>
        <v>16</v>
      </c>
    </row>
    <row r="11" customFormat="false" ht="15" hidden="false" customHeight="true" outlineLevel="0" collapsed="false">
      <c r="A11" s="0" t="n">
        <v>6</v>
      </c>
      <c r="B11" s="0" t="str">
        <f aca="false">Roster!B8</f>
        <v>Alan Loeser</v>
      </c>
      <c r="C11" s="3" t="n">
        <f aca="false">SUMPRODUCT(('Picks Detail'!K6:K21&lt;&gt;"")*('Picks Detail'!E6:E21&lt;&gt;"")*('Picks Detail'!K6:K21='Picks Detail'!E6:E21))</f>
        <v>6</v>
      </c>
      <c r="D11" s="0" t="n">
        <v>2</v>
      </c>
      <c r="E11" s="4" t="n">
        <f aca="false">IFERROR(INDEX(C$6:C$17,MATCH(2,A$6:A$17,0)),0)</f>
        <v>6</v>
      </c>
      <c r="F11" s="0" t="str">
        <f aca="false"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T</v>
      </c>
      <c r="G11" s="4" t="n">
        <f aca="false">IF(F11="W",6,IF(F11="T",3,0))</f>
        <v>3</v>
      </c>
      <c r="H11" s="4" t="n">
        <f aca="false">IF(C11="",0,C11)</f>
        <v>6</v>
      </c>
      <c r="I11" s="4" t="n">
        <f aca="false">G11+H11</f>
        <v>9</v>
      </c>
    </row>
    <row r="12" customFormat="false" ht="15" hidden="false" customHeight="true" outlineLevel="0" collapsed="false">
      <c r="A12" s="0" t="n">
        <v>7</v>
      </c>
      <c r="B12" s="0" t="str">
        <f aca="false">Roster!B9</f>
        <v>Caleb Simmons</v>
      </c>
      <c r="C12" s="3" t="n">
        <f aca="false">SUMPRODUCT(('Picks Detail'!L6:L21&lt;&gt;"")*('Picks Detail'!E6:E21&lt;&gt;"")*('Picks Detail'!L6:L21='Picks Detail'!E6:E21))</f>
        <v>7</v>
      </c>
      <c r="D12" s="0" t="n">
        <v>11</v>
      </c>
      <c r="E12" s="4" t="n">
        <f aca="false">IFERROR(INDEX(C$6:C$17,MATCH(11,A$6:A$17,0)),0)</f>
        <v>10</v>
      </c>
      <c r="F12" s="0" t="str">
        <f aca="false"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 s="4" t="n">
        <f aca="false">IF(F12="W",6,IF(F12="T",3,0))</f>
        <v>0</v>
      </c>
      <c r="H12" s="4" t="n">
        <f aca="false">IF(C12="",0,C12)</f>
        <v>7</v>
      </c>
      <c r="I12" s="4" t="n">
        <f aca="false">G12+H12</f>
        <v>7</v>
      </c>
    </row>
    <row r="13" customFormat="false" ht="15" hidden="false" customHeight="true" outlineLevel="0" collapsed="false">
      <c r="A13" s="0" t="n">
        <v>8</v>
      </c>
      <c r="B13" s="0" t="str">
        <f aca="false">Roster!B10</f>
        <v>Larry Loeser</v>
      </c>
      <c r="C13" s="3" t="n">
        <f aca="false">SUMPRODUCT(('Picks Detail'!M6:M21&lt;&gt;"")*('Picks Detail'!E6:E21&lt;&gt;"")*('Picks Detail'!M6:M21='Picks Detail'!E6:E21))</f>
        <v>9</v>
      </c>
      <c r="D13" s="0" t="n">
        <v>12</v>
      </c>
      <c r="E13" s="4" t="n">
        <f aca="false">IFERROR(INDEX(C$6:C$17,MATCH(12,A$6:A$17,0)),0)</f>
        <v>9</v>
      </c>
      <c r="F13" s="0" t="str">
        <f aca="false"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W</v>
      </c>
      <c r="G13" s="4" t="n">
        <f aca="false">IF(F13="W",6,IF(F13="T",3,0))</f>
        <v>6</v>
      </c>
      <c r="H13" s="4" t="n">
        <f aca="false">IF(C13="",0,C13)</f>
        <v>9</v>
      </c>
      <c r="I13" s="4" t="n">
        <f aca="false">G13+H13</f>
        <v>15</v>
      </c>
    </row>
    <row r="14" customFormat="false" ht="15" hidden="false" customHeight="true" outlineLevel="0" collapsed="false">
      <c r="A14" s="0" t="n">
        <v>9</v>
      </c>
      <c r="B14" s="0" t="str">
        <f aca="false">Roster!B11</f>
        <v>Daddy Michael</v>
      </c>
      <c r="C14" s="3" t="n">
        <f aca="false">SUMPRODUCT(('Picks Detail'!N6:N21&lt;&gt;"")*('Picks Detail'!E6:E21&lt;&gt;"")*('Picks Detail'!N6:N21='Picks Detail'!E6:E21))</f>
        <v>8</v>
      </c>
      <c r="D14" s="0" t="n">
        <v>3</v>
      </c>
      <c r="E14" s="4" t="n">
        <f aca="false">IFERROR(INDEX(C$6:C$17,MATCH(3,A$6:A$17,0)),0)</f>
        <v>8</v>
      </c>
      <c r="F14" s="0" t="str">
        <f aca="false"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T</v>
      </c>
      <c r="G14" s="4" t="n">
        <f aca="false">IF(F14="W",6,IF(F14="T",3,0))</f>
        <v>3</v>
      </c>
      <c r="H14" s="4" t="n">
        <f aca="false">IF(C14="",0,C14)</f>
        <v>8</v>
      </c>
      <c r="I14" s="4" t="n">
        <f aca="false">G14+H14</f>
        <v>11</v>
      </c>
    </row>
    <row r="15" customFormat="false" ht="15" hidden="false" customHeight="true" outlineLevel="0" collapsed="false">
      <c r="A15" s="0" t="n">
        <v>10</v>
      </c>
      <c r="B15" s="0" t="str">
        <f aca="false">Roster!B12</f>
        <v>Zach Zarra</v>
      </c>
      <c r="C15" s="3" t="n">
        <f aca="false">SUMPRODUCT(('Picks Detail'!O6:O21&lt;&gt;"")*('Picks Detail'!E6:E21&lt;&gt;"")*('Picks Detail'!O6:O21='Picks Detail'!E6:E21))</f>
        <v>11</v>
      </c>
      <c r="D15" s="0" t="n">
        <v>4</v>
      </c>
      <c r="E15" s="4" t="n">
        <f aca="false">IFERROR(INDEX(C$6:C$17,MATCH(4,A$6:A$17,0)),0)</f>
        <v>5</v>
      </c>
      <c r="F15" s="0" t="str">
        <f aca="false"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 s="4" t="n">
        <f aca="false">IF(F15="W",6,IF(F15="T",3,0))</f>
        <v>6</v>
      </c>
      <c r="H15" s="4" t="n">
        <f aca="false">IF(C15="",0,C15)</f>
        <v>11</v>
      </c>
      <c r="I15" s="4" t="n">
        <f aca="false">G15+H15</f>
        <v>17</v>
      </c>
    </row>
    <row r="16" customFormat="false" ht="15" hidden="false" customHeight="true" outlineLevel="0" collapsed="false">
      <c r="A16" s="0" t="n">
        <v>11</v>
      </c>
      <c r="B16" s="0" t="str">
        <f aca="false">Roster!B13</f>
        <v>Jeffrey Loeser</v>
      </c>
      <c r="C16" s="3" t="n">
        <f aca="false">SUMPRODUCT(('Picks Detail'!P6:P21&lt;&gt;"")*('Picks Detail'!E6:E21&lt;&gt;"")*('Picks Detail'!P6:P21='Picks Detail'!E6:E21))</f>
        <v>10</v>
      </c>
      <c r="D16" s="0" t="n">
        <v>7</v>
      </c>
      <c r="E16" s="4" t="n">
        <f aca="false">IFERROR(INDEX(C$6:C$17,MATCH(7,A$6:A$17,0)),0)</f>
        <v>7</v>
      </c>
      <c r="F16" s="0" t="str">
        <f aca="false"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 s="4" t="n">
        <f aca="false">IF(F16="W",6,IF(F16="T",3,0))</f>
        <v>6</v>
      </c>
      <c r="H16" s="4" t="n">
        <f aca="false">IF(C16="",0,C16)</f>
        <v>10</v>
      </c>
      <c r="I16" s="4" t="n">
        <f aca="false">G16+H16</f>
        <v>16</v>
      </c>
    </row>
    <row r="17" customFormat="false" ht="15" hidden="false" customHeight="true" outlineLevel="0" collapsed="false">
      <c r="A17" s="0" t="n">
        <v>12</v>
      </c>
      <c r="B17" s="0" t="str">
        <f aca="false">Roster!B14</f>
        <v>Jake Andrews</v>
      </c>
      <c r="C17" s="3" t="n">
        <f aca="false">SUMPRODUCT(('Picks Detail'!Q6:Q21&lt;&gt;"")*('Picks Detail'!E6:E21&lt;&gt;"")*('Picks Detail'!Q6:Q21='Picks Detail'!E6:E21))</f>
        <v>9</v>
      </c>
      <c r="D17" s="0" t="n">
        <v>8</v>
      </c>
      <c r="E17" s="4" t="n">
        <f aca="false">IFERROR(INDEX(C$6:C$17,MATCH(8,A$6:A$17,0)),0)</f>
        <v>9</v>
      </c>
      <c r="F17" s="0" t="str">
        <f aca="false"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L</v>
      </c>
      <c r="G17" s="4" t="n">
        <f aca="false">IF(F17="W",6,IF(F17="T",3,0))</f>
        <v>0</v>
      </c>
      <c r="H17" s="4" t="n">
        <f aca="false">IF(C17="",0,C17)</f>
        <v>9</v>
      </c>
      <c r="I17" s="4" t="n">
        <f aca="false">G17+H17</f>
        <v>9</v>
      </c>
    </row>
    <row r="19" customFormat="false" ht="15" hidden="false" customHeight="true" outlineLevel="0" collapsed="false">
      <c r="A19" s="22" t="s">
        <v>90</v>
      </c>
    </row>
    <row r="20" customFormat="false" ht="15" hidden="false" customHeight="true" outlineLevel="0" collapsed="false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customFormat="false" ht="15" hidden="false" customHeight="true" outlineLevel="0" collapsed="false">
      <c r="A21" s="0" t="n">
        <v>1</v>
      </c>
      <c r="B21" s="0" t="str">
        <f aca="false">Roster!B3</f>
        <v>Evan Loeser</v>
      </c>
      <c r="C21" s="3" t="n">
        <f aca="false">SUMPRODUCT(('Picks Detail'!F25:F40&lt;&gt;"")*('Picks Detail'!E25:E40&lt;&gt;"")*('Picks Detail'!F25:F40='Picks Detail'!E25:E40))</f>
        <v>0</v>
      </c>
      <c r="D21" s="0" t="n">
        <v>6</v>
      </c>
      <c r="E21" s="4" t="n">
        <f aca="false">IFERROR(INDEX(C$21:C$32,MATCH(6,A$21:A$32,0)),0)</f>
        <v>0</v>
      </c>
      <c r="F21" s="0" t="str">
        <f aca="false"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-</v>
      </c>
      <c r="G21" s="4" t="n">
        <f aca="false">IF(F21="W",6,IF(F21="T",3,0))</f>
        <v>0</v>
      </c>
      <c r="H21" s="4" t="n">
        <f aca="false">IF(C21="",0,C21)</f>
        <v>0</v>
      </c>
      <c r="I21" s="4" t="n">
        <f aca="false">G21+H21</f>
        <v>0</v>
      </c>
    </row>
    <row r="22" customFormat="false" ht="15" hidden="false" customHeight="true" outlineLevel="0" collapsed="false">
      <c r="A22" s="0" t="n">
        <v>2</v>
      </c>
      <c r="B22" s="0" t="str">
        <f aca="false">Roster!B4</f>
        <v>Chris Simmons</v>
      </c>
      <c r="C22" s="3" t="n">
        <f aca="false">SUMPRODUCT(('Picks Detail'!G25:G40&lt;&gt;"")*('Picks Detail'!E25:E40&lt;&gt;"")*('Picks Detail'!G25:G40='Picks Detail'!E25:E40))</f>
        <v>0</v>
      </c>
      <c r="D22" s="0" t="n">
        <v>5</v>
      </c>
      <c r="E22" s="4" t="n">
        <f aca="false">IFERROR(INDEX(C$21:C$32,MATCH(5,A$21:A$32,0)),0)</f>
        <v>0</v>
      </c>
      <c r="F22" s="0" t="str">
        <f aca="false"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-</v>
      </c>
      <c r="G22" s="4" t="n">
        <f aca="false">IF(F22="W",6,IF(F22="T",3,0))</f>
        <v>0</v>
      </c>
      <c r="H22" s="4" t="n">
        <f aca="false">IF(C22="",0,C22)</f>
        <v>0</v>
      </c>
      <c r="I22" s="4" t="n">
        <f aca="false">G22+H22</f>
        <v>0</v>
      </c>
    </row>
    <row r="23" customFormat="false" ht="15" hidden="false" customHeight="true" outlineLevel="0" collapsed="false">
      <c r="A23" s="0" t="n">
        <v>3</v>
      </c>
      <c r="B23" s="0" t="str">
        <f aca="false">Roster!B5</f>
        <v>Jack Smith</v>
      </c>
      <c r="C23" s="3" t="n">
        <f aca="false">SUMPRODUCT(('Picks Detail'!H25:H40&lt;&gt;"")*('Picks Detail'!E25:E40&lt;&gt;"")*('Picks Detail'!H25:H40='Picks Detail'!E25:E40))</f>
        <v>0</v>
      </c>
      <c r="D23" s="0" t="n">
        <v>10</v>
      </c>
      <c r="E23" s="4" t="n">
        <f aca="false">IFERROR(INDEX(C$21:C$32,MATCH(10,A$21:A$32,0)),0)</f>
        <v>0</v>
      </c>
      <c r="F23" s="0" t="str">
        <f aca="false"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-</v>
      </c>
      <c r="G23" s="4" t="n">
        <f aca="false">IF(F23="W",6,IF(F23="T",3,0))</f>
        <v>0</v>
      </c>
      <c r="H23" s="4" t="n">
        <f aca="false">IF(C23="",0,C23)</f>
        <v>0</v>
      </c>
      <c r="I23" s="4" t="n">
        <f aca="false">G23+H23</f>
        <v>0</v>
      </c>
    </row>
    <row r="24" customFormat="false" ht="15" hidden="false" customHeight="true" outlineLevel="0" collapsed="false">
      <c r="A24" s="0" t="n">
        <v>4</v>
      </c>
      <c r="B24" s="0" t="str">
        <f aca="false">Roster!B6</f>
        <v>Luke Ussery</v>
      </c>
      <c r="C24" s="3" t="n">
        <f aca="false">SUMPRODUCT(('Picks Detail'!I25:I40&lt;&gt;"")*('Picks Detail'!E25:E40&lt;&gt;"")*('Picks Detail'!I25:I40='Picks Detail'!E25:E40))</f>
        <v>0</v>
      </c>
      <c r="D24" s="0" t="n">
        <v>9</v>
      </c>
      <c r="E24" s="4" t="n">
        <f aca="false">IFERROR(INDEX(C$21:C$32,MATCH(9,A$21:A$32,0)),0)</f>
        <v>0</v>
      </c>
      <c r="F24" s="0" t="str">
        <f aca="false"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-</v>
      </c>
      <c r="G24" s="4" t="n">
        <f aca="false">IF(F24="W",6,IF(F24="T",3,0))</f>
        <v>0</v>
      </c>
      <c r="H24" s="4" t="n">
        <f aca="false">IF(C24="",0,C24)</f>
        <v>0</v>
      </c>
      <c r="I24" s="4" t="n">
        <f aca="false">G24+H24</f>
        <v>0</v>
      </c>
    </row>
    <row r="25" customFormat="false" ht="15" hidden="false" customHeight="true" outlineLevel="0" collapsed="false">
      <c r="A25" s="0" t="n">
        <v>5</v>
      </c>
      <c r="B25" s="0" t="str">
        <f aca="false">Roster!B7</f>
        <v>Mikayla Simmons</v>
      </c>
      <c r="C25" s="3" t="n">
        <f aca="false">SUMPRODUCT(('Picks Detail'!J25:J40&lt;&gt;"")*('Picks Detail'!E25:E40&lt;&gt;"")*('Picks Detail'!J25:J40='Picks Detail'!E25:E40))</f>
        <v>0</v>
      </c>
      <c r="D25" s="0" t="n">
        <v>2</v>
      </c>
      <c r="E25" s="4" t="n">
        <f aca="false">IFERROR(INDEX(C$21:C$32,MATCH(2,A$21:A$32,0)),0)</f>
        <v>0</v>
      </c>
      <c r="F25" s="0" t="str">
        <f aca="false"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-</v>
      </c>
      <c r="G25" s="4" t="n">
        <f aca="false">IF(F25="W",6,IF(F25="T",3,0))</f>
        <v>0</v>
      </c>
      <c r="H25" s="4" t="n">
        <f aca="false">IF(C25="",0,C25)</f>
        <v>0</v>
      </c>
      <c r="I25" s="4" t="n">
        <f aca="false">G25+H25</f>
        <v>0</v>
      </c>
    </row>
    <row r="26" customFormat="false" ht="15" hidden="false" customHeight="true" outlineLevel="0" collapsed="false">
      <c r="A26" s="0" t="n">
        <v>6</v>
      </c>
      <c r="B26" s="0" t="str">
        <f aca="false">Roster!B8</f>
        <v>Alan Loeser</v>
      </c>
      <c r="C26" s="3" t="n">
        <f aca="false">SUMPRODUCT(('Picks Detail'!K25:K40&lt;&gt;"")*('Picks Detail'!E25:E40&lt;&gt;"")*('Picks Detail'!K25:K40='Picks Detail'!E25:E40))</f>
        <v>0</v>
      </c>
      <c r="D26" s="0" t="n">
        <v>1</v>
      </c>
      <c r="E26" s="4" t="n">
        <f aca="false">IFERROR(INDEX(C$21:C$32,MATCH(1,A$21:A$32,0)),0)</f>
        <v>0</v>
      </c>
      <c r="F26" s="0" t="str">
        <f aca="false"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-</v>
      </c>
      <c r="G26" s="4" t="n">
        <f aca="false">IF(F26="W",6,IF(F26="T",3,0))</f>
        <v>0</v>
      </c>
      <c r="H26" s="4" t="n">
        <f aca="false">IF(C26="",0,C26)</f>
        <v>0</v>
      </c>
      <c r="I26" s="4" t="n">
        <f aca="false">G26+H26</f>
        <v>0</v>
      </c>
    </row>
    <row r="27" customFormat="false" ht="15" hidden="false" customHeight="true" outlineLevel="0" collapsed="false">
      <c r="A27" s="0" t="n">
        <v>7</v>
      </c>
      <c r="B27" s="0" t="str">
        <f aca="false">Roster!B9</f>
        <v>Caleb Simmons</v>
      </c>
      <c r="C27" s="3" t="n">
        <f aca="false">SUMPRODUCT(('Picks Detail'!L25:L40&lt;&gt;"")*('Picks Detail'!E25:E40&lt;&gt;"")*('Picks Detail'!L25:L40='Picks Detail'!E25:E40))</f>
        <v>0</v>
      </c>
      <c r="D27" s="0" t="n">
        <v>12</v>
      </c>
      <c r="E27" s="4" t="n">
        <f aca="false">IFERROR(INDEX(C$21:C$32,MATCH(12,A$21:A$32,0)),0)</f>
        <v>0</v>
      </c>
      <c r="F27" s="0" t="str">
        <f aca="false"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-</v>
      </c>
      <c r="G27" s="4" t="n">
        <f aca="false">IF(F27="W",6,IF(F27="T",3,0))</f>
        <v>0</v>
      </c>
      <c r="H27" s="4" t="n">
        <f aca="false">IF(C27="",0,C27)</f>
        <v>0</v>
      </c>
      <c r="I27" s="4" t="n">
        <f aca="false">G27+H27</f>
        <v>0</v>
      </c>
    </row>
    <row r="28" customFormat="false" ht="15" hidden="false" customHeight="true" outlineLevel="0" collapsed="false">
      <c r="A28" s="0" t="n">
        <v>8</v>
      </c>
      <c r="B28" s="0" t="str">
        <f aca="false">Roster!B10</f>
        <v>Larry Loeser</v>
      </c>
      <c r="C28" s="3" t="n">
        <f aca="false">SUMPRODUCT(('Picks Detail'!M25:M40&lt;&gt;"")*('Picks Detail'!E25:E40&lt;&gt;"")*('Picks Detail'!M25:M40='Picks Detail'!E25:E40))</f>
        <v>0</v>
      </c>
      <c r="D28" s="0" t="n">
        <v>11</v>
      </c>
      <c r="E28" s="4" t="n">
        <f aca="false">IFERROR(INDEX(C$21:C$32,MATCH(11,A$21:A$32,0)),0)</f>
        <v>0</v>
      </c>
      <c r="F28" s="0" t="str">
        <f aca="false"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-</v>
      </c>
      <c r="G28" s="4" t="n">
        <f aca="false">IF(F28="W",6,IF(F28="T",3,0))</f>
        <v>0</v>
      </c>
      <c r="H28" s="4" t="n">
        <f aca="false">IF(C28="",0,C28)</f>
        <v>0</v>
      </c>
      <c r="I28" s="4" t="n">
        <f aca="false">G28+H28</f>
        <v>0</v>
      </c>
    </row>
    <row r="29" customFormat="false" ht="15" hidden="false" customHeight="true" outlineLevel="0" collapsed="false">
      <c r="A29" s="0" t="n">
        <v>9</v>
      </c>
      <c r="B29" s="0" t="str">
        <f aca="false">Roster!B11</f>
        <v>Daddy Michael</v>
      </c>
      <c r="C29" s="3" t="n">
        <f aca="false">SUMPRODUCT(('Picks Detail'!N25:N40&lt;&gt;"")*('Picks Detail'!E25:E40&lt;&gt;"")*('Picks Detail'!N25:N40='Picks Detail'!E25:E40))</f>
        <v>0</v>
      </c>
      <c r="D29" s="0" t="n">
        <v>4</v>
      </c>
      <c r="E29" s="4" t="n">
        <f aca="false">IFERROR(INDEX(C$21:C$32,MATCH(4,A$21:A$32,0)),0)</f>
        <v>0</v>
      </c>
      <c r="F29" s="0" t="str">
        <f aca="false"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-</v>
      </c>
      <c r="G29" s="4" t="n">
        <f aca="false">IF(F29="W",6,IF(F29="T",3,0))</f>
        <v>0</v>
      </c>
      <c r="H29" s="4" t="n">
        <f aca="false">IF(C29="",0,C29)</f>
        <v>0</v>
      </c>
      <c r="I29" s="4" t="n">
        <f aca="false">G29+H29</f>
        <v>0</v>
      </c>
    </row>
    <row r="30" customFormat="false" ht="15" hidden="false" customHeight="true" outlineLevel="0" collapsed="false">
      <c r="A30" s="0" t="n">
        <v>10</v>
      </c>
      <c r="B30" s="0" t="str">
        <f aca="false">Roster!B12</f>
        <v>Zach Zarra</v>
      </c>
      <c r="C30" s="3" t="n">
        <f aca="false">SUMPRODUCT(('Picks Detail'!O25:O40&lt;&gt;"")*('Picks Detail'!E25:E40&lt;&gt;"")*('Picks Detail'!O25:O40='Picks Detail'!E25:E40))</f>
        <v>0</v>
      </c>
      <c r="D30" s="0" t="n">
        <v>3</v>
      </c>
      <c r="E30" s="4" t="n">
        <f aca="false">IFERROR(INDEX(C$21:C$32,MATCH(3,A$21:A$32,0)),0)</f>
        <v>0</v>
      </c>
      <c r="F30" s="0" t="str">
        <f aca="false"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-</v>
      </c>
      <c r="G30" s="4" t="n">
        <f aca="false">IF(F30="W",6,IF(F30="T",3,0))</f>
        <v>0</v>
      </c>
      <c r="H30" s="4" t="n">
        <f aca="false">IF(C30="",0,C30)</f>
        <v>0</v>
      </c>
      <c r="I30" s="4" t="n">
        <f aca="false">G30+H30</f>
        <v>0</v>
      </c>
    </row>
    <row r="31" customFormat="false" ht="15" hidden="false" customHeight="true" outlineLevel="0" collapsed="false">
      <c r="A31" s="0" t="n">
        <v>11</v>
      </c>
      <c r="B31" s="0" t="str">
        <f aca="false">Roster!B13</f>
        <v>Jeffrey Loeser</v>
      </c>
      <c r="C31" s="3" t="n">
        <f aca="false">SUMPRODUCT(('Picks Detail'!P25:P40&lt;&gt;"")*('Picks Detail'!E25:E40&lt;&gt;"")*('Picks Detail'!P25:P40='Picks Detail'!E25:E40))</f>
        <v>0</v>
      </c>
      <c r="D31" s="0" t="n">
        <v>8</v>
      </c>
      <c r="E31" s="4" t="n">
        <f aca="false">IFERROR(INDEX(C$21:C$32,MATCH(8,A$21:A$32,0)),0)</f>
        <v>0</v>
      </c>
      <c r="F31" s="0" t="str">
        <f aca="false"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-</v>
      </c>
      <c r="G31" s="4" t="n">
        <f aca="false">IF(F31="W",6,IF(F31="T",3,0))</f>
        <v>0</v>
      </c>
      <c r="H31" s="4" t="n">
        <f aca="false">IF(C31="",0,C31)</f>
        <v>0</v>
      </c>
      <c r="I31" s="4" t="n">
        <f aca="false">G31+H31</f>
        <v>0</v>
      </c>
    </row>
    <row r="32" customFormat="false" ht="15" hidden="false" customHeight="true" outlineLevel="0" collapsed="false">
      <c r="A32" s="0" t="n">
        <v>12</v>
      </c>
      <c r="B32" s="0" t="str">
        <f aca="false">Roster!B14</f>
        <v>Jake Andrews</v>
      </c>
      <c r="C32" s="3" t="n">
        <f aca="false">SUMPRODUCT(('Picks Detail'!Q25:Q40&lt;&gt;"")*('Picks Detail'!E25:E40&lt;&gt;"")*('Picks Detail'!Q25:Q40='Picks Detail'!E25:E40))</f>
        <v>0</v>
      </c>
      <c r="D32" s="0" t="n">
        <v>7</v>
      </c>
      <c r="E32" s="4" t="n">
        <f aca="false">IFERROR(INDEX(C$21:C$32,MATCH(7,A$21:A$32,0)),0)</f>
        <v>0</v>
      </c>
      <c r="F32" s="0" t="str">
        <f aca="false"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-</v>
      </c>
      <c r="G32" s="4" t="n">
        <f aca="false">IF(F32="W",6,IF(F32="T",3,0))</f>
        <v>0</v>
      </c>
      <c r="H32" s="4" t="n">
        <f aca="false">IF(C32="",0,C32)</f>
        <v>0</v>
      </c>
      <c r="I32" s="4" t="n">
        <f aca="false">G32+H32</f>
        <v>0</v>
      </c>
    </row>
    <row r="34" customFormat="false" ht="15" hidden="false" customHeight="true" outlineLevel="0" collapsed="false">
      <c r="A34" s="22" t="s">
        <v>91</v>
      </c>
    </row>
    <row r="35" customFormat="false" ht="15" hidden="false" customHeight="true" outlineLevel="0" collapsed="false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customFormat="false" ht="15" hidden="false" customHeight="true" outlineLevel="0" collapsed="false">
      <c r="A36" s="0" t="n">
        <v>1</v>
      </c>
      <c r="B36" s="0" t="str">
        <f aca="false">Roster!B3</f>
        <v>Evan Loeser</v>
      </c>
      <c r="C36" s="3" t="n">
        <f aca="false">SUMPRODUCT(('Picks Detail'!F44:F59&lt;&gt;"")*('Picks Detail'!E44:E59&lt;&gt;"")*('Picks Detail'!F44:F59='Picks Detail'!E44:E59))</f>
        <v>0</v>
      </c>
      <c r="D36" s="0" t="n">
        <v>7</v>
      </c>
      <c r="E36" s="4" t="n">
        <f aca="false">IFERROR(INDEX(C$36:C$47,MATCH(7,A$36:A$47,0)),0)</f>
        <v>0</v>
      </c>
      <c r="F36" s="0" t="str">
        <f aca="false"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 s="4" t="n">
        <f aca="false">IF(F36="W",6,IF(F36="T",3,0))</f>
        <v>0</v>
      </c>
      <c r="H36" s="4" t="n">
        <f aca="false">IF(C36="",0,C36)</f>
        <v>0</v>
      </c>
      <c r="I36" s="4" t="n">
        <f aca="false">G36+H36</f>
        <v>0</v>
      </c>
    </row>
    <row r="37" customFormat="false" ht="15" hidden="false" customHeight="true" outlineLevel="0" collapsed="false">
      <c r="A37" s="0" t="n">
        <v>2</v>
      </c>
      <c r="B37" s="0" t="str">
        <f aca="false">Roster!B4</f>
        <v>Chris Simmons</v>
      </c>
      <c r="C37" s="3" t="n">
        <f aca="false">SUMPRODUCT(('Picks Detail'!G44:G59&lt;&gt;"")*('Picks Detail'!E44:E59&lt;&gt;"")*('Picks Detail'!G44:G59='Picks Detail'!E44:E59))</f>
        <v>0</v>
      </c>
      <c r="D37" s="0" t="n">
        <v>8</v>
      </c>
      <c r="E37" s="4" t="n">
        <f aca="false">IFERROR(INDEX(C$36:C$47,MATCH(8,A$36:A$47,0)),0)</f>
        <v>0</v>
      </c>
      <c r="F37" s="0" t="str">
        <f aca="false"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 s="4" t="n">
        <f aca="false">IF(F37="W",6,IF(F37="T",3,0))</f>
        <v>0</v>
      </c>
      <c r="H37" s="4" t="n">
        <f aca="false">IF(C37="",0,C37)</f>
        <v>0</v>
      </c>
      <c r="I37" s="4" t="n">
        <f aca="false">G37+H37</f>
        <v>0</v>
      </c>
    </row>
    <row r="38" customFormat="false" ht="15" hidden="false" customHeight="true" outlineLevel="0" collapsed="false">
      <c r="A38" s="0" t="n">
        <v>3</v>
      </c>
      <c r="B38" s="0" t="str">
        <f aca="false">Roster!B5</f>
        <v>Jack Smith</v>
      </c>
      <c r="C38" s="3" t="n">
        <f aca="false">SUMPRODUCT(('Picks Detail'!H44:H59&lt;&gt;"")*('Picks Detail'!E44:E59&lt;&gt;"")*('Picks Detail'!H44:H59='Picks Detail'!E44:E59))</f>
        <v>0</v>
      </c>
      <c r="D38" s="0" t="n">
        <v>11</v>
      </c>
      <c r="E38" s="4" t="n">
        <f aca="false">IFERROR(INDEX(C$36:C$47,MATCH(11,A$36:A$47,0)),0)</f>
        <v>0</v>
      </c>
      <c r="F38" s="0" t="str">
        <f aca="false"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 s="4" t="n">
        <f aca="false">IF(F38="W",6,IF(F38="T",3,0))</f>
        <v>0</v>
      </c>
      <c r="H38" s="4" t="n">
        <f aca="false">IF(C38="",0,C38)</f>
        <v>0</v>
      </c>
      <c r="I38" s="4" t="n">
        <f aca="false">G38+H38</f>
        <v>0</v>
      </c>
    </row>
    <row r="39" customFormat="false" ht="15" hidden="false" customHeight="true" outlineLevel="0" collapsed="false">
      <c r="A39" s="0" t="n">
        <v>4</v>
      </c>
      <c r="B39" s="0" t="str">
        <f aca="false">Roster!B6</f>
        <v>Luke Ussery</v>
      </c>
      <c r="C39" s="3" t="n">
        <f aca="false">SUMPRODUCT(('Picks Detail'!I44:I59&lt;&gt;"")*('Picks Detail'!E44:E59&lt;&gt;"")*('Picks Detail'!I44:I59='Picks Detail'!E44:E59))</f>
        <v>0</v>
      </c>
      <c r="D39" s="0" t="n">
        <v>12</v>
      </c>
      <c r="E39" s="4" t="n">
        <f aca="false">IFERROR(INDEX(C$36:C$47,MATCH(12,A$36:A$47,0)),0)</f>
        <v>0</v>
      </c>
      <c r="F39" s="0" t="str">
        <f aca="false"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 s="4" t="n">
        <f aca="false">IF(F39="W",6,IF(F39="T",3,0))</f>
        <v>0</v>
      </c>
      <c r="H39" s="4" t="n">
        <f aca="false">IF(C39="",0,C39)</f>
        <v>0</v>
      </c>
      <c r="I39" s="4" t="n">
        <f aca="false">G39+H39</f>
        <v>0</v>
      </c>
    </row>
    <row r="40" customFormat="false" ht="15" hidden="false" customHeight="true" outlineLevel="0" collapsed="false">
      <c r="A40" s="0" t="n">
        <v>5</v>
      </c>
      <c r="B40" s="0" t="str">
        <f aca="false">Roster!B7</f>
        <v>Mikayla Simmons</v>
      </c>
      <c r="C40" s="3" t="n">
        <f aca="false">SUMPRODUCT(('Picks Detail'!J44:J59&lt;&gt;"")*('Picks Detail'!E44:E59&lt;&gt;"")*('Picks Detail'!J44:J59='Picks Detail'!E44:E59))</f>
        <v>0</v>
      </c>
      <c r="D40" s="0" t="n">
        <v>9</v>
      </c>
      <c r="E40" s="4" t="n">
        <f aca="false">IFERROR(INDEX(C$36:C$47,MATCH(9,A$36:A$47,0)),0)</f>
        <v>0</v>
      </c>
      <c r="F40" s="0" t="str">
        <f aca="false"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 s="4" t="n">
        <f aca="false">IF(F40="W",6,IF(F40="T",3,0))</f>
        <v>0</v>
      </c>
      <c r="H40" s="4" t="n">
        <f aca="false">IF(C40="",0,C40)</f>
        <v>0</v>
      </c>
      <c r="I40" s="4" t="n">
        <f aca="false">G40+H40</f>
        <v>0</v>
      </c>
    </row>
    <row r="41" customFormat="false" ht="15" hidden="false" customHeight="true" outlineLevel="0" collapsed="false">
      <c r="A41" s="0" t="n">
        <v>6</v>
      </c>
      <c r="B41" s="0" t="str">
        <f aca="false">Roster!B8</f>
        <v>Alan Loeser</v>
      </c>
      <c r="C41" s="3" t="n">
        <f aca="false">SUMPRODUCT(('Picks Detail'!K44:K59&lt;&gt;"")*('Picks Detail'!E44:E59&lt;&gt;"")*('Picks Detail'!K44:K59='Picks Detail'!E44:E59))</f>
        <v>0</v>
      </c>
      <c r="D41" s="0" t="n">
        <v>10</v>
      </c>
      <c r="E41" s="4" t="n">
        <f aca="false">IFERROR(INDEX(C$36:C$47,MATCH(10,A$36:A$47,0)),0)</f>
        <v>0</v>
      </c>
      <c r="F41" s="0" t="str">
        <f aca="false"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 s="4" t="n">
        <f aca="false">IF(F41="W",6,IF(F41="T",3,0))</f>
        <v>0</v>
      </c>
      <c r="H41" s="4" t="n">
        <f aca="false">IF(C41="",0,C41)</f>
        <v>0</v>
      </c>
      <c r="I41" s="4" t="n">
        <f aca="false">G41+H41</f>
        <v>0</v>
      </c>
    </row>
    <row r="42" customFormat="false" ht="15" hidden="false" customHeight="true" outlineLevel="0" collapsed="false">
      <c r="A42" s="0" t="n">
        <v>7</v>
      </c>
      <c r="B42" s="0" t="str">
        <f aca="false">Roster!B9</f>
        <v>Caleb Simmons</v>
      </c>
      <c r="C42" s="3" t="n">
        <f aca="false">SUMPRODUCT(('Picks Detail'!L44:L59&lt;&gt;"")*('Picks Detail'!E44:E59&lt;&gt;"")*('Picks Detail'!L44:L59='Picks Detail'!E44:E59))</f>
        <v>0</v>
      </c>
      <c r="D42" s="0" t="n">
        <v>1</v>
      </c>
      <c r="E42" s="4" t="n">
        <f aca="false">IFERROR(INDEX(C$36:C$47,MATCH(1,A$36:A$47,0)),0)</f>
        <v>0</v>
      </c>
      <c r="F42" s="0" t="str">
        <f aca="false"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 s="4" t="n">
        <f aca="false">IF(F42="W",6,IF(F42="T",3,0))</f>
        <v>0</v>
      </c>
      <c r="H42" s="4" t="n">
        <f aca="false">IF(C42="",0,C42)</f>
        <v>0</v>
      </c>
      <c r="I42" s="4" t="n">
        <f aca="false">G42+H42</f>
        <v>0</v>
      </c>
    </row>
    <row r="43" customFormat="false" ht="15" hidden="false" customHeight="true" outlineLevel="0" collapsed="false">
      <c r="A43" s="0" t="n">
        <v>8</v>
      </c>
      <c r="B43" s="0" t="str">
        <f aca="false">Roster!B10</f>
        <v>Larry Loeser</v>
      </c>
      <c r="C43" s="3" t="n">
        <f aca="false">SUMPRODUCT(('Picks Detail'!M44:M59&lt;&gt;"")*('Picks Detail'!E44:E59&lt;&gt;"")*('Picks Detail'!M44:M59='Picks Detail'!E44:E59))</f>
        <v>0</v>
      </c>
      <c r="D43" s="0" t="n">
        <v>2</v>
      </c>
      <c r="E43" s="4" t="n">
        <f aca="false">IFERROR(INDEX(C$36:C$47,MATCH(2,A$36:A$47,0)),0)</f>
        <v>0</v>
      </c>
      <c r="F43" s="0" t="str">
        <f aca="false"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 s="4" t="n">
        <f aca="false">IF(F43="W",6,IF(F43="T",3,0))</f>
        <v>0</v>
      </c>
      <c r="H43" s="4" t="n">
        <f aca="false">IF(C43="",0,C43)</f>
        <v>0</v>
      </c>
      <c r="I43" s="4" t="n">
        <f aca="false">G43+H43</f>
        <v>0</v>
      </c>
    </row>
    <row r="44" customFormat="false" ht="15" hidden="false" customHeight="true" outlineLevel="0" collapsed="false">
      <c r="A44" s="0" t="n">
        <v>9</v>
      </c>
      <c r="B44" s="0" t="str">
        <f aca="false">Roster!B11</f>
        <v>Daddy Michael</v>
      </c>
      <c r="C44" s="3" t="n">
        <f aca="false">SUMPRODUCT(('Picks Detail'!N44:N59&lt;&gt;"")*('Picks Detail'!E44:E59&lt;&gt;"")*('Picks Detail'!N44:N59='Picks Detail'!E44:E59))</f>
        <v>0</v>
      </c>
      <c r="D44" s="0" t="n">
        <v>5</v>
      </c>
      <c r="E44" s="4" t="n">
        <f aca="false">IFERROR(INDEX(C$36:C$47,MATCH(5,A$36:A$47,0)),0)</f>
        <v>0</v>
      </c>
      <c r="F44" s="0" t="str">
        <f aca="false"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 s="4" t="n">
        <f aca="false">IF(F44="W",6,IF(F44="T",3,0))</f>
        <v>0</v>
      </c>
      <c r="H44" s="4" t="n">
        <f aca="false">IF(C44="",0,C44)</f>
        <v>0</v>
      </c>
      <c r="I44" s="4" t="n">
        <f aca="false">G44+H44</f>
        <v>0</v>
      </c>
    </row>
    <row r="45" customFormat="false" ht="15" hidden="false" customHeight="true" outlineLevel="0" collapsed="false">
      <c r="A45" s="0" t="n">
        <v>10</v>
      </c>
      <c r="B45" s="0" t="str">
        <f aca="false">Roster!B12</f>
        <v>Zach Zarra</v>
      </c>
      <c r="C45" s="3" t="n">
        <f aca="false">SUMPRODUCT(('Picks Detail'!O44:O59&lt;&gt;"")*('Picks Detail'!E44:E59&lt;&gt;"")*('Picks Detail'!O44:O59='Picks Detail'!E44:E59))</f>
        <v>0</v>
      </c>
      <c r="D45" s="0" t="n">
        <v>6</v>
      </c>
      <c r="E45" s="4" t="n">
        <f aca="false">IFERROR(INDEX(C$36:C$47,MATCH(6,A$36:A$47,0)),0)</f>
        <v>0</v>
      </c>
      <c r="F45" s="0" t="str">
        <f aca="false"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 s="4" t="n">
        <f aca="false">IF(F45="W",6,IF(F45="T",3,0))</f>
        <v>0</v>
      </c>
      <c r="H45" s="4" t="n">
        <f aca="false">IF(C45="",0,C45)</f>
        <v>0</v>
      </c>
      <c r="I45" s="4" t="n">
        <f aca="false">G45+H45</f>
        <v>0</v>
      </c>
    </row>
    <row r="46" customFormat="false" ht="15" hidden="false" customHeight="true" outlineLevel="0" collapsed="false">
      <c r="A46" s="0" t="n">
        <v>11</v>
      </c>
      <c r="B46" s="0" t="str">
        <f aca="false">Roster!B13</f>
        <v>Jeffrey Loeser</v>
      </c>
      <c r="C46" s="3" t="n">
        <f aca="false">SUMPRODUCT(('Picks Detail'!P44:P59&lt;&gt;"")*('Picks Detail'!E44:E59&lt;&gt;"")*('Picks Detail'!P44:P59='Picks Detail'!E44:E59))</f>
        <v>0</v>
      </c>
      <c r="D46" s="0" t="n">
        <v>3</v>
      </c>
      <c r="E46" s="4" t="n">
        <f aca="false">IFERROR(INDEX(C$36:C$47,MATCH(3,A$36:A$47,0)),0)</f>
        <v>0</v>
      </c>
      <c r="F46" s="0" t="str">
        <f aca="false"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 s="4" t="n">
        <f aca="false">IF(F46="W",6,IF(F46="T",3,0))</f>
        <v>0</v>
      </c>
      <c r="H46" s="4" t="n">
        <f aca="false">IF(C46="",0,C46)</f>
        <v>0</v>
      </c>
      <c r="I46" s="4" t="n">
        <f aca="false">G46+H46</f>
        <v>0</v>
      </c>
    </row>
    <row r="47" customFormat="false" ht="15" hidden="false" customHeight="true" outlineLevel="0" collapsed="false">
      <c r="A47" s="0" t="n">
        <v>12</v>
      </c>
      <c r="B47" s="0" t="str">
        <f aca="false">Roster!B14</f>
        <v>Jake Andrews</v>
      </c>
      <c r="C47" s="3" t="n">
        <f aca="false">SUMPRODUCT(('Picks Detail'!Q44:Q59&lt;&gt;"")*('Picks Detail'!E44:E59&lt;&gt;"")*('Picks Detail'!Q44:Q59='Picks Detail'!E44:E59))</f>
        <v>0</v>
      </c>
      <c r="D47" s="0" t="n">
        <v>4</v>
      </c>
      <c r="E47" s="4" t="n">
        <f aca="false">IFERROR(INDEX(C$36:C$47,MATCH(4,A$36:A$47,0)),0)</f>
        <v>0</v>
      </c>
      <c r="F47" s="0" t="str">
        <f aca="false"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 s="4" t="n">
        <f aca="false">IF(F47="W",6,IF(F47="T",3,0))</f>
        <v>0</v>
      </c>
      <c r="H47" s="4" t="n">
        <f aca="false">IF(C47="",0,C47)</f>
        <v>0</v>
      </c>
      <c r="I47" s="4" t="n">
        <f aca="false">G47+H47</f>
        <v>0</v>
      </c>
    </row>
    <row r="49" customFormat="false" ht="15" hidden="false" customHeight="true" outlineLevel="0" collapsed="false">
      <c r="A49" s="22" t="s">
        <v>92</v>
      </c>
    </row>
    <row r="50" customFormat="false" ht="15" hidden="false" customHeight="true" outlineLevel="0" collapsed="false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customFormat="false" ht="15" hidden="false" customHeight="true" outlineLevel="0" collapsed="false">
      <c r="A51" s="0" t="n">
        <v>1</v>
      </c>
      <c r="B51" s="0" t="str">
        <f aca="false">Roster!B3</f>
        <v>Evan Loeser</v>
      </c>
      <c r="C51" s="3" t="n">
        <f aca="false">SUMPRODUCT(('Picks Detail'!F63:F78&lt;&gt;"")*('Picks Detail'!E63:E78&lt;&gt;"")*('Picks Detail'!F63:F78='Picks Detail'!E63:E78))</f>
        <v>0</v>
      </c>
      <c r="D51" s="0" t="n">
        <v>8</v>
      </c>
      <c r="E51" s="4" t="n">
        <f aca="false">IFERROR(INDEX(C$51:C$62,MATCH(8,A$51:A$62,0)),0)</f>
        <v>0</v>
      </c>
      <c r="F51" s="0" t="str">
        <f aca="false"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 s="4" t="n">
        <f aca="false">IF(F51="W",6,IF(F51="T",3,0))</f>
        <v>0</v>
      </c>
      <c r="H51" s="4" t="n">
        <f aca="false">IF(C51="",0,C51)</f>
        <v>0</v>
      </c>
      <c r="I51" s="4" t="n">
        <f aca="false">G51+H51</f>
        <v>0</v>
      </c>
    </row>
    <row r="52" customFormat="false" ht="15" hidden="false" customHeight="true" outlineLevel="0" collapsed="false">
      <c r="A52" s="0" t="n">
        <v>2</v>
      </c>
      <c r="B52" s="0" t="str">
        <f aca="false">Roster!B4</f>
        <v>Chris Simmons</v>
      </c>
      <c r="C52" s="3" t="n">
        <f aca="false">SUMPRODUCT(('Picks Detail'!G63:G78&lt;&gt;"")*('Picks Detail'!E63:E78&lt;&gt;"")*('Picks Detail'!G63:G78='Picks Detail'!E63:E78))</f>
        <v>0</v>
      </c>
      <c r="D52" s="0" t="n">
        <v>7</v>
      </c>
      <c r="E52" s="4" t="n">
        <f aca="false">IFERROR(INDEX(C$51:C$62,MATCH(7,A$51:A$62,0)),0)</f>
        <v>0</v>
      </c>
      <c r="F52" s="0" t="str">
        <f aca="false"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 s="4" t="n">
        <f aca="false">IF(F52="W",6,IF(F52="T",3,0))</f>
        <v>0</v>
      </c>
      <c r="H52" s="4" t="n">
        <f aca="false">IF(C52="",0,C52)</f>
        <v>0</v>
      </c>
      <c r="I52" s="4" t="n">
        <f aca="false">G52+H52</f>
        <v>0</v>
      </c>
    </row>
    <row r="53" customFormat="false" ht="15" hidden="false" customHeight="true" outlineLevel="0" collapsed="false">
      <c r="A53" s="0" t="n">
        <v>3</v>
      </c>
      <c r="B53" s="0" t="str">
        <f aca="false">Roster!B5</f>
        <v>Jack Smith</v>
      </c>
      <c r="C53" s="3" t="n">
        <f aca="false">SUMPRODUCT(('Picks Detail'!H63:H78&lt;&gt;"")*('Picks Detail'!E63:E78&lt;&gt;"")*('Picks Detail'!H63:H78='Picks Detail'!E63:E78))</f>
        <v>0</v>
      </c>
      <c r="D53" s="0" t="n">
        <v>12</v>
      </c>
      <c r="E53" s="4" t="n">
        <f aca="false">IFERROR(INDEX(C$51:C$62,MATCH(12,A$51:A$62,0)),0)</f>
        <v>0</v>
      </c>
      <c r="F53" s="0" t="str">
        <f aca="false"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 s="4" t="n">
        <f aca="false">IF(F53="W",6,IF(F53="T",3,0))</f>
        <v>0</v>
      </c>
      <c r="H53" s="4" t="n">
        <f aca="false">IF(C53="",0,C53)</f>
        <v>0</v>
      </c>
      <c r="I53" s="4" t="n">
        <f aca="false">G53+H53</f>
        <v>0</v>
      </c>
    </row>
    <row r="54" customFormat="false" ht="15" hidden="false" customHeight="true" outlineLevel="0" collapsed="false">
      <c r="A54" s="0" t="n">
        <v>4</v>
      </c>
      <c r="B54" s="0" t="str">
        <f aca="false">Roster!B6</f>
        <v>Luke Ussery</v>
      </c>
      <c r="C54" s="3" t="n">
        <f aca="false">SUMPRODUCT(('Picks Detail'!I63:I78&lt;&gt;"")*('Picks Detail'!E63:E78&lt;&gt;"")*('Picks Detail'!I63:I78='Picks Detail'!E63:E78))</f>
        <v>0</v>
      </c>
      <c r="D54" s="0" t="n">
        <v>11</v>
      </c>
      <c r="E54" s="4" t="n">
        <f aca="false">IFERROR(INDEX(C$51:C$62,MATCH(11,A$51:A$62,0)),0)</f>
        <v>0</v>
      </c>
      <c r="F54" s="0" t="str">
        <f aca="false"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 s="4" t="n">
        <f aca="false">IF(F54="W",6,IF(F54="T",3,0))</f>
        <v>0</v>
      </c>
      <c r="H54" s="4" t="n">
        <f aca="false">IF(C54="",0,C54)</f>
        <v>0</v>
      </c>
      <c r="I54" s="4" t="n">
        <f aca="false">G54+H54</f>
        <v>0</v>
      </c>
    </row>
    <row r="55" customFormat="false" ht="15" hidden="false" customHeight="true" outlineLevel="0" collapsed="false">
      <c r="A55" s="0" t="n">
        <v>5</v>
      </c>
      <c r="B55" s="0" t="str">
        <f aca="false">Roster!B7</f>
        <v>Mikayla Simmons</v>
      </c>
      <c r="C55" s="3" t="n">
        <f aca="false">SUMPRODUCT(('Picks Detail'!J63:J78&lt;&gt;"")*('Picks Detail'!E63:E78&lt;&gt;"")*('Picks Detail'!J63:J78='Picks Detail'!E63:E78))</f>
        <v>0</v>
      </c>
      <c r="D55" s="0" t="n">
        <v>10</v>
      </c>
      <c r="E55" s="4" t="n">
        <f aca="false">IFERROR(INDEX(C$51:C$62,MATCH(10,A$51:A$62,0)),0)</f>
        <v>0</v>
      </c>
      <c r="F55" s="0" t="str">
        <f aca="false"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 s="4" t="n">
        <f aca="false">IF(F55="W",6,IF(F55="T",3,0))</f>
        <v>0</v>
      </c>
      <c r="H55" s="4" t="n">
        <f aca="false">IF(C55="",0,C55)</f>
        <v>0</v>
      </c>
      <c r="I55" s="4" t="n">
        <f aca="false">G55+H55</f>
        <v>0</v>
      </c>
    </row>
    <row r="56" customFormat="false" ht="15" hidden="false" customHeight="true" outlineLevel="0" collapsed="false">
      <c r="A56" s="0" t="n">
        <v>6</v>
      </c>
      <c r="B56" s="0" t="str">
        <f aca="false">Roster!B8</f>
        <v>Alan Loeser</v>
      </c>
      <c r="C56" s="3" t="n">
        <f aca="false">SUMPRODUCT(('Picks Detail'!K63:K78&lt;&gt;"")*('Picks Detail'!E63:E78&lt;&gt;"")*('Picks Detail'!K63:K78='Picks Detail'!E63:E78))</f>
        <v>0</v>
      </c>
      <c r="D56" s="0" t="n">
        <v>9</v>
      </c>
      <c r="E56" s="4" t="n">
        <f aca="false">IFERROR(INDEX(C$51:C$62,MATCH(9,A$51:A$62,0)),0)</f>
        <v>0</v>
      </c>
      <c r="F56" s="0" t="str">
        <f aca="false"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 s="4" t="n">
        <f aca="false">IF(F56="W",6,IF(F56="T",3,0))</f>
        <v>0</v>
      </c>
      <c r="H56" s="4" t="n">
        <f aca="false">IF(C56="",0,C56)</f>
        <v>0</v>
      </c>
      <c r="I56" s="4" t="n">
        <f aca="false">G56+H56</f>
        <v>0</v>
      </c>
    </row>
    <row r="57" customFormat="false" ht="15" hidden="false" customHeight="true" outlineLevel="0" collapsed="false">
      <c r="A57" s="0" t="n">
        <v>7</v>
      </c>
      <c r="B57" s="0" t="str">
        <f aca="false">Roster!B9</f>
        <v>Caleb Simmons</v>
      </c>
      <c r="C57" s="3" t="n">
        <f aca="false">SUMPRODUCT(('Picks Detail'!L63:L78&lt;&gt;"")*('Picks Detail'!E63:E78&lt;&gt;"")*('Picks Detail'!L63:L78='Picks Detail'!E63:E78))</f>
        <v>0</v>
      </c>
      <c r="D57" s="0" t="n">
        <v>2</v>
      </c>
      <c r="E57" s="4" t="n">
        <f aca="false">IFERROR(INDEX(C$51:C$62,MATCH(2,A$51:A$62,0)),0)</f>
        <v>0</v>
      </c>
      <c r="F57" s="0" t="str">
        <f aca="false"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 s="4" t="n">
        <f aca="false">IF(F57="W",6,IF(F57="T",3,0))</f>
        <v>0</v>
      </c>
      <c r="H57" s="4" t="n">
        <f aca="false">IF(C57="",0,C57)</f>
        <v>0</v>
      </c>
      <c r="I57" s="4" t="n">
        <f aca="false">G57+H57</f>
        <v>0</v>
      </c>
    </row>
    <row r="58" customFormat="false" ht="15" hidden="false" customHeight="true" outlineLevel="0" collapsed="false">
      <c r="A58" s="0" t="n">
        <v>8</v>
      </c>
      <c r="B58" s="0" t="str">
        <f aca="false">Roster!B10</f>
        <v>Larry Loeser</v>
      </c>
      <c r="C58" s="3" t="n">
        <f aca="false">SUMPRODUCT(('Picks Detail'!M63:M78&lt;&gt;"")*('Picks Detail'!E63:E78&lt;&gt;"")*('Picks Detail'!M63:M78='Picks Detail'!E63:E78))</f>
        <v>0</v>
      </c>
      <c r="D58" s="0" t="n">
        <v>1</v>
      </c>
      <c r="E58" s="4" t="n">
        <f aca="false">IFERROR(INDEX(C$51:C$62,MATCH(1,A$51:A$62,0)),0)</f>
        <v>0</v>
      </c>
      <c r="F58" s="0" t="str">
        <f aca="false"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 s="4" t="n">
        <f aca="false">IF(F58="W",6,IF(F58="T",3,0))</f>
        <v>0</v>
      </c>
      <c r="H58" s="4" t="n">
        <f aca="false">IF(C58="",0,C58)</f>
        <v>0</v>
      </c>
      <c r="I58" s="4" t="n">
        <f aca="false">G58+H58</f>
        <v>0</v>
      </c>
    </row>
    <row r="59" customFormat="false" ht="15" hidden="false" customHeight="true" outlineLevel="0" collapsed="false">
      <c r="A59" s="0" t="n">
        <v>9</v>
      </c>
      <c r="B59" s="0" t="str">
        <f aca="false">Roster!B11</f>
        <v>Daddy Michael</v>
      </c>
      <c r="C59" s="3" t="n">
        <f aca="false">SUMPRODUCT(('Picks Detail'!N63:N78&lt;&gt;"")*('Picks Detail'!E63:E78&lt;&gt;"")*('Picks Detail'!N63:N78='Picks Detail'!E63:E78))</f>
        <v>0</v>
      </c>
      <c r="D59" s="0" t="n">
        <v>6</v>
      </c>
      <c r="E59" s="4" t="n">
        <f aca="false">IFERROR(INDEX(C$51:C$62,MATCH(6,A$51:A$62,0)),0)</f>
        <v>0</v>
      </c>
      <c r="F59" s="0" t="str">
        <f aca="false"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 s="4" t="n">
        <f aca="false">IF(F59="W",6,IF(F59="T",3,0))</f>
        <v>0</v>
      </c>
      <c r="H59" s="4" t="n">
        <f aca="false">IF(C59="",0,C59)</f>
        <v>0</v>
      </c>
      <c r="I59" s="4" t="n">
        <f aca="false">G59+H59</f>
        <v>0</v>
      </c>
    </row>
    <row r="60" customFormat="false" ht="15" hidden="false" customHeight="true" outlineLevel="0" collapsed="false">
      <c r="A60" s="0" t="n">
        <v>10</v>
      </c>
      <c r="B60" s="0" t="str">
        <f aca="false">Roster!B12</f>
        <v>Zach Zarra</v>
      </c>
      <c r="C60" s="3" t="n">
        <f aca="false">SUMPRODUCT(('Picks Detail'!O63:O78&lt;&gt;"")*('Picks Detail'!E63:E78&lt;&gt;"")*('Picks Detail'!O63:O78='Picks Detail'!E63:E78))</f>
        <v>0</v>
      </c>
      <c r="D60" s="0" t="n">
        <v>5</v>
      </c>
      <c r="E60" s="4" t="n">
        <f aca="false">IFERROR(INDEX(C$51:C$62,MATCH(5,A$51:A$62,0)),0)</f>
        <v>0</v>
      </c>
      <c r="F60" s="0" t="str">
        <f aca="false"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 s="4" t="n">
        <f aca="false">IF(F60="W",6,IF(F60="T",3,0))</f>
        <v>0</v>
      </c>
      <c r="H60" s="4" t="n">
        <f aca="false">IF(C60="",0,C60)</f>
        <v>0</v>
      </c>
      <c r="I60" s="4" t="n">
        <f aca="false">G60+H60</f>
        <v>0</v>
      </c>
    </row>
    <row r="61" customFormat="false" ht="15" hidden="false" customHeight="true" outlineLevel="0" collapsed="false">
      <c r="A61" s="0" t="n">
        <v>11</v>
      </c>
      <c r="B61" s="0" t="str">
        <f aca="false">Roster!B13</f>
        <v>Jeffrey Loeser</v>
      </c>
      <c r="C61" s="3" t="n">
        <f aca="false">SUMPRODUCT(('Picks Detail'!P63:P78&lt;&gt;"")*('Picks Detail'!E63:E78&lt;&gt;"")*('Picks Detail'!P63:P78='Picks Detail'!E63:E78))</f>
        <v>0</v>
      </c>
      <c r="D61" s="0" t="n">
        <v>4</v>
      </c>
      <c r="E61" s="4" t="n">
        <f aca="false">IFERROR(INDEX(C$51:C$62,MATCH(4,A$51:A$62,0)),0)</f>
        <v>0</v>
      </c>
      <c r="F61" s="0" t="str">
        <f aca="false"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 s="4" t="n">
        <f aca="false">IF(F61="W",6,IF(F61="T",3,0))</f>
        <v>0</v>
      </c>
      <c r="H61" s="4" t="n">
        <f aca="false">IF(C61="",0,C61)</f>
        <v>0</v>
      </c>
      <c r="I61" s="4" t="n">
        <f aca="false">G61+H61</f>
        <v>0</v>
      </c>
    </row>
    <row r="62" customFormat="false" ht="15" hidden="false" customHeight="true" outlineLevel="0" collapsed="false">
      <c r="A62" s="0" t="n">
        <v>12</v>
      </c>
      <c r="B62" s="0" t="str">
        <f aca="false">Roster!B14</f>
        <v>Jake Andrews</v>
      </c>
      <c r="C62" s="3" t="n">
        <f aca="false">SUMPRODUCT(('Picks Detail'!Q63:Q78&lt;&gt;"")*('Picks Detail'!E63:E78&lt;&gt;"")*('Picks Detail'!Q63:Q78='Picks Detail'!E63:E78))</f>
        <v>0</v>
      </c>
      <c r="D62" s="0" t="n">
        <v>3</v>
      </c>
      <c r="E62" s="4" t="n">
        <f aca="false">IFERROR(INDEX(C$51:C$62,MATCH(3,A$51:A$62,0)),0)</f>
        <v>0</v>
      </c>
      <c r="F62" s="0" t="str">
        <f aca="false"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 s="4" t="n">
        <f aca="false">IF(F62="W",6,IF(F62="T",3,0))</f>
        <v>0</v>
      </c>
      <c r="H62" s="4" t="n">
        <f aca="false">IF(C62="",0,C62)</f>
        <v>0</v>
      </c>
      <c r="I62" s="4" t="n">
        <f aca="false">G62+H62</f>
        <v>0</v>
      </c>
    </row>
    <row r="64" customFormat="false" ht="15" hidden="false" customHeight="true" outlineLevel="0" collapsed="false">
      <c r="A64" s="22" t="s">
        <v>93</v>
      </c>
    </row>
    <row r="65" customFormat="false" ht="15" hidden="false" customHeight="true" outlineLevel="0" collapsed="false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customFormat="false" ht="15" hidden="false" customHeight="true" outlineLevel="0" collapsed="false">
      <c r="A66" s="0" t="n">
        <v>1</v>
      </c>
      <c r="B66" s="0" t="str">
        <f aca="false">Roster!B3</f>
        <v>Evan Loeser</v>
      </c>
      <c r="C66" s="3" t="n">
        <f aca="false">SUMPRODUCT(('Picks Detail'!F82:F96&lt;&gt;"")*('Picks Detail'!E82:E96&lt;&gt;"")*('Picks Detail'!F82:F96='Picks Detail'!E82:E96))</f>
        <v>0</v>
      </c>
      <c r="D66" s="0" t="n">
        <v>11</v>
      </c>
      <c r="E66" s="4" t="n">
        <f aca="false">IFERROR(INDEX(C$66:C$77,MATCH(11,A$66:A$77,0)),0)</f>
        <v>0</v>
      </c>
      <c r="F66" s="0" t="str">
        <f aca="false"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 s="4" t="n">
        <f aca="false">IF(F66="W",6,IF(F66="T",3,0))</f>
        <v>0</v>
      </c>
      <c r="H66" s="4" t="n">
        <f aca="false">IF(C66="",0,C66)</f>
        <v>0</v>
      </c>
      <c r="I66" s="4" t="n">
        <f aca="false">G66+H66</f>
        <v>0</v>
      </c>
    </row>
    <row r="67" customFormat="false" ht="15" hidden="false" customHeight="true" outlineLevel="0" collapsed="false">
      <c r="A67" s="0" t="n">
        <v>2</v>
      </c>
      <c r="B67" s="0" t="str">
        <f aca="false">Roster!B4</f>
        <v>Chris Simmons</v>
      </c>
      <c r="C67" s="3" t="n">
        <f aca="false">SUMPRODUCT(('Picks Detail'!G82:G96&lt;&gt;"")*('Picks Detail'!E82:E96&lt;&gt;"")*('Picks Detail'!G82:G96='Picks Detail'!E82:E96))</f>
        <v>0</v>
      </c>
      <c r="D67" s="0" t="n">
        <v>12</v>
      </c>
      <c r="E67" s="4" t="n">
        <f aca="false">IFERROR(INDEX(C$66:C$77,MATCH(12,A$66:A$77,0)),0)</f>
        <v>0</v>
      </c>
      <c r="F67" s="0" t="str">
        <f aca="false"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 s="4" t="n">
        <f aca="false">IF(F67="W",6,IF(F67="T",3,0))</f>
        <v>0</v>
      </c>
      <c r="H67" s="4" t="n">
        <f aca="false">IF(C67="",0,C67)</f>
        <v>0</v>
      </c>
      <c r="I67" s="4" t="n">
        <f aca="false">G67+H67</f>
        <v>0</v>
      </c>
    </row>
    <row r="68" customFormat="false" ht="15" hidden="false" customHeight="true" outlineLevel="0" collapsed="false">
      <c r="A68" s="0" t="n">
        <v>3</v>
      </c>
      <c r="B68" s="0" t="str">
        <f aca="false">Roster!B5</f>
        <v>Jack Smith</v>
      </c>
      <c r="C68" s="3" t="n">
        <f aca="false">SUMPRODUCT(('Picks Detail'!H82:H96&lt;&gt;"")*('Picks Detail'!E82:E96&lt;&gt;"")*('Picks Detail'!H82:H96='Picks Detail'!E82:E96))</f>
        <v>0</v>
      </c>
      <c r="D68" s="0" t="n">
        <v>5</v>
      </c>
      <c r="E68" s="4" t="n">
        <f aca="false">IFERROR(INDEX(C$66:C$77,MATCH(5,A$66:A$77,0)),0)</f>
        <v>0</v>
      </c>
      <c r="F68" s="0" t="str">
        <f aca="false"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 s="4" t="n">
        <f aca="false">IF(F68="W",6,IF(F68="T",3,0))</f>
        <v>0</v>
      </c>
      <c r="H68" s="4" t="n">
        <f aca="false">IF(C68="",0,C68)</f>
        <v>0</v>
      </c>
      <c r="I68" s="4" t="n">
        <f aca="false">G68+H68</f>
        <v>0</v>
      </c>
    </row>
    <row r="69" customFormat="false" ht="15" hidden="false" customHeight="true" outlineLevel="0" collapsed="false">
      <c r="A69" s="0" t="n">
        <v>4</v>
      </c>
      <c r="B69" s="0" t="str">
        <f aca="false">Roster!B6</f>
        <v>Luke Ussery</v>
      </c>
      <c r="C69" s="3" t="n">
        <f aca="false">SUMPRODUCT(('Picks Detail'!I82:I96&lt;&gt;"")*('Picks Detail'!E82:E96&lt;&gt;"")*('Picks Detail'!I82:I96='Picks Detail'!E82:E96))</f>
        <v>0</v>
      </c>
      <c r="D69" s="0" t="n">
        <v>6</v>
      </c>
      <c r="E69" s="4" t="n">
        <f aca="false">IFERROR(INDEX(C$66:C$77,MATCH(6,A$66:A$77,0)),0)</f>
        <v>0</v>
      </c>
      <c r="F69" s="0" t="str">
        <f aca="false"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 s="4" t="n">
        <f aca="false">IF(F69="W",6,IF(F69="T",3,0))</f>
        <v>0</v>
      </c>
      <c r="H69" s="4" t="n">
        <f aca="false">IF(C69="",0,C69)</f>
        <v>0</v>
      </c>
      <c r="I69" s="4" t="n">
        <f aca="false">G69+H69</f>
        <v>0</v>
      </c>
    </row>
    <row r="70" customFormat="false" ht="15" hidden="false" customHeight="true" outlineLevel="0" collapsed="false">
      <c r="A70" s="0" t="n">
        <v>5</v>
      </c>
      <c r="B70" s="0" t="str">
        <f aca="false">Roster!B7</f>
        <v>Mikayla Simmons</v>
      </c>
      <c r="C70" s="3" t="n">
        <f aca="false">SUMPRODUCT(('Picks Detail'!J82:J96&lt;&gt;"")*('Picks Detail'!E82:E96&lt;&gt;"")*('Picks Detail'!J82:J96='Picks Detail'!E82:E96))</f>
        <v>0</v>
      </c>
      <c r="D70" s="0" t="n">
        <v>3</v>
      </c>
      <c r="E70" s="4" t="n">
        <f aca="false">IFERROR(INDEX(C$66:C$77,MATCH(3,A$66:A$77,0)),0)</f>
        <v>0</v>
      </c>
      <c r="F70" s="0" t="str">
        <f aca="false"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 s="4" t="n">
        <f aca="false">IF(F70="W",6,IF(F70="T",3,0))</f>
        <v>0</v>
      </c>
      <c r="H70" s="4" t="n">
        <f aca="false">IF(C70="",0,C70)</f>
        <v>0</v>
      </c>
      <c r="I70" s="4" t="n">
        <f aca="false">G70+H70</f>
        <v>0</v>
      </c>
    </row>
    <row r="71" customFormat="false" ht="15" hidden="false" customHeight="true" outlineLevel="0" collapsed="false">
      <c r="A71" s="0" t="n">
        <v>6</v>
      </c>
      <c r="B71" s="0" t="str">
        <f aca="false">Roster!B8</f>
        <v>Alan Loeser</v>
      </c>
      <c r="C71" s="3" t="n">
        <f aca="false">SUMPRODUCT(('Picks Detail'!K82:K96&lt;&gt;"")*('Picks Detail'!E82:E96&lt;&gt;"")*('Picks Detail'!K82:K96='Picks Detail'!E82:E96))</f>
        <v>0</v>
      </c>
      <c r="D71" s="0" t="n">
        <v>4</v>
      </c>
      <c r="E71" s="4" t="n">
        <f aca="false">IFERROR(INDEX(C$66:C$77,MATCH(4,A$66:A$77,0)),0)</f>
        <v>0</v>
      </c>
      <c r="F71" s="0" t="str">
        <f aca="false"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 s="4" t="n">
        <f aca="false">IF(F71="W",6,IF(F71="T",3,0))</f>
        <v>0</v>
      </c>
      <c r="H71" s="4" t="n">
        <f aca="false">IF(C71="",0,C71)</f>
        <v>0</v>
      </c>
      <c r="I71" s="4" t="n">
        <f aca="false">G71+H71</f>
        <v>0</v>
      </c>
    </row>
    <row r="72" customFormat="false" ht="15" hidden="false" customHeight="true" outlineLevel="0" collapsed="false">
      <c r="A72" s="0" t="n">
        <v>7</v>
      </c>
      <c r="B72" s="0" t="str">
        <f aca="false">Roster!B9</f>
        <v>Caleb Simmons</v>
      </c>
      <c r="C72" s="3" t="n">
        <f aca="false">SUMPRODUCT(('Picks Detail'!L82:L96&lt;&gt;"")*('Picks Detail'!E82:E96&lt;&gt;"")*('Picks Detail'!L82:L96='Picks Detail'!E82:E96))</f>
        <v>0</v>
      </c>
      <c r="D72" s="0" t="n">
        <v>10</v>
      </c>
      <c r="E72" s="4" t="n">
        <f aca="false">IFERROR(INDEX(C$66:C$77,MATCH(10,A$66:A$77,0)),0)</f>
        <v>0</v>
      </c>
      <c r="F72" s="0" t="str">
        <f aca="false"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 s="4" t="n">
        <f aca="false">IF(F72="W",6,IF(F72="T",3,0))</f>
        <v>0</v>
      </c>
      <c r="H72" s="4" t="n">
        <f aca="false">IF(C72="",0,C72)</f>
        <v>0</v>
      </c>
      <c r="I72" s="4" t="n">
        <f aca="false">G72+H72</f>
        <v>0</v>
      </c>
    </row>
    <row r="73" customFormat="false" ht="15" hidden="false" customHeight="true" outlineLevel="0" collapsed="false">
      <c r="A73" s="0" t="n">
        <v>8</v>
      </c>
      <c r="B73" s="0" t="str">
        <f aca="false">Roster!B10</f>
        <v>Larry Loeser</v>
      </c>
      <c r="C73" s="3" t="n">
        <f aca="false">SUMPRODUCT(('Picks Detail'!M82:M96&lt;&gt;"")*('Picks Detail'!E82:E96&lt;&gt;"")*('Picks Detail'!M82:M96='Picks Detail'!E82:E96))</f>
        <v>0</v>
      </c>
      <c r="D73" s="0" t="n">
        <v>9</v>
      </c>
      <c r="E73" s="4" t="n">
        <f aca="false">IFERROR(INDEX(C$66:C$77,MATCH(9,A$66:A$77,0)),0)</f>
        <v>0</v>
      </c>
      <c r="F73" s="0" t="str">
        <f aca="false"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 s="4" t="n">
        <f aca="false">IF(F73="W",6,IF(F73="T",3,0))</f>
        <v>0</v>
      </c>
      <c r="H73" s="4" t="n">
        <f aca="false">IF(C73="",0,C73)</f>
        <v>0</v>
      </c>
      <c r="I73" s="4" t="n">
        <f aca="false">G73+H73</f>
        <v>0</v>
      </c>
    </row>
    <row r="74" customFormat="false" ht="15" hidden="false" customHeight="true" outlineLevel="0" collapsed="false">
      <c r="A74" s="0" t="n">
        <v>9</v>
      </c>
      <c r="B74" s="0" t="str">
        <f aca="false">Roster!B11</f>
        <v>Daddy Michael</v>
      </c>
      <c r="C74" s="3" t="n">
        <f aca="false">SUMPRODUCT(('Picks Detail'!N82:N96&lt;&gt;"")*('Picks Detail'!E82:E96&lt;&gt;"")*('Picks Detail'!N82:N96='Picks Detail'!E82:E96))</f>
        <v>0</v>
      </c>
      <c r="D74" s="0" t="n">
        <v>8</v>
      </c>
      <c r="E74" s="4" t="n">
        <f aca="false">IFERROR(INDEX(C$66:C$77,MATCH(8,A$66:A$77,0)),0)</f>
        <v>0</v>
      </c>
      <c r="F74" s="0" t="str">
        <f aca="false"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 s="4" t="n">
        <f aca="false">IF(F74="W",6,IF(F74="T",3,0))</f>
        <v>0</v>
      </c>
      <c r="H74" s="4" t="n">
        <f aca="false">IF(C74="",0,C74)</f>
        <v>0</v>
      </c>
      <c r="I74" s="4" t="n">
        <f aca="false">G74+H74</f>
        <v>0</v>
      </c>
    </row>
    <row r="75" customFormat="false" ht="15" hidden="false" customHeight="true" outlineLevel="0" collapsed="false">
      <c r="A75" s="0" t="n">
        <v>10</v>
      </c>
      <c r="B75" s="0" t="str">
        <f aca="false">Roster!B12</f>
        <v>Zach Zarra</v>
      </c>
      <c r="C75" s="3" t="n">
        <f aca="false">SUMPRODUCT(('Picks Detail'!O82:O96&lt;&gt;"")*('Picks Detail'!E82:E96&lt;&gt;"")*('Picks Detail'!O82:O96='Picks Detail'!E82:E96))</f>
        <v>0</v>
      </c>
      <c r="D75" s="0" t="n">
        <v>7</v>
      </c>
      <c r="E75" s="4" t="n">
        <f aca="false">IFERROR(INDEX(C$66:C$77,MATCH(7,A$66:A$77,0)),0)</f>
        <v>0</v>
      </c>
      <c r="F75" s="0" t="str">
        <f aca="false"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 s="4" t="n">
        <f aca="false">IF(F75="W",6,IF(F75="T",3,0))</f>
        <v>0</v>
      </c>
      <c r="H75" s="4" t="n">
        <f aca="false">IF(C75="",0,C75)</f>
        <v>0</v>
      </c>
      <c r="I75" s="4" t="n">
        <f aca="false">G75+H75</f>
        <v>0</v>
      </c>
    </row>
    <row r="76" customFormat="false" ht="15" hidden="false" customHeight="true" outlineLevel="0" collapsed="false">
      <c r="A76" s="0" t="n">
        <v>11</v>
      </c>
      <c r="B76" s="0" t="str">
        <f aca="false">Roster!B13</f>
        <v>Jeffrey Loeser</v>
      </c>
      <c r="C76" s="3" t="n">
        <f aca="false">SUMPRODUCT(('Picks Detail'!P82:P96&lt;&gt;"")*('Picks Detail'!E82:E96&lt;&gt;"")*('Picks Detail'!P82:P96='Picks Detail'!E82:E96))</f>
        <v>0</v>
      </c>
      <c r="D76" s="0" t="n">
        <v>1</v>
      </c>
      <c r="E76" s="4" t="n">
        <f aca="false">IFERROR(INDEX(C$66:C$77,MATCH(1,A$66:A$77,0)),0)</f>
        <v>0</v>
      </c>
      <c r="F76" s="0" t="str">
        <f aca="false"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 s="4" t="n">
        <f aca="false">IF(F76="W",6,IF(F76="T",3,0))</f>
        <v>0</v>
      </c>
      <c r="H76" s="4" t="n">
        <f aca="false">IF(C76="",0,C76)</f>
        <v>0</v>
      </c>
      <c r="I76" s="4" t="n">
        <f aca="false">G76+H76</f>
        <v>0</v>
      </c>
    </row>
    <row r="77" customFormat="false" ht="15" hidden="false" customHeight="true" outlineLevel="0" collapsed="false">
      <c r="A77" s="0" t="n">
        <v>12</v>
      </c>
      <c r="B77" s="0" t="str">
        <f aca="false">Roster!B14</f>
        <v>Jake Andrews</v>
      </c>
      <c r="C77" s="3" t="n">
        <f aca="false">SUMPRODUCT(('Picks Detail'!Q82:Q96&lt;&gt;"")*('Picks Detail'!E82:E96&lt;&gt;"")*('Picks Detail'!Q82:Q96='Picks Detail'!E82:E96))</f>
        <v>0</v>
      </c>
      <c r="D77" s="0" t="n">
        <v>2</v>
      </c>
      <c r="E77" s="4" t="n">
        <f aca="false">IFERROR(INDEX(C$66:C$77,MATCH(2,A$66:A$77,0)),0)</f>
        <v>0</v>
      </c>
      <c r="F77" s="0" t="str">
        <f aca="false"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 s="4" t="n">
        <f aca="false">IF(F77="W",6,IF(F77="T",3,0))</f>
        <v>0</v>
      </c>
      <c r="H77" s="4" t="n">
        <f aca="false">IF(C77="",0,C77)</f>
        <v>0</v>
      </c>
      <c r="I77" s="4" t="n">
        <f aca="false">G77+H77</f>
        <v>0</v>
      </c>
    </row>
    <row r="79" customFormat="false" ht="15" hidden="false" customHeight="true" outlineLevel="0" collapsed="false">
      <c r="A79" s="22" t="s">
        <v>94</v>
      </c>
    </row>
    <row r="80" customFormat="false" ht="15" hidden="false" customHeight="true" outlineLevel="0" collapsed="false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customFormat="false" ht="15" hidden="false" customHeight="true" outlineLevel="0" collapsed="false">
      <c r="A81" s="0" t="n">
        <v>1</v>
      </c>
      <c r="B81" s="0" t="str">
        <f aca="false">Roster!B3</f>
        <v>Evan Loeser</v>
      </c>
      <c r="C81" s="3" t="n">
        <f aca="false">SUMPRODUCT(('Picks Detail'!F100:F113&lt;&gt;"")*('Picks Detail'!E100:E113&lt;&gt;"")*('Picks Detail'!F100:F113='Picks Detail'!E100:E113))</f>
        <v>0</v>
      </c>
      <c r="D81" s="0" t="n">
        <v>9</v>
      </c>
      <c r="E81" s="4" t="n">
        <f aca="false">IFERROR(INDEX(C$81:C$92,MATCH(9,A$81:A$92,0)),0)</f>
        <v>0</v>
      </c>
      <c r="F81" s="0" t="str">
        <f aca="false"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 s="4" t="n">
        <f aca="false">IF(F81="W",6,IF(F81="T",3,0))</f>
        <v>0</v>
      </c>
      <c r="H81" s="4" t="n">
        <f aca="false">IF(C81="",0,C81)</f>
        <v>0</v>
      </c>
      <c r="I81" s="4" t="n">
        <f aca="false">G81+H81</f>
        <v>0</v>
      </c>
    </row>
    <row r="82" customFormat="false" ht="15" hidden="false" customHeight="true" outlineLevel="0" collapsed="false">
      <c r="A82" s="0" t="n">
        <v>2</v>
      </c>
      <c r="B82" s="0" t="str">
        <f aca="false">Roster!B4</f>
        <v>Chris Simmons</v>
      </c>
      <c r="C82" s="3" t="n">
        <f aca="false">SUMPRODUCT(('Picks Detail'!G100:G113&lt;&gt;"")*('Picks Detail'!E100:E113&lt;&gt;"")*('Picks Detail'!G100:G113='Picks Detail'!E100:E113))</f>
        <v>0</v>
      </c>
      <c r="D82" s="0" t="n">
        <v>10</v>
      </c>
      <c r="E82" s="4" t="n">
        <f aca="false">IFERROR(INDEX(C$81:C$92,MATCH(10,A$81:A$92,0)),0)</f>
        <v>0</v>
      </c>
      <c r="F82" s="0" t="str">
        <f aca="false"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 s="4" t="n">
        <f aca="false">IF(F82="W",6,IF(F82="T",3,0))</f>
        <v>0</v>
      </c>
      <c r="H82" s="4" t="n">
        <f aca="false">IF(C82="",0,C82)</f>
        <v>0</v>
      </c>
      <c r="I82" s="4" t="n">
        <f aca="false">G82+H82</f>
        <v>0</v>
      </c>
    </row>
    <row r="83" customFormat="false" ht="15" hidden="false" customHeight="true" outlineLevel="0" collapsed="false">
      <c r="A83" s="0" t="n">
        <v>3</v>
      </c>
      <c r="B83" s="0" t="str">
        <f aca="false">Roster!B5</f>
        <v>Jack Smith</v>
      </c>
      <c r="C83" s="3" t="n">
        <f aca="false">SUMPRODUCT(('Picks Detail'!H100:H113&lt;&gt;"")*('Picks Detail'!E100:E113&lt;&gt;"")*('Picks Detail'!H100:H113='Picks Detail'!E100:E113))</f>
        <v>0</v>
      </c>
      <c r="D83" s="0" t="n">
        <v>7</v>
      </c>
      <c r="E83" s="4" t="n">
        <f aca="false">IFERROR(INDEX(C$81:C$92,MATCH(7,A$81:A$92,0)),0)</f>
        <v>0</v>
      </c>
      <c r="F83" s="0" t="str">
        <f aca="false"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 s="4" t="n">
        <f aca="false">IF(F83="W",6,IF(F83="T",3,0))</f>
        <v>0</v>
      </c>
      <c r="H83" s="4" t="n">
        <f aca="false">IF(C83="",0,C83)</f>
        <v>0</v>
      </c>
      <c r="I83" s="4" t="n">
        <f aca="false">G83+H83</f>
        <v>0</v>
      </c>
    </row>
    <row r="84" customFormat="false" ht="15" hidden="false" customHeight="true" outlineLevel="0" collapsed="false">
      <c r="A84" s="0" t="n">
        <v>4</v>
      </c>
      <c r="B84" s="0" t="str">
        <f aca="false">Roster!B6</f>
        <v>Luke Ussery</v>
      </c>
      <c r="C84" s="3" t="n">
        <f aca="false">SUMPRODUCT(('Picks Detail'!I100:I113&lt;&gt;"")*('Picks Detail'!E100:E113&lt;&gt;"")*('Picks Detail'!I100:I113='Picks Detail'!E100:E113))</f>
        <v>0</v>
      </c>
      <c r="D84" s="0" t="n">
        <v>8</v>
      </c>
      <c r="E84" s="4" t="n">
        <f aca="false">IFERROR(INDEX(C$81:C$92,MATCH(8,A$81:A$92,0)),0)</f>
        <v>0</v>
      </c>
      <c r="F84" s="0" t="str">
        <f aca="false"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 s="4" t="n">
        <f aca="false">IF(F84="W",6,IF(F84="T",3,0))</f>
        <v>0</v>
      </c>
      <c r="H84" s="4" t="n">
        <f aca="false">IF(C84="",0,C84)</f>
        <v>0</v>
      </c>
      <c r="I84" s="4" t="n">
        <f aca="false">G84+H84</f>
        <v>0</v>
      </c>
    </row>
    <row r="85" customFormat="false" ht="15" hidden="false" customHeight="true" outlineLevel="0" collapsed="false">
      <c r="A85" s="0" t="n">
        <v>5</v>
      </c>
      <c r="B85" s="0" t="str">
        <f aca="false">Roster!B7</f>
        <v>Mikayla Simmons</v>
      </c>
      <c r="C85" s="3" t="n">
        <f aca="false">SUMPRODUCT(('Picks Detail'!J100:J113&lt;&gt;"")*('Picks Detail'!E100:E113&lt;&gt;"")*('Picks Detail'!J100:J113='Picks Detail'!E100:E113))</f>
        <v>0</v>
      </c>
      <c r="D85" s="0" t="n">
        <v>12</v>
      </c>
      <c r="E85" s="4" t="n">
        <f aca="false">IFERROR(INDEX(C$81:C$92,MATCH(12,A$81:A$92,0)),0)</f>
        <v>0</v>
      </c>
      <c r="F85" s="0" t="str">
        <f aca="false"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 s="4" t="n">
        <f aca="false">IF(F85="W",6,IF(F85="T",3,0))</f>
        <v>0</v>
      </c>
      <c r="H85" s="4" t="n">
        <f aca="false">IF(C85="",0,C85)</f>
        <v>0</v>
      </c>
      <c r="I85" s="4" t="n">
        <f aca="false">G85+H85</f>
        <v>0</v>
      </c>
    </row>
    <row r="86" customFormat="false" ht="15" hidden="false" customHeight="true" outlineLevel="0" collapsed="false">
      <c r="A86" s="0" t="n">
        <v>6</v>
      </c>
      <c r="B86" s="0" t="str">
        <f aca="false">Roster!B8</f>
        <v>Alan Loeser</v>
      </c>
      <c r="C86" s="3" t="n">
        <f aca="false">SUMPRODUCT(('Picks Detail'!K100:K113&lt;&gt;"")*('Picks Detail'!E100:E113&lt;&gt;"")*('Picks Detail'!K100:K113='Picks Detail'!E100:E113))</f>
        <v>0</v>
      </c>
      <c r="D86" s="0" t="n">
        <v>11</v>
      </c>
      <c r="E86" s="4" t="n">
        <f aca="false">IFERROR(INDEX(C$81:C$92,MATCH(11,A$81:A$92,0)),0)</f>
        <v>0</v>
      </c>
      <c r="F86" s="0" t="str">
        <f aca="false"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 s="4" t="n">
        <f aca="false">IF(F86="W",6,IF(F86="T",3,0))</f>
        <v>0</v>
      </c>
      <c r="H86" s="4" t="n">
        <f aca="false">IF(C86="",0,C86)</f>
        <v>0</v>
      </c>
      <c r="I86" s="4" t="n">
        <f aca="false">G86+H86</f>
        <v>0</v>
      </c>
    </row>
    <row r="87" customFormat="false" ht="15" hidden="false" customHeight="true" outlineLevel="0" collapsed="false">
      <c r="A87" s="0" t="n">
        <v>7</v>
      </c>
      <c r="B87" s="0" t="str">
        <f aca="false">Roster!B9</f>
        <v>Caleb Simmons</v>
      </c>
      <c r="C87" s="3" t="n">
        <f aca="false">SUMPRODUCT(('Picks Detail'!L100:L113&lt;&gt;"")*('Picks Detail'!E100:E113&lt;&gt;"")*('Picks Detail'!L100:L113='Picks Detail'!E100:E113))</f>
        <v>0</v>
      </c>
      <c r="D87" s="0" t="n">
        <v>3</v>
      </c>
      <c r="E87" s="4" t="n">
        <f aca="false">IFERROR(INDEX(C$81:C$92,MATCH(3,A$81:A$92,0)),0)</f>
        <v>0</v>
      </c>
      <c r="F87" s="0" t="str">
        <f aca="false"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 s="4" t="n">
        <f aca="false">IF(F87="W",6,IF(F87="T",3,0))</f>
        <v>0</v>
      </c>
      <c r="H87" s="4" t="n">
        <f aca="false">IF(C87="",0,C87)</f>
        <v>0</v>
      </c>
      <c r="I87" s="4" t="n">
        <f aca="false">G87+H87</f>
        <v>0</v>
      </c>
    </row>
    <row r="88" customFormat="false" ht="15" hidden="false" customHeight="true" outlineLevel="0" collapsed="false">
      <c r="A88" s="0" t="n">
        <v>8</v>
      </c>
      <c r="B88" s="0" t="str">
        <f aca="false">Roster!B10</f>
        <v>Larry Loeser</v>
      </c>
      <c r="C88" s="3" t="n">
        <f aca="false">SUMPRODUCT(('Picks Detail'!M100:M113&lt;&gt;"")*('Picks Detail'!E100:E113&lt;&gt;"")*('Picks Detail'!M100:M113='Picks Detail'!E100:E113))</f>
        <v>0</v>
      </c>
      <c r="D88" s="0" t="n">
        <v>4</v>
      </c>
      <c r="E88" s="4" t="n">
        <f aca="false">IFERROR(INDEX(C$81:C$92,MATCH(4,A$81:A$92,0)),0)</f>
        <v>0</v>
      </c>
      <c r="F88" s="0" t="str">
        <f aca="false"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 s="4" t="n">
        <f aca="false">IF(F88="W",6,IF(F88="T",3,0))</f>
        <v>0</v>
      </c>
      <c r="H88" s="4" t="n">
        <f aca="false">IF(C88="",0,C88)</f>
        <v>0</v>
      </c>
      <c r="I88" s="4" t="n">
        <f aca="false">G88+H88</f>
        <v>0</v>
      </c>
    </row>
    <row r="89" customFormat="false" ht="15" hidden="false" customHeight="true" outlineLevel="0" collapsed="false">
      <c r="A89" s="0" t="n">
        <v>9</v>
      </c>
      <c r="B89" s="0" t="str">
        <f aca="false">Roster!B11</f>
        <v>Daddy Michael</v>
      </c>
      <c r="C89" s="3" t="n">
        <f aca="false">SUMPRODUCT(('Picks Detail'!N100:N113&lt;&gt;"")*('Picks Detail'!E100:E113&lt;&gt;"")*('Picks Detail'!N100:N113='Picks Detail'!E100:E113))</f>
        <v>0</v>
      </c>
      <c r="D89" s="0" t="n">
        <v>1</v>
      </c>
      <c r="E89" s="4" t="n">
        <f aca="false">IFERROR(INDEX(C$81:C$92,MATCH(1,A$81:A$92,0)),0)</f>
        <v>0</v>
      </c>
      <c r="F89" s="0" t="str">
        <f aca="false"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 s="4" t="n">
        <f aca="false">IF(F89="W",6,IF(F89="T",3,0))</f>
        <v>0</v>
      </c>
      <c r="H89" s="4" t="n">
        <f aca="false">IF(C89="",0,C89)</f>
        <v>0</v>
      </c>
      <c r="I89" s="4" t="n">
        <f aca="false">G89+H89</f>
        <v>0</v>
      </c>
    </row>
    <row r="90" customFormat="false" ht="15" hidden="false" customHeight="true" outlineLevel="0" collapsed="false">
      <c r="A90" s="0" t="n">
        <v>10</v>
      </c>
      <c r="B90" s="0" t="str">
        <f aca="false">Roster!B12</f>
        <v>Zach Zarra</v>
      </c>
      <c r="C90" s="3" t="n">
        <f aca="false">SUMPRODUCT(('Picks Detail'!O100:O113&lt;&gt;"")*('Picks Detail'!E100:E113&lt;&gt;"")*('Picks Detail'!O100:O113='Picks Detail'!E100:E113))</f>
        <v>0</v>
      </c>
      <c r="D90" s="0" t="n">
        <v>2</v>
      </c>
      <c r="E90" s="4" t="n">
        <f aca="false">IFERROR(INDEX(C$81:C$92,MATCH(2,A$81:A$92,0)),0)</f>
        <v>0</v>
      </c>
      <c r="F90" s="0" t="str">
        <f aca="false"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 s="4" t="n">
        <f aca="false">IF(F90="W",6,IF(F90="T",3,0))</f>
        <v>0</v>
      </c>
      <c r="H90" s="4" t="n">
        <f aca="false">IF(C90="",0,C90)</f>
        <v>0</v>
      </c>
      <c r="I90" s="4" t="n">
        <f aca="false">G90+H90</f>
        <v>0</v>
      </c>
    </row>
    <row r="91" customFormat="false" ht="15" hidden="false" customHeight="true" outlineLevel="0" collapsed="false">
      <c r="A91" s="0" t="n">
        <v>11</v>
      </c>
      <c r="B91" s="0" t="str">
        <f aca="false">Roster!B13</f>
        <v>Jeffrey Loeser</v>
      </c>
      <c r="C91" s="3" t="n">
        <f aca="false">SUMPRODUCT(('Picks Detail'!P100:P113&lt;&gt;"")*('Picks Detail'!E100:E113&lt;&gt;"")*('Picks Detail'!P100:P113='Picks Detail'!E100:E113))</f>
        <v>0</v>
      </c>
      <c r="D91" s="0" t="n">
        <v>6</v>
      </c>
      <c r="E91" s="4" t="n">
        <f aca="false">IFERROR(INDEX(C$81:C$92,MATCH(6,A$81:A$92,0)),0)</f>
        <v>0</v>
      </c>
      <c r="F91" s="0" t="str">
        <f aca="false"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 s="4" t="n">
        <f aca="false">IF(F91="W",6,IF(F91="T",3,0))</f>
        <v>0</v>
      </c>
      <c r="H91" s="4" t="n">
        <f aca="false">IF(C91="",0,C91)</f>
        <v>0</v>
      </c>
      <c r="I91" s="4" t="n">
        <f aca="false">G91+H91</f>
        <v>0</v>
      </c>
    </row>
    <row r="92" customFormat="false" ht="15" hidden="false" customHeight="true" outlineLevel="0" collapsed="false">
      <c r="A92" s="0" t="n">
        <v>12</v>
      </c>
      <c r="B92" s="0" t="str">
        <f aca="false">Roster!B14</f>
        <v>Jake Andrews</v>
      </c>
      <c r="C92" s="3" t="n">
        <f aca="false">SUMPRODUCT(('Picks Detail'!Q100:Q113&lt;&gt;"")*('Picks Detail'!E100:E113&lt;&gt;"")*('Picks Detail'!Q100:Q113='Picks Detail'!E100:E113))</f>
        <v>0</v>
      </c>
      <c r="D92" s="0" t="n">
        <v>5</v>
      </c>
      <c r="E92" s="4" t="n">
        <f aca="false">IFERROR(INDEX(C$81:C$92,MATCH(5,A$81:A$92,0)),0)</f>
        <v>0</v>
      </c>
      <c r="F92" s="0" t="str">
        <f aca="false"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 s="4" t="n">
        <f aca="false">IF(F92="W",6,IF(F92="T",3,0))</f>
        <v>0</v>
      </c>
      <c r="H92" s="4" t="n">
        <f aca="false">IF(C92="",0,C92)</f>
        <v>0</v>
      </c>
      <c r="I92" s="4" t="n">
        <f aca="false">G92+H92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51" colorId="64" zoomScale="100" zoomScaleNormal="100" zoomScalePageLayoutView="100" workbookViewId="0">
      <selection pane="topLeft" activeCell="C8" activeCellId="0" sqref="C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9" min="3" style="0" width="14"/>
  </cols>
  <sheetData>
    <row r="1" customFormat="false" ht="17.25" hidden="false" customHeight="true" outlineLevel="0" collapsed="false">
      <c r="A1" s="7" t="s">
        <v>196</v>
      </c>
      <c r="B1" s="7"/>
      <c r="C1" s="7"/>
      <c r="D1" s="7"/>
      <c r="E1" s="7"/>
      <c r="F1" s="7"/>
      <c r="G1" s="7"/>
      <c r="H1" s="7"/>
      <c r="I1" s="7"/>
    </row>
    <row r="2" customFormat="false" ht="15" hidden="false" customHeight="true" outlineLevel="0" collapsed="false">
      <c r="A2" s="6" t="s">
        <v>197</v>
      </c>
    </row>
    <row r="4" customFormat="false" ht="15" hidden="false" customHeight="true" outlineLevel="0" collapsed="false">
      <c r="A4" s="22" t="s">
        <v>95</v>
      </c>
    </row>
    <row r="5" customFormat="false" ht="15" hidden="false" customHeight="true" outlineLevel="0" collapsed="false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customFormat="false" ht="15" hidden="false" customHeight="true" outlineLevel="0" collapsed="false">
      <c r="A6" s="0" t="n">
        <v>1</v>
      </c>
      <c r="B6" s="0" t="str">
        <f aca="false">Roster!B3</f>
        <v>Evan Loeser</v>
      </c>
      <c r="C6" s="3" t="n">
        <f aca="false">SUMPRODUCT(('Picks Detail'!F117:F130&lt;&gt;"")*('Picks Detail'!E117:E130&lt;&gt;"")*('Picks Detail'!F117:F130='Picks Detail'!E117:E130))</f>
        <v>0</v>
      </c>
      <c r="D6" s="0" t="n">
        <v>10</v>
      </c>
      <c r="E6" s="4" t="n">
        <f aca="false">IFERROR(INDEX(C$6:C$17,MATCH(10,A$6:A$17,0)),0)</f>
        <v>0</v>
      </c>
      <c r="F6" s="0" t="str">
        <f aca="false"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 s="4" t="n">
        <f aca="false">IF(F6="W",10,IF(F6="T",5,0))</f>
        <v>0</v>
      </c>
      <c r="H6" s="4" t="n">
        <f aca="false">IF(C6="",0,C6)</f>
        <v>0</v>
      </c>
      <c r="I6" s="4" t="n">
        <f aca="false">G6+H6</f>
        <v>0</v>
      </c>
    </row>
    <row r="7" customFormat="false" ht="15" hidden="false" customHeight="true" outlineLevel="0" collapsed="false">
      <c r="A7" s="0" t="n">
        <v>2</v>
      </c>
      <c r="B7" s="0" t="str">
        <f aca="false">Roster!B4</f>
        <v>Chris Simmons</v>
      </c>
      <c r="C7" s="3" t="n">
        <f aca="false">SUMPRODUCT(('Picks Detail'!G117:G130&lt;&gt;"")*('Picks Detail'!E117:E130&lt;&gt;"")*('Picks Detail'!G117:G130='Picks Detail'!E117:E130))</f>
        <v>0</v>
      </c>
      <c r="D7" s="0" t="n">
        <v>9</v>
      </c>
      <c r="E7" s="4" t="n">
        <f aca="false">IFERROR(INDEX(C$6:C$17,MATCH(9,A$6:A$17,0)),0)</f>
        <v>0</v>
      </c>
      <c r="F7" s="0" t="str">
        <f aca="false"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 s="4" t="n">
        <f aca="false">IF(F7="W",10,IF(F7="T",5,0))</f>
        <v>0</v>
      </c>
      <c r="H7" s="4" t="n">
        <f aca="false">IF(C7="",0,C7)</f>
        <v>0</v>
      </c>
      <c r="I7" s="4" t="n">
        <f aca="false">G7+H7</f>
        <v>0</v>
      </c>
    </row>
    <row r="8" customFormat="false" ht="15" hidden="false" customHeight="true" outlineLevel="0" collapsed="false">
      <c r="A8" s="0" t="n">
        <v>3</v>
      </c>
      <c r="B8" s="0" t="str">
        <f aca="false">Roster!B5</f>
        <v>Jack Smith</v>
      </c>
      <c r="C8" s="3" t="n">
        <f aca="false">SUMPRODUCT(('Picks Detail'!H117:H130&lt;&gt;"")*('Picks Detail'!E117:E130&lt;&gt;"")*('Picks Detail'!H117:H130='Picks Detail'!E117:E130))</f>
        <v>0</v>
      </c>
      <c r="D8" s="0" t="n">
        <v>8</v>
      </c>
      <c r="E8" s="4" t="n">
        <f aca="false">IFERROR(INDEX(C$6:C$17,MATCH(8,A$6:A$17,0)),0)</f>
        <v>0</v>
      </c>
      <c r="F8" s="0" t="str">
        <f aca="false"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 s="4" t="n">
        <f aca="false">IF(F8="W",10,IF(F8="T",5,0))</f>
        <v>0</v>
      </c>
      <c r="H8" s="4" t="n">
        <f aca="false">IF(C8="",0,C8)</f>
        <v>0</v>
      </c>
      <c r="I8" s="4" t="n">
        <f aca="false">G8+H8</f>
        <v>0</v>
      </c>
    </row>
    <row r="9" customFormat="false" ht="15" hidden="false" customHeight="true" outlineLevel="0" collapsed="false">
      <c r="A9" s="0" t="n">
        <v>4</v>
      </c>
      <c r="B9" s="0" t="str">
        <f aca="false">Roster!B6</f>
        <v>Luke Ussery</v>
      </c>
      <c r="C9" s="3" t="n">
        <f aca="false">SUMPRODUCT(('Picks Detail'!I117:I130&lt;&gt;"")*('Picks Detail'!E117:E130&lt;&gt;"")*('Picks Detail'!I117:I130='Picks Detail'!E117:E130))</f>
        <v>0</v>
      </c>
      <c r="D9" s="0" t="n">
        <v>7</v>
      </c>
      <c r="E9" s="4" t="n">
        <f aca="false">IFERROR(INDEX(C$6:C$17,MATCH(7,A$6:A$17,0)),0)</f>
        <v>0</v>
      </c>
      <c r="F9" s="0" t="str">
        <f aca="false"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 s="4" t="n">
        <f aca="false">IF(F9="W",10,IF(F9="T",5,0))</f>
        <v>0</v>
      </c>
      <c r="H9" s="4" t="n">
        <f aca="false">IF(C9="",0,C9)</f>
        <v>0</v>
      </c>
      <c r="I9" s="4" t="n">
        <f aca="false">G9+H9</f>
        <v>0</v>
      </c>
    </row>
    <row r="10" customFormat="false" ht="15" hidden="false" customHeight="true" outlineLevel="0" collapsed="false">
      <c r="A10" s="0" t="n">
        <v>5</v>
      </c>
      <c r="B10" s="0" t="str">
        <f aca="false">Roster!B7</f>
        <v>Mikayla Simmons</v>
      </c>
      <c r="C10" s="3" t="n">
        <f aca="false">SUMPRODUCT(('Picks Detail'!J117:J130&lt;&gt;"")*('Picks Detail'!E117:E130&lt;&gt;"")*('Picks Detail'!J117:J130='Picks Detail'!E117:E130))</f>
        <v>0</v>
      </c>
      <c r="D10" s="0" t="n">
        <v>11</v>
      </c>
      <c r="E10" s="4" t="n">
        <f aca="false">IFERROR(INDEX(C$6:C$17,MATCH(11,A$6:A$17,0)),0)</f>
        <v>0</v>
      </c>
      <c r="F10" s="0" t="str">
        <f aca="false"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 s="4" t="n">
        <f aca="false">IF(F10="W",10,IF(F10="T",5,0))</f>
        <v>0</v>
      </c>
      <c r="H10" s="4" t="n">
        <f aca="false">IF(C10="",0,C10)</f>
        <v>0</v>
      </c>
      <c r="I10" s="4" t="n">
        <f aca="false">G10+H10</f>
        <v>0</v>
      </c>
    </row>
    <row r="11" customFormat="false" ht="15" hidden="false" customHeight="true" outlineLevel="0" collapsed="false">
      <c r="A11" s="0" t="n">
        <v>6</v>
      </c>
      <c r="B11" s="0" t="str">
        <f aca="false">Roster!B8</f>
        <v>Alan Loeser</v>
      </c>
      <c r="C11" s="3" t="n">
        <f aca="false">SUMPRODUCT(('Picks Detail'!K117:K130&lt;&gt;"")*('Picks Detail'!E117:E130&lt;&gt;"")*('Picks Detail'!K117:K130='Picks Detail'!E117:E130))</f>
        <v>0</v>
      </c>
      <c r="D11" s="0" t="n">
        <v>12</v>
      </c>
      <c r="E11" s="4" t="n">
        <f aca="false">IFERROR(INDEX(C$6:C$17,MATCH(12,A$6:A$17,0)),0)</f>
        <v>0</v>
      </c>
      <c r="F11" s="0" t="str">
        <f aca="false"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 s="4" t="n">
        <f aca="false">IF(F11="W",10,IF(F11="T",5,0))</f>
        <v>0</v>
      </c>
      <c r="H11" s="4" t="n">
        <f aca="false">IF(C11="",0,C11)</f>
        <v>0</v>
      </c>
      <c r="I11" s="4" t="n">
        <f aca="false">G11+H11</f>
        <v>0</v>
      </c>
    </row>
    <row r="12" customFormat="false" ht="15" hidden="false" customHeight="true" outlineLevel="0" collapsed="false">
      <c r="A12" s="0" t="n">
        <v>7</v>
      </c>
      <c r="B12" s="0" t="str">
        <f aca="false">Roster!B9</f>
        <v>Caleb Simmons</v>
      </c>
      <c r="C12" s="3" t="n">
        <f aca="false">SUMPRODUCT(('Picks Detail'!L117:L130&lt;&gt;"")*('Picks Detail'!E117:E130&lt;&gt;"")*('Picks Detail'!L117:L130='Picks Detail'!E117:E130))</f>
        <v>0</v>
      </c>
      <c r="D12" s="0" t="n">
        <v>4</v>
      </c>
      <c r="E12" s="4" t="n">
        <f aca="false">IFERROR(INDEX(C$6:C$17,MATCH(4,A$6:A$17,0)),0)</f>
        <v>0</v>
      </c>
      <c r="F12" s="0" t="str">
        <f aca="false"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 s="4" t="n">
        <f aca="false">IF(F12="W",10,IF(F12="T",5,0))</f>
        <v>0</v>
      </c>
      <c r="H12" s="4" t="n">
        <f aca="false">IF(C12="",0,C12)</f>
        <v>0</v>
      </c>
      <c r="I12" s="4" t="n">
        <f aca="false">G12+H12</f>
        <v>0</v>
      </c>
    </row>
    <row r="13" customFormat="false" ht="15" hidden="false" customHeight="true" outlineLevel="0" collapsed="false">
      <c r="A13" s="0" t="n">
        <v>8</v>
      </c>
      <c r="B13" s="0" t="str">
        <f aca="false">Roster!B10</f>
        <v>Larry Loeser</v>
      </c>
      <c r="C13" s="3" t="n">
        <f aca="false">SUMPRODUCT(('Picks Detail'!M117:M130&lt;&gt;"")*('Picks Detail'!E117:E130&lt;&gt;"")*('Picks Detail'!M117:M130='Picks Detail'!E117:E130))</f>
        <v>0</v>
      </c>
      <c r="D13" s="0" t="n">
        <v>3</v>
      </c>
      <c r="E13" s="4" t="n">
        <f aca="false">IFERROR(INDEX(C$6:C$17,MATCH(3,A$6:A$17,0)),0)</f>
        <v>0</v>
      </c>
      <c r="F13" s="0" t="str">
        <f aca="false"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 s="4" t="n">
        <f aca="false">IF(F13="W",10,IF(F13="T",5,0))</f>
        <v>0</v>
      </c>
      <c r="H13" s="4" t="n">
        <f aca="false">IF(C13="",0,C13)</f>
        <v>0</v>
      </c>
      <c r="I13" s="4" t="n">
        <f aca="false">G13+H13</f>
        <v>0</v>
      </c>
    </row>
    <row r="14" customFormat="false" ht="15" hidden="false" customHeight="true" outlineLevel="0" collapsed="false">
      <c r="A14" s="0" t="n">
        <v>9</v>
      </c>
      <c r="B14" s="0" t="str">
        <f aca="false">Roster!B11</f>
        <v>Daddy Michael</v>
      </c>
      <c r="C14" s="3" t="n">
        <f aca="false">SUMPRODUCT(('Picks Detail'!N117:N130&lt;&gt;"")*('Picks Detail'!E117:E130&lt;&gt;"")*('Picks Detail'!N117:N130='Picks Detail'!E117:E130))</f>
        <v>0</v>
      </c>
      <c r="D14" s="0" t="n">
        <v>2</v>
      </c>
      <c r="E14" s="4" t="n">
        <f aca="false">IFERROR(INDEX(C$6:C$17,MATCH(2,A$6:A$17,0)),0)</f>
        <v>0</v>
      </c>
      <c r="F14" s="0" t="str">
        <f aca="false"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 s="4" t="n">
        <f aca="false">IF(F14="W",10,IF(F14="T",5,0))</f>
        <v>0</v>
      </c>
      <c r="H14" s="4" t="n">
        <f aca="false">IF(C14="",0,C14)</f>
        <v>0</v>
      </c>
      <c r="I14" s="4" t="n">
        <f aca="false">G14+H14</f>
        <v>0</v>
      </c>
    </row>
    <row r="15" customFormat="false" ht="15" hidden="false" customHeight="true" outlineLevel="0" collapsed="false">
      <c r="A15" s="0" t="n">
        <v>10</v>
      </c>
      <c r="B15" s="0" t="str">
        <f aca="false">Roster!B12</f>
        <v>Zach Zarra</v>
      </c>
      <c r="C15" s="3" t="n">
        <f aca="false">SUMPRODUCT(('Picks Detail'!O117:O130&lt;&gt;"")*('Picks Detail'!E117:E130&lt;&gt;"")*('Picks Detail'!O117:O130='Picks Detail'!E117:E130))</f>
        <v>0</v>
      </c>
      <c r="D15" s="0" t="n">
        <v>1</v>
      </c>
      <c r="E15" s="4" t="n">
        <f aca="false">IFERROR(INDEX(C$6:C$17,MATCH(1,A$6:A$17,0)),0)</f>
        <v>0</v>
      </c>
      <c r="F15" s="0" t="str">
        <f aca="false"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 s="4" t="n">
        <f aca="false">IF(F15="W",10,IF(F15="T",5,0))</f>
        <v>0</v>
      </c>
      <c r="H15" s="4" t="n">
        <f aca="false">IF(C15="",0,C15)</f>
        <v>0</v>
      </c>
      <c r="I15" s="4" t="n">
        <f aca="false">G15+H15</f>
        <v>0</v>
      </c>
    </row>
    <row r="16" customFormat="false" ht="15" hidden="false" customHeight="true" outlineLevel="0" collapsed="false">
      <c r="A16" s="0" t="n">
        <v>11</v>
      </c>
      <c r="B16" s="0" t="str">
        <f aca="false">Roster!B13</f>
        <v>Jeffrey Loeser</v>
      </c>
      <c r="C16" s="3" t="n">
        <f aca="false">SUMPRODUCT(('Picks Detail'!P117:P130&lt;&gt;"")*('Picks Detail'!E117:E130&lt;&gt;"")*('Picks Detail'!P117:P130='Picks Detail'!E117:E130))</f>
        <v>0</v>
      </c>
      <c r="D16" s="0" t="n">
        <v>5</v>
      </c>
      <c r="E16" s="4" t="n">
        <f aca="false">IFERROR(INDEX(C$6:C$17,MATCH(5,A$6:A$17,0)),0)</f>
        <v>0</v>
      </c>
      <c r="F16" s="0" t="str">
        <f aca="false"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 s="4" t="n">
        <f aca="false">IF(F16="W",10,IF(F16="T",5,0))</f>
        <v>0</v>
      </c>
      <c r="H16" s="4" t="n">
        <f aca="false">IF(C16="",0,C16)</f>
        <v>0</v>
      </c>
      <c r="I16" s="4" t="n">
        <f aca="false">G16+H16</f>
        <v>0</v>
      </c>
    </row>
    <row r="17" customFormat="false" ht="15" hidden="false" customHeight="true" outlineLevel="0" collapsed="false">
      <c r="A17" s="0" t="n">
        <v>12</v>
      </c>
      <c r="B17" s="0" t="str">
        <f aca="false">Roster!B14</f>
        <v>Jake Andrews</v>
      </c>
      <c r="C17" s="3" t="n">
        <f aca="false">SUMPRODUCT(('Picks Detail'!Q117:Q130&lt;&gt;"")*('Picks Detail'!E117:E130&lt;&gt;"")*('Picks Detail'!Q117:Q130='Picks Detail'!E117:E130))</f>
        <v>0</v>
      </c>
      <c r="D17" s="0" t="n">
        <v>6</v>
      </c>
      <c r="E17" s="4" t="n">
        <f aca="false">IFERROR(INDEX(C$6:C$17,MATCH(6,A$6:A$17,0)),0)</f>
        <v>0</v>
      </c>
      <c r="F17" s="0" t="str">
        <f aca="false"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 s="4" t="n">
        <f aca="false">IF(F17="W",10,IF(F17="T",5,0))</f>
        <v>0</v>
      </c>
      <c r="H17" s="4" t="n">
        <f aca="false">IF(C17="",0,C17)</f>
        <v>0</v>
      </c>
      <c r="I17" s="4" t="n">
        <f aca="false">G17+H17</f>
        <v>0</v>
      </c>
    </row>
    <row r="19" customFormat="false" ht="15" hidden="false" customHeight="true" outlineLevel="0" collapsed="false">
      <c r="A19" s="22" t="s">
        <v>96</v>
      </c>
    </row>
    <row r="20" customFormat="false" ht="15" hidden="false" customHeight="true" outlineLevel="0" collapsed="false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customFormat="false" ht="15" hidden="false" customHeight="true" outlineLevel="0" collapsed="false">
      <c r="A21" s="0" t="n">
        <v>1</v>
      </c>
      <c r="B21" s="0" t="str">
        <f aca="false">Roster!B3</f>
        <v>Evan Loeser</v>
      </c>
      <c r="C21" s="3" t="n">
        <f aca="false">SUMPRODUCT(('Picks Detail'!F134:F147&lt;&gt;"")*('Picks Detail'!E134:E147&lt;&gt;"")*('Picks Detail'!F134:F147='Picks Detail'!E134:E147))</f>
        <v>0</v>
      </c>
      <c r="D21" s="0" t="n">
        <v>12</v>
      </c>
      <c r="E21" s="4" t="n">
        <f aca="false">IFERROR(INDEX(C$21:C$32,MATCH(12,A$21:A$32,0)),0)</f>
        <v>0</v>
      </c>
      <c r="F21" s="0" t="str">
        <f aca="false"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 s="4" t="n">
        <f aca="false">IF(F21="W",10,IF(F21="T",5,0))</f>
        <v>0</v>
      </c>
      <c r="H21" s="4" t="n">
        <f aca="false">IF(C21="",0,C21)</f>
        <v>0</v>
      </c>
      <c r="I21" s="4" t="n">
        <f aca="false">G21+H21</f>
        <v>0</v>
      </c>
    </row>
    <row r="22" customFormat="false" ht="15" hidden="false" customHeight="true" outlineLevel="0" collapsed="false">
      <c r="A22" s="0" t="n">
        <v>2</v>
      </c>
      <c r="B22" s="0" t="str">
        <f aca="false">Roster!B4</f>
        <v>Chris Simmons</v>
      </c>
      <c r="C22" s="3" t="n">
        <f aca="false">SUMPRODUCT(('Picks Detail'!G134:G147&lt;&gt;"")*('Picks Detail'!E134:E147&lt;&gt;"")*('Picks Detail'!G134:G147='Picks Detail'!E134:E147))</f>
        <v>0</v>
      </c>
      <c r="D22" s="0" t="n">
        <v>11</v>
      </c>
      <c r="E22" s="4" t="n">
        <f aca="false">IFERROR(INDEX(C$21:C$32,MATCH(11,A$21:A$32,0)),0)</f>
        <v>0</v>
      </c>
      <c r="F22" s="0" t="str">
        <f aca="false"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 s="4" t="n">
        <f aca="false">IF(F22="W",10,IF(F22="T",5,0))</f>
        <v>0</v>
      </c>
      <c r="H22" s="4" t="n">
        <f aca="false">IF(C22="",0,C22)</f>
        <v>0</v>
      </c>
      <c r="I22" s="4" t="n">
        <f aca="false">G22+H22</f>
        <v>0</v>
      </c>
    </row>
    <row r="23" customFormat="false" ht="15" hidden="false" customHeight="true" outlineLevel="0" collapsed="false">
      <c r="A23" s="0" t="n">
        <v>3</v>
      </c>
      <c r="B23" s="0" t="str">
        <f aca="false">Roster!B5</f>
        <v>Jack Smith</v>
      </c>
      <c r="C23" s="3" t="n">
        <f aca="false">SUMPRODUCT(('Picks Detail'!H134:H147&lt;&gt;"")*('Picks Detail'!E134:E147&lt;&gt;"")*('Picks Detail'!H134:H147='Picks Detail'!E134:E147))</f>
        <v>0</v>
      </c>
      <c r="D23" s="0" t="n">
        <v>6</v>
      </c>
      <c r="E23" s="4" t="n">
        <f aca="false">IFERROR(INDEX(C$21:C$32,MATCH(6,A$21:A$32,0)),0)</f>
        <v>0</v>
      </c>
      <c r="F23" s="0" t="str">
        <f aca="false"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 s="4" t="n">
        <f aca="false">IF(F23="W",10,IF(F23="T",5,0))</f>
        <v>0</v>
      </c>
      <c r="H23" s="4" t="n">
        <f aca="false">IF(C23="",0,C23)</f>
        <v>0</v>
      </c>
      <c r="I23" s="4" t="n">
        <f aca="false">G23+H23</f>
        <v>0</v>
      </c>
    </row>
    <row r="24" customFormat="false" ht="15" hidden="false" customHeight="true" outlineLevel="0" collapsed="false">
      <c r="A24" s="0" t="n">
        <v>4</v>
      </c>
      <c r="B24" s="0" t="str">
        <f aca="false">Roster!B6</f>
        <v>Luke Ussery</v>
      </c>
      <c r="C24" s="3" t="n">
        <f aca="false">SUMPRODUCT(('Picks Detail'!I134:I147&lt;&gt;"")*('Picks Detail'!E134:E147&lt;&gt;"")*('Picks Detail'!I134:I147='Picks Detail'!E134:E147))</f>
        <v>0</v>
      </c>
      <c r="D24" s="0" t="n">
        <v>5</v>
      </c>
      <c r="E24" s="4" t="n">
        <f aca="false">IFERROR(INDEX(C$21:C$32,MATCH(5,A$21:A$32,0)),0)</f>
        <v>0</v>
      </c>
      <c r="F24" s="0" t="str">
        <f aca="false"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 s="4" t="n">
        <f aca="false">IF(F24="W",10,IF(F24="T",5,0))</f>
        <v>0</v>
      </c>
      <c r="H24" s="4" t="n">
        <f aca="false">IF(C24="",0,C24)</f>
        <v>0</v>
      </c>
      <c r="I24" s="4" t="n">
        <f aca="false">G24+H24</f>
        <v>0</v>
      </c>
    </row>
    <row r="25" customFormat="false" ht="15" hidden="false" customHeight="true" outlineLevel="0" collapsed="false">
      <c r="A25" s="0" t="n">
        <v>5</v>
      </c>
      <c r="B25" s="0" t="str">
        <f aca="false">Roster!B7</f>
        <v>Mikayla Simmons</v>
      </c>
      <c r="C25" s="3" t="n">
        <f aca="false">SUMPRODUCT(('Picks Detail'!J134:J147&lt;&gt;"")*('Picks Detail'!E134:E147&lt;&gt;"")*('Picks Detail'!J134:J147='Picks Detail'!E134:E147))</f>
        <v>0</v>
      </c>
      <c r="D25" s="0" t="n">
        <v>4</v>
      </c>
      <c r="E25" s="4" t="n">
        <f aca="false">IFERROR(INDEX(C$21:C$32,MATCH(4,A$21:A$32,0)),0)</f>
        <v>0</v>
      </c>
      <c r="F25" s="0" t="str">
        <f aca="false"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 s="4" t="n">
        <f aca="false">IF(F25="W",10,IF(F25="T",5,0))</f>
        <v>0</v>
      </c>
      <c r="H25" s="4" t="n">
        <f aca="false">IF(C25="",0,C25)</f>
        <v>0</v>
      </c>
      <c r="I25" s="4" t="n">
        <f aca="false">G25+H25</f>
        <v>0</v>
      </c>
    </row>
    <row r="26" customFormat="false" ht="15" hidden="false" customHeight="true" outlineLevel="0" collapsed="false">
      <c r="A26" s="0" t="n">
        <v>6</v>
      </c>
      <c r="B26" s="0" t="str">
        <f aca="false">Roster!B8</f>
        <v>Alan Loeser</v>
      </c>
      <c r="C26" s="3" t="n">
        <f aca="false">SUMPRODUCT(('Picks Detail'!K134:K147&lt;&gt;"")*('Picks Detail'!E134:E147&lt;&gt;"")*('Picks Detail'!K134:K147='Picks Detail'!E134:E147))</f>
        <v>0</v>
      </c>
      <c r="D26" s="0" t="n">
        <v>3</v>
      </c>
      <c r="E26" s="4" t="n">
        <f aca="false">IFERROR(INDEX(C$21:C$32,MATCH(3,A$21:A$32,0)),0)</f>
        <v>0</v>
      </c>
      <c r="F26" s="0" t="str">
        <f aca="false"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 s="4" t="n">
        <f aca="false">IF(F26="W",10,IF(F26="T",5,0))</f>
        <v>0</v>
      </c>
      <c r="H26" s="4" t="n">
        <f aca="false">IF(C26="",0,C26)</f>
        <v>0</v>
      </c>
      <c r="I26" s="4" t="n">
        <f aca="false">G26+H26</f>
        <v>0</v>
      </c>
    </row>
    <row r="27" customFormat="false" ht="15" hidden="false" customHeight="true" outlineLevel="0" collapsed="false">
      <c r="A27" s="0" t="n">
        <v>7</v>
      </c>
      <c r="B27" s="0" t="str">
        <f aca="false">Roster!B9</f>
        <v>Caleb Simmons</v>
      </c>
      <c r="C27" s="3" t="n">
        <f aca="false">SUMPRODUCT(('Picks Detail'!L134:L147&lt;&gt;"")*('Picks Detail'!E134:E147&lt;&gt;"")*('Picks Detail'!L134:L147='Picks Detail'!E134:E147))</f>
        <v>0</v>
      </c>
      <c r="D27" s="0" t="n">
        <v>10</v>
      </c>
      <c r="E27" s="4" t="n">
        <f aca="false">IFERROR(INDEX(C$21:C$32,MATCH(10,A$21:A$32,0)),0)</f>
        <v>0</v>
      </c>
      <c r="F27" s="0" t="str">
        <f aca="false"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 s="4" t="n">
        <f aca="false">IF(F27="W",10,IF(F27="T",5,0))</f>
        <v>0</v>
      </c>
      <c r="H27" s="4" t="n">
        <f aca="false">IF(C27="",0,C27)</f>
        <v>0</v>
      </c>
      <c r="I27" s="4" t="n">
        <f aca="false">G27+H27</f>
        <v>0</v>
      </c>
    </row>
    <row r="28" customFormat="false" ht="15" hidden="false" customHeight="true" outlineLevel="0" collapsed="false">
      <c r="A28" s="0" t="n">
        <v>8</v>
      </c>
      <c r="B28" s="0" t="str">
        <f aca="false">Roster!B10</f>
        <v>Larry Loeser</v>
      </c>
      <c r="C28" s="3" t="n">
        <f aca="false">SUMPRODUCT(('Picks Detail'!M134:M147&lt;&gt;"")*('Picks Detail'!E134:E147&lt;&gt;"")*('Picks Detail'!M134:M147='Picks Detail'!E134:E147))</f>
        <v>0</v>
      </c>
      <c r="D28" s="0" t="n">
        <v>9</v>
      </c>
      <c r="E28" s="4" t="n">
        <f aca="false">IFERROR(INDEX(C$21:C$32,MATCH(9,A$21:A$32,0)),0)</f>
        <v>0</v>
      </c>
      <c r="F28" s="0" t="str">
        <f aca="false"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 s="4" t="n">
        <f aca="false">IF(F28="W",10,IF(F28="T",5,0))</f>
        <v>0</v>
      </c>
      <c r="H28" s="4" t="n">
        <f aca="false">IF(C28="",0,C28)</f>
        <v>0</v>
      </c>
      <c r="I28" s="4" t="n">
        <f aca="false">G28+H28</f>
        <v>0</v>
      </c>
    </row>
    <row r="29" customFormat="false" ht="15" hidden="false" customHeight="true" outlineLevel="0" collapsed="false">
      <c r="A29" s="0" t="n">
        <v>9</v>
      </c>
      <c r="B29" s="0" t="str">
        <f aca="false">Roster!B11</f>
        <v>Daddy Michael</v>
      </c>
      <c r="C29" s="3" t="n">
        <f aca="false">SUMPRODUCT(('Picks Detail'!N134:N147&lt;&gt;"")*('Picks Detail'!E134:E147&lt;&gt;"")*('Picks Detail'!N134:N147='Picks Detail'!E134:E147))</f>
        <v>0</v>
      </c>
      <c r="D29" s="0" t="n">
        <v>8</v>
      </c>
      <c r="E29" s="4" t="n">
        <f aca="false">IFERROR(INDEX(C$21:C$32,MATCH(8,A$21:A$32,0)),0)</f>
        <v>0</v>
      </c>
      <c r="F29" s="0" t="str">
        <f aca="false"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 s="4" t="n">
        <f aca="false">IF(F29="W",10,IF(F29="T",5,0))</f>
        <v>0</v>
      </c>
      <c r="H29" s="4" t="n">
        <f aca="false">IF(C29="",0,C29)</f>
        <v>0</v>
      </c>
      <c r="I29" s="4" t="n">
        <f aca="false">G29+H29</f>
        <v>0</v>
      </c>
    </row>
    <row r="30" customFormat="false" ht="15" hidden="false" customHeight="true" outlineLevel="0" collapsed="false">
      <c r="A30" s="0" t="n">
        <v>10</v>
      </c>
      <c r="B30" s="0" t="str">
        <f aca="false">Roster!B12</f>
        <v>Zach Zarra</v>
      </c>
      <c r="C30" s="3" t="n">
        <f aca="false">SUMPRODUCT(('Picks Detail'!O134:O147&lt;&gt;"")*('Picks Detail'!E134:E147&lt;&gt;"")*('Picks Detail'!O134:O147='Picks Detail'!E134:E147))</f>
        <v>0</v>
      </c>
      <c r="D30" s="0" t="n">
        <v>7</v>
      </c>
      <c r="E30" s="4" t="n">
        <f aca="false">IFERROR(INDEX(C$21:C$32,MATCH(7,A$21:A$32,0)),0)</f>
        <v>0</v>
      </c>
      <c r="F30" s="0" t="str">
        <f aca="false"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 s="4" t="n">
        <f aca="false">IF(F30="W",10,IF(F30="T",5,0))</f>
        <v>0</v>
      </c>
      <c r="H30" s="4" t="n">
        <f aca="false">IF(C30="",0,C30)</f>
        <v>0</v>
      </c>
      <c r="I30" s="4" t="n">
        <f aca="false">G30+H30</f>
        <v>0</v>
      </c>
    </row>
    <row r="31" customFormat="false" ht="15" hidden="false" customHeight="true" outlineLevel="0" collapsed="false">
      <c r="A31" s="0" t="n">
        <v>11</v>
      </c>
      <c r="B31" s="0" t="str">
        <f aca="false">Roster!B13</f>
        <v>Jeffrey Loeser</v>
      </c>
      <c r="C31" s="3" t="n">
        <f aca="false">SUMPRODUCT(('Picks Detail'!P134:P147&lt;&gt;"")*('Picks Detail'!E134:E147&lt;&gt;"")*('Picks Detail'!P134:P147='Picks Detail'!E134:E147))</f>
        <v>0</v>
      </c>
      <c r="D31" s="0" t="n">
        <v>2</v>
      </c>
      <c r="E31" s="4" t="n">
        <f aca="false">IFERROR(INDEX(C$21:C$32,MATCH(2,A$21:A$32,0)),0)</f>
        <v>0</v>
      </c>
      <c r="F31" s="0" t="str">
        <f aca="false"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 s="4" t="n">
        <f aca="false">IF(F31="W",10,IF(F31="T",5,0))</f>
        <v>0</v>
      </c>
      <c r="H31" s="4" t="n">
        <f aca="false">IF(C31="",0,C31)</f>
        <v>0</v>
      </c>
      <c r="I31" s="4" t="n">
        <f aca="false">G31+H31</f>
        <v>0</v>
      </c>
    </row>
    <row r="32" customFormat="false" ht="15" hidden="false" customHeight="true" outlineLevel="0" collapsed="false">
      <c r="A32" s="0" t="n">
        <v>12</v>
      </c>
      <c r="B32" s="0" t="str">
        <f aca="false">Roster!B14</f>
        <v>Jake Andrews</v>
      </c>
      <c r="C32" s="3" t="n">
        <f aca="false">SUMPRODUCT(('Picks Detail'!Q134:Q147&lt;&gt;"")*('Picks Detail'!E134:E147&lt;&gt;"")*('Picks Detail'!Q134:Q147='Picks Detail'!E134:E147))</f>
        <v>0</v>
      </c>
      <c r="D32" s="0" t="n">
        <v>1</v>
      </c>
      <c r="E32" s="4" t="n">
        <f aca="false">IFERROR(INDEX(C$21:C$32,MATCH(1,A$21:A$32,0)),0)</f>
        <v>0</v>
      </c>
      <c r="F32" s="0" t="str">
        <f aca="false"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 s="4" t="n">
        <f aca="false">IF(F32="W",10,IF(F32="T",5,0))</f>
        <v>0</v>
      </c>
      <c r="H32" s="4" t="n">
        <f aca="false">IF(C32="",0,C32)</f>
        <v>0</v>
      </c>
      <c r="I32" s="4" t="n">
        <f aca="false">G32+H32</f>
        <v>0</v>
      </c>
    </row>
    <row r="34" customFormat="false" ht="15" hidden="false" customHeight="true" outlineLevel="0" collapsed="false">
      <c r="A34" s="22" t="s">
        <v>97</v>
      </c>
    </row>
    <row r="35" customFormat="false" ht="15" hidden="false" customHeight="true" outlineLevel="0" collapsed="false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customFormat="false" ht="15" hidden="false" customHeight="true" outlineLevel="0" collapsed="false">
      <c r="A36" s="0" t="n">
        <v>1</v>
      </c>
      <c r="B36" s="0" t="str">
        <f aca="false">Roster!B3</f>
        <v>Evan Loeser</v>
      </c>
      <c r="C36" s="3" t="n">
        <f aca="false">SUMPRODUCT(('Picks Detail'!F151:F165&lt;&gt;"")*('Picks Detail'!E151:E165&lt;&gt;"")*('Picks Detail'!F151:F165='Picks Detail'!E151:E165))</f>
        <v>0</v>
      </c>
      <c r="D36" s="0" t="n">
        <v>5</v>
      </c>
      <c r="E36" s="4" t="n">
        <f aca="false">IFERROR(INDEX(C$36:C$47,MATCH(5,A$36:A$47,0)),0)</f>
        <v>0</v>
      </c>
      <c r="F36" s="0" t="str">
        <f aca="false"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 s="4" t="n">
        <f aca="false">IF(F36="W",10,IF(F36="T",5,0))</f>
        <v>0</v>
      </c>
      <c r="H36" s="4" t="n">
        <f aca="false">IF(C36="",0,C36)</f>
        <v>0</v>
      </c>
      <c r="I36" s="4" t="n">
        <f aca="false">G36+H36</f>
        <v>0</v>
      </c>
    </row>
    <row r="37" customFormat="false" ht="15" hidden="false" customHeight="true" outlineLevel="0" collapsed="false">
      <c r="A37" s="0" t="n">
        <v>2</v>
      </c>
      <c r="B37" s="0" t="str">
        <f aca="false">Roster!B4</f>
        <v>Chris Simmons</v>
      </c>
      <c r="C37" s="3" t="n">
        <f aca="false">SUMPRODUCT(('Picks Detail'!G151:G165&lt;&gt;"")*('Picks Detail'!E151:E165&lt;&gt;"")*('Picks Detail'!G151:G165='Picks Detail'!E151:E165))</f>
        <v>0</v>
      </c>
      <c r="D37" s="0" t="n">
        <v>6</v>
      </c>
      <c r="E37" s="4" t="n">
        <f aca="false">IFERROR(INDEX(C$36:C$47,MATCH(6,A$36:A$47,0)),0)</f>
        <v>0</v>
      </c>
      <c r="F37" s="0" t="str">
        <f aca="false"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 s="4" t="n">
        <f aca="false">IF(F37="W",10,IF(F37="T",5,0))</f>
        <v>0</v>
      </c>
      <c r="H37" s="4" t="n">
        <f aca="false">IF(C37="",0,C37)</f>
        <v>0</v>
      </c>
      <c r="I37" s="4" t="n">
        <f aca="false">G37+H37</f>
        <v>0</v>
      </c>
    </row>
    <row r="38" customFormat="false" ht="15" hidden="false" customHeight="true" outlineLevel="0" collapsed="false">
      <c r="A38" s="0" t="n">
        <v>3</v>
      </c>
      <c r="B38" s="0" t="str">
        <f aca="false">Roster!B5</f>
        <v>Jack Smith</v>
      </c>
      <c r="C38" s="3" t="n">
        <f aca="false">SUMPRODUCT(('Picks Detail'!H151:H165&lt;&gt;"")*('Picks Detail'!E151:E165&lt;&gt;"")*('Picks Detail'!H151:H165='Picks Detail'!E151:E165))</f>
        <v>0</v>
      </c>
      <c r="D38" s="0" t="n">
        <v>10</v>
      </c>
      <c r="E38" s="4" t="n">
        <f aca="false">IFERROR(INDEX(C$36:C$47,MATCH(10,A$36:A$47,0)),0)</f>
        <v>0</v>
      </c>
      <c r="F38" s="0" t="str">
        <f aca="false"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 s="4" t="n">
        <f aca="false">IF(F38="W",10,IF(F38="T",5,0))</f>
        <v>0</v>
      </c>
      <c r="H38" s="4" t="n">
        <f aca="false">IF(C38="",0,C38)</f>
        <v>0</v>
      </c>
      <c r="I38" s="4" t="n">
        <f aca="false">G38+H38</f>
        <v>0</v>
      </c>
    </row>
    <row r="39" customFormat="false" ht="15" hidden="false" customHeight="true" outlineLevel="0" collapsed="false">
      <c r="A39" s="0" t="n">
        <v>4</v>
      </c>
      <c r="B39" s="0" t="str">
        <f aca="false">Roster!B6</f>
        <v>Luke Ussery</v>
      </c>
      <c r="C39" s="3" t="n">
        <f aca="false">SUMPRODUCT(('Picks Detail'!I151:I165&lt;&gt;"")*('Picks Detail'!E151:E165&lt;&gt;"")*('Picks Detail'!I151:I165='Picks Detail'!E151:E165))</f>
        <v>0</v>
      </c>
      <c r="D39" s="0" t="n">
        <v>9</v>
      </c>
      <c r="E39" s="4" t="n">
        <f aca="false">IFERROR(INDEX(C$36:C$47,MATCH(9,A$36:A$47,0)),0)</f>
        <v>0</v>
      </c>
      <c r="F39" s="0" t="str">
        <f aca="false"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 s="4" t="n">
        <f aca="false">IF(F39="W",10,IF(F39="T",5,0))</f>
        <v>0</v>
      </c>
      <c r="H39" s="4" t="n">
        <f aca="false">IF(C39="",0,C39)</f>
        <v>0</v>
      </c>
      <c r="I39" s="4" t="n">
        <f aca="false">G39+H39</f>
        <v>0</v>
      </c>
    </row>
    <row r="40" customFormat="false" ht="15" hidden="false" customHeight="true" outlineLevel="0" collapsed="false">
      <c r="A40" s="0" t="n">
        <v>5</v>
      </c>
      <c r="B40" s="0" t="str">
        <f aca="false">Roster!B7</f>
        <v>Mikayla Simmons</v>
      </c>
      <c r="C40" s="3" t="n">
        <f aca="false">SUMPRODUCT(('Picks Detail'!J151:J165&lt;&gt;"")*('Picks Detail'!E151:E165&lt;&gt;"")*('Picks Detail'!J151:J165='Picks Detail'!E151:E165))</f>
        <v>0</v>
      </c>
      <c r="D40" s="0" t="n">
        <v>1</v>
      </c>
      <c r="E40" s="4" t="n">
        <f aca="false">IFERROR(INDEX(C$36:C$47,MATCH(1,A$36:A$47,0)),0)</f>
        <v>0</v>
      </c>
      <c r="F40" s="0" t="str">
        <f aca="false"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 s="4" t="n">
        <f aca="false">IF(F40="W",10,IF(F40="T",5,0))</f>
        <v>0</v>
      </c>
      <c r="H40" s="4" t="n">
        <f aca="false">IF(C40="",0,C40)</f>
        <v>0</v>
      </c>
      <c r="I40" s="4" t="n">
        <f aca="false">G40+H40</f>
        <v>0</v>
      </c>
    </row>
    <row r="41" customFormat="false" ht="15" hidden="false" customHeight="true" outlineLevel="0" collapsed="false">
      <c r="A41" s="0" t="n">
        <v>6</v>
      </c>
      <c r="B41" s="0" t="str">
        <f aca="false">Roster!B8</f>
        <v>Alan Loeser</v>
      </c>
      <c r="C41" s="3" t="n">
        <f aca="false">SUMPRODUCT(('Picks Detail'!K151:K165&lt;&gt;"")*('Picks Detail'!E151:E165&lt;&gt;"")*('Picks Detail'!K151:K165='Picks Detail'!E151:E165))</f>
        <v>0</v>
      </c>
      <c r="D41" s="0" t="n">
        <v>2</v>
      </c>
      <c r="E41" s="4" t="n">
        <f aca="false">IFERROR(INDEX(C$36:C$47,MATCH(2,A$36:A$47,0)),0)</f>
        <v>0</v>
      </c>
      <c r="F41" s="0" t="str">
        <f aca="false"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 s="4" t="n">
        <f aca="false">IF(F41="W",10,IF(F41="T",5,0))</f>
        <v>0</v>
      </c>
      <c r="H41" s="4" t="n">
        <f aca="false">IF(C41="",0,C41)</f>
        <v>0</v>
      </c>
      <c r="I41" s="4" t="n">
        <f aca="false">G41+H41</f>
        <v>0</v>
      </c>
    </row>
    <row r="42" customFormat="false" ht="15" hidden="false" customHeight="true" outlineLevel="0" collapsed="false">
      <c r="A42" s="0" t="n">
        <v>7</v>
      </c>
      <c r="B42" s="0" t="str">
        <f aca="false">Roster!B9</f>
        <v>Caleb Simmons</v>
      </c>
      <c r="C42" s="3" t="n">
        <f aca="false">SUMPRODUCT(('Picks Detail'!L151:L165&lt;&gt;"")*('Picks Detail'!E151:E165&lt;&gt;"")*('Picks Detail'!L151:L165='Picks Detail'!E151:E165))</f>
        <v>0</v>
      </c>
      <c r="D42" s="0" t="n">
        <v>12</v>
      </c>
      <c r="E42" s="4" t="n">
        <f aca="false">IFERROR(INDEX(C$36:C$47,MATCH(12,A$36:A$47,0)),0)</f>
        <v>0</v>
      </c>
      <c r="F42" s="0" t="str">
        <f aca="false"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 s="4" t="n">
        <f aca="false">IF(F42="W",10,IF(F42="T",5,0))</f>
        <v>0</v>
      </c>
      <c r="H42" s="4" t="n">
        <f aca="false">IF(C42="",0,C42)</f>
        <v>0</v>
      </c>
      <c r="I42" s="4" t="n">
        <f aca="false">G42+H42</f>
        <v>0</v>
      </c>
    </row>
    <row r="43" customFormat="false" ht="15" hidden="false" customHeight="true" outlineLevel="0" collapsed="false">
      <c r="A43" s="0" t="n">
        <v>8</v>
      </c>
      <c r="B43" s="0" t="str">
        <f aca="false">Roster!B10</f>
        <v>Larry Loeser</v>
      </c>
      <c r="C43" s="3" t="n">
        <f aca="false">SUMPRODUCT(('Picks Detail'!M151:M165&lt;&gt;"")*('Picks Detail'!E151:E165&lt;&gt;"")*('Picks Detail'!M151:M165='Picks Detail'!E151:E165))</f>
        <v>0</v>
      </c>
      <c r="D43" s="0" t="n">
        <v>11</v>
      </c>
      <c r="E43" s="4" t="n">
        <f aca="false">IFERROR(INDEX(C$36:C$47,MATCH(11,A$36:A$47,0)),0)</f>
        <v>0</v>
      </c>
      <c r="F43" s="0" t="str">
        <f aca="false"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 s="4" t="n">
        <f aca="false">IF(F43="W",10,IF(F43="T",5,0))</f>
        <v>0</v>
      </c>
      <c r="H43" s="4" t="n">
        <f aca="false">IF(C43="",0,C43)</f>
        <v>0</v>
      </c>
      <c r="I43" s="4" t="n">
        <f aca="false">G43+H43</f>
        <v>0</v>
      </c>
    </row>
    <row r="44" customFormat="false" ht="15" hidden="false" customHeight="true" outlineLevel="0" collapsed="false">
      <c r="A44" s="0" t="n">
        <v>9</v>
      </c>
      <c r="B44" s="0" t="str">
        <f aca="false">Roster!B11</f>
        <v>Daddy Michael</v>
      </c>
      <c r="C44" s="3" t="n">
        <f aca="false">SUMPRODUCT(('Picks Detail'!N151:N165&lt;&gt;"")*('Picks Detail'!E151:E165&lt;&gt;"")*('Picks Detail'!N151:N165='Picks Detail'!E151:E165))</f>
        <v>0</v>
      </c>
      <c r="D44" s="0" t="n">
        <v>4</v>
      </c>
      <c r="E44" s="4" t="n">
        <f aca="false">IFERROR(INDEX(C$36:C$47,MATCH(4,A$36:A$47,0)),0)</f>
        <v>0</v>
      </c>
      <c r="F44" s="0" t="str">
        <f aca="false"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 s="4" t="n">
        <f aca="false">IF(F44="W",10,IF(F44="T",5,0))</f>
        <v>0</v>
      </c>
      <c r="H44" s="4" t="n">
        <f aca="false">IF(C44="",0,C44)</f>
        <v>0</v>
      </c>
      <c r="I44" s="4" t="n">
        <f aca="false">G44+H44</f>
        <v>0</v>
      </c>
    </row>
    <row r="45" customFormat="false" ht="15" hidden="false" customHeight="true" outlineLevel="0" collapsed="false">
      <c r="A45" s="0" t="n">
        <v>10</v>
      </c>
      <c r="B45" s="0" t="str">
        <f aca="false">Roster!B12</f>
        <v>Zach Zarra</v>
      </c>
      <c r="C45" s="3" t="n">
        <f aca="false">SUMPRODUCT(('Picks Detail'!O151:O165&lt;&gt;"")*('Picks Detail'!E151:E165&lt;&gt;"")*('Picks Detail'!O151:O165='Picks Detail'!E151:E165))</f>
        <v>0</v>
      </c>
      <c r="D45" s="0" t="n">
        <v>3</v>
      </c>
      <c r="E45" s="4" t="n">
        <f aca="false">IFERROR(INDEX(C$36:C$47,MATCH(3,A$36:A$47,0)),0)</f>
        <v>0</v>
      </c>
      <c r="F45" s="0" t="str">
        <f aca="false"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 s="4" t="n">
        <f aca="false">IF(F45="W",10,IF(F45="T",5,0))</f>
        <v>0</v>
      </c>
      <c r="H45" s="4" t="n">
        <f aca="false">IF(C45="",0,C45)</f>
        <v>0</v>
      </c>
      <c r="I45" s="4" t="n">
        <f aca="false">G45+H45</f>
        <v>0</v>
      </c>
    </row>
    <row r="46" customFormat="false" ht="15" hidden="false" customHeight="true" outlineLevel="0" collapsed="false">
      <c r="A46" s="0" t="n">
        <v>11</v>
      </c>
      <c r="B46" s="0" t="str">
        <f aca="false">Roster!B13</f>
        <v>Jeffrey Loeser</v>
      </c>
      <c r="C46" s="3" t="n">
        <f aca="false">SUMPRODUCT(('Picks Detail'!P151:P165&lt;&gt;"")*('Picks Detail'!E151:E165&lt;&gt;"")*('Picks Detail'!P151:P165='Picks Detail'!E151:E165))</f>
        <v>0</v>
      </c>
      <c r="D46" s="0" t="n">
        <v>8</v>
      </c>
      <c r="E46" s="4" t="n">
        <f aca="false">IFERROR(INDEX(C$36:C$47,MATCH(8,A$36:A$47,0)),0)</f>
        <v>0</v>
      </c>
      <c r="F46" s="0" t="str">
        <f aca="false"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 s="4" t="n">
        <f aca="false">IF(F46="W",10,IF(F46="T",5,0))</f>
        <v>0</v>
      </c>
      <c r="H46" s="4" t="n">
        <f aca="false">IF(C46="",0,C46)</f>
        <v>0</v>
      </c>
      <c r="I46" s="4" t="n">
        <f aca="false">G46+H46</f>
        <v>0</v>
      </c>
    </row>
    <row r="47" customFormat="false" ht="15" hidden="false" customHeight="true" outlineLevel="0" collapsed="false">
      <c r="A47" s="0" t="n">
        <v>12</v>
      </c>
      <c r="B47" s="0" t="str">
        <f aca="false">Roster!B14</f>
        <v>Jake Andrews</v>
      </c>
      <c r="C47" s="3" t="n">
        <f aca="false">SUMPRODUCT(('Picks Detail'!Q151:Q165&lt;&gt;"")*('Picks Detail'!E151:E165&lt;&gt;"")*('Picks Detail'!Q151:Q165='Picks Detail'!E151:E165))</f>
        <v>0</v>
      </c>
      <c r="D47" s="0" t="n">
        <v>7</v>
      </c>
      <c r="E47" s="4" t="n">
        <f aca="false">IFERROR(INDEX(C$36:C$47,MATCH(7,A$36:A$47,0)),0)</f>
        <v>0</v>
      </c>
      <c r="F47" s="0" t="str">
        <f aca="false"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 s="4" t="n">
        <f aca="false">IF(F47="W",10,IF(F47="T",5,0))</f>
        <v>0</v>
      </c>
      <c r="H47" s="4" t="n">
        <f aca="false">IF(C47="",0,C47)</f>
        <v>0</v>
      </c>
      <c r="I47" s="4" t="n">
        <f aca="false">G47+H47</f>
        <v>0</v>
      </c>
    </row>
    <row r="49" customFormat="false" ht="15" hidden="false" customHeight="true" outlineLevel="0" collapsed="false">
      <c r="A49" s="22" t="s">
        <v>98</v>
      </c>
    </row>
    <row r="50" customFormat="false" ht="15" hidden="false" customHeight="true" outlineLevel="0" collapsed="false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customFormat="false" ht="15" hidden="false" customHeight="true" outlineLevel="0" collapsed="false">
      <c r="A51" s="0" t="n">
        <v>1</v>
      </c>
      <c r="B51" s="0" t="str">
        <f aca="false">Roster!B3</f>
        <v>Evan Loeser</v>
      </c>
      <c r="C51" s="3" t="n">
        <f aca="false">SUMPRODUCT(('Picks Detail'!F169:F182&lt;&gt;"")*('Picks Detail'!E169:E182&lt;&gt;"")*('Picks Detail'!F169:F182='Picks Detail'!E169:E182))</f>
        <v>0</v>
      </c>
      <c r="D51" s="0" t="n">
        <v>7</v>
      </c>
      <c r="E51" s="4" t="n">
        <f aca="false">IFERROR(INDEX(C$51:C$62,MATCH(7,A$51:A$62,0)),0)</f>
        <v>0</v>
      </c>
      <c r="F51" s="0" t="str">
        <f aca="false"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 s="4" t="n">
        <f aca="false">IF(F51="W",10,IF(F51="T",5,0))</f>
        <v>0</v>
      </c>
      <c r="H51" s="4" t="n">
        <f aca="false">IF(C51="",0,C51)</f>
        <v>0</v>
      </c>
      <c r="I51" s="4" t="n">
        <f aca="false">G51+H51</f>
        <v>0</v>
      </c>
    </row>
    <row r="52" customFormat="false" ht="15" hidden="false" customHeight="true" outlineLevel="0" collapsed="false">
      <c r="A52" s="0" t="n">
        <v>2</v>
      </c>
      <c r="B52" s="0" t="str">
        <f aca="false">Roster!B4</f>
        <v>Chris Simmons</v>
      </c>
      <c r="C52" s="3" t="n">
        <f aca="false">SUMPRODUCT(('Picks Detail'!G169:G182&lt;&gt;"")*('Picks Detail'!E169:E182&lt;&gt;"")*('Picks Detail'!G169:G182='Picks Detail'!E169:E182))</f>
        <v>0</v>
      </c>
      <c r="D52" s="0" t="n">
        <v>8</v>
      </c>
      <c r="E52" s="4" t="n">
        <f aca="false">IFERROR(INDEX(C$51:C$62,MATCH(8,A$51:A$62,0)),0)</f>
        <v>0</v>
      </c>
      <c r="F52" s="0" t="str">
        <f aca="false"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 s="4" t="n">
        <f aca="false">IF(F52="W",10,IF(F52="T",5,0))</f>
        <v>0</v>
      </c>
      <c r="H52" s="4" t="n">
        <f aca="false">IF(C52="",0,C52)</f>
        <v>0</v>
      </c>
      <c r="I52" s="4" t="n">
        <f aca="false">G52+H52</f>
        <v>0</v>
      </c>
    </row>
    <row r="53" customFormat="false" ht="15" hidden="false" customHeight="true" outlineLevel="0" collapsed="false">
      <c r="A53" s="0" t="n">
        <v>3</v>
      </c>
      <c r="B53" s="0" t="str">
        <f aca="false">Roster!B5</f>
        <v>Jack Smith</v>
      </c>
      <c r="C53" s="3" t="n">
        <f aca="false">SUMPRODUCT(('Picks Detail'!H169:H182&lt;&gt;"")*('Picks Detail'!E169:E182&lt;&gt;"")*('Picks Detail'!H169:H182='Picks Detail'!E169:E182))</f>
        <v>0</v>
      </c>
      <c r="D53" s="0" t="n">
        <v>12</v>
      </c>
      <c r="E53" s="4" t="n">
        <f aca="false">IFERROR(INDEX(C$51:C$62,MATCH(12,A$51:A$62,0)),0)</f>
        <v>0</v>
      </c>
      <c r="F53" s="0" t="str">
        <f aca="false"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 s="4" t="n">
        <f aca="false">IF(F53="W",10,IF(F53="T",5,0))</f>
        <v>0</v>
      </c>
      <c r="H53" s="4" t="n">
        <f aca="false">IF(C53="",0,C53)</f>
        <v>0</v>
      </c>
      <c r="I53" s="4" t="n">
        <f aca="false">G53+H53</f>
        <v>0</v>
      </c>
    </row>
    <row r="54" customFormat="false" ht="15" hidden="false" customHeight="true" outlineLevel="0" collapsed="false">
      <c r="A54" s="0" t="n">
        <v>4</v>
      </c>
      <c r="B54" s="0" t="str">
        <f aca="false">Roster!B6</f>
        <v>Luke Ussery</v>
      </c>
      <c r="C54" s="3" t="n">
        <f aca="false">SUMPRODUCT(('Picks Detail'!I169:I182&lt;&gt;"")*('Picks Detail'!E169:E182&lt;&gt;"")*('Picks Detail'!I169:I182='Picks Detail'!E169:E182))</f>
        <v>0</v>
      </c>
      <c r="D54" s="0" t="n">
        <v>11</v>
      </c>
      <c r="E54" s="4" t="n">
        <f aca="false">IFERROR(INDEX(C$51:C$62,MATCH(11,A$51:A$62,0)),0)</f>
        <v>0</v>
      </c>
      <c r="F54" s="0" t="str">
        <f aca="false"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 s="4" t="n">
        <f aca="false">IF(F54="W",10,IF(F54="T",5,0))</f>
        <v>0</v>
      </c>
      <c r="H54" s="4" t="n">
        <f aca="false">IF(C54="",0,C54)</f>
        <v>0</v>
      </c>
      <c r="I54" s="4" t="n">
        <f aca="false">G54+H54</f>
        <v>0</v>
      </c>
    </row>
    <row r="55" customFormat="false" ht="15" hidden="false" customHeight="true" outlineLevel="0" collapsed="false">
      <c r="A55" s="0" t="n">
        <v>5</v>
      </c>
      <c r="B55" s="0" t="str">
        <f aca="false">Roster!B7</f>
        <v>Mikayla Simmons</v>
      </c>
      <c r="C55" s="3" t="n">
        <f aca="false">SUMPRODUCT(('Picks Detail'!J169:J182&lt;&gt;"")*('Picks Detail'!E169:E182&lt;&gt;"")*('Picks Detail'!J169:J182='Picks Detail'!E169:E182))</f>
        <v>0</v>
      </c>
      <c r="D55" s="0" t="n">
        <v>10</v>
      </c>
      <c r="E55" s="4" t="n">
        <f aca="false">IFERROR(INDEX(C$51:C$62,MATCH(10,A$51:A$62,0)),0)</f>
        <v>0</v>
      </c>
      <c r="F55" s="0" t="str">
        <f aca="false"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 s="4" t="n">
        <f aca="false">IF(F55="W",10,IF(F55="T",5,0))</f>
        <v>0</v>
      </c>
      <c r="H55" s="4" t="n">
        <f aca="false">IF(C55="",0,C55)</f>
        <v>0</v>
      </c>
      <c r="I55" s="4" t="n">
        <f aca="false">G55+H55</f>
        <v>0</v>
      </c>
    </row>
    <row r="56" customFormat="false" ht="15" hidden="false" customHeight="true" outlineLevel="0" collapsed="false">
      <c r="A56" s="0" t="n">
        <v>6</v>
      </c>
      <c r="B56" s="0" t="str">
        <f aca="false">Roster!B8</f>
        <v>Alan Loeser</v>
      </c>
      <c r="C56" s="3" t="n">
        <f aca="false">SUMPRODUCT(('Picks Detail'!K169:K182&lt;&gt;"")*('Picks Detail'!E169:E182&lt;&gt;"")*('Picks Detail'!K169:K182='Picks Detail'!E169:E182))</f>
        <v>0</v>
      </c>
      <c r="D56" s="0" t="n">
        <v>9</v>
      </c>
      <c r="E56" s="4" t="n">
        <f aca="false">IFERROR(INDEX(C$51:C$62,MATCH(9,A$51:A$62,0)),0)</f>
        <v>0</v>
      </c>
      <c r="F56" s="0" t="str">
        <f aca="false"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 s="4" t="n">
        <f aca="false">IF(F56="W",10,IF(F56="T",5,0))</f>
        <v>0</v>
      </c>
      <c r="H56" s="4" t="n">
        <f aca="false">IF(C56="",0,C56)</f>
        <v>0</v>
      </c>
      <c r="I56" s="4" t="n">
        <f aca="false">G56+H56</f>
        <v>0</v>
      </c>
    </row>
    <row r="57" customFormat="false" ht="15" hidden="false" customHeight="true" outlineLevel="0" collapsed="false">
      <c r="A57" s="0" t="n">
        <v>7</v>
      </c>
      <c r="B57" s="0" t="str">
        <f aca="false">Roster!B9</f>
        <v>Caleb Simmons</v>
      </c>
      <c r="C57" s="3" t="n">
        <f aca="false">SUMPRODUCT(('Picks Detail'!L169:L182&lt;&gt;"")*('Picks Detail'!E169:E182&lt;&gt;"")*('Picks Detail'!L169:L182='Picks Detail'!E169:E182))</f>
        <v>0</v>
      </c>
      <c r="D57" s="0" t="n">
        <v>1</v>
      </c>
      <c r="E57" s="4" t="n">
        <f aca="false">IFERROR(INDEX(C$51:C$62,MATCH(1,A$51:A$62,0)),0)</f>
        <v>0</v>
      </c>
      <c r="F57" s="0" t="str">
        <f aca="false"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 s="4" t="n">
        <f aca="false">IF(F57="W",10,IF(F57="T",5,0))</f>
        <v>0</v>
      </c>
      <c r="H57" s="4" t="n">
        <f aca="false">IF(C57="",0,C57)</f>
        <v>0</v>
      </c>
      <c r="I57" s="4" t="n">
        <f aca="false">G57+H57</f>
        <v>0</v>
      </c>
    </row>
    <row r="58" customFormat="false" ht="15" hidden="false" customHeight="true" outlineLevel="0" collapsed="false">
      <c r="A58" s="0" t="n">
        <v>8</v>
      </c>
      <c r="B58" s="0" t="str">
        <f aca="false">Roster!B10</f>
        <v>Larry Loeser</v>
      </c>
      <c r="C58" s="3" t="n">
        <f aca="false">SUMPRODUCT(('Picks Detail'!M169:M182&lt;&gt;"")*('Picks Detail'!E169:E182&lt;&gt;"")*('Picks Detail'!M169:M182='Picks Detail'!E169:E182))</f>
        <v>0</v>
      </c>
      <c r="D58" s="0" t="n">
        <v>2</v>
      </c>
      <c r="E58" s="4" t="n">
        <f aca="false">IFERROR(INDEX(C$51:C$62,MATCH(2,A$51:A$62,0)),0)</f>
        <v>0</v>
      </c>
      <c r="F58" s="0" t="str">
        <f aca="false"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 s="4" t="n">
        <f aca="false">IF(F58="W",10,IF(F58="T",5,0))</f>
        <v>0</v>
      </c>
      <c r="H58" s="4" t="n">
        <f aca="false">IF(C58="",0,C58)</f>
        <v>0</v>
      </c>
      <c r="I58" s="4" t="n">
        <f aca="false">G58+H58</f>
        <v>0</v>
      </c>
    </row>
    <row r="59" customFormat="false" ht="15" hidden="false" customHeight="true" outlineLevel="0" collapsed="false">
      <c r="A59" s="0" t="n">
        <v>9</v>
      </c>
      <c r="B59" s="0" t="str">
        <f aca="false">Roster!B11</f>
        <v>Daddy Michael</v>
      </c>
      <c r="C59" s="3" t="n">
        <f aca="false">SUMPRODUCT(('Picks Detail'!N169:N182&lt;&gt;"")*('Picks Detail'!E169:E182&lt;&gt;"")*('Picks Detail'!N169:N182='Picks Detail'!E169:E182))</f>
        <v>0</v>
      </c>
      <c r="D59" s="0" t="n">
        <v>6</v>
      </c>
      <c r="E59" s="4" t="n">
        <f aca="false">IFERROR(INDEX(C$51:C$62,MATCH(6,A$51:A$62,0)),0)</f>
        <v>0</v>
      </c>
      <c r="F59" s="0" t="str">
        <f aca="false"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 s="4" t="n">
        <f aca="false">IF(F59="W",10,IF(F59="T",5,0))</f>
        <v>0</v>
      </c>
      <c r="H59" s="4" t="n">
        <f aca="false">IF(C59="",0,C59)</f>
        <v>0</v>
      </c>
      <c r="I59" s="4" t="n">
        <f aca="false">G59+H59</f>
        <v>0</v>
      </c>
    </row>
    <row r="60" customFormat="false" ht="15" hidden="false" customHeight="true" outlineLevel="0" collapsed="false">
      <c r="A60" s="0" t="n">
        <v>10</v>
      </c>
      <c r="B60" s="0" t="str">
        <f aca="false">Roster!B12</f>
        <v>Zach Zarra</v>
      </c>
      <c r="C60" s="3" t="n">
        <f aca="false">SUMPRODUCT(('Picks Detail'!O169:O182&lt;&gt;"")*('Picks Detail'!E169:E182&lt;&gt;"")*('Picks Detail'!O169:O182='Picks Detail'!E169:E182))</f>
        <v>0</v>
      </c>
      <c r="D60" s="0" t="n">
        <v>5</v>
      </c>
      <c r="E60" s="4" t="n">
        <f aca="false">IFERROR(INDEX(C$51:C$62,MATCH(5,A$51:A$62,0)),0)</f>
        <v>0</v>
      </c>
      <c r="F60" s="0" t="str">
        <f aca="false"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 s="4" t="n">
        <f aca="false">IF(F60="W",10,IF(F60="T",5,0))</f>
        <v>0</v>
      </c>
      <c r="H60" s="4" t="n">
        <f aca="false">IF(C60="",0,C60)</f>
        <v>0</v>
      </c>
      <c r="I60" s="4" t="n">
        <f aca="false">G60+H60</f>
        <v>0</v>
      </c>
    </row>
    <row r="61" customFormat="false" ht="15" hidden="false" customHeight="true" outlineLevel="0" collapsed="false">
      <c r="A61" s="0" t="n">
        <v>11</v>
      </c>
      <c r="B61" s="0" t="str">
        <f aca="false">Roster!B13</f>
        <v>Jeffrey Loeser</v>
      </c>
      <c r="C61" s="3" t="n">
        <f aca="false">SUMPRODUCT(('Picks Detail'!P169:P182&lt;&gt;"")*('Picks Detail'!E169:E182&lt;&gt;"")*('Picks Detail'!P169:P182='Picks Detail'!E169:E182))</f>
        <v>0</v>
      </c>
      <c r="D61" s="0" t="n">
        <v>4</v>
      </c>
      <c r="E61" s="4" t="n">
        <f aca="false">IFERROR(INDEX(C$51:C$62,MATCH(4,A$51:A$62,0)),0)</f>
        <v>0</v>
      </c>
      <c r="F61" s="0" t="str">
        <f aca="false"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 s="4" t="n">
        <f aca="false">IF(F61="W",10,IF(F61="T",5,0))</f>
        <v>0</v>
      </c>
      <c r="H61" s="4" t="n">
        <f aca="false">IF(C61="",0,C61)</f>
        <v>0</v>
      </c>
      <c r="I61" s="4" t="n">
        <f aca="false">G61+H61</f>
        <v>0</v>
      </c>
    </row>
    <row r="62" customFormat="false" ht="15" hidden="false" customHeight="true" outlineLevel="0" collapsed="false">
      <c r="A62" s="0" t="n">
        <v>12</v>
      </c>
      <c r="B62" s="0" t="str">
        <f aca="false">Roster!B14</f>
        <v>Jake Andrews</v>
      </c>
      <c r="C62" s="3" t="n">
        <f aca="false">SUMPRODUCT(('Picks Detail'!Q169:Q182&lt;&gt;"")*('Picks Detail'!E169:E182&lt;&gt;"")*('Picks Detail'!Q169:Q182='Picks Detail'!E169:E182))</f>
        <v>0</v>
      </c>
      <c r="D62" s="0" t="n">
        <v>3</v>
      </c>
      <c r="E62" s="4" t="n">
        <f aca="false">IFERROR(INDEX(C$51:C$62,MATCH(3,A$51:A$62,0)),0)</f>
        <v>0</v>
      </c>
      <c r="F62" s="0" t="str">
        <f aca="false"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 s="4" t="n">
        <f aca="false">IF(F62="W",10,IF(F62="T",5,0))</f>
        <v>0</v>
      </c>
      <c r="H62" s="4" t="n">
        <f aca="false">IF(C62="",0,C62)</f>
        <v>0</v>
      </c>
      <c r="I62" s="4" t="n">
        <f aca="false">G62+H62</f>
        <v>0</v>
      </c>
    </row>
    <row r="64" customFormat="false" ht="15" hidden="false" customHeight="true" outlineLevel="0" collapsed="false">
      <c r="A64" s="22" t="s">
        <v>99</v>
      </c>
    </row>
    <row r="65" customFormat="false" ht="15" hidden="false" customHeight="true" outlineLevel="0" collapsed="false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customFormat="false" ht="15" hidden="false" customHeight="true" outlineLevel="0" collapsed="false">
      <c r="A66" s="0" t="n">
        <v>1</v>
      </c>
      <c r="B66" s="0" t="str">
        <f aca="false">Roster!B3</f>
        <v>Evan Loeser</v>
      </c>
      <c r="C66" s="3" t="n">
        <f aca="false">SUMPRODUCT(('Picks Detail'!F186:F198&lt;&gt;"")*('Picks Detail'!E186:E198&lt;&gt;"")*('Picks Detail'!F186:F198='Picks Detail'!E186:E198))</f>
        <v>0</v>
      </c>
      <c r="D66" s="0" t="n">
        <v>10</v>
      </c>
      <c r="E66" s="4" t="n">
        <f aca="false">IFERROR(INDEX(C$66:C$77,MATCH(10,A$66:A$77,0)),0)</f>
        <v>0</v>
      </c>
      <c r="F66" s="0" t="str">
        <f aca="false"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 s="4" t="n">
        <f aca="false">IF(F66="W",10,IF(F66="T",5,0))</f>
        <v>0</v>
      </c>
      <c r="H66" s="4" t="n">
        <f aca="false">IF(C66="",0,C66)</f>
        <v>0</v>
      </c>
      <c r="I66" s="4" t="n">
        <f aca="false">G66+H66</f>
        <v>0</v>
      </c>
    </row>
    <row r="67" customFormat="false" ht="15" hidden="false" customHeight="true" outlineLevel="0" collapsed="false">
      <c r="A67" s="0" t="n">
        <v>2</v>
      </c>
      <c r="B67" s="0" t="str">
        <f aca="false">Roster!B4</f>
        <v>Chris Simmons</v>
      </c>
      <c r="C67" s="3" t="n">
        <f aca="false">SUMPRODUCT(('Picks Detail'!G186:G198&lt;&gt;"")*('Picks Detail'!E186:E198&lt;&gt;"")*('Picks Detail'!G186:G198='Picks Detail'!E186:E198))</f>
        <v>0</v>
      </c>
      <c r="D67" s="0" t="n">
        <v>9</v>
      </c>
      <c r="E67" s="4" t="n">
        <f aca="false">IFERROR(INDEX(C$66:C$77,MATCH(9,A$66:A$77,0)),0)</f>
        <v>0</v>
      </c>
      <c r="F67" s="0" t="str">
        <f aca="false"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 s="4" t="n">
        <f aca="false">IF(F67="W",10,IF(F67="T",5,0))</f>
        <v>0</v>
      </c>
      <c r="H67" s="4" t="n">
        <f aca="false">IF(C67="",0,C67)</f>
        <v>0</v>
      </c>
      <c r="I67" s="4" t="n">
        <f aca="false">G67+H67</f>
        <v>0</v>
      </c>
    </row>
    <row r="68" customFormat="false" ht="15" hidden="false" customHeight="true" outlineLevel="0" collapsed="false">
      <c r="A68" s="0" t="n">
        <v>3</v>
      </c>
      <c r="B68" s="0" t="str">
        <f aca="false">Roster!B5</f>
        <v>Jack Smith</v>
      </c>
      <c r="C68" s="3" t="n">
        <f aca="false">SUMPRODUCT(('Picks Detail'!H186:H198&lt;&gt;"")*('Picks Detail'!E186:E198&lt;&gt;"")*('Picks Detail'!H186:H198='Picks Detail'!E186:E198))</f>
        <v>0</v>
      </c>
      <c r="D68" s="0" t="n">
        <v>5</v>
      </c>
      <c r="E68" s="4" t="n">
        <f aca="false">IFERROR(INDEX(C$66:C$77,MATCH(5,A$66:A$77,0)),0)</f>
        <v>0</v>
      </c>
      <c r="F68" s="0" t="str">
        <f aca="false"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 s="4" t="n">
        <f aca="false">IF(F68="W",10,IF(F68="T",5,0))</f>
        <v>0</v>
      </c>
      <c r="H68" s="4" t="n">
        <f aca="false">IF(C68="",0,C68)</f>
        <v>0</v>
      </c>
      <c r="I68" s="4" t="n">
        <f aca="false">G68+H68</f>
        <v>0</v>
      </c>
    </row>
    <row r="69" customFormat="false" ht="15" hidden="false" customHeight="true" outlineLevel="0" collapsed="false">
      <c r="A69" s="0" t="n">
        <v>4</v>
      </c>
      <c r="B69" s="0" t="str">
        <f aca="false">Roster!B6</f>
        <v>Luke Ussery</v>
      </c>
      <c r="C69" s="3" t="n">
        <f aca="false">SUMPRODUCT(('Picks Detail'!I186:I198&lt;&gt;"")*('Picks Detail'!E186:E198&lt;&gt;"")*('Picks Detail'!I186:I198='Picks Detail'!E186:E198))</f>
        <v>0</v>
      </c>
      <c r="D69" s="0" t="n">
        <v>6</v>
      </c>
      <c r="E69" s="4" t="n">
        <f aca="false">IFERROR(INDEX(C$66:C$77,MATCH(6,A$66:A$77,0)),0)</f>
        <v>0</v>
      </c>
      <c r="F69" s="0" t="str">
        <f aca="false"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 s="4" t="n">
        <f aca="false">IF(F69="W",10,IF(F69="T",5,0))</f>
        <v>0</v>
      </c>
      <c r="H69" s="4" t="n">
        <f aca="false">IF(C69="",0,C69)</f>
        <v>0</v>
      </c>
      <c r="I69" s="4" t="n">
        <f aca="false">G69+H69</f>
        <v>0</v>
      </c>
    </row>
    <row r="70" customFormat="false" ht="15" hidden="false" customHeight="true" outlineLevel="0" collapsed="false">
      <c r="A70" s="0" t="n">
        <v>5</v>
      </c>
      <c r="B70" s="0" t="str">
        <f aca="false">Roster!B7</f>
        <v>Mikayla Simmons</v>
      </c>
      <c r="C70" s="3" t="n">
        <f aca="false">SUMPRODUCT(('Picks Detail'!J186:J198&lt;&gt;"")*('Picks Detail'!E186:E198&lt;&gt;"")*('Picks Detail'!J186:J198='Picks Detail'!E186:E198))</f>
        <v>0</v>
      </c>
      <c r="D70" s="0" t="n">
        <v>3</v>
      </c>
      <c r="E70" s="4" t="n">
        <f aca="false">IFERROR(INDEX(C$66:C$77,MATCH(3,A$66:A$77,0)),0)</f>
        <v>0</v>
      </c>
      <c r="F70" s="0" t="str">
        <f aca="false"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 s="4" t="n">
        <f aca="false">IF(F70="W",10,IF(F70="T",5,0))</f>
        <v>0</v>
      </c>
      <c r="H70" s="4" t="n">
        <f aca="false">IF(C70="",0,C70)</f>
        <v>0</v>
      </c>
      <c r="I70" s="4" t="n">
        <f aca="false">G70+H70</f>
        <v>0</v>
      </c>
    </row>
    <row r="71" customFormat="false" ht="15" hidden="false" customHeight="true" outlineLevel="0" collapsed="false">
      <c r="A71" s="0" t="n">
        <v>6</v>
      </c>
      <c r="B71" s="0" t="str">
        <f aca="false">Roster!B8</f>
        <v>Alan Loeser</v>
      </c>
      <c r="C71" s="3" t="n">
        <f aca="false">SUMPRODUCT(('Picks Detail'!K186:K198&lt;&gt;"")*('Picks Detail'!E186:E198&lt;&gt;"")*('Picks Detail'!K186:K198='Picks Detail'!E186:E198))</f>
        <v>0</v>
      </c>
      <c r="D71" s="0" t="n">
        <v>4</v>
      </c>
      <c r="E71" s="4" t="n">
        <f aca="false">IFERROR(INDEX(C$66:C$77,MATCH(4,A$66:A$77,0)),0)</f>
        <v>0</v>
      </c>
      <c r="F71" s="0" t="str">
        <f aca="false"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 s="4" t="n">
        <f aca="false">IF(F71="W",10,IF(F71="T",5,0))</f>
        <v>0</v>
      </c>
      <c r="H71" s="4" t="n">
        <f aca="false">IF(C71="",0,C71)</f>
        <v>0</v>
      </c>
      <c r="I71" s="4" t="n">
        <f aca="false">G71+H71</f>
        <v>0</v>
      </c>
    </row>
    <row r="72" customFormat="false" ht="15" hidden="false" customHeight="true" outlineLevel="0" collapsed="false">
      <c r="A72" s="0" t="n">
        <v>7</v>
      </c>
      <c r="B72" s="0" t="str">
        <f aca="false">Roster!B9</f>
        <v>Caleb Simmons</v>
      </c>
      <c r="C72" s="3" t="n">
        <f aca="false">SUMPRODUCT(('Picks Detail'!L186:L198&lt;&gt;"")*('Picks Detail'!E186:E198&lt;&gt;"")*('Picks Detail'!L186:L198='Picks Detail'!E186:E198))</f>
        <v>0</v>
      </c>
      <c r="D72" s="0" t="n">
        <v>11</v>
      </c>
      <c r="E72" s="4" t="n">
        <f aca="false">IFERROR(INDEX(C$66:C$77,MATCH(11,A$66:A$77,0)),0)</f>
        <v>0</v>
      </c>
      <c r="F72" s="0" t="str">
        <f aca="false"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 s="4" t="n">
        <f aca="false">IF(F72="W",10,IF(F72="T",5,0))</f>
        <v>0</v>
      </c>
      <c r="H72" s="4" t="n">
        <f aca="false">IF(C72="",0,C72)</f>
        <v>0</v>
      </c>
      <c r="I72" s="4" t="n">
        <f aca="false">G72+H72</f>
        <v>0</v>
      </c>
    </row>
    <row r="73" customFormat="false" ht="15" hidden="false" customHeight="true" outlineLevel="0" collapsed="false">
      <c r="A73" s="0" t="n">
        <v>8</v>
      </c>
      <c r="B73" s="0" t="str">
        <f aca="false">Roster!B10</f>
        <v>Larry Loeser</v>
      </c>
      <c r="C73" s="3" t="n">
        <f aca="false">SUMPRODUCT(('Picks Detail'!M186:M198&lt;&gt;"")*('Picks Detail'!E186:E198&lt;&gt;"")*('Picks Detail'!M186:M198='Picks Detail'!E186:E198))</f>
        <v>0</v>
      </c>
      <c r="D73" s="0" t="n">
        <v>12</v>
      </c>
      <c r="E73" s="4" t="n">
        <f aca="false">IFERROR(INDEX(C$66:C$77,MATCH(12,A$66:A$77,0)),0)</f>
        <v>0</v>
      </c>
      <c r="F73" s="0" t="str">
        <f aca="false"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 s="4" t="n">
        <f aca="false">IF(F73="W",10,IF(F73="T",5,0))</f>
        <v>0</v>
      </c>
      <c r="H73" s="4" t="n">
        <f aca="false">IF(C73="",0,C73)</f>
        <v>0</v>
      </c>
      <c r="I73" s="4" t="n">
        <f aca="false">G73+H73</f>
        <v>0</v>
      </c>
    </row>
    <row r="74" customFormat="false" ht="15" hidden="false" customHeight="true" outlineLevel="0" collapsed="false">
      <c r="A74" s="0" t="n">
        <v>9</v>
      </c>
      <c r="B74" s="0" t="str">
        <f aca="false">Roster!B11</f>
        <v>Daddy Michael</v>
      </c>
      <c r="C74" s="3" t="n">
        <f aca="false">SUMPRODUCT(('Picks Detail'!N186:N198&lt;&gt;"")*('Picks Detail'!E186:E198&lt;&gt;"")*('Picks Detail'!N186:N198='Picks Detail'!E186:E198))</f>
        <v>0</v>
      </c>
      <c r="D74" s="0" t="n">
        <v>2</v>
      </c>
      <c r="E74" s="4" t="n">
        <f aca="false">IFERROR(INDEX(C$66:C$77,MATCH(2,A$66:A$77,0)),0)</f>
        <v>0</v>
      </c>
      <c r="F74" s="0" t="str">
        <f aca="false"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 s="4" t="n">
        <f aca="false">IF(F74="W",10,IF(F74="T",5,0))</f>
        <v>0</v>
      </c>
      <c r="H74" s="4" t="n">
        <f aca="false">IF(C74="",0,C74)</f>
        <v>0</v>
      </c>
      <c r="I74" s="4" t="n">
        <f aca="false">G74+H74</f>
        <v>0</v>
      </c>
    </row>
    <row r="75" customFormat="false" ht="15" hidden="false" customHeight="true" outlineLevel="0" collapsed="false">
      <c r="A75" s="0" t="n">
        <v>10</v>
      </c>
      <c r="B75" s="0" t="str">
        <f aca="false">Roster!B12</f>
        <v>Zach Zarra</v>
      </c>
      <c r="C75" s="3" t="n">
        <f aca="false">SUMPRODUCT(('Picks Detail'!O186:O198&lt;&gt;"")*('Picks Detail'!E186:E198&lt;&gt;"")*('Picks Detail'!O186:O198='Picks Detail'!E186:E198))</f>
        <v>0</v>
      </c>
      <c r="D75" s="0" t="n">
        <v>1</v>
      </c>
      <c r="E75" s="4" t="n">
        <f aca="false">IFERROR(INDEX(C$66:C$77,MATCH(1,A$66:A$77,0)),0)</f>
        <v>0</v>
      </c>
      <c r="F75" s="0" t="str">
        <f aca="false"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 s="4" t="n">
        <f aca="false">IF(F75="W",10,IF(F75="T",5,0))</f>
        <v>0</v>
      </c>
      <c r="H75" s="4" t="n">
        <f aca="false">IF(C75="",0,C75)</f>
        <v>0</v>
      </c>
      <c r="I75" s="4" t="n">
        <f aca="false">G75+H75</f>
        <v>0</v>
      </c>
    </row>
    <row r="76" customFormat="false" ht="15" hidden="false" customHeight="true" outlineLevel="0" collapsed="false">
      <c r="A76" s="0" t="n">
        <v>11</v>
      </c>
      <c r="B76" s="0" t="str">
        <f aca="false">Roster!B13</f>
        <v>Jeffrey Loeser</v>
      </c>
      <c r="C76" s="3" t="n">
        <f aca="false">SUMPRODUCT(('Picks Detail'!P186:P198&lt;&gt;"")*('Picks Detail'!E186:E198&lt;&gt;"")*('Picks Detail'!P186:P198='Picks Detail'!E186:E198))</f>
        <v>0</v>
      </c>
      <c r="D76" s="0" t="n">
        <v>7</v>
      </c>
      <c r="E76" s="4" t="n">
        <f aca="false">IFERROR(INDEX(C$66:C$77,MATCH(7,A$66:A$77,0)),0)</f>
        <v>0</v>
      </c>
      <c r="F76" s="0" t="str">
        <f aca="false"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 s="4" t="n">
        <f aca="false">IF(F76="W",10,IF(F76="T",5,0))</f>
        <v>0</v>
      </c>
      <c r="H76" s="4" t="n">
        <f aca="false">IF(C76="",0,C76)</f>
        <v>0</v>
      </c>
      <c r="I76" s="4" t="n">
        <f aca="false">G76+H76</f>
        <v>0</v>
      </c>
    </row>
    <row r="77" customFormat="false" ht="15" hidden="false" customHeight="true" outlineLevel="0" collapsed="false">
      <c r="A77" s="0" t="n">
        <v>12</v>
      </c>
      <c r="B77" s="0" t="str">
        <f aca="false">Roster!B14</f>
        <v>Jake Andrews</v>
      </c>
      <c r="C77" s="3" t="n">
        <f aca="false">SUMPRODUCT(('Picks Detail'!Q186:Q198&lt;&gt;"")*('Picks Detail'!E186:E198&lt;&gt;"")*('Picks Detail'!Q186:Q198='Picks Detail'!E186:E198))</f>
        <v>0</v>
      </c>
      <c r="D77" s="0" t="n">
        <v>8</v>
      </c>
      <c r="E77" s="4" t="n">
        <f aca="false">IFERROR(INDEX(C$66:C$77,MATCH(8,A$66:A$77,0)),0)</f>
        <v>0</v>
      </c>
      <c r="F77" s="0" t="str">
        <f aca="false"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 s="4" t="n">
        <f aca="false">IF(F77="W",10,IF(F77="T",5,0))</f>
        <v>0</v>
      </c>
      <c r="H77" s="4" t="n">
        <f aca="false">IF(C77="",0,C77)</f>
        <v>0</v>
      </c>
      <c r="I77" s="4" t="n">
        <f aca="false">G77+H77</f>
        <v>0</v>
      </c>
    </row>
    <row r="79" customFormat="false" ht="15" hidden="false" customHeight="true" outlineLevel="0" collapsed="false">
      <c r="A79" s="22" t="s">
        <v>100</v>
      </c>
    </row>
    <row r="80" customFormat="false" ht="15" hidden="false" customHeight="true" outlineLevel="0" collapsed="false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customFormat="false" ht="15" hidden="false" customHeight="true" outlineLevel="0" collapsed="false">
      <c r="A81" s="0" t="n">
        <v>1</v>
      </c>
      <c r="B81" s="0" t="str">
        <f aca="false">Roster!B3</f>
        <v>Evan Loeser</v>
      </c>
      <c r="C81" s="3" t="n">
        <f aca="false">SUMPRODUCT(('Picks Detail'!F202:F217&lt;&gt;"")*('Picks Detail'!E202:E217&lt;&gt;"")*('Picks Detail'!F202:F217='Picks Detail'!E202:E217))</f>
        <v>0</v>
      </c>
      <c r="D81" s="0" t="n">
        <v>6</v>
      </c>
      <c r="E81" s="4" t="n">
        <f aca="false">IFERROR(INDEX(C$81:C$92,MATCH(6,A$81:A$92,0)),0)</f>
        <v>0</v>
      </c>
      <c r="F81" s="0" t="str">
        <f aca="false"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 s="4" t="n">
        <f aca="false">IF(F81="W",10,IF(F81="T",5,0))</f>
        <v>0</v>
      </c>
      <c r="H81" s="4" t="n">
        <f aca="false">IF(C81="",0,C81)</f>
        <v>0</v>
      </c>
      <c r="I81" s="4" t="n">
        <f aca="false">G81+H81</f>
        <v>0</v>
      </c>
    </row>
    <row r="82" customFormat="false" ht="15" hidden="false" customHeight="true" outlineLevel="0" collapsed="false">
      <c r="A82" s="0" t="n">
        <v>2</v>
      </c>
      <c r="B82" s="0" t="str">
        <f aca="false">Roster!B4</f>
        <v>Chris Simmons</v>
      </c>
      <c r="C82" s="3" t="n">
        <f aca="false">SUMPRODUCT(('Picks Detail'!G202:G217&lt;&gt;"")*('Picks Detail'!E202:E217&lt;&gt;"")*('Picks Detail'!G202:G217='Picks Detail'!E202:E217))</f>
        <v>0</v>
      </c>
      <c r="D82" s="0" t="n">
        <v>5</v>
      </c>
      <c r="E82" s="4" t="n">
        <f aca="false">IFERROR(INDEX(C$81:C$92,MATCH(5,A$81:A$92,0)),0)</f>
        <v>0</v>
      </c>
      <c r="F82" s="0" t="str">
        <f aca="false"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 s="4" t="n">
        <f aca="false">IF(F82="W",10,IF(F82="T",5,0))</f>
        <v>0</v>
      </c>
      <c r="H82" s="4" t="n">
        <f aca="false">IF(C82="",0,C82)</f>
        <v>0</v>
      </c>
      <c r="I82" s="4" t="n">
        <f aca="false">G82+H82</f>
        <v>0</v>
      </c>
    </row>
    <row r="83" customFormat="false" ht="15" hidden="false" customHeight="true" outlineLevel="0" collapsed="false">
      <c r="A83" s="0" t="n">
        <v>3</v>
      </c>
      <c r="B83" s="0" t="str">
        <f aca="false">Roster!B5</f>
        <v>Jack Smith</v>
      </c>
      <c r="C83" s="3" t="n">
        <f aca="false">SUMPRODUCT(('Picks Detail'!H202:H217&lt;&gt;"")*('Picks Detail'!E202:E217&lt;&gt;"")*('Picks Detail'!H202:H217='Picks Detail'!E202:E217))</f>
        <v>0</v>
      </c>
      <c r="D83" s="0" t="n">
        <v>11</v>
      </c>
      <c r="E83" s="4" t="n">
        <f aca="false">IFERROR(INDEX(C$81:C$92,MATCH(11,A$81:A$92,0)),0)</f>
        <v>0</v>
      </c>
      <c r="F83" s="0" t="str">
        <f aca="false"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 s="4" t="n">
        <f aca="false">IF(F83="W",10,IF(F83="T",5,0))</f>
        <v>0</v>
      </c>
      <c r="H83" s="4" t="n">
        <f aca="false">IF(C83="",0,C83)</f>
        <v>0</v>
      </c>
      <c r="I83" s="4" t="n">
        <f aca="false">G83+H83</f>
        <v>0</v>
      </c>
    </row>
    <row r="84" customFormat="false" ht="15" hidden="false" customHeight="true" outlineLevel="0" collapsed="false">
      <c r="A84" s="0" t="n">
        <v>4</v>
      </c>
      <c r="B84" s="0" t="str">
        <f aca="false">Roster!B6</f>
        <v>Luke Ussery</v>
      </c>
      <c r="C84" s="3" t="n">
        <f aca="false">SUMPRODUCT(('Picks Detail'!I202:I217&lt;&gt;"")*('Picks Detail'!E202:E217&lt;&gt;"")*('Picks Detail'!I202:I217='Picks Detail'!E202:E217))</f>
        <v>0</v>
      </c>
      <c r="D84" s="0" t="n">
        <v>12</v>
      </c>
      <c r="E84" s="4" t="n">
        <f aca="false">IFERROR(INDEX(C$81:C$92,MATCH(12,A$81:A$92,0)),0)</f>
        <v>0</v>
      </c>
      <c r="F84" s="0" t="str">
        <f aca="false"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 s="4" t="n">
        <f aca="false">IF(F84="W",10,IF(F84="T",5,0))</f>
        <v>0</v>
      </c>
      <c r="H84" s="4" t="n">
        <f aca="false">IF(C84="",0,C84)</f>
        <v>0</v>
      </c>
      <c r="I84" s="4" t="n">
        <f aca="false">G84+H84</f>
        <v>0</v>
      </c>
    </row>
    <row r="85" customFormat="false" ht="15" hidden="false" customHeight="true" outlineLevel="0" collapsed="false">
      <c r="A85" s="0" t="n">
        <v>5</v>
      </c>
      <c r="B85" s="0" t="str">
        <f aca="false">Roster!B7</f>
        <v>Mikayla Simmons</v>
      </c>
      <c r="C85" s="3" t="n">
        <f aca="false">SUMPRODUCT(('Picks Detail'!J202:J217&lt;&gt;"")*('Picks Detail'!E202:E217&lt;&gt;"")*('Picks Detail'!J202:J217='Picks Detail'!E202:E217))</f>
        <v>0</v>
      </c>
      <c r="D85" s="0" t="n">
        <v>2</v>
      </c>
      <c r="E85" s="4" t="n">
        <f aca="false">IFERROR(INDEX(C$81:C$92,MATCH(2,A$81:A$92,0)),0)</f>
        <v>0</v>
      </c>
      <c r="F85" s="0" t="str">
        <f aca="false"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 s="4" t="n">
        <f aca="false">IF(F85="W",10,IF(F85="T",5,0))</f>
        <v>0</v>
      </c>
      <c r="H85" s="4" t="n">
        <f aca="false">IF(C85="",0,C85)</f>
        <v>0</v>
      </c>
      <c r="I85" s="4" t="n">
        <f aca="false">G85+H85</f>
        <v>0</v>
      </c>
    </row>
    <row r="86" customFormat="false" ht="15" hidden="false" customHeight="true" outlineLevel="0" collapsed="false">
      <c r="A86" s="0" t="n">
        <v>6</v>
      </c>
      <c r="B86" s="0" t="str">
        <f aca="false">Roster!B8</f>
        <v>Alan Loeser</v>
      </c>
      <c r="C86" s="3" t="n">
        <f aca="false">SUMPRODUCT(('Picks Detail'!K202:K217&lt;&gt;"")*('Picks Detail'!E202:E217&lt;&gt;"")*('Picks Detail'!K202:K217='Picks Detail'!E202:E217))</f>
        <v>0</v>
      </c>
      <c r="D86" s="0" t="n">
        <v>1</v>
      </c>
      <c r="E86" s="4" t="n">
        <f aca="false">IFERROR(INDEX(C$81:C$92,MATCH(1,A$81:A$92,0)),0)</f>
        <v>0</v>
      </c>
      <c r="F86" s="0" t="str">
        <f aca="false"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 s="4" t="n">
        <f aca="false">IF(F86="W",10,IF(F86="T",5,0))</f>
        <v>0</v>
      </c>
      <c r="H86" s="4" t="n">
        <f aca="false">IF(C86="",0,C86)</f>
        <v>0</v>
      </c>
      <c r="I86" s="4" t="n">
        <f aca="false">G86+H86</f>
        <v>0</v>
      </c>
    </row>
    <row r="87" customFormat="false" ht="15" hidden="false" customHeight="true" outlineLevel="0" collapsed="false">
      <c r="A87" s="0" t="n">
        <v>7</v>
      </c>
      <c r="B87" s="0" t="str">
        <f aca="false">Roster!B9</f>
        <v>Caleb Simmons</v>
      </c>
      <c r="C87" s="3" t="n">
        <f aca="false">SUMPRODUCT(('Picks Detail'!L202:L217&lt;&gt;"")*('Picks Detail'!E202:E217&lt;&gt;"")*('Picks Detail'!L202:L217='Picks Detail'!E202:E217))</f>
        <v>0</v>
      </c>
      <c r="D87" s="0" t="n">
        <v>9</v>
      </c>
      <c r="E87" s="4" t="n">
        <f aca="false">IFERROR(INDEX(C$81:C$92,MATCH(9,A$81:A$92,0)),0)</f>
        <v>0</v>
      </c>
      <c r="F87" s="0" t="str">
        <f aca="false"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 s="4" t="n">
        <f aca="false">IF(F87="W",10,IF(F87="T",5,0))</f>
        <v>0</v>
      </c>
      <c r="H87" s="4" t="n">
        <f aca="false">IF(C87="",0,C87)</f>
        <v>0</v>
      </c>
      <c r="I87" s="4" t="n">
        <f aca="false">G87+H87</f>
        <v>0</v>
      </c>
    </row>
    <row r="88" customFormat="false" ht="15" hidden="false" customHeight="true" outlineLevel="0" collapsed="false">
      <c r="A88" s="0" t="n">
        <v>8</v>
      </c>
      <c r="B88" s="0" t="str">
        <f aca="false">Roster!B10</f>
        <v>Larry Loeser</v>
      </c>
      <c r="C88" s="3" t="n">
        <f aca="false">SUMPRODUCT(('Picks Detail'!M202:M217&lt;&gt;"")*('Picks Detail'!E202:E217&lt;&gt;"")*('Picks Detail'!M202:M217='Picks Detail'!E202:E217))</f>
        <v>0</v>
      </c>
      <c r="D88" s="0" t="n">
        <v>10</v>
      </c>
      <c r="E88" s="4" t="n">
        <f aca="false">IFERROR(INDEX(C$81:C$92,MATCH(10,A$81:A$92,0)),0)</f>
        <v>0</v>
      </c>
      <c r="F88" s="0" t="str">
        <f aca="false"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 s="4" t="n">
        <f aca="false">IF(F88="W",10,IF(F88="T",5,0))</f>
        <v>0</v>
      </c>
      <c r="H88" s="4" t="n">
        <f aca="false">IF(C88="",0,C88)</f>
        <v>0</v>
      </c>
      <c r="I88" s="4" t="n">
        <f aca="false">G88+H88</f>
        <v>0</v>
      </c>
    </row>
    <row r="89" customFormat="false" ht="15" hidden="false" customHeight="true" outlineLevel="0" collapsed="false">
      <c r="A89" s="0" t="n">
        <v>9</v>
      </c>
      <c r="B89" s="0" t="str">
        <f aca="false">Roster!B11</f>
        <v>Daddy Michael</v>
      </c>
      <c r="C89" s="3" t="n">
        <f aca="false">SUMPRODUCT(('Picks Detail'!N202:N217&lt;&gt;"")*('Picks Detail'!E202:E217&lt;&gt;"")*('Picks Detail'!N202:N217='Picks Detail'!E202:E217))</f>
        <v>0</v>
      </c>
      <c r="D89" s="0" t="n">
        <v>7</v>
      </c>
      <c r="E89" s="4" t="n">
        <f aca="false">IFERROR(INDEX(C$81:C$92,MATCH(7,A$81:A$92,0)),0)</f>
        <v>0</v>
      </c>
      <c r="F89" s="0" t="str">
        <f aca="false"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 s="4" t="n">
        <f aca="false">IF(F89="W",10,IF(F89="T",5,0))</f>
        <v>0</v>
      </c>
      <c r="H89" s="4" t="n">
        <f aca="false">IF(C89="",0,C89)</f>
        <v>0</v>
      </c>
      <c r="I89" s="4" t="n">
        <f aca="false">G89+H89</f>
        <v>0</v>
      </c>
    </row>
    <row r="90" customFormat="false" ht="15" hidden="false" customHeight="true" outlineLevel="0" collapsed="false">
      <c r="A90" s="0" t="n">
        <v>10</v>
      </c>
      <c r="B90" s="0" t="str">
        <f aca="false">Roster!B12</f>
        <v>Zach Zarra</v>
      </c>
      <c r="C90" s="3" t="n">
        <f aca="false">SUMPRODUCT(('Picks Detail'!O202:O217&lt;&gt;"")*('Picks Detail'!E202:E217&lt;&gt;"")*('Picks Detail'!O202:O217='Picks Detail'!E202:E217))</f>
        <v>0</v>
      </c>
      <c r="D90" s="0" t="n">
        <v>8</v>
      </c>
      <c r="E90" s="4" t="n">
        <f aca="false">IFERROR(INDEX(C$81:C$92,MATCH(8,A$81:A$92,0)),0)</f>
        <v>0</v>
      </c>
      <c r="F90" s="0" t="str">
        <f aca="false"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 s="4" t="n">
        <f aca="false">IF(F90="W",10,IF(F90="T",5,0))</f>
        <v>0</v>
      </c>
      <c r="H90" s="4" t="n">
        <f aca="false">IF(C90="",0,C90)</f>
        <v>0</v>
      </c>
      <c r="I90" s="4" t="n">
        <f aca="false">G90+H90</f>
        <v>0</v>
      </c>
    </row>
    <row r="91" customFormat="false" ht="15" hidden="false" customHeight="true" outlineLevel="0" collapsed="false">
      <c r="A91" s="0" t="n">
        <v>11</v>
      </c>
      <c r="B91" s="0" t="str">
        <f aca="false">Roster!B13</f>
        <v>Jeffrey Loeser</v>
      </c>
      <c r="C91" s="3" t="n">
        <f aca="false">SUMPRODUCT(('Picks Detail'!P202:P217&lt;&gt;"")*('Picks Detail'!E202:E217&lt;&gt;"")*('Picks Detail'!P202:P217='Picks Detail'!E202:E217))</f>
        <v>0</v>
      </c>
      <c r="D91" s="0" t="n">
        <v>3</v>
      </c>
      <c r="E91" s="4" t="n">
        <f aca="false">IFERROR(INDEX(C$81:C$92,MATCH(3,A$81:A$92,0)),0)</f>
        <v>0</v>
      </c>
      <c r="F91" s="0" t="str">
        <f aca="false"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 s="4" t="n">
        <f aca="false">IF(F91="W",10,IF(F91="T",5,0))</f>
        <v>0</v>
      </c>
      <c r="H91" s="4" t="n">
        <f aca="false">IF(C91="",0,C91)</f>
        <v>0</v>
      </c>
      <c r="I91" s="4" t="n">
        <f aca="false">G91+H91</f>
        <v>0</v>
      </c>
    </row>
    <row r="92" customFormat="false" ht="15" hidden="false" customHeight="true" outlineLevel="0" collapsed="false">
      <c r="A92" s="0" t="n">
        <v>12</v>
      </c>
      <c r="B92" s="0" t="str">
        <f aca="false">Roster!B14</f>
        <v>Jake Andrews</v>
      </c>
      <c r="C92" s="3" t="n">
        <f aca="false">SUMPRODUCT(('Picks Detail'!Q202:Q217&lt;&gt;"")*('Picks Detail'!E202:E217&lt;&gt;"")*('Picks Detail'!Q202:Q217='Picks Detail'!E202:E217))</f>
        <v>0</v>
      </c>
      <c r="D92" s="0" t="n">
        <v>4</v>
      </c>
      <c r="E92" s="4" t="n">
        <f aca="false">IFERROR(INDEX(C$81:C$92,MATCH(4,A$81:A$92,0)),0)</f>
        <v>0</v>
      </c>
      <c r="F92" s="0" t="str">
        <f aca="false"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 s="4" t="n">
        <f aca="false">IF(F92="W",10,IF(F92="T",5,0))</f>
        <v>0</v>
      </c>
      <c r="H92" s="4" t="n">
        <f aca="false">IF(C92="",0,C92)</f>
        <v>0</v>
      </c>
      <c r="I92" s="4" t="n">
        <f aca="false">G92+H92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C52" activeCellId="0" sqref="C52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9" min="3" style="0" width="14"/>
  </cols>
  <sheetData>
    <row r="1" customFormat="false" ht="17.25" hidden="false" customHeight="true" outlineLevel="0" collapsed="false">
      <c r="A1" s="7" t="s">
        <v>200</v>
      </c>
      <c r="B1" s="7"/>
      <c r="C1" s="7"/>
      <c r="D1" s="7"/>
      <c r="E1" s="7"/>
      <c r="F1" s="7"/>
      <c r="G1" s="7"/>
      <c r="H1" s="7"/>
      <c r="I1" s="7"/>
    </row>
    <row r="2" customFormat="false" ht="15" hidden="false" customHeight="true" outlineLevel="0" collapsed="false">
      <c r="A2" s="6" t="s">
        <v>201</v>
      </c>
    </row>
    <row r="4" customFormat="false" ht="15" hidden="false" customHeight="true" outlineLevel="0" collapsed="false">
      <c r="A4" s="22" t="s">
        <v>101</v>
      </c>
    </row>
    <row r="5" customFormat="false" ht="15" hidden="false" customHeight="true" outlineLevel="0" collapsed="false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customFormat="false" ht="15" hidden="false" customHeight="true" outlineLevel="0" collapsed="false">
      <c r="A6" s="0" t="n">
        <v>1</v>
      </c>
      <c r="B6" s="0" t="str">
        <f aca="false">Roster!B3</f>
        <v>Evan Loeser</v>
      </c>
      <c r="C6" s="3" t="n">
        <f aca="false">SUMPRODUCT(('Picks Detail'!F221:F234&lt;&gt;"")*('Picks Detail'!E221:E234&lt;&gt;"")*('Picks Detail'!F221:F234='Picks Detail'!E221:E234))</f>
        <v>0</v>
      </c>
      <c r="D6" s="0" t="n">
        <v>4</v>
      </c>
      <c r="E6" s="4" t="n">
        <f aca="false">IFERROR(INDEX(C$6:C$17,MATCH(4,A$6:A$17,0)),0)</f>
        <v>0</v>
      </c>
      <c r="F6" s="0" t="str">
        <f aca="false"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 s="4" t="n">
        <f aca="false">IF(F6="W",1,IF(F6="T",0.5,0))</f>
        <v>0</v>
      </c>
      <c r="H6" s="4" t="n">
        <f aca="false">IF(F6="L",1,IF(F6="T",0.5,0))</f>
        <v>0</v>
      </c>
      <c r="I6" s="4" t="n">
        <f aca="false">IF(C6="",0,C6)</f>
        <v>0</v>
      </c>
    </row>
    <row r="7" customFormat="false" ht="15" hidden="false" customHeight="true" outlineLevel="0" collapsed="false">
      <c r="A7" s="0" t="n">
        <v>2</v>
      </c>
      <c r="B7" s="0" t="str">
        <f aca="false">Roster!B4</f>
        <v>Chris Simmons</v>
      </c>
      <c r="C7" s="3" t="n">
        <f aca="false">SUMPRODUCT(('Picks Detail'!G221:G234&lt;&gt;"")*('Picks Detail'!E221:E234&lt;&gt;"")*('Picks Detail'!G221:G234='Picks Detail'!E221:E234))</f>
        <v>0</v>
      </c>
      <c r="D7" s="0" t="n">
        <v>3</v>
      </c>
      <c r="E7" s="4" t="n">
        <f aca="false">IFERROR(INDEX(C$6:C$17,MATCH(3,A$6:A$17,0)),0)</f>
        <v>0</v>
      </c>
      <c r="F7" s="0" t="str">
        <f aca="false"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 s="4" t="n">
        <f aca="false">IF(F7="W",1,IF(F7="T",0.5,0))</f>
        <v>0</v>
      </c>
      <c r="H7" s="4" t="n">
        <f aca="false">IF(F7="L",1,IF(F7="T",0.5,0))</f>
        <v>0</v>
      </c>
      <c r="I7" s="4" t="n">
        <f aca="false">IF(C7="",0,C7)</f>
        <v>0</v>
      </c>
    </row>
    <row r="8" customFormat="false" ht="15" hidden="false" customHeight="true" outlineLevel="0" collapsed="false">
      <c r="A8" s="0" t="n">
        <v>3</v>
      </c>
      <c r="B8" s="0" t="str">
        <f aca="false">Roster!B5</f>
        <v>Jack Smith</v>
      </c>
      <c r="C8" s="3" t="n">
        <f aca="false">SUMPRODUCT(('Picks Detail'!H221:H234&lt;&gt;"")*('Picks Detail'!E221:E234&lt;&gt;"")*('Picks Detail'!H221:H234='Picks Detail'!E221:E234))</f>
        <v>0</v>
      </c>
      <c r="D8" s="0" t="n">
        <v>2</v>
      </c>
      <c r="E8" s="4" t="n">
        <f aca="false">IFERROR(INDEX(C$6:C$17,MATCH(2,A$6:A$17,0)),0)</f>
        <v>0</v>
      </c>
      <c r="F8" s="0" t="str">
        <f aca="false"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 s="4" t="n">
        <f aca="false">IF(F8="W",1,IF(F8="T",0.5,0))</f>
        <v>0</v>
      </c>
      <c r="H8" s="4" t="n">
        <f aca="false">IF(F8="L",1,IF(F8="T",0.5,0))</f>
        <v>0</v>
      </c>
      <c r="I8" s="4" t="n">
        <f aca="false">IF(C8="",0,C8)</f>
        <v>0</v>
      </c>
    </row>
    <row r="9" customFormat="false" ht="15" hidden="false" customHeight="true" outlineLevel="0" collapsed="false">
      <c r="A9" s="0" t="n">
        <v>4</v>
      </c>
      <c r="B9" s="0" t="str">
        <f aca="false">Roster!B6</f>
        <v>Luke Ussery</v>
      </c>
      <c r="C9" s="3" t="n">
        <f aca="false">SUMPRODUCT(('Picks Detail'!I221:I234&lt;&gt;"")*('Picks Detail'!E221:E234&lt;&gt;"")*('Picks Detail'!I221:I234='Picks Detail'!E221:E234))</f>
        <v>0</v>
      </c>
      <c r="D9" s="0" t="n">
        <v>1</v>
      </c>
      <c r="E9" s="4" t="n">
        <f aca="false">IFERROR(INDEX(C$6:C$17,MATCH(1,A$6:A$17,0)),0)</f>
        <v>0</v>
      </c>
      <c r="F9" s="0" t="str">
        <f aca="false"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 s="4" t="n">
        <f aca="false">IF(F9="W",1,IF(F9="T",0.5,0))</f>
        <v>0</v>
      </c>
      <c r="H9" s="4" t="n">
        <f aca="false">IF(F9="L",1,IF(F9="T",0.5,0))</f>
        <v>0</v>
      </c>
      <c r="I9" s="4" t="n">
        <f aca="false">IF(C9="",0,C9)</f>
        <v>0</v>
      </c>
    </row>
    <row r="10" customFormat="false" ht="15" hidden="false" customHeight="true" outlineLevel="0" collapsed="false">
      <c r="A10" s="0" t="n">
        <v>5</v>
      </c>
      <c r="B10" s="0" t="str">
        <f aca="false">Roster!B7</f>
        <v>Mikayla Simmons</v>
      </c>
      <c r="C10" s="3" t="n">
        <f aca="false">SUMPRODUCT(('Picks Detail'!J221:J234&lt;&gt;"")*('Picks Detail'!E221:E234&lt;&gt;"")*('Picks Detail'!J221:J234='Picks Detail'!E221:E234))</f>
        <v>0</v>
      </c>
      <c r="D10" s="0" t="n">
        <v>8</v>
      </c>
      <c r="E10" s="4" t="n">
        <f aca="false">IFERROR(INDEX(C$6:C$17,MATCH(8,A$6:A$17,0)),0)</f>
        <v>0</v>
      </c>
      <c r="F10" s="0" t="str">
        <f aca="false"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 s="4" t="n">
        <f aca="false">IF(F10="W",1,IF(F10="T",0.5,0))</f>
        <v>0</v>
      </c>
      <c r="H10" s="4" t="n">
        <f aca="false">IF(F10="L",1,IF(F10="T",0.5,0))</f>
        <v>0</v>
      </c>
      <c r="I10" s="4" t="n">
        <f aca="false">IF(C10="",0,C10)</f>
        <v>0</v>
      </c>
    </row>
    <row r="11" customFormat="false" ht="15" hidden="false" customHeight="true" outlineLevel="0" collapsed="false">
      <c r="A11" s="0" t="n">
        <v>6</v>
      </c>
      <c r="B11" s="0" t="str">
        <f aca="false">Roster!B8</f>
        <v>Alan Loeser</v>
      </c>
      <c r="C11" s="3" t="n">
        <f aca="false">SUMPRODUCT(('Picks Detail'!K221:K234&lt;&gt;"")*('Picks Detail'!E221:E234&lt;&gt;"")*('Picks Detail'!K221:K234='Picks Detail'!E221:E234))</f>
        <v>0</v>
      </c>
      <c r="D11" s="0" t="n">
        <v>7</v>
      </c>
      <c r="E11" s="4" t="n">
        <f aca="false">IFERROR(INDEX(C$6:C$17,MATCH(7,A$6:A$17,0)),0)</f>
        <v>0</v>
      </c>
      <c r="F11" s="0" t="str">
        <f aca="false"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 s="4" t="n">
        <f aca="false">IF(F11="W",1,IF(F11="T",0.5,0))</f>
        <v>0</v>
      </c>
      <c r="H11" s="4" t="n">
        <f aca="false">IF(F11="L",1,IF(F11="T",0.5,0))</f>
        <v>0</v>
      </c>
      <c r="I11" s="4" t="n">
        <f aca="false">IF(C11="",0,C11)</f>
        <v>0</v>
      </c>
    </row>
    <row r="12" customFormat="false" ht="15" hidden="false" customHeight="true" outlineLevel="0" collapsed="false">
      <c r="A12" s="0" t="n">
        <v>7</v>
      </c>
      <c r="B12" s="0" t="str">
        <f aca="false">Roster!B9</f>
        <v>Caleb Simmons</v>
      </c>
      <c r="C12" s="3" t="n">
        <f aca="false">SUMPRODUCT(('Picks Detail'!L221:L234&lt;&gt;"")*('Picks Detail'!E221:E234&lt;&gt;"")*('Picks Detail'!L221:L234='Picks Detail'!E221:E234))</f>
        <v>0</v>
      </c>
      <c r="D12" s="0" t="n">
        <v>6</v>
      </c>
      <c r="E12" s="4" t="n">
        <f aca="false">IFERROR(INDEX(C$6:C$17,MATCH(6,A$6:A$17,0)),0)</f>
        <v>0</v>
      </c>
      <c r="F12" s="0" t="str">
        <f aca="false"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 s="4" t="n">
        <f aca="false">IF(F12="W",1,IF(F12="T",0.5,0))</f>
        <v>0</v>
      </c>
      <c r="H12" s="4" t="n">
        <f aca="false">IF(F12="L",1,IF(F12="T",0.5,0))</f>
        <v>0</v>
      </c>
      <c r="I12" s="4" t="n">
        <f aca="false">IF(C12="",0,C12)</f>
        <v>0</v>
      </c>
    </row>
    <row r="13" customFormat="false" ht="15" hidden="false" customHeight="true" outlineLevel="0" collapsed="false">
      <c r="A13" s="0" t="n">
        <v>8</v>
      </c>
      <c r="B13" s="0" t="str">
        <f aca="false">Roster!B10</f>
        <v>Larry Loeser</v>
      </c>
      <c r="C13" s="3" t="n">
        <f aca="false">SUMPRODUCT(('Picks Detail'!M221:M234&lt;&gt;"")*('Picks Detail'!E221:E234&lt;&gt;"")*('Picks Detail'!M221:M234='Picks Detail'!E221:E234))</f>
        <v>0</v>
      </c>
      <c r="D13" s="0" t="n">
        <v>5</v>
      </c>
      <c r="E13" s="4" t="n">
        <f aca="false">IFERROR(INDEX(C$6:C$17,MATCH(5,A$6:A$17,0)),0)</f>
        <v>0</v>
      </c>
      <c r="F13" s="0" t="str">
        <f aca="false"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 s="4" t="n">
        <f aca="false">IF(F13="W",1,IF(F13="T",0.5,0))</f>
        <v>0</v>
      </c>
      <c r="H13" s="4" t="n">
        <f aca="false">IF(F13="L",1,IF(F13="T",0.5,0))</f>
        <v>0</v>
      </c>
      <c r="I13" s="4" t="n">
        <f aca="false">IF(C13="",0,C13)</f>
        <v>0</v>
      </c>
    </row>
    <row r="14" customFormat="false" ht="15" hidden="false" customHeight="true" outlineLevel="0" collapsed="false">
      <c r="A14" s="0" t="n">
        <v>9</v>
      </c>
      <c r="B14" s="0" t="str">
        <f aca="false">Roster!B11</f>
        <v>Daddy Michael</v>
      </c>
      <c r="C14" s="3" t="n">
        <f aca="false">SUMPRODUCT(('Picks Detail'!N221:N234&lt;&gt;"")*('Picks Detail'!E221:E234&lt;&gt;"")*('Picks Detail'!N221:N234='Picks Detail'!E221:E234))</f>
        <v>0</v>
      </c>
      <c r="D14" s="0" t="n">
        <v>12</v>
      </c>
      <c r="E14" s="4" t="n">
        <f aca="false">IFERROR(INDEX(C$6:C$17,MATCH(12,A$6:A$17,0)),0)</f>
        <v>0</v>
      </c>
      <c r="F14" s="0" t="str">
        <f aca="false"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 s="4" t="n">
        <f aca="false">IF(F14="W",1,IF(F14="T",0.5,0))</f>
        <v>0</v>
      </c>
      <c r="H14" s="4" t="n">
        <f aca="false">IF(F14="L",1,IF(F14="T",0.5,0))</f>
        <v>0</v>
      </c>
      <c r="I14" s="4" t="n">
        <f aca="false">IF(C14="",0,C14)</f>
        <v>0</v>
      </c>
    </row>
    <row r="15" customFormat="false" ht="15" hidden="false" customHeight="true" outlineLevel="0" collapsed="false">
      <c r="A15" s="0" t="n">
        <v>10</v>
      </c>
      <c r="B15" s="0" t="str">
        <f aca="false">Roster!B12</f>
        <v>Zach Zarra</v>
      </c>
      <c r="C15" s="3" t="n">
        <f aca="false">SUMPRODUCT(('Picks Detail'!O221:O234&lt;&gt;"")*('Picks Detail'!E221:E234&lt;&gt;"")*('Picks Detail'!O221:O234='Picks Detail'!E221:E234))</f>
        <v>0</v>
      </c>
      <c r="D15" s="0" t="n">
        <v>11</v>
      </c>
      <c r="E15" s="4" t="n">
        <f aca="false">IFERROR(INDEX(C$6:C$17,MATCH(11,A$6:A$17,0)),0)</f>
        <v>0</v>
      </c>
      <c r="F15" s="0" t="str">
        <f aca="false"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 s="4" t="n">
        <f aca="false">IF(F15="W",1,IF(F15="T",0.5,0))</f>
        <v>0</v>
      </c>
      <c r="H15" s="4" t="n">
        <f aca="false">IF(F15="L",1,IF(F15="T",0.5,0))</f>
        <v>0</v>
      </c>
      <c r="I15" s="4" t="n">
        <f aca="false">IF(C15="",0,C15)</f>
        <v>0</v>
      </c>
    </row>
    <row r="16" customFormat="false" ht="15" hidden="false" customHeight="true" outlineLevel="0" collapsed="false">
      <c r="A16" s="0" t="n">
        <v>11</v>
      </c>
      <c r="B16" s="0" t="str">
        <f aca="false">Roster!B13</f>
        <v>Jeffrey Loeser</v>
      </c>
      <c r="C16" s="3" t="n">
        <f aca="false">SUMPRODUCT(('Picks Detail'!P221:P234&lt;&gt;"")*('Picks Detail'!E221:E234&lt;&gt;"")*('Picks Detail'!P221:P234='Picks Detail'!E221:E234))</f>
        <v>0</v>
      </c>
      <c r="D16" s="0" t="n">
        <v>10</v>
      </c>
      <c r="E16" s="4" t="n">
        <f aca="false">IFERROR(INDEX(C$6:C$17,MATCH(10,A$6:A$17,0)),0)</f>
        <v>0</v>
      </c>
      <c r="F16" s="0" t="str">
        <f aca="false"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 s="4" t="n">
        <f aca="false">IF(F16="W",1,IF(F16="T",0.5,0))</f>
        <v>0</v>
      </c>
      <c r="H16" s="4" t="n">
        <f aca="false">IF(F16="L",1,IF(F16="T",0.5,0))</f>
        <v>0</v>
      </c>
      <c r="I16" s="4" t="n">
        <f aca="false">IF(C16="",0,C16)</f>
        <v>0</v>
      </c>
    </row>
    <row r="17" customFormat="false" ht="15" hidden="false" customHeight="true" outlineLevel="0" collapsed="false">
      <c r="A17" s="0" t="n">
        <v>12</v>
      </c>
      <c r="B17" s="0" t="str">
        <f aca="false">Roster!B14</f>
        <v>Jake Andrews</v>
      </c>
      <c r="C17" s="3" t="n">
        <f aca="false">SUMPRODUCT(('Picks Detail'!Q221:Q234&lt;&gt;"")*('Picks Detail'!E221:E234&lt;&gt;"")*('Picks Detail'!Q221:Q234='Picks Detail'!E221:E234))</f>
        <v>0</v>
      </c>
      <c r="D17" s="0" t="n">
        <v>9</v>
      </c>
      <c r="E17" s="4" t="n">
        <f aca="false">IFERROR(INDEX(C$6:C$17,MATCH(9,A$6:A$17,0)),0)</f>
        <v>0</v>
      </c>
      <c r="F17" s="0" t="str">
        <f aca="false"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 s="4" t="n">
        <f aca="false">IF(F17="W",1,IF(F17="T",0.5,0))</f>
        <v>0</v>
      </c>
      <c r="H17" s="4" t="n">
        <f aca="false">IF(F17="L",1,IF(F17="T",0.5,0))</f>
        <v>0</v>
      </c>
      <c r="I17" s="4" t="n">
        <f aca="false">IF(C17="",0,C17)</f>
        <v>0</v>
      </c>
    </row>
    <row r="19" customFormat="false" ht="15" hidden="false" customHeight="true" outlineLevel="0" collapsed="false">
      <c r="A19" s="22" t="s">
        <v>102</v>
      </c>
    </row>
    <row r="20" customFormat="false" ht="15" hidden="false" customHeight="true" outlineLevel="0" collapsed="false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customFormat="false" ht="15" hidden="false" customHeight="true" outlineLevel="0" collapsed="false">
      <c r="A21" s="0" t="n">
        <v>1</v>
      </c>
      <c r="B21" s="0" t="str">
        <f aca="false">Roster!B3</f>
        <v>Evan Loeser</v>
      </c>
      <c r="C21" s="3" t="n">
        <f aca="false">SUMPRODUCT(('Picks Detail'!F238:F252&lt;&gt;"")*('Picks Detail'!E238:E252&lt;&gt;"")*('Picks Detail'!F238:F252='Picks Detail'!E238:E252))</f>
        <v>0</v>
      </c>
      <c r="D21" s="0" t="n">
        <v>3</v>
      </c>
      <c r="E21" s="4" t="n">
        <f aca="false">IFERROR(INDEX(C$21:C$32,MATCH(3,A$21:A$32,0)),0)</f>
        <v>0</v>
      </c>
      <c r="F21" s="0" t="str">
        <f aca="false"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 s="4" t="n">
        <f aca="false">IF(F21="W",1,IF(F21="T",0.5,0))</f>
        <v>0</v>
      </c>
      <c r="H21" s="4" t="n">
        <f aca="false">IF(F21="L",1,IF(F21="T",0.5,0))</f>
        <v>0</v>
      </c>
      <c r="I21" s="4" t="n">
        <f aca="false">IF(C21="",0,C21)</f>
        <v>0</v>
      </c>
    </row>
    <row r="22" customFormat="false" ht="15" hidden="false" customHeight="true" outlineLevel="0" collapsed="false">
      <c r="A22" s="0" t="n">
        <v>2</v>
      </c>
      <c r="B22" s="0" t="str">
        <f aca="false">Roster!B4</f>
        <v>Chris Simmons</v>
      </c>
      <c r="C22" s="3" t="n">
        <f aca="false">SUMPRODUCT(('Picks Detail'!G238:G252&lt;&gt;"")*('Picks Detail'!E238:E252&lt;&gt;"")*('Picks Detail'!G238:G252='Picks Detail'!E238:E252))</f>
        <v>0</v>
      </c>
      <c r="D22" s="0" t="n">
        <v>4</v>
      </c>
      <c r="E22" s="4" t="n">
        <f aca="false">IFERROR(INDEX(C$21:C$32,MATCH(4,A$21:A$32,0)),0)</f>
        <v>0</v>
      </c>
      <c r="F22" s="0" t="str">
        <f aca="false"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 s="4" t="n">
        <f aca="false">IF(F22="W",1,IF(F22="T",0.5,0))</f>
        <v>0</v>
      </c>
      <c r="H22" s="4" t="n">
        <f aca="false">IF(F22="L",1,IF(F22="T",0.5,0))</f>
        <v>0</v>
      </c>
      <c r="I22" s="4" t="n">
        <f aca="false">IF(C22="",0,C22)</f>
        <v>0</v>
      </c>
    </row>
    <row r="23" customFormat="false" ht="15" hidden="false" customHeight="true" outlineLevel="0" collapsed="false">
      <c r="A23" s="0" t="n">
        <v>3</v>
      </c>
      <c r="B23" s="0" t="str">
        <f aca="false">Roster!B5</f>
        <v>Jack Smith</v>
      </c>
      <c r="C23" s="3" t="n">
        <f aca="false">SUMPRODUCT(('Picks Detail'!H238:H252&lt;&gt;"")*('Picks Detail'!E238:E252&lt;&gt;"")*('Picks Detail'!H238:H252='Picks Detail'!E238:E252))</f>
        <v>0</v>
      </c>
      <c r="D23" s="0" t="n">
        <v>1</v>
      </c>
      <c r="E23" s="4" t="n">
        <f aca="false">IFERROR(INDEX(C$21:C$32,MATCH(1,A$21:A$32,0)),0)</f>
        <v>0</v>
      </c>
      <c r="F23" s="0" t="str">
        <f aca="false"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 s="4" t="n">
        <f aca="false">IF(F23="W",1,IF(F23="T",0.5,0))</f>
        <v>0</v>
      </c>
      <c r="H23" s="4" t="n">
        <f aca="false">IF(F23="L",1,IF(F23="T",0.5,0))</f>
        <v>0</v>
      </c>
      <c r="I23" s="4" t="n">
        <f aca="false">IF(C23="",0,C23)</f>
        <v>0</v>
      </c>
    </row>
    <row r="24" customFormat="false" ht="15" hidden="false" customHeight="true" outlineLevel="0" collapsed="false">
      <c r="A24" s="0" t="n">
        <v>4</v>
      </c>
      <c r="B24" s="0" t="str">
        <f aca="false">Roster!B6</f>
        <v>Luke Ussery</v>
      </c>
      <c r="C24" s="3" t="n">
        <f aca="false">SUMPRODUCT(('Picks Detail'!I238:I252&lt;&gt;"")*('Picks Detail'!E238:E252&lt;&gt;"")*('Picks Detail'!I238:I252='Picks Detail'!E238:E252))</f>
        <v>0</v>
      </c>
      <c r="D24" s="0" t="n">
        <v>2</v>
      </c>
      <c r="E24" s="4" t="n">
        <f aca="false">IFERROR(INDEX(C$21:C$32,MATCH(2,A$21:A$32,0)),0)</f>
        <v>0</v>
      </c>
      <c r="F24" s="0" t="str">
        <f aca="false"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 s="4" t="n">
        <f aca="false">IF(F24="W",1,IF(F24="T",0.5,0))</f>
        <v>0</v>
      </c>
      <c r="H24" s="4" t="n">
        <f aca="false">IF(F24="L",1,IF(F24="T",0.5,0))</f>
        <v>0</v>
      </c>
      <c r="I24" s="4" t="n">
        <f aca="false">IF(C24="",0,C24)</f>
        <v>0</v>
      </c>
    </row>
    <row r="25" customFormat="false" ht="15" hidden="false" customHeight="true" outlineLevel="0" collapsed="false">
      <c r="A25" s="0" t="n">
        <v>5</v>
      </c>
      <c r="B25" s="0" t="str">
        <f aca="false">Roster!B7</f>
        <v>Mikayla Simmons</v>
      </c>
      <c r="C25" s="3" t="n">
        <f aca="false">SUMPRODUCT(('Picks Detail'!J238:J252&lt;&gt;"")*('Picks Detail'!E238:E252&lt;&gt;"")*('Picks Detail'!J238:J252='Picks Detail'!E238:E252))</f>
        <v>0</v>
      </c>
      <c r="D25" s="0" t="n">
        <v>7</v>
      </c>
      <c r="E25" s="4" t="n">
        <f aca="false">IFERROR(INDEX(C$21:C$32,MATCH(7,A$21:A$32,0)),0)</f>
        <v>0</v>
      </c>
      <c r="F25" s="0" t="str">
        <f aca="false"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 s="4" t="n">
        <f aca="false">IF(F25="W",1,IF(F25="T",0.5,0))</f>
        <v>0</v>
      </c>
      <c r="H25" s="4" t="n">
        <f aca="false">IF(F25="L",1,IF(F25="T",0.5,0))</f>
        <v>0</v>
      </c>
      <c r="I25" s="4" t="n">
        <f aca="false">IF(C25="",0,C25)</f>
        <v>0</v>
      </c>
    </row>
    <row r="26" customFormat="false" ht="15" hidden="false" customHeight="true" outlineLevel="0" collapsed="false">
      <c r="A26" s="0" t="n">
        <v>6</v>
      </c>
      <c r="B26" s="0" t="str">
        <f aca="false">Roster!B8</f>
        <v>Alan Loeser</v>
      </c>
      <c r="C26" s="3" t="n">
        <f aca="false">SUMPRODUCT(('Picks Detail'!K238:K252&lt;&gt;"")*('Picks Detail'!E238:E252&lt;&gt;"")*('Picks Detail'!K238:K252='Picks Detail'!E238:E252))</f>
        <v>0</v>
      </c>
      <c r="D26" s="0" t="n">
        <v>8</v>
      </c>
      <c r="E26" s="4" t="n">
        <f aca="false">IFERROR(INDEX(C$21:C$32,MATCH(8,A$21:A$32,0)),0)</f>
        <v>0</v>
      </c>
      <c r="F26" s="0" t="str">
        <f aca="false"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 s="4" t="n">
        <f aca="false">IF(F26="W",1,IF(F26="T",0.5,0))</f>
        <v>0</v>
      </c>
      <c r="H26" s="4" t="n">
        <f aca="false">IF(F26="L",1,IF(F26="T",0.5,0))</f>
        <v>0</v>
      </c>
      <c r="I26" s="4" t="n">
        <f aca="false">IF(C26="",0,C26)</f>
        <v>0</v>
      </c>
    </row>
    <row r="27" customFormat="false" ht="15" hidden="false" customHeight="true" outlineLevel="0" collapsed="false">
      <c r="A27" s="0" t="n">
        <v>7</v>
      </c>
      <c r="B27" s="0" t="str">
        <f aca="false">Roster!B9</f>
        <v>Caleb Simmons</v>
      </c>
      <c r="C27" s="3" t="n">
        <f aca="false">SUMPRODUCT(('Picks Detail'!L238:L252&lt;&gt;"")*('Picks Detail'!E238:E252&lt;&gt;"")*('Picks Detail'!L238:L252='Picks Detail'!E238:E252))</f>
        <v>0</v>
      </c>
      <c r="D27" s="0" t="n">
        <v>5</v>
      </c>
      <c r="E27" s="4" t="n">
        <f aca="false">IFERROR(INDEX(C$21:C$32,MATCH(5,A$21:A$32,0)),0)</f>
        <v>0</v>
      </c>
      <c r="F27" s="0" t="str">
        <f aca="false"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 s="4" t="n">
        <f aca="false">IF(F27="W",1,IF(F27="T",0.5,0))</f>
        <v>0</v>
      </c>
      <c r="H27" s="4" t="n">
        <f aca="false">IF(F27="L",1,IF(F27="T",0.5,0))</f>
        <v>0</v>
      </c>
      <c r="I27" s="4" t="n">
        <f aca="false">IF(C27="",0,C27)</f>
        <v>0</v>
      </c>
    </row>
    <row r="28" customFormat="false" ht="15" hidden="false" customHeight="true" outlineLevel="0" collapsed="false">
      <c r="A28" s="0" t="n">
        <v>8</v>
      </c>
      <c r="B28" s="0" t="str">
        <f aca="false">Roster!B10</f>
        <v>Larry Loeser</v>
      </c>
      <c r="C28" s="3" t="n">
        <f aca="false">SUMPRODUCT(('Picks Detail'!M238:M252&lt;&gt;"")*('Picks Detail'!E238:E252&lt;&gt;"")*('Picks Detail'!M238:M252='Picks Detail'!E238:E252))</f>
        <v>0</v>
      </c>
      <c r="D28" s="0" t="n">
        <v>6</v>
      </c>
      <c r="E28" s="4" t="n">
        <f aca="false">IFERROR(INDEX(C$21:C$32,MATCH(6,A$21:A$32,0)),0)</f>
        <v>0</v>
      </c>
      <c r="F28" s="0" t="str">
        <f aca="false"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 s="4" t="n">
        <f aca="false">IF(F28="W",1,IF(F28="T",0.5,0))</f>
        <v>0</v>
      </c>
      <c r="H28" s="4" t="n">
        <f aca="false">IF(F28="L",1,IF(F28="T",0.5,0))</f>
        <v>0</v>
      </c>
      <c r="I28" s="4" t="n">
        <f aca="false">IF(C28="",0,C28)</f>
        <v>0</v>
      </c>
    </row>
    <row r="29" customFormat="false" ht="15" hidden="false" customHeight="true" outlineLevel="0" collapsed="false">
      <c r="A29" s="0" t="n">
        <v>9</v>
      </c>
      <c r="B29" s="0" t="str">
        <f aca="false">Roster!B11</f>
        <v>Daddy Michael</v>
      </c>
      <c r="C29" s="3" t="n">
        <f aca="false">SUMPRODUCT(('Picks Detail'!N238:N252&lt;&gt;"")*('Picks Detail'!E238:E252&lt;&gt;"")*('Picks Detail'!N238:N252='Picks Detail'!E238:E252))</f>
        <v>0</v>
      </c>
      <c r="D29" s="0" t="n">
        <v>11</v>
      </c>
      <c r="E29" s="4" t="n">
        <f aca="false">IFERROR(INDEX(C$21:C$32,MATCH(11,A$21:A$32,0)),0)</f>
        <v>0</v>
      </c>
      <c r="F29" s="0" t="str">
        <f aca="false"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 s="4" t="n">
        <f aca="false">IF(F29="W",1,IF(F29="T",0.5,0))</f>
        <v>0</v>
      </c>
      <c r="H29" s="4" t="n">
        <f aca="false">IF(F29="L",1,IF(F29="T",0.5,0))</f>
        <v>0</v>
      </c>
      <c r="I29" s="4" t="n">
        <f aca="false">IF(C29="",0,C29)</f>
        <v>0</v>
      </c>
    </row>
    <row r="30" customFormat="false" ht="15" hidden="false" customHeight="true" outlineLevel="0" collapsed="false">
      <c r="A30" s="0" t="n">
        <v>10</v>
      </c>
      <c r="B30" s="0" t="str">
        <f aca="false">Roster!B12</f>
        <v>Zach Zarra</v>
      </c>
      <c r="C30" s="3" t="n">
        <f aca="false">SUMPRODUCT(('Picks Detail'!O238:O252&lt;&gt;"")*('Picks Detail'!E238:E252&lt;&gt;"")*('Picks Detail'!O238:O252='Picks Detail'!E238:E252))</f>
        <v>0</v>
      </c>
      <c r="D30" s="0" t="n">
        <v>12</v>
      </c>
      <c r="E30" s="4" t="n">
        <f aca="false">IFERROR(INDEX(C$21:C$32,MATCH(12,A$21:A$32,0)),0)</f>
        <v>0</v>
      </c>
      <c r="F30" s="0" t="str">
        <f aca="false"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 s="4" t="n">
        <f aca="false">IF(F30="W",1,IF(F30="T",0.5,0))</f>
        <v>0</v>
      </c>
      <c r="H30" s="4" t="n">
        <f aca="false">IF(F30="L",1,IF(F30="T",0.5,0))</f>
        <v>0</v>
      </c>
      <c r="I30" s="4" t="n">
        <f aca="false">IF(C30="",0,C30)</f>
        <v>0</v>
      </c>
    </row>
    <row r="31" customFormat="false" ht="15" hidden="false" customHeight="true" outlineLevel="0" collapsed="false">
      <c r="A31" s="0" t="n">
        <v>11</v>
      </c>
      <c r="B31" s="0" t="str">
        <f aca="false">Roster!B13</f>
        <v>Jeffrey Loeser</v>
      </c>
      <c r="C31" s="3" t="n">
        <f aca="false">SUMPRODUCT(('Picks Detail'!P238:P252&lt;&gt;"")*('Picks Detail'!E238:E252&lt;&gt;"")*('Picks Detail'!P238:P252='Picks Detail'!E238:E252))</f>
        <v>0</v>
      </c>
      <c r="D31" s="0" t="n">
        <v>9</v>
      </c>
      <c r="E31" s="4" t="n">
        <f aca="false">IFERROR(INDEX(C$21:C$32,MATCH(9,A$21:A$32,0)),0)</f>
        <v>0</v>
      </c>
      <c r="F31" s="0" t="str">
        <f aca="false"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 s="4" t="n">
        <f aca="false">IF(F31="W",1,IF(F31="T",0.5,0))</f>
        <v>0</v>
      </c>
      <c r="H31" s="4" t="n">
        <f aca="false">IF(F31="L",1,IF(F31="T",0.5,0))</f>
        <v>0</v>
      </c>
      <c r="I31" s="4" t="n">
        <f aca="false">IF(C31="",0,C31)</f>
        <v>0</v>
      </c>
    </row>
    <row r="32" customFormat="false" ht="15" hidden="false" customHeight="true" outlineLevel="0" collapsed="false">
      <c r="A32" s="0" t="n">
        <v>12</v>
      </c>
      <c r="B32" s="0" t="str">
        <f aca="false">Roster!B14</f>
        <v>Jake Andrews</v>
      </c>
      <c r="C32" s="3" t="n">
        <f aca="false">SUMPRODUCT(('Picks Detail'!Q238:Q252&lt;&gt;"")*('Picks Detail'!E238:E252&lt;&gt;"")*('Picks Detail'!Q238:Q252='Picks Detail'!E238:E252))</f>
        <v>0</v>
      </c>
      <c r="D32" s="0" t="n">
        <v>10</v>
      </c>
      <c r="E32" s="4" t="n">
        <f aca="false">IFERROR(INDEX(C$21:C$32,MATCH(10,A$21:A$32,0)),0)</f>
        <v>0</v>
      </c>
      <c r="F32" s="0" t="str">
        <f aca="false"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 s="4" t="n">
        <f aca="false">IF(F32="W",1,IF(F32="T",0.5,0))</f>
        <v>0</v>
      </c>
      <c r="H32" s="4" t="n">
        <f aca="false">IF(F32="L",1,IF(F32="T",0.5,0))</f>
        <v>0</v>
      </c>
      <c r="I32" s="4" t="n">
        <f aca="false">IF(C32="",0,C32)</f>
        <v>0</v>
      </c>
    </row>
    <row r="34" customFormat="false" ht="15" hidden="false" customHeight="true" outlineLevel="0" collapsed="false">
      <c r="A34" s="22" t="s">
        <v>103</v>
      </c>
    </row>
    <row r="35" customFormat="false" ht="15" hidden="false" customHeight="true" outlineLevel="0" collapsed="false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customFormat="false" ht="15" hidden="false" customHeight="true" outlineLevel="0" collapsed="false">
      <c r="A36" s="0" t="n">
        <v>1</v>
      </c>
      <c r="B36" s="0" t="str">
        <f aca="false">Roster!B3</f>
        <v>Evan Loeser</v>
      </c>
      <c r="C36" s="3" t="n">
        <f aca="false">SUMPRODUCT(('Picks Detail'!F256:F271&lt;&gt;"")*('Picks Detail'!E256:E271&lt;&gt;"")*('Picks Detail'!F256:F271='Picks Detail'!E256:E271))</f>
        <v>0</v>
      </c>
      <c r="D36" s="0" t="n">
        <v>2</v>
      </c>
      <c r="E36" s="4" t="n">
        <f aca="false">IFERROR(INDEX(C$36:C$47,MATCH(2,A$36:A$47,0)),0)</f>
        <v>0</v>
      </c>
      <c r="F36" s="0" t="str">
        <f aca="false"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 s="4" t="n">
        <f aca="false">IF(F36="W",1,IF(F36="T",0.5,0))</f>
        <v>0</v>
      </c>
      <c r="H36" s="4" t="n">
        <f aca="false">IF(F36="L",1,IF(F36="T",0.5,0))</f>
        <v>0</v>
      </c>
      <c r="I36" s="4" t="n">
        <f aca="false">IF(C36="",0,C36)</f>
        <v>0</v>
      </c>
    </row>
    <row r="37" customFormat="false" ht="15" hidden="false" customHeight="true" outlineLevel="0" collapsed="false">
      <c r="A37" s="0" t="n">
        <v>2</v>
      </c>
      <c r="B37" s="0" t="str">
        <f aca="false">Roster!B4</f>
        <v>Chris Simmons</v>
      </c>
      <c r="C37" s="3" t="n">
        <f aca="false">SUMPRODUCT(('Picks Detail'!G256:G271&lt;&gt;"")*('Picks Detail'!E256:E271&lt;&gt;"")*('Picks Detail'!G256:G271='Picks Detail'!E256:E271))</f>
        <v>0</v>
      </c>
      <c r="D37" s="0" t="n">
        <v>1</v>
      </c>
      <c r="E37" s="4" t="n">
        <f aca="false">IFERROR(INDEX(C$36:C$47,MATCH(1,A$36:A$47,0)),0)</f>
        <v>0</v>
      </c>
      <c r="F37" s="0" t="str">
        <f aca="false"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 s="4" t="n">
        <f aca="false">IF(F37="W",1,IF(F37="T",0.5,0))</f>
        <v>0</v>
      </c>
      <c r="H37" s="4" t="n">
        <f aca="false">IF(F37="L",1,IF(F37="T",0.5,0))</f>
        <v>0</v>
      </c>
      <c r="I37" s="4" t="n">
        <f aca="false">IF(C37="",0,C37)</f>
        <v>0</v>
      </c>
    </row>
    <row r="38" customFormat="false" ht="15" hidden="false" customHeight="true" outlineLevel="0" collapsed="false">
      <c r="A38" s="0" t="n">
        <v>3</v>
      </c>
      <c r="B38" s="0" t="str">
        <f aca="false">Roster!B5</f>
        <v>Jack Smith</v>
      </c>
      <c r="C38" s="3" t="n">
        <f aca="false">SUMPRODUCT(('Picks Detail'!H256:H271&lt;&gt;"")*('Picks Detail'!E256:E271&lt;&gt;"")*('Picks Detail'!H256:H271='Picks Detail'!E256:E271))</f>
        <v>0</v>
      </c>
      <c r="D38" s="0" t="n">
        <v>4</v>
      </c>
      <c r="E38" s="4" t="n">
        <f aca="false">IFERROR(INDEX(C$36:C$47,MATCH(4,A$36:A$47,0)),0)</f>
        <v>0</v>
      </c>
      <c r="F38" s="0" t="str">
        <f aca="false"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 s="4" t="n">
        <f aca="false">IF(F38="W",1,IF(F38="T",0.5,0))</f>
        <v>0</v>
      </c>
      <c r="H38" s="4" t="n">
        <f aca="false">IF(F38="L",1,IF(F38="T",0.5,0))</f>
        <v>0</v>
      </c>
      <c r="I38" s="4" t="n">
        <f aca="false">IF(C38="",0,C38)</f>
        <v>0</v>
      </c>
    </row>
    <row r="39" customFormat="false" ht="15" hidden="false" customHeight="true" outlineLevel="0" collapsed="false">
      <c r="A39" s="0" t="n">
        <v>4</v>
      </c>
      <c r="B39" s="0" t="str">
        <f aca="false">Roster!B6</f>
        <v>Luke Ussery</v>
      </c>
      <c r="C39" s="3" t="n">
        <f aca="false">SUMPRODUCT(('Picks Detail'!I256:I271&lt;&gt;"")*('Picks Detail'!E256:E271&lt;&gt;"")*('Picks Detail'!I256:I271='Picks Detail'!E256:E271))</f>
        <v>0</v>
      </c>
      <c r="D39" s="0" t="n">
        <v>3</v>
      </c>
      <c r="E39" s="4" t="n">
        <f aca="false">IFERROR(INDEX(C$36:C$47,MATCH(3,A$36:A$47,0)),0)</f>
        <v>0</v>
      </c>
      <c r="F39" s="0" t="str">
        <f aca="false"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 s="4" t="n">
        <f aca="false">IF(F39="W",1,IF(F39="T",0.5,0))</f>
        <v>0</v>
      </c>
      <c r="H39" s="4" t="n">
        <f aca="false">IF(F39="L",1,IF(F39="T",0.5,0))</f>
        <v>0</v>
      </c>
      <c r="I39" s="4" t="n">
        <f aca="false">IF(C39="",0,C39)</f>
        <v>0</v>
      </c>
    </row>
    <row r="40" customFormat="false" ht="15" hidden="false" customHeight="true" outlineLevel="0" collapsed="false">
      <c r="A40" s="0" t="n">
        <v>5</v>
      </c>
      <c r="B40" s="0" t="str">
        <f aca="false">Roster!B7</f>
        <v>Mikayla Simmons</v>
      </c>
      <c r="C40" s="3" t="n">
        <f aca="false">SUMPRODUCT(('Picks Detail'!J256:J271&lt;&gt;"")*('Picks Detail'!E256:E271&lt;&gt;"")*('Picks Detail'!J256:J271='Picks Detail'!E256:E271))</f>
        <v>0</v>
      </c>
      <c r="D40" s="0" t="n">
        <v>6</v>
      </c>
      <c r="E40" s="4" t="n">
        <f aca="false">IFERROR(INDEX(C$36:C$47,MATCH(6,A$36:A$47,0)),0)</f>
        <v>0</v>
      </c>
      <c r="F40" s="0" t="str">
        <f aca="false"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 s="4" t="n">
        <f aca="false">IF(F40="W",1,IF(F40="T",0.5,0))</f>
        <v>0</v>
      </c>
      <c r="H40" s="4" t="n">
        <f aca="false">IF(F40="L",1,IF(F40="T",0.5,0))</f>
        <v>0</v>
      </c>
      <c r="I40" s="4" t="n">
        <f aca="false">IF(C40="",0,C40)</f>
        <v>0</v>
      </c>
    </row>
    <row r="41" customFormat="false" ht="15" hidden="false" customHeight="true" outlineLevel="0" collapsed="false">
      <c r="A41" s="0" t="n">
        <v>6</v>
      </c>
      <c r="B41" s="0" t="str">
        <f aca="false">Roster!B8</f>
        <v>Alan Loeser</v>
      </c>
      <c r="C41" s="3" t="n">
        <f aca="false">SUMPRODUCT(('Picks Detail'!K256:K271&lt;&gt;"")*('Picks Detail'!E256:E271&lt;&gt;"")*('Picks Detail'!K256:K271='Picks Detail'!E256:E271))</f>
        <v>0</v>
      </c>
      <c r="D41" s="0" t="n">
        <v>5</v>
      </c>
      <c r="E41" s="4" t="n">
        <f aca="false">IFERROR(INDEX(C$36:C$47,MATCH(5,A$36:A$47,0)),0)</f>
        <v>0</v>
      </c>
      <c r="F41" s="0" t="str">
        <f aca="false"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 s="4" t="n">
        <f aca="false">IF(F41="W",1,IF(F41="T",0.5,0))</f>
        <v>0</v>
      </c>
      <c r="H41" s="4" t="n">
        <f aca="false">IF(F41="L",1,IF(F41="T",0.5,0))</f>
        <v>0</v>
      </c>
      <c r="I41" s="4" t="n">
        <f aca="false">IF(C41="",0,C41)</f>
        <v>0</v>
      </c>
    </row>
    <row r="42" customFormat="false" ht="15" hidden="false" customHeight="true" outlineLevel="0" collapsed="false">
      <c r="A42" s="0" t="n">
        <v>7</v>
      </c>
      <c r="B42" s="0" t="str">
        <f aca="false">Roster!B9</f>
        <v>Caleb Simmons</v>
      </c>
      <c r="C42" s="3" t="n">
        <f aca="false">SUMPRODUCT(('Picks Detail'!L256:L271&lt;&gt;"")*('Picks Detail'!E256:E271&lt;&gt;"")*('Picks Detail'!L256:L271='Picks Detail'!E256:E271))</f>
        <v>0</v>
      </c>
      <c r="D42" s="0" t="n">
        <v>8</v>
      </c>
      <c r="E42" s="4" t="n">
        <f aca="false">IFERROR(INDEX(C$36:C$47,MATCH(8,A$36:A$47,0)),0)</f>
        <v>0</v>
      </c>
      <c r="F42" s="0" t="str">
        <f aca="false"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 s="4" t="n">
        <f aca="false">IF(F42="W",1,IF(F42="T",0.5,0))</f>
        <v>0</v>
      </c>
      <c r="H42" s="4" t="n">
        <f aca="false">IF(F42="L",1,IF(F42="T",0.5,0))</f>
        <v>0</v>
      </c>
      <c r="I42" s="4" t="n">
        <f aca="false">IF(C42="",0,C42)</f>
        <v>0</v>
      </c>
    </row>
    <row r="43" customFormat="false" ht="15" hidden="false" customHeight="true" outlineLevel="0" collapsed="false">
      <c r="A43" s="0" t="n">
        <v>8</v>
      </c>
      <c r="B43" s="0" t="str">
        <f aca="false">Roster!B10</f>
        <v>Larry Loeser</v>
      </c>
      <c r="C43" s="3" t="n">
        <f aca="false">SUMPRODUCT(('Picks Detail'!M256:M271&lt;&gt;"")*('Picks Detail'!E256:E271&lt;&gt;"")*('Picks Detail'!M256:M271='Picks Detail'!E256:E271))</f>
        <v>0</v>
      </c>
      <c r="D43" s="0" t="n">
        <v>7</v>
      </c>
      <c r="E43" s="4" t="n">
        <f aca="false">IFERROR(INDEX(C$36:C$47,MATCH(7,A$36:A$47,0)),0)</f>
        <v>0</v>
      </c>
      <c r="F43" s="0" t="str">
        <f aca="false"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 s="4" t="n">
        <f aca="false">IF(F43="W",1,IF(F43="T",0.5,0))</f>
        <v>0</v>
      </c>
      <c r="H43" s="4" t="n">
        <f aca="false">IF(F43="L",1,IF(F43="T",0.5,0))</f>
        <v>0</v>
      </c>
      <c r="I43" s="4" t="n">
        <f aca="false">IF(C43="",0,C43)</f>
        <v>0</v>
      </c>
    </row>
    <row r="44" customFormat="false" ht="15" hidden="false" customHeight="true" outlineLevel="0" collapsed="false">
      <c r="A44" s="0" t="n">
        <v>9</v>
      </c>
      <c r="B44" s="0" t="str">
        <f aca="false">Roster!B11</f>
        <v>Daddy Michael</v>
      </c>
      <c r="C44" s="3" t="n">
        <f aca="false">SUMPRODUCT(('Picks Detail'!N256:N271&lt;&gt;"")*('Picks Detail'!E256:E271&lt;&gt;"")*('Picks Detail'!N256:N271='Picks Detail'!E256:E271))</f>
        <v>0</v>
      </c>
      <c r="D44" s="0" t="n">
        <v>10</v>
      </c>
      <c r="E44" s="4" t="n">
        <f aca="false">IFERROR(INDEX(C$36:C$47,MATCH(10,A$36:A$47,0)),0)</f>
        <v>0</v>
      </c>
      <c r="F44" s="0" t="str">
        <f aca="false"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 s="4" t="n">
        <f aca="false">IF(F44="W",1,IF(F44="T",0.5,0))</f>
        <v>0</v>
      </c>
      <c r="H44" s="4" t="n">
        <f aca="false">IF(F44="L",1,IF(F44="T",0.5,0))</f>
        <v>0</v>
      </c>
      <c r="I44" s="4" t="n">
        <f aca="false">IF(C44="",0,C44)</f>
        <v>0</v>
      </c>
    </row>
    <row r="45" customFormat="false" ht="15" hidden="false" customHeight="true" outlineLevel="0" collapsed="false">
      <c r="A45" s="0" t="n">
        <v>10</v>
      </c>
      <c r="B45" s="0" t="str">
        <f aca="false">Roster!B12</f>
        <v>Zach Zarra</v>
      </c>
      <c r="C45" s="3" t="n">
        <f aca="false">SUMPRODUCT(('Picks Detail'!O256:O271&lt;&gt;"")*('Picks Detail'!E256:E271&lt;&gt;"")*('Picks Detail'!O256:O271='Picks Detail'!E256:E271))</f>
        <v>0</v>
      </c>
      <c r="D45" s="0" t="n">
        <v>9</v>
      </c>
      <c r="E45" s="4" t="n">
        <f aca="false">IFERROR(INDEX(C$36:C$47,MATCH(9,A$36:A$47,0)),0)</f>
        <v>0</v>
      </c>
      <c r="F45" s="0" t="str">
        <f aca="false"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 s="4" t="n">
        <f aca="false">IF(F45="W",1,IF(F45="T",0.5,0))</f>
        <v>0</v>
      </c>
      <c r="H45" s="4" t="n">
        <f aca="false">IF(F45="L",1,IF(F45="T",0.5,0))</f>
        <v>0</v>
      </c>
      <c r="I45" s="4" t="n">
        <f aca="false">IF(C45="",0,C45)</f>
        <v>0</v>
      </c>
    </row>
    <row r="46" customFormat="false" ht="15" hidden="false" customHeight="true" outlineLevel="0" collapsed="false">
      <c r="A46" s="0" t="n">
        <v>11</v>
      </c>
      <c r="B46" s="0" t="str">
        <f aca="false">Roster!B13</f>
        <v>Jeffrey Loeser</v>
      </c>
      <c r="C46" s="3" t="n">
        <f aca="false">SUMPRODUCT(('Picks Detail'!P256:P271&lt;&gt;"")*('Picks Detail'!E256:E271&lt;&gt;"")*('Picks Detail'!P256:P271='Picks Detail'!E256:E271))</f>
        <v>0</v>
      </c>
      <c r="D46" s="0" t="n">
        <v>12</v>
      </c>
      <c r="E46" s="4" t="n">
        <f aca="false">IFERROR(INDEX(C$36:C$47,MATCH(12,A$36:A$47,0)),0)</f>
        <v>0</v>
      </c>
      <c r="F46" s="0" t="str">
        <f aca="false"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 s="4" t="n">
        <f aca="false">IF(F46="W",1,IF(F46="T",0.5,0))</f>
        <v>0</v>
      </c>
      <c r="H46" s="4" t="n">
        <f aca="false">IF(F46="L",1,IF(F46="T",0.5,0))</f>
        <v>0</v>
      </c>
      <c r="I46" s="4" t="n">
        <f aca="false">IF(C46="",0,C46)</f>
        <v>0</v>
      </c>
    </row>
    <row r="47" customFormat="false" ht="15" hidden="false" customHeight="true" outlineLevel="0" collapsed="false">
      <c r="A47" s="0" t="n">
        <v>12</v>
      </c>
      <c r="B47" s="0" t="str">
        <f aca="false">Roster!B14</f>
        <v>Jake Andrews</v>
      </c>
      <c r="C47" s="3" t="n">
        <f aca="false">SUMPRODUCT(('Picks Detail'!Q256:Q271&lt;&gt;"")*('Picks Detail'!E256:E271&lt;&gt;"")*('Picks Detail'!Q256:Q271='Picks Detail'!E256:E271))</f>
        <v>0</v>
      </c>
      <c r="D47" s="0" t="n">
        <v>11</v>
      </c>
      <c r="E47" s="4" t="n">
        <f aca="false">IFERROR(INDEX(C$36:C$47,MATCH(11,A$36:A$47,0)),0)</f>
        <v>0</v>
      </c>
      <c r="F47" s="0" t="str">
        <f aca="false"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 s="4" t="n">
        <f aca="false">IF(F47="W",1,IF(F47="T",0.5,0))</f>
        <v>0</v>
      </c>
      <c r="H47" s="4" t="n">
        <f aca="false">IF(F47="L",1,IF(F47="T",0.5,0))</f>
        <v>0</v>
      </c>
      <c r="I47" s="4" t="n">
        <f aca="false">IF(C47="",0,C47)</f>
        <v>0</v>
      </c>
    </row>
    <row r="49" customFormat="false" ht="15" hidden="false" customHeight="true" outlineLevel="0" collapsed="false">
      <c r="A49" s="22" t="s">
        <v>104</v>
      </c>
    </row>
    <row r="50" customFormat="false" ht="15" hidden="false" customHeight="true" outlineLevel="0" collapsed="false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customFormat="false" ht="15" hidden="false" customHeight="true" outlineLevel="0" collapsed="false">
      <c r="A51" s="0" t="n">
        <v>1</v>
      </c>
      <c r="B51" s="0" t="str">
        <f aca="false">Roster!B3</f>
        <v>Evan Loeser</v>
      </c>
      <c r="C51" s="3" t="n">
        <f aca="false">SUMPRODUCT(('Picks Detail'!F275:F290&lt;&gt;"")*('Picks Detail'!E275:E290&lt;&gt;"")*('Picks Detail'!F275:F290='Picks Detail'!E275:E290))</f>
        <v>0</v>
      </c>
      <c r="D51" s="0" t="n">
        <v>4</v>
      </c>
      <c r="E51" s="4" t="n">
        <f aca="false">IFERROR(INDEX(C$51:C$62,MATCH(4,A$51:A$62,0)),0)</f>
        <v>0</v>
      </c>
      <c r="F51" s="0" t="str">
        <f aca="false"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 s="4" t="n">
        <f aca="false">IF(F51="W",1,IF(F51="T",0.5,0))</f>
        <v>0</v>
      </c>
      <c r="H51" s="4" t="n">
        <f aca="false">IF(F51="L",1,IF(F51="T",0.5,0))</f>
        <v>0</v>
      </c>
      <c r="I51" s="4" t="n">
        <f aca="false">IF(C51="",0,C51)</f>
        <v>0</v>
      </c>
    </row>
    <row r="52" customFormat="false" ht="15" hidden="false" customHeight="true" outlineLevel="0" collapsed="false">
      <c r="A52" s="0" t="n">
        <v>2</v>
      </c>
      <c r="B52" s="0" t="str">
        <f aca="false">Roster!B4</f>
        <v>Chris Simmons</v>
      </c>
      <c r="C52" s="3" t="n">
        <f aca="false">SUMPRODUCT(('Picks Detail'!G275:G290&lt;&gt;"")*('Picks Detail'!E275:E290&lt;&gt;"")*('Picks Detail'!G275:G290='Picks Detail'!E275:E290))</f>
        <v>0</v>
      </c>
      <c r="D52" s="0" t="n">
        <v>3</v>
      </c>
      <c r="E52" s="4" t="n">
        <f aca="false">IFERROR(INDEX(C$51:C$62,MATCH(3,A$51:A$62,0)),0)</f>
        <v>0</v>
      </c>
      <c r="F52" s="0" t="str">
        <f aca="false"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 s="4" t="n">
        <f aca="false">IF(F52="W",1,IF(F52="T",0.5,0))</f>
        <v>0</v>
      </c>
      <c r="H52" s="4" t="n">
        <f aca="false">IF(F52="L",1,IF(F52="T",0.5,0))</f>
        <v>0</v>
      </c>
      <c r="I52" s="4" t="n">
        <f aca="false">IF(C52="",0,C52)</f>
        <v>0</v>
      </c>
    </row>
    <row r="53" customFormat="false" ht="15" hidden="false" customHeight="true" outlineLevel="0" collapsed="false">
      <c r="A53" s="0" t="n">
        <v>3</v>
      </c>
      <c r="B53" s="0" t="str">
        <f aca="false">Roster!B5</f>
        <v>Jack Smith</v>
      </c>
      <c r="C53" s="3" t="n">
        <f aca="false">SUMPRODUCT(('Picks Detail'!H275:H290&lt;&gt;"")*('Picks Detail'!E275:E290&lt;&gt;"")*('Picks Detail'!H275:H290='Picks Detail'!E275:E290))</f>
        <v>0</v>
      </c>
      <c r="D53" s="0" t="n">
        <v>2</v>
      </c>
      <c r="E53" s="4" t="n">
        <f aca="false">IFERROR(INDEX(C$51:C$62,MATCH(2,A$51:A$62,0)),0)</f>
        <v>0</v>
      </c>
      <c r="F53" s="0" t="str">
        <f aca="false"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 s="4" t="n">
        <f aca="false">IF(F53="W",1,IF(F53="T",0.5,0))</f>
        <v>0</v>
      </c>
      <c r="H53" s="4" t="n">
        <f aca="false">IF(F53="L",1,IF(F53="T",0.5,0))</f>
        <v>0</v>
      </c>
      <c r="I53" s="4" t="n">
        <f aca="false">IF(C53="",0,C53)</f>
        <v>0</v>
      </c>
    </row>
    <row r="54" customFormat="false" ht="15" hidden="false" customHeight="true" outlineLevel="0" collapsed="false">
      <c r="A54" s="0" t="n">
        <v>4</v>
      </c>
      <c r="B54" s="0" t="str">
        <f aca="false">Roster!B6</f>
        <v>Luke Ussery</v>
      </c>
      <c r="C54" s="3" t="n">
        <f aca="false">SUMPRODUCT(('Picks Detail'!I275:I290&lt;&gt;"")*('Picks Detail'!E275:E290&lt;&gt;"")*('Picks Detail'!I275:I290='Picks Detail'!E275:E290))</f>
        <v>0</v>
      </c>
      <c r="D54" s="0" t="n">
        <v>1</v>
      </c>
      <c r="E54" s="4" t="n">
        <f aca="false">IFERROR(INDEX(C$51:C$62,MATCH(1,A$51:A$62,0)),0)</f>
        <v>0</v>
      </c>
      <c r="F54" s="0" t="str">
        <f aca="false"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 s="4" t="n">
        <f aca="false">IF(F54="W",1,IF(F54="T",0.5,0))</f>
        <v>0</v>
      </c>
      <c r="H54" s="4" t="n">
        <f aca="false">IF(F54="L",1,IF(F54="T",0.5,0))</f>
        <v>0</v>
      </c>
      <c r="I54" s="4" t="n">
        <f aca="false">IF(C54="",0,C54)</f>
        <v>0</v>
      </c>
    </row>
    <row r="55" customFormat="false" ht="15" hidden="false" customHeight="true" outlineLevel="0" collapsed="false">
      <c r="A55" s="0" t="n">
        <v>5</v>
      </c>
      <c r="B55" s="0" t="str">
        <f aca="false">Roster!B7</f>
        <v>Mikayla Simmons</v>
      </c>
      <c r="C55" s="3" t="n">
        <f aca="false">SUMPRODUCT(('Picks Detail'!J275:J290&lt;&gt;"")*('Picks Detail'!E275:E290&lt;&gt;"")*('Picks Detail'!J275:J290='Picks Detail'!E275:E290))</f>
        <v>0</v>
      </c>
      <c r="D55" s="0" t="n">
        <v>8</v>
      </c>
      <c r="E55" s="4" t="n">
        <f aca="false">IFERROR(INDEX(C$51:C$62,MATCH(8,A$51:A$62,0)),0)</f>
        <v>0</v>
      </c>
      <c r="F55" s="0" t="str">
        <f aca="false"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 s="4" t="n">
        <f aca="false">IF(F55="W",1,IF(F55="T",0.5,0))</f>
        <v>0</v>
      </c>
      <c r="H55" s="4" t="n">
        <f aca="false">IF(F55="L",1,IF(F55="T",0.5,0))</f>
        <v>0</v>
      </c>
      <c r="I55" s="4" t="n">
        <f aca="false">IF(C55="",0,C55)</f>
        <v>0</v>
      </c>
    </row>
    <row r="56" customFormat="false" ht="15" hidden="false" customHeight="true" outlineLevel="0" collapsed="false">
      <c r="A56" s="0" t="n">
        <v>6</v>
      </c>
      <c r="B56" s="0" t="str">
        <f aca="false">Roster!B8</f>
        <v>Alan Loeser</v>
      </c>
      <c r="C56" s="3" t="n">
        <f aca="false">SUMPRODUCT(('Picks Detail'!K275:K290&lt;&gt;"")*('Picks Detail'!E275:E290&lt;&gt;"")*('Picks Detail'!K275:K290='Picks Detail'!E275:E290))</f>
        <v>0</v>
      </c>
      <c r="D56" s="0" t="n">
        <v>7</v>
      </c>
      <c r="E56" s="4" t="n">
        <f aca="false">IFERROR(INDEX(C$51:C$62,MATCH(7,A$51:A$62,0)),0)</f>
        <v>0</v>
      </c>
      <c r="F56" s="0" t="str">
        <f aca="false"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 s="4" t="n">
        <f aca="false">IF(F56="W",1,IF(F56="T",0.5,0))</f>
        <v>0</v>
      </c>
      <c r="H56" s="4" t="n">
        <f aca="false">IF(F56="L",1,IF(F56="T",0.5,0))</f>
        <v>0</v>
      </c>
      <c r="I56" s="4" t="n">
        <f aca="false">IF(C56="",0,C56)</f>
        <v>0</v>
      </c>
    </row>
    <row r="57" customFormat="false" ht="15" hidden="false" customHeight="true" outlineLevel="0" collapsed="false">
      <c r="A57" s="0" t="n">
        <v>7</v>
      </c>
      <c r="B57" s="0" t="str">
        <f aca="false">Roster!B9</f>
        <v>Caleb Simmons</v>
      </c>
      <c r="C57" s="3" t="n">
        <f aca="false">SUMPRODUCT(('Picks Detail'!L275:L290&lt;&gt;"")*('Picks Detail'!E275:E290&lt;&gt;"")*('Picks Detail'!L275:L290='Picks Detail'!E275:E290))</f>
        <v>0</v>
      </c>
      <c r="D57" s="0" t="n">
        <v>6</v>
      </c>
      <c r="E57" s="4" t="n">
        <f aca="false">IFERROR(INDEX(C$51:C$62,MATCH(6,A$51:A$62,0)),0)</f>
        <v>0</v>
      </c>
      <c r="F57" s="0" t="str">
        <f aca="false"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 s="4" t="n">
        <f aca="false">IF(F57="W",1,IF(F57="T",0.5,0))</f>
        <v>0</v>
      </c>
      <c r="H57" s="4" t="n">
        <f aca="false">IF(F57="L",1,IF(F57="T",0.5,0))</f>
        <v>0</v>
      </c>
      <c r="I57" s="4" t="n">
        <f aca="false">IF(C57="",0,C57)</f>
        <v>0</v>
      </c>
    </row>
    <row r="58" customFormat="false" ht="15" hidden="false" customHeight="true" outlineLevel="0" collapsed="false">
      <c r="A58" s="0" t="n">
        <v>8</v>
      </c>
      <c r="B58" s="0" t="str">
        <f aca="false">Roster!B10</f>
        <v>Larry Loeser</v>
      </c>
      <c r="C58" s="3" t="n">
        <f aca="false">SUMPRODUCT(('Picks Detail'!M275:M290&lt;&gt;"")*('Picks Detail'!E275:E290&lt;&gt;"")*('Picks Detail'!M275:M290='Picks Detail'!E275:E290))</f>
        <v>0</v>
      </c>
      <c r="D58" s="0" t="n">
        <v>5</v>
      </c>
      <c r="E58" s="4" t="n">
        <f aca="false">IFERROR(INDEX(C$51:C$62,MATCH(5,A$51:A$62,0)),0)</f>
        <v>0</v>
      </c>
      <c r="F58" s="0" t="str">
        <f aca="false"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 s="4" t="n">
        <f aca="false">IF(F58="W",1,IF(F58="T",0.5,0))</f>
        <v>0</v>
      </c>
      <c r="H58" s="4" t="n">
        <f aca="false">IF(F58="L",1,IF(F58="T",0.5,0))</f>
        <v>0</v>
      </c>
      <c r="I58" s="4" t="n">
        <f aca="false">IF(C58="",0,C58)</f>
        <v>0</v>
      </c>
    </row>
    <row r="59" customFormat="false" ht="15" hidden="false" customHeight="true" outlineLevel="0" collapsed="false">
      <c r="A59" s="0" t="n">
        <v>9</v>
      </c>
      <c r="B59" s="0" t="str">
        <f aca="false">Roster!B11</f>
        <v>Daddy Michael</v>
      </c>
      <c r="C59" s="3" t="n">
        <f aca="false">SUMPRODUCT(('Picks Detail'!N275:N290&lt;&gt;"")*('Picks Detail'!E275:E290&lt;&gt;"")*('Picks Detail'!N275:N290='Picks Detail'!E275:E290))</f>
        <v>0</v>
      </c>
      <c r="D59" s="0" t="n">
        <v>12</v>
      </c>
      <c r="E59" s="4" t="n">
        <f aca="false">IFERROR(INDEX(C$51:C$62,MATCH(12,A$51:A$62,0)),0)</f>
        <v>0</v>
      </c>
      <c r="F59" s="0" t="str">
        <f aca="false"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 s="4" t="n">
        <f aca="false">IF(F59="W",1,IF(F59="T",0.5,0))</f>
        <v>0</v>
      </c>
      <c r="H59" s="4" t="n">
        <f aca="false">IF(F59="L",1,IF(F59="T",0.5,0))</f>
        <v>0</v>
      </c>
      <c r="I59" s="4" t="n">
        <f aca="false">IF(C59="",0,C59)</f>
        <v>0</v>
      </c>
    </row>
    <row r="60" customFormat="false" ht="15" hidden="false" customHeight="true" outlineLevel="0" collapsed="false">
      <c r="A60" s="0" t="n">
        <v>10</v>
      </c>
      <c r="B60" s="0" t="str">
        <f aca="false">Roster!B12</f>
        <v>Zach Zarra</v>
      </c>
      <c r="C60" s="3" t="n">
        <f aca="false">SUMPRODUCT(('Picks Detail'!O275:O290&lt;&gt;"")*('Picks Detail'!E275:E290&lt;&gt;"")*('Picks Detail'!O275:O290='Picks Detail'!E275:E290))</f>
        <v>0</v>
      </c>
      <c r="D60" s="0" t="n">
        <v>11</v>
      </c>
      <c r="E60" s="4" t="n">
        <f aca="false">IFERROR(INDEX(C$51:C$62,MATCH(11,A$51:A$62,0)),0)</f>
        <v>0</v>
      </c>
      <c r="F60" s="0" t="str">
        <f aca="false"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 s="4" t="n">
        <f aca="false">IF(F60="W",1,IF(F60="T",0.5,0))</f>
        <v>0</v>
      </c>
      <c r="H60" s="4" t="n">
        <f aca="false">IF(F60="L",1,IF(F60="T",0.5,0))</f>
        <v>0</v>
      </c>
      <c r="I60" s="4" t="n">
        <f aca="false">IF(C60="",0,C60)</f>
        <v>0</v>
      </c>
    </row>
    <row r="61" customFormat="false" ht="15" hidden="false" customHeight="true" outlineLevel="0" collapsed="false">
      <c r="A61" s="0" t="n">
        <v>11</v>
      </c>
      <c r="B61" s="0" t="str">
        <f aca="false">Roster!B13</f>
        <v>Jeffrey Loeser</v>
      </c>
      <c r="C61" s="3" t="n">
        <f aca="false">SUMPRODUCT(('Picks Detail'!P275:P290&lt;&gt;"")*('Picks Detail'!E275:E290&lt;&gt;"")*('Picks Detail'!P275:P290='Picks Detail'!E275:E290))</f>
        <v>0</v>
      </c>
      <c r="D61" s="0" t="n">
        <v>10</v>
      </c>
      <c r="E61" s="4" t="n">
        <f aca="false">IFERROR(INDEX(C$51:C$62,MATCH(10,A$51:A$62,0)),0)</f>
        <v>0</v>
      </c>
      <c r="F61" s="0" t="str">
        <f aca="false"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 s="4" t="n">
        <f aca="false">IF(F61="W",1,IF(F61="T",0.5,0))</f>
        <v>0</v>
      </c>
      <c r="H61" s="4" t="n">
        <f aca="false">IF(F61="L",1,IF(F61="T",0.5,0))</f>
        <v>0</v>
      </c>
      <c r="I61" s="4" t="n">
        <f aca="false">IF(C61="",0,C61)</f>
        <v>0</v>
      </c>
    </row>
    <row r="62" customFormat="false" ht="15" hidden="false" customHeight="true" outlineLevel="0" collapsed="false">
      <c r="A62" s="0" t="n">
        <v>12</v>
      </c>
      <c r="B62" s="0" t="str">
        <f aca="false">Roster!B14</f>
        <v>Jake Andrews</v>
      </c>
      <c r="C62" s="3" t="n">
        <f aca="false">SUMPRODUCT(('Picks Detail'!Q275:Q290&lt;&gt;"")*('Picks Detail'!E275:E290&lt;&gt;"")*('Picks Detail'!Q275:Q290='Picks Detail'!E275:E290))</f>
        <v>0</v>
      </c>
      <c r="D62" s="0" t="n">
        <v>9</v>
      </c>
      <c r="E62" s="4" t="n">
        <f aca="false">IFERROR(INDEX(C$51:C$62,MATCH(9,A$51:A$62,0)),0)</f>
        <v>0</v>
      </c>
      <c r="F62" s="0" t="str">
        <f aca="false"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 s="4" t="n">
        <f aca="false">IF(F62="W",1,IF(F62="T",0.5,0))</f>
        <v>0</v>
      </c>
      <c r="H62" s="4" t="n">
        <f aca="false">IF(F62="L",1,IF(F62="T",0.5,0))</f>
        <v>0</v>
      </c>
      <c r="I62" s="4" t="n">
        <f aca="false">IF(C62="",0,C62)</f>
        <v>0</v>
      </c>
    </row>
    <row r="64" customFormat="false" ht="15" hidden="false" customHeight="true" outlineLevel="0" collapsed="false">
      <c r="A64" s="22" t="s">
        <v>105</v>
      </c>
    </row>
    <row r="65" customFormat="false" ht="15" hidden="false" customHeight="true" outlineLevel="0" collapsed="false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customFormat="false" ht="15" hidden="false" customHeight="true" outlineLevel="0" collapsed="false">
      <c r="A66" s="0" t="n">
        <v>1</v>
      </c>
      <c r="B66" s="0" t="str">
        <f aca="false">Roster!B3</f>
        <v>Evan Loeser</v>
      </c>
      <c r="C66" s="3" t="n">
        <f aca="false">SUMPRODUCT(('Picks Detail'!F294:F309&lt;&gt;"")*('Picks Detail'!E294:E309&lt;&gt;"")*('Picks Detail'!F294:F309='Picks Detail'!E294:E309))</f>
        <v>0</v>
      </c>
      <c r="D66" s="0" t="n">
        <v>3</v>
      </c>
      <c r="E66" s="4" t="n">
        <f aca="false">IFERROR(INDEX(C$66:C$77,MATCH(3,A$66:A$77,0)),0)</f>
        <v>0</v>
      </c>
      <c r="F66" s="0" t="str">
        <f aca="false"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 s="4" t="n">
        <f aca="false">IF(F66="W",1,IF(F66="T",0.5,0))</f>
        <v>0</v>
      </c>
      <c r="H66" s="4" t="n">
        <f aca="false">IF(F66="L",1,IF(F66="T",0.5,0))</f>
        <v>0</v>
      </c>
      <c r="I66" s="4" t="n">
        <f aca="false">IF(C66="",0,C66)</f>
        <v>0</v>
      </c>
    </row>
    <row r="67" customFormat="false" ht="15" hidden="false" customHeight="true" outlineLevel="0" collapsed="false">
      <c r="A67" s="0" t="n">
        <v>2</v>
      </c>
      <c r="B67" s="0" t="str">
        <f aca="false">Roster!B4</f>
        <v>Chris Simmons</v>
      </c>
      <c r="C67" s="3" t="n">
        <f aca="false">SUMPRODUCT(('Picks Detail'!G294:G309&lt;&gt;"")*('Picks Detail'!E294:E309&lt;&gt;"")*('Picks Detail'!G294:G309='Picks Detail'!E294:E309))</f>
        <v>0</v>
      </c>
      <c r="D67" s="0" t="n">
        <v>4</v>
      </c>
      <c r="E67" s="4" t="n">
        <f aca="false">IFERROR(INDEX(C$66:C$77,MATCH(4,A$66:A$77,0)),0)</f>
        <v>0</v>
      </c>
      <c r="F67" s="0" t="str">
        <f aca="false"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 s="4" t="n">
        <f aca="false">IF(F67="W",1,IF(F67="T",0.5,0))</f>
        <v>0</v>
      </c>
      <c r="H67" s="4" t="n">
        <f aca="false">IF(F67="L",1,IF(F67="T",0.5,0))</f>
        <v>0</v>
      </c>
      <c r="I67" s="4" t="n">
        <f aca="false">IF(C67="",0,C67)</f>
        <v>0</v>
      </c>
    </row>
    <row r="68" customFormat="false" ht="15" hidden="false" customHeight="true" outlineLevel="0" collapsed="false">
      <c r="A68" s="0" t="n">
        <v>3</v>
      </c>
      <c r="B68" s="0" t="str">
        <f aca="false">Roster!B5</f>
        <v>Jack Smith</v>
      </c>
      <c r="C68" s="3" t="n">
        <f aca="false">SUMPRODUCT(('Picks Detail'!H294:H309&lt;&gt;"")*('Picks Detail'!E294:E309&lt;&gt;"")*('Picks Detail'!H294:H309='Picks Detail'!E294:E309))</f>
        <v>0</v>
      </c>
      <c r="D68" s="0" t="n">
        <v>1</v>
      </c>
      <c r="E68" s="4" t="n">
        <f aca="false">IFERROR(INDEX(C$66:C$77,MATCH(1,A$66:A$77,0)),0)</f>
        <v>0</v>
      </c>
      <c r="F68" s="0" t="str">
        <f aca="false"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 s="4" t="n">
        <f aca="false">IF(F68="W",1,IF(F68="T",0.5,0))</f>
        <v>0</v>
      </c>
      <c r="H68" s="4" t="n">
        <f aca="false">IF(F68="L",1,IF(F68="T",0.5,0))</f>
        <v>0</v>
      </c>
      <c r="I68" s="4" t="n">
        <f aca="false">IF(C68="",0,C68)</f>
        <v>0</v>
      </c>
    </row>
    <row r="69" customFormat="false" ht="15" hidden="false" customHeight="true" outlineLevel="0" collapsed="false">
      <c r="A69" s="0" t="n">
        <v>4</v>
      </c>
      <c r="B69" s="0" t="str">
        <f aca="false">Roster!B6</f>
        <v>Luke Ussery</v>
      </c>
      <c r="C69" s="3" t="n">
        <f aca="false">SUMPRODUCT(('Picks Detail'!I294:I309&lt;&gt;"")*('Picks Detail'!E294:E309&lt;&gt;"")*('Picks Detail'!I294:I309='Picks Detail'!E294:E309))</f>
        <v>0</v>
      </c>
      <c r="D69" s="0" t="n">
        <v>2</v>
      </c>
      <c r="E69" s="4" t="n">
        <f aca="false">IFERROR(INDEX(C$66:C$77,MATCH(2,A$66:A$77,0)),0)</f>
        <v>0</v>
      </c>
      <c r="F69" s="0" t="str">
        <f aca="false"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 s="4" t="n">
        <f aca="false">IF(F69="W",1,IF(F69="T",0.5,0))</f>
        <v>0</v>
      </c>
      <c r="H69" s="4" t="n">
        <f aca="false">IF(F69="L",1,IF(F69="T",0.5,0))</f>
        <v>0</v>
      </c>
      <c r="I69" s="4" t="n">
        <f aca="false">IF(C69="",0,C69)</f>
        <v>0</v>
      </c>
    </row>
    <row r="70" customFormat="false" ht="15" hidden="false" customHeight="true" outlineLevel="0" collapsed="false">
      <c r="A70" s="0" t="n">
        <v>5</v>
      </c>
      <c r="B70" s="0" t="str">
        <f aca="false">Roster!B7</f>
        <v>Mikayla Simmons</v>
      </c>
      <c r="C70" s="3" t="n">
        <f aca="false">SUMPRODUCT(('Picks Detail'!J294:J309&lt;&gt;"")*('Picks Detail'!E294:E309&lt;&gt;"")*('Picks Detail'!J294:J309='Picks Detail'!E294:E309))</f>
        <v>0</v>
      </c>
      <c r="D70" s="0" t="n">
        <v>7</v>
      </c>
      <c r="E70" s="4" t="n">
        <f aca="false">IFERROR(INDEX(C$66:C$77,MATCH(7,A$66:A$77,0)),0)</f>
        <v>0</v>
      </c>
      <c r="F70" s="0" t="str">
        <f aca="false"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 s="4" t="n">
        <f aca="false">IF(F70="W",1,IF(F70="T",0.5,0))</f>
        <v>0</v>
      </c>
      <c r="H70" s="4" t="n">
        <f aca="false">IF(F70="L",1,IF(F70="T",0.5,0))</f>
        <v>0</v>
      </c>
      <c r="I70" s="4" t="n">
        <f aca="false">IF(C70="",0,C70)</f>
        <v>0</v>
      </c>
    </row>
    <row r="71" customFormat="false" ht="15" hidden="false" customHeight="true" outlineLevel="0" collapsed="false">
      <c r="A71" s="0" t="n">
        <v>6</v>
      </c>
      <c r="B71" s="0" t="str">
        <f aca="false">Roster!B8</f>
        <v>Alan Loeser</v>
      </c>
      <c r="C71" s="3" t="n">
        <f aca="false">SUMPRODUCT(('Picks Detail'!K294:K309&lt;&gt;"")*('Picks Detail'!E294:E309&lt;&gt;"")*('Picks Detail'!K294:K309='Picks Detail'!E294:E309))</f>
        <v>0</v>
      </c>
      <c r="D71" s="0" t="n">
        <v>8</v>
      </c>
      <c r="E71" s="4" t="n">
        <f aca="false">IFERROR(INDEX(C$66:C$77,MATCH(8,A$66:A$77,0)),0)</f>
        <v>0</v>
      </c>
      <c r="F71" s="0" t="str">
        <f aca="false"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 s="4" t="n">
        <f aca="false">IF(F71="W",1,IF(F71="T",0.5,0))</f>
        <v>0</v>
      </c>
      <c r="H71" s="4" t="n">
        <f aca="false">IF(F71="L",1,IF(F71="T",0.5,0))</f>
        <v>0</v>
      </c>
      <c r="I71" s="4" t="n">
        <f aca="false">IF(C71="",0,C71)</f>
        <v>0</v>
      </c>
    </row>
    <row r="72" customFormat="false" ht="15" hidden="false" customHeight="true" outlineLevel="0" collapsed="false">
      <c r="A72" s="0" t="n">
        <v>7</v>
      </c>
      <c r="B72" s="0" t="str">
        <f aca="false">Roster!B9</f>
        <v>Caleb Simmons</v>
      </c>
      <c r="C72" s="3" t="n">
        <f aca="false">SUMPRODUCT(('Picks Detail'!L294:L309&lt;&gt;"")*('Picks Detail'!E294:E309&lt;&gt;"")*('Picks Detail'!L294:L309='Picks Detail'!E294:E309))</f>
        <v>0</v>
      </c>
      <c r="D72" s="0" t="n">
        <v>5</v>
      </c>
      <c r="E72" s="4" t="n">
        <f aca="false">IFERROR(INDEX(C$66:C$77,MATCH(5,A$66:A$77,0)),0)</f>
        <v>0</v>
      </c>
      <c r="F72" s="0" t="str">
        <f aca="false"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 s="4" t="n">
        <f aca="false">IF(F72="W",1,IF(F72="T",0.5,0))</f>
        <v>0</v>
      </c>
      <c r="H72" s="4" t="n">
        <f aca="false">IF(F72="L",1,IF(F72="T",0.5,0))</f>
        <v>0</v>
      </c>
      <c r="I72" s="4" t="n">
        <f aca="false">IF(C72="",0,C72)</f>
        <v>0</v>
      </c>
    </row>
    <row r="73" customFormat="false" ht="15" hidden="false" customHeight="true" outlineLevel="0" collapsed="false">
      <c r="A73" s="0" t="n">
        <v>8</v>
      </c>
      <c r="B73" s="0" t="str">
        <f aca="false">Roster!B10</f>
        <v>Larry Loeser</v>
      </c>
      <c r="C73" s="3" t="n">
        <f aca="false">SUMPRODUCT(('Picks Detail'!M294:M309&lt;&gt;"")*('Picks Detail'!E294:E309&lt;&gt;"")*('Picks Detail'!M294:M309='Picks Detail'!E294:E309))</f>
        <v>0</v>
      </c>
      <c r="D73" s="0" t="n">
        <v>6</v>
      </c>
      <c r="E73" s="4" t="n">
        <f aca="false">IFERROR(INDEX(C$66:C$77,MATCH(6,A$66:A$77,0)),0)</f>
        <v>0</v>
      </c>
      <c r="F73" s="0" t="str">
        <f aca="false"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 s="4" t="n">
        <f aca="false">IF(F73="W",1,IF(F73="T",0.5,0))</f>
        <v>0</v>
      </c>
      <c r="H73" s="4" t="n">
        <f aca="false">IF(F73="L",1,IF(F73="T",0.5,0))</f>
        <v>0</v>
      </c>
      <c r="I73" s="4" t="n">
        <f aca="false">IF(C73="",0,C73)</f>
        <v>0</v>
      </c>
    </row>
    <row r="74" customFormat="false" ht="15" hidden="false" customHeight="true" outlineLevel="0" collapsed="false">
      <c r="A74" s="0" t="n">
        <v>9</v>
      </c>
      <c r="B74" s="0" t="str">
        <f aca="false">Roster!B11</f>
        <v>Daddy Michael</v>
      </c>
      <c r="C74" s="3" t="n">
        <f aca="false">SUMPRODUCT(('Picks Detail'!N294:N309&lt;&gt;"")*('Picks Detail'!E294:E309&lt;&gt;"")*('Picks Detail'!N294:N309='Picks Detail'!E294:E309))</f>
        <v>0</v>
      </c>
      <c r="D74" s="0" t="n">
        <v>11</v>
      </c>
      <c r="E74" s="4" t="n">
        <f aca="false">IFERROR(INDEX(C$66:C$77,MATCH(11,A$66:A$77,0)),0)</f>
        <v>0</v>
      </c>
      <c r="F74" s="0" t="str">
        <f aca="false"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 s="4" t="n">
        <f aca="false">IF(F74="W",1,IF(F74="T",0.5,0))</f>
        <v>0</v>
      </c>
      <c r="H74" s="4" t="n">
        <f aca="false">IF(F74="L",1,IF(F74="T",0.5,0))</f>
        <v>0</v>
      </c>
      <c r="I74" s="4" t="n">
        <f aca="false">IF(C74="",0,C74)</f>
        <v>0</v>
      </c>
    </row>
    <row r="75" customFormat="false" ht="15" hidden="false" customHeight="true" outlineLevel="0" collapsed="false">
      <c r="A75" s="0" t="n">
        <v>10</v>
      </c>
      <c r="B75" s="0" t="str">
        <f aca="false">Roster!B12</f>
        <v>Zach Zarra</v>
      </c>
      <c r="C75" s="3" t="n">
        <f aca="false">SUMPRODUCT(('Picks Detail'!O294:O309&lt;&gt;"")*('Picks Detail'!E294:E309&lt;&gt;"")*('Picks Detail'!O294:O309='Picks Detail'!E294:E309))</f>
        <v>0</v>
      </c>
      <c r="D75" s="0" t="n">
        <v>12</v>
      </c>
      <c r="E75" s="4" t="n">
        <f aca="false">IFERROR(INDEX(C$66:C$77,MATCH(12,A$66:A$77,0)),0)</f>
        <v>0</v>
      </c>
      <c r="F75" s="0" t="str">
        <f aca="false"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 s="4" t="n">
        <f aca="false">IF(F75="W",1,IF(F75="T",0.5,0))</f>
        <v>0</v>
      </c>
      <c r="H75" s="4" t="n">
        <f aca="false">IF(F75="L",1,IF(F75="T",0.5,0))</f>
        <v>0</v>
      </c>
      <c r="I75" s="4" t="n">
        <f aca="false">IF(C75="",0,C75)</f>
        <v>0</v>
      </c>
    </row>
    <row r="76" customFormat="false" ht="15" hidden="false" customHeight="true" outlineLevel="0" collapsed="false">
      <c r="A76" s="0" t="n">
        <v>11</v>
      </c>
      <c r="B76" s="0" t="str">
        <f aca="false">Roster!B13</f>
        <v>Jeffrey Loeser</v>
      </c>
      <c r="C76" s="3" t="n">
        <f aca="false">SUMPRODUCT(('Picks Detail'!P294:P309&lt;&gt;"")*('Picks Detail'!E294:E309&lt;&gt;"")*('Picks Detail'!P294:P309='Picks Detail'!E294:E309))</f>
        <v>0</v>
      </c>
      <c r="D76" s="0" t="n">
        <v>9</v>
      </c>
      <c r="E76" s="4" t="n">
        <f aca="false">IFERROR(INDEX(C$66:C$77,MATCH(9,A$66:A$77,0)),0)</f>
        <v>0</v>
      </c>
      <c r="F76" s="0" t="str">
        <f aca="false"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 s="4" t="n">
        <f aca="false">IF(F76="W",1,IF(F76="T",0.5,0))</f>
        <v>0</v>
      </c>
      <c r="H76" s="4" t="n">
        <f aca="false">IF(F76="L",1,IF(F76="T",0.5,0))</f>
        <v>0</v>
      </c>
      <c r="I76" s="4" t="n">
        <f aca="false">IF(C76="",0,C76)</f>
        <v>0</v>
      </c>
    </row>
    <row r="77" customFormat="false" ht="15" hidden="false" customHeight="true" outlineLevel="0" collapsed="false">
      <c r="A77" s="0" t="n">
        <v>12</v>
      </c>
      <c r="B77" s="0" t="str">
        <f aca="false">Roster!B14</f>
        <v>Jake Andrews</v>
      </c>
      <c r="C77" s="3" t="n">
        <f aca="false">SUMPRODUCT(('Picks Detail'!Q294:Q309&lt;&gt;"")*('Picks Detail'!E294:E309&lt;&gt;"")*('Picks Detail'!Q294:Q309='Picks Detail'!E294:E309))</f>
        <v>0</v>
      </c>
      <c r="D77" s="0" t="n">
        <v>10</v>
      </c>
      <c r="E77" s="4" t="n">
        <f aca="false">IFERROR(INDEX(C$66:C$77,MATCH(10,A$66:A$77,0)),0)</f>
        <v>0</v>
      </c>
      <c r="F77" s="0" t="str">
        <f aca="false"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 s="4" t="n">
        <f aca="false">IF(F77="W",1,IF(F77="T",0.5,0))</f>
        <v>0</v>
      </c>
      <c r="H77" s="4" t="n">
        <f aca="false">IF(F77="L",1,IF(F77="T",0.5,0))</f>
        <v>0</v>
      </c>
      <c r="I77" s="4" t="n">
        <f aca="false">IF(C77="",0,C77)</f>
        <v>0</v>
      </c>
    </row>
    <row r="79" customFormat="false" ht="15" hidden="false" customHeight="true" outlineLevel="0" collapsed="false">
      <c r="A79" s="22" t="s">
        <v>106</v>
      </c>
    </row>
    <row r="80" customFormat="false" ht="15" hidden="false" customHeight="true" outlineLevel="0" collapsed="false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customFormat="false" ht="15" hidden="false" customHeight="true" outlineLevel="0" collapsed="false">
      <c r="A81" s="0" t="n">
        <v>1</v>
      </c>
      <c r="B81" s="0" t="str">
        <f aca="false">Roster!B3</f>
        <v>Evan Loeser</v>
      </c>
      <c r="C81" s="3" t="n">
        <f aca="false">SUMPRODUCT(('Picks Detail'!F313:F328&lt;&gt;"")*('Picks Detail'!E313:E328&lt;&gt;"")*('Picks Detail'!F313:F328='Picks Detail'!E313:E328))</f>
        <v>0</v>
      </c>
      <c r="D81" s="0" t="n">
        <v>2</v>
      </c>
      <c r="E81" s="4" t="n">
        <f aca="false">IFERROR(INDEX(C$81:C$92,MATCH(2,A$81:A$92,0)),0)</f>
        <v>0</v>
      </c>
      <c r="F81" s="0" t="str">
        <f aca="false"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 s="4" t="n">
        <f aca="false">IF(F81="W",1,IF(F81="T",0.5,0))</f>
        <v>0</v>
      </c>
      <c r="H81" s="4" t="n">
        <f aca="false">IF(F81="L",1,IF(F81="T",0.5,0))</f>
        <v>0</v>
      </c>
      <c r="I81" s="4" t="n">
        <f aca="false">IF(C81="",0,C81)</f>
        <v>0</v>
      </c>
    </row>
    <row r="82" customFormat="false" ht="15" hidden="false" customHeight="true" outlineLevel="0" collapsed="false">
      <c r="A82" s="0" t="n">
        <v>2</v>
      </c>
      <c r="B82" s="0" t="str">
        <f aca="false">Roster!B4</f>
        <v>Chris Simmons</v>
      </c>
      <c r="C82" s="3" t="n">
        <f aca="false">SUMPRODUCT(('Picks Detail'!G313:G328&lt;&gt;"")*('Picks Detail'!E313:E328&lt;&gt;"")*('Picks Detail'!G313:G328='Picks Detail'!E313:E328))</f>
        <v>0</v>
      </c>
      <c r="D82" s="0" t="n">
        <v>1</v>
      </c>
      <c r="E82" s="4" t="n">
        <f aca="false">IFERROR(INDEX(C$81:C$92,MATCH(1,A$81:A$92,0)),0)</f>
        <v>0</v>
      </c>
      <c r="F82" s="0" t="str">
        <f aca="false"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 s="4" t="n">
        <f aca="false">IF(F82="W",1,IF(F82="T",0.5,0))</f>
        <v>0</v>
      </c>
      <c r="H82" s="4" t="n">
        <f aca="false">IF(F82="L",1,IF(F82="T",0.5,0))</f>
        <v>0</v>
      </c>
      <c r="I82" s="4" t="n">
        <f aca="false">IF(C82="",0,C82)</f>
        <v>0</v>
      </c>
    </row>
    <row r="83" customFormat="false" ht="15" hidden="false" customHeight="true" outlineLevel="0" collapsed="false">
      <c r="A83" s="0" t="n">
        <v>3</v>
      </c>
      <c r="B83" s="0" t="str">
        <f aca="false">Roster!B5</f>
        <v>Jack Smith</v>
      </c>
      <c r="C83" s="3" t="n">
        <f aca="false">SUMPRODUCT(('Picks Detail'!H313:H328&lt;&gt;"")*('Picks Detail'!E313:E328&lt;&gt;"")*('Picks Detail'!H313:H328='Picks Detail'!E313:E328))</f>
        <v>0</v>
      </c>
      <c r="D83" s="0" t="n">
        <v>4</v>
      </c>
      <c r="E83" s="4" t="n">
        <f aca="false">IFERROR(INDEX(C$81:C$92,MATCH(4,A$81:A$92,0)),0)</f>
        <v>0</v>
      </c>
      <c r="F83" s="0" t="str">
        <f aca="false"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 s="4" t="n">
        <f aca="false">IF(F83="W",1,IF(F83="T",0.5,0))</f>
        <v>0</v>
      </c>
      <c r="H83" s="4" t="n">
        <f aca="false">IF(F83="L",1,IF(F83="T",0.5,0))</f>
        <v>0</v>
      </c>
      <c r="I83" s="4" t="n">
        <f aca="false">IF(C83="",0,C83)</f>
        <v>0</v>
      </c>
    </row>
    <row r="84" customFormat="false" ht="15" hidden="false" customHeight="true" outlineLevel="0" collapsed="false">
      <c r="A84" s="0" t="n">
        <v>4</v>
      </c>
      <c r="B84" s="0" t="str">
        <f aca="false">Roster!B6</f>
        <v>Luke Ussery</v>
      </c>
      <c r="C84" s="3" t="n">
        <f aca="false">SUMPRODUCT(('Picks Detail'!I313:I328&lt;&gt;"")*('Picks Detail'!E313:E328&lt;&gt;"")*('Picks Detail'!I313:I328='Picks Detail'!E313:E328))</f>
        <v>0</v>
      </c>
      <c r="D84" s="0" t="n">
        <v>3</v>
      </c>
      <c r="E84" s="4" t="n">
        <f aca="false">IFERROR(INDEX(C$81:C$92,MATCH(3,A$81:A$92,0)),0)</f>
        <v>0</v>
      </c>
      <c r="F84" s="0" t="str">
        <f aca="false"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 s="4" t="n">
        <f aca="false">IF(F84="W",1,IF(F84="T",0.5,0))</f>
        <v>0</v>
      </c>
      <c r="H84" s="4" t="n">
        <f aca="false">IF(F84="L",1,IF(F84="T",0.5,0))</f>
        <v>0</v>
      </c>
      <c r="I84" s="4" t="n">
        <f aca="false">IF(C84="",0,C84)</f>
        <v>0</v>
      </c>
    </row>
    <row r="85" customFormat="false" ht="15" hidden="false" customHeight="true" outlineLevel="0" collapsed="false">
      <c r="A85" s="0" t="n">
        <v>5</v>
      </c>
      <c r="B85" s="0" t="str">
        <f aca="false">Roster!B7</f>
        <v>Mikayla Simmons</v>
      </c>
      <c r="C85" s="3" t="n">
        <f aca="false">SUMPRODUCT(('Picks Detail'!J313:J328&lt;&gt;"")*('Picks Detail'!E313:E328&lt;&gt;"")*('Picks Detail'!J313:J328='Picks Detail'!E313:E328))</f>
        <v>0</v>
      </c>
      <c r="D85" s="0" t="n">
        <v>6</v>
      </c>
      <c r="E85" s="4" t="n">
        <f aca="false">IFERROR(INDEX(C$81:C$92,MATCH(6,A$81:A$92,0)),0)</f>
        <v>0</v>
      </c>
      <c r="F85" s="0" t="str">
        <f aca="false"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 s="4" t="n">
        <f aca="false">IF(F85="W",1,IF(F85="T",0.5,0))</f>
        <v>0</v>
      </c>
      <c r="H85" s="4" t="n">
        <f aca="false">IF(F85="L",1,IF(F85="T",0.5,0))</f>
        <v>0</v>
      </c>
      <c r="I85" s="4" t="n">
        <f aca="false">IF(C85="",0,C85)</f>
        <v>0</v>
      </c>
    </row>
    <row r="86" customFormat="false" ht="15" hidden="false" customHeight="true" outlineLevel="0" collapsed="false">
      <c r="A86" s="0" t="n">
        <v>6</v>
      </c>
      <c r="B86" s="0" t="str">
        <f aca="false">Roster!B8</f>
        <v>Alan Loeser</v>
      </c>
      <c r="C86" s="3" t="n">
        <f aca="false">SUMPRODUCT(('Picks Detail'!K313:K328&lt;&gt;"")*('Picks Detail'!E313:E328&lt;&gt;"")*('Picks Detail'!K313:K328='Picks Detail'!E313:E328))</f>
        <v>0</v>
      </c>
      <c r="D86" s="0" t="n">
        <v>5</v>
      </c>
      <c r="E86" s="4" t="n">
        <f aca="false">IFERROR(INDEX(C$81:C$92,MATCH(5,A$81:A$92,0)),0)</f>
        <v>0</v>
      </c>
      <c r="F86" s="0" t="str">
        <f aca="false"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 s="4" t="n">
        <f aca="false">IF(F86="W",1,IF(F86="T",0.5,0))</f>
        <v>0</v>
      </c>
      <c r="H86" s="4" t="n">
        <f aca="false">IF(F86="L",1,IF(F86="T",0.5,0))</f>
        <v>0</v>
      </c>
      <c r="I86" s="4" t="n">
        <f aca="false">IF(C86="",0,C86)</f>
        <v>0</v>
      </c>
    </row>
    <row r="87" customFormat="false" ht="15" hidden="false" customHeight="true" outlineLevel="0" collapsed="false">
      <c r="A87" s="0" t="n">
        <v>7</v>
      </c>
      <c r="B87" s="0" t="str">
        <f aca="false">Roster!B9</f>
        <v>Caleb Simmons</v>
      </c>
      <c r="C87" s="3" t="n">
        <f aca="false">SUMPRODUCT(('Picks Detail'!L313:L328&lt;&gt;"")*('Picks Detail'!E313:E328&lt;&gt;"")*('Picks Detail'!L313:L328='Picks Detail'!E313:E328))</f>
        <v>0</v>
      </c>
      <c r="D87" s="0" t="n">
        <v>8</v>
      </c>
      <c r="E87" s="4" t="n">
        <f aca="false">IFERROR(INDEX(C$81:C$92,MATCH(8,A$81:A$92,0)),0)</f>
        <v>0</v>
      </c>
      <c r="F87" s="0" t="str">
        <f aca="false"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 s="4" t="n">
        <f aca="false">IF(F87="W",1,IF(F87="T",0.5,0))</f>
        <v>0</v>
      </c>
      <c r="H87" s="4" t="n">
        <f aca="false">IF(F87="L",1,IF(F87="T",0.5,0))</f>
        <v>0</v>
      </c>
      <c r="I87" s="4" t="n">
        <f aca="false">IF(C87="",0,C87)</f>
        <v>0</v>
      </c>
    </row>
    <row r="88" customFormat="false" ht="15" hidden="false" customHeight="true" outlineLevel="0" collapsed="false">
      <c r="A88" s="0" t="n">
        <v>8</v>
      </c>
      <c r="B88" s="0" t="str">
        <f aca="false">Roster!B10</f>
        <v>Larry Loeser</v>
      </c>
      <c r="C88" s="3" t="n">
        <f aca="false">SUMPRODUCT(('Picks Detail'!M313:M328&lt;&gt;"")*('Picks Detail'!E313:E328&lt;&gt;"")*('Picks Detail'!M313:M328='Picks Detail'!E313:E328))</f>
        <v>0</v>
      </c>
      <c r="D88" s="0" t="n">
        <v>7</v>
      </c>
      <c r="E88" s="4" t="n">
        <f aca="false">IFERROR(INDEX(C$81:C$92,MATCH(7,A$81:A$92,0)),0)</f>
        <v>0</v>
      </c>
      <c r="F88" s="0" t="str">
        <f aca="false"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 s="4" t="n">
        <f aca="false">IF(F88="W",1,IF(F88="T",0.5,0))</f>
        <v>0</v>
      </c>
      <c r="H88" s="4" t="n">
        <f aca="false">IF(F88="L",1,IF(F88="T",0.5,0))</f>
        <v>0</v>
      </c>
      <c r="I88" s="4" t="n">
        <f aca="false">IF(C88="",0,C88)</f>
        <v>0</v>
      </c>
    </row>
    <row r="89" customFormat="false" ht="15" hidden="false" customHeight="true" outlineLevel="0" collapsed="false">
      <c r="A89" s="0" t="n">
        <v>9</v>
      </c>
      <c r="B89" s="0" t="str">
        <f aca="false">Roster!B11</f>
        <v>Daddy Michael</v>
      </c>
      <c r="C89" s="3" t="n">
        <f aca="false">SUMPRODUCT(('Picks Detail'!N313:N328&lt;&gt;"")*('Picks Detail'!E313:E328&lt;&gt;"")*('Picks Detail'!N313:N328='Picks Detail'!E313:E328))</f>
        <v>0</v>
      </c>
      <c r="D89" s="0" t="n">
        <v>10</v>
      </c>
      <c r="E89" s="4" t="n">
        <f aca="false">IFERROR(INDEX(C$81:C$92,MATCH(10,A$81:A$92,0)),0)</f>
        <v>0</v>
      </c>
      <c r="F89" s="0" t="str">
        <f aca="false"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 s="4" t="n">
        <f aca="false">IF(F89="W",1,IF(F89="T",0.5,0))</f>
        <v>0</v>
      </c>
      <c r="H89" s="4" t="n">
        <f aca="false">IF(F89="L",1,IF(F89="T",0.5,0))</f>
        <v>0</v>
      </c>
      <c r="I89" s="4" t="n">
        <f aca="false">IF(C89="",0,C89)</f>
        <v>0</v>
      </c>
    </row>
    <row r="90" customFormat="false" ht="15" hidden="false" customHeight="true" outlineLevel="0" collapsed="false">
      <c r="A90" s="0" t="n">
        <v>10</v>
      </c>
      <c r="B90" s="0" t="str">
        <f aca="false">Roster!B12</f>
        <v>Zach Zarra</v>
      </c>
      <c r="C90" s="3" t="n">
        <f aca="false">SUMPRODUCT(('Picks Detail'!O313:O328&lt;&gt;"")*('Picks Detail'!E313:E328&lt;&gt;"")*('Picks Detail'!O313:O328='Picks Detail'!E313:E328))</f>
        <v>0</v>
      </c>
      <c r="D90" s="0" t="n">
        <v>9</v>
      </c>
      <c r="E90" s="4" t="n">
        <f aca="false">IFERROR(INDEX(C$81:C$92,MATCH(9,A$81:A$92,0)),0)</f>
        <v>0</v>
      </c>
      <c r="F90" s="0" t="str">
        <f aca="false"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 s="4" t="n">
        <f aca="false">IF(F90="W",1,IF(F90="T",0.5,0))</f>
        <v>0</v>
      </c>
      <c r="H90" s="4" t="n">
        <f aca="false">IF(F90="L",1,IF(F90="T",0.5,0))</f>
        <v>0</v>
      </c>
      <c r="I90" s="4" t="n">
        <f aca="false">IF(C90="",0,C90)</f>
        <v>0</v>
      </c>
    </row>
    <row r="91" customFormat="false" ht="15" hidden="false" customHeight="true" outlineLevel="0" collapsed="false">
      <c r="A91" s="0" t="n">
        <v>11</v>
      </c>
      <c r="B91" s="0" t="str">
        <f aca="false">Roster!B13</f>
        <v>Jeffrey Loeser</v>
      </c>
      <c r="C91" s="3" t="n">
        <f aca="false">SUMPRODUCT(('Picks Detail'!P313:P328&lt;&gt;"")*('Picks Detail'!E313:E328&lt;&gt;"")*('Picks Detail'!P313:P328='Picks Detail'!E313:E328))</f>
        <v>0</v>
      </c>
      <c r="D91" s="0" t="n">
        <v>12</v>
      </c>
      <c r="E91" s="4" t="n">
        <f aca="false">IFERROR(INDEX(C$81:C$92,MATCH(12,A$81:A$92,0)),0)</f>
        <v>0</v>
      </c>
      <c r="F91" s="0" t="str">
        <f aca="false"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 s="4" t="n">
        <f aca="false">IF(F91="W",1,IF(F91="T",0.5,0))</f>
        <v>0</v>
      </c>
      <c r="H91" s="4" t="n">
        <f aca="false">IF(F91="L",1,IF(F91="T",0.5,0))</f>
        <v>0</v>
      </c>
      <c r="I91" s="4" t="n">
        <f aca="false">IF(C91="",0,C91)</f>
        <v>0</v>
      </c>
    </row>
    <row r="92" customFormat="false" ht="15" hidden="false" customHeight="true" outlineLevel="0" collapsed="false">
      <c r="A92" s="0" t="n">
        <v>12</v>
      </c>
      <c r="B92" s="0" t="str">
        <f aca="false">Roster!B14</f>
        <v>Jake Andrews</v>
      </c>
      <c r="C92" s="3" t="n">
        <f aca="false">SUMPRODUCT(('Picks Detail'!Q313:Q328&lt;&gt;"")*('Picks Detail'!E313:E328&lt;&gt;"")*('Picks Detail'!Q313:Q328='Picks Detail'!E313:E328))</f>
        <v>0</v>
      </c>
      <c r="D92" s="0" t="n">
        <v>11</v>
      </c>
      <c r="E92" s="4" t="n">
        <f aca="false">IFERROR(INDEX(C$81:C$92,MATCH(11,A$81:A$92,0)),0)</f>
        <v>0</v>
      </c>
      <c r="F92" s="0" t="str">
        <f aca="false"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 s="4" t="n">
        <f aca="false">IF(F92="W",1,IF(F92="T",0.5,0))</f>
        <v>0</v>
      </c>
      <c r="H92" s="4" t="n">
        <f aca="false">IF(F92="L",1,IF(F92="T",0.5,0))</f>
        <v>0</v>
      </c>
      <c r="I92" s="4" t="n">
        <f aca="false">IF(C92="",0,C92)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Q38" activeCellId="0" sqref="Q3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11" min="3" style="0" width="10"/>
  </cols>
  <sheetData>
    <row r="1" customFormat="false" ht="17.25" hidden="false" customHeight="true" outlineLevel="0" collapsed="false">
      <c r="A1" s="7" t="s">
        <v>205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customFormat="false" ht="15" hidden="false" customHeight="true" outlineLevel="0" collapsed="false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customFormat="false" ht="15" hidden="false" customHeight="true" outlineLevel="0" collapsed="false">
      <c r="A3" s="0" t="n">
        <v>1</v>
      </c>
      <c r="B3" s="0" t="str">
        <f aca="false">Helper!B2</f>
        <v>Evan Loeser</v>
      </c>
      <c r="C3" s="0" t="n">
        <f aca="false">Helper!C2</f>
        <v>5</v>
      </c>
      <c r="D3" s="0" t="n">
        <f aca="false">Helper!D2</f>
        <v>0</v>
      </c>
      <c r="E3" s="0" t="n">
        <f aca="false">Helper!E2</f>
        <v>0</v>
      </c>
      <c r="F3" s="0" t="n">
        <f aca="false">Helper!F2</f>
        <v>0</v>
      </c>
      <c r="G3" s="0" t="n">
        <f aca="false">Helper!G2</f>
        <v>0</v>
      </c>
      <c r="H3" s="0" t="n">
        <f aca="false">Helper!H2</f>
        <v>0</v>
      </c>
      <c r="I3" s="0" t="n">
        <f aca="false">Helper!I2</f>
        <v>5</v>
      </c>
      <c r="J3" s="0" t="n">
        <f aca="false">Helper!J2</f>
        <v>0</v>
      </c>
      <c r="K3" s="0" t="n">
        <f aca="false">MAX(Helper!C2:H2)</f>
        <v>5</v>
      </c>
    </row>
    <row r="4" customFormat="false" ht="15" hidden="false" customHeight="true" outlineLevel="0" collapsed="false">
      <c r="A4" s="0" t="n">
        <v>2</v>
      </c>
      <c r="B4" s="0" t="str">
        <f aca="false">Helper!B3</f>
        <v>Chris Simmons</v>
      </c>
      <c r="C4" s="0" t="n">
        <f aca="false">Helper!C3</f>
        <v>9</v>
      </c>
      <c r="D4" s="0" t="n">
        <f aca="false">Helper!D3</f>
        <v>0</v>
      </c>
      <c r="E4" s="0" t="n">
        <f aca="false">Helper!E3</f>
        <v>0</v>
      </c>
      <c r="F4" s="0" t="n">
        <f aca="false">Helper!F3</f>
        <v>0</v>
      </c>
      <c r="G4" s="0" t="n">
        <f aca="false">Helper!G3</f>
        <v>0</v>
      </c>
      <c r="H4" s="0" t="n">
        <f aca="false">Helper!H3</f>
        <v>0</v>
      </c>
      <c r="I4" s="0" t="n">
        <f aca="false">Helper!I3</f>
        <v>9</v>
      </c>
      <c r="J4" s="0" t="n">
        <f aca="false">Helper!J3</f>
        <v>0</v>
      </c>
      <c r="K4" s="0" t="n">
        <f aca="false">MAX(Helper!C3:H3)</f>
        <v>9</v>
      </c>
    </row>
    <row r="5" customFormat="false" ht="15" hidden="false" customHeight="true" outlineLevel="0" collapsed="false">
      <c r="A5" s="0" t="n">
        <v>3</v>
      </c>
      <c r="B5" s="0" t="str">
        <f aca="false">Helper!B4</f>
        <v>Jack Smith</v>
      </c>
      <c r="C5" s="0" t="n">
        <f aca="false">Helper!C4</f>
        <v>11</v>
      </c>
      <c r="D5" s="0" t="n">
        <f aca="false">Helper!D4</f>
        <v>0</v>
      </c>
      <c r="E5" s="0" t="n">
        <f aca="false">Helper!E4</f>
        <v>0</v>
      </c>
      <c r="F5" s="0" t="n">
        <f aca="false">Helper!F4</f>
        <v>0</v>
      </c>
      <c r="G5" s="0" t="n">
        <f aca="false">Helper!G4</f>
        <v>0</v>
      </c>
      <c r="H5" s="0" t="n">
        <f aca="false">Helper!H4</f>
        <v>0</v>
      </c>
      <c r="I5" s="0" t="n">
        <f aca="false">Helper!I4</f>
        <v>11</v>
      </c>
      <c r="J5" s="0" t="n">
        <f aca="false">Helper!J4</f>
        <v>0</v>
      </c>
      <c r="K5" s="0" t="n">
        <f aca="false">MAX(Helper!C4:H4)</f>
        <v>11</v>
      </c>
    </row>
    <row r="6" customFormat="false" ht="15" hidden="false" customHeight="true" outlineLevel="0" collapsed="false">
      <c r="A6" s="0" t="n">
        <v>4</v>
      </c>
      <c r="B6" s="0" t="str">
        <f aca="false">Helper!B5</f>
        <v>Luke Ussery</v>
      </c>
      <c r="C6" s="0" t="n">
        <f aca="false">Helper!C5</f>
        <v>5</v>
      </c>
      <c r="D6" s="0" t="n">
        <f aca="false">Helper!D5</f>
        <v>0</v>
      </c>
      <c r="E6" s="0" t="n">
        <f aca="false">Helper!E5</f>
        <v>0</v>
      </c>
      <c r="F6" s="0" t="n">
        <f aca="false">Helper!F5</f>
        <v>0</v>
      </c>
      <c r="G6" s="0" t="n">
        <f aca="false">Helper!G5</f>
        <v>0</v>
      </c>
      <c r="H6" s="0" t="n">
        <f aca="false">Helper!H5</f>
        <v>0</v>
      </c>
      <c r="I6" s="0" t="n">
        <f aca="false">Helper!I5</f>
        <v>5</v>
      </c>
      <c r="J6" s="0" t="n">
        <f aca="false">Helper!J5</f>
        <v>0</v>
      </c>
      <c r="K6" s="0" t="n">
        <f aca="false">MAX(Helper!C5:H5)</f>
        <v>5</v>
      </c>
    </row>
    <row r="7" customFormat="false" ht="15" hidden="false" customHeight="true" outlineLevel="0" collapsed="false">
      <c r="A7" s="0" t="n">
        <v>5</v>
      </c>
      <c r="B7" s="0" t="str">
        <f aca="false">Helper!B6</f>
        <v>Mikayla Simmons</v>
      </c>
      <c r="C7" s="0" t="n">
        <f aca="false">Helper!C6</f>
        <v>16</v>
      </c>
      <c r="D7" s="0" t="n">
        <f aca="false">Helper!D6</f>
        <v>0</v>
      </c>
      <c r="E7" s="0" t="n">
        <f aca="false">Helper!E6</f>
        <v>0</v>
      </c>
      <c r="F7" s="0" t="n">
        <f aca="false">Helper!F6</f>
        <v>0</v>
      </c>
      <c r="G7" s="0" t="n">
        <f aca="false">Helper!G6</f>
        <v>0</v>
      </c>
      <c r="H7" s="0" t="n">
        <f aca="false">Helper!H6</f>
        <v>0</v>
      </c>
      <c r="I7" s="0" t="n">
        <f aca="false">Helper!I6</f>
        <v>16</v>
      </c>
      <c r="J7" s="0" t="n">
        <f aca="false">Helper!J6</f>
        <v>1</v>
      </c>
      <c r="K7" s="0" t="n">
        <f aca="false">MAX(Helper!C6:H6)</f>
        <v>16</v>
      </c>
    </row>
    <row r="8" customFormat="false" ht="15" hidden="false" customHeight="true" outlineLevel="0" collapsed="false">
      <c r="A8" s="0" t="n">
        <v>6</v>
      </c>
      <c r="B8" s="0" t="str">
        <f aca="false">Helper!B7</f>
        <v>Alan Loeser</v>
      </c>
      <c r="C8" s="0" t="n">
        <f aca="false">Helper!C7</f>
        <v>9</v>
      </c>
      <c r="D8" s="0" t="n">
        <f aca="false">Helper!D7</f>
        <v>0</v>
      </c>
      <c r="E8" s="0" t="n">
        <f aca="false">Helper!E7</f>
        <v>0</v>
      </c>
      <c r="F8" s="0" t="n">
        <f aca="false">Helper!F7</f>
        <v>0</v>
      </c>
      <c r="G8" s="0" t="n">
        <f aca="false">Helper!G7</f>
        <v>0</v>
      </c>
      <c r="H8" s="0" t="n">
        <f aca="false">Helper!H7</f>
        <v>0</v>
      </c>
      <c r="I8" s="0" t="n">
        <f aca="false">Helper!I7</f>
        <v>9</v>
      </c>
      <c r="J8" s="0" t="n">
        <f aca="false">Helper!J7</f>
        <v>0</v>
      </c>
      <c r="K8" s="0" t="n">
        <f aca="false">MAX(Helper!C7:H7)</f>
        <v>9</v>
      </c>
    </row>
    <row r="9" customFormat="false" ht="15" hidden="false" customHeight="true" outlineLevel="0" collapsed="false">
      <c r="A9" s="0" t="n">
        <v>7</v>
      </c>
      <c r="B9" s="0" t="str">
        <f aca="false">Helper!B8</f>
        <v>Caleb Simmons</v>
      </c>
      <c r="C9" s="0" t="n">
        <f aca="false">Helper!C8</f>
        <v>7</v>
      </c>
      <c r="D9" s="0" t="n">
        <f aca="false">Helper!D8</f>
        <v>0</v>
      </c>
      <c r="E9" s="0" t="n">
        <f aca="false">Helper!E8</f>
        <v>0</v>
      </c>
      <c r="F9" s="0" t="n">
        <f aca="false">Helper!F8</f>
        <v>0</v>
      </c>
      <c r="G9" s="0" t="n">
        <f aca="false">Helper!G8</f>
        <v>0</v>
      </c>
      <c r="H9" s="0" t="n">
        <f aca="false">Helper!H8</f>
        <v>0</v>
      </c>
      <c r="I9" s="0" t="n">
        <f aca="false">Helper!I8</f>
        <v>7</v>
      </c>
      <c r="J9" s="0" t="n">
        <f aca="false">Helper!J8</f>
        <v>0</v>
      </c>
      <c r="K9" s="0" t="n">
        <f aca="false">MAX(Helper!C8:H8)</f>
        <v>7</v>
      </c>
    </row>
    <row r="10" customFormat="false" ht="15" hidden="false" customHeight="true" outlineLevel="0" collapsed="false">
      <c r="A10" s="0" t="n">
        <v>8</v>
      </c>
      <c r="B10" s="0" t="str">
        <f aca="false">Helper!B9</f>
        <v>Larry Loeser</v>
      </c>
      <c r="C10" s="0" t="n">
        <f aca="false">Helper!C9</f>
        <v>15</v>
      </c>
      <c r="D10" s="0" t="n">
        <f aca="false">Helper!D9</f>
        <v>0</v>
      </c>
      <c r="E10" s="0" t="n">
        <f aca="false">Helper!E9</f>
        <v>0</v>
      </c>
      <c r="F10" s="0" t="n">
        <f aca="false">Helper!F9</f>
        <v>0</v>
      </c>
      <c r="G10" s="0" t="n">
        <f aca="false">Helper!G9</f>
        <v>0</v>
      </c>
      <c r="H10" s="0" t="n">
        <f aca="false">Helper!H9</f>
        <v>0</v>
      </c>
      <c r="I10" s="0" t="n">
        <f aca="false">Helper!I9</f>
        <v>15</v>
      </c>
      <c r="J10" s="0" t="n">
        <f aca="false">Helper!J9</f>
        <v>1</v>
      </c>
      <c r="K10" s="0" t="n">
        <f aca="false">MAX(Helper!C9:H9)</f>
        <v>15</v>
      </c>
    </row>
    <row r="11" customFormat="false" ht="15" hidden="false" customHeight="true" outlineLevel="0" collapsed="false">
      <c r="A11" s="0" t="n">
        <v>9</v>
      </c>
      <c r="B11" s="0" t="str">
        <f aca="false">Helper!B10</f>
        <v>Daddy Michael</v>
      </c>
      <c r="C11" s="0" t="n">
        <f aca="false">Helper!C10</f>
        <v>11</v>
      </c>
      <c r="D11" s="0" t="n">
        <f aca="false">Helper!D10</f>
        <v>0</v>
      </c>
      <c r="E11" s="0" t="n">
        <f aca="false">Helper!E10</f>
        <v>0</v>
      </c>
      <c r="F11" s="0" t="n">
        <f aca="false">Helper!F10</f>
        <v>0</v>
      </c>
      <c r="G11" s="0" t="n">
        <f aca="false">Helper!G10</f>
        <v>0</v>
      </c>
      <c r="H11" s="0" t="n">
        <f aca="false">Helper!H10</f>
        <v>0</v>
      </c>
      <c r="I11" s="0" t="n">
        <f aca="false">Helper!I10</f>
        <v>11</v>
      </c>
      <c r="J11" s="0" t="n">
        <f aca="false">Helper!J10</f>
        <v>0</v>
      </c>
      <c r="K11" s="0" t="n">
        <f aca="false">MAX(Helper!C10:H10)</f>
        <v>11</v>
      </c>
    </row>
    <row r="12" customFormat="false" ht="15" hidden="false" customHeight="true" outlineLevel="0" collapsed="false">
      <c r="A12" s="0" t="n">
        <v>10</v>
      </c>
      <c r="B12" s="0" t="str">
        <f aca="false">Helper!B11</f>
        <v>Zach Zarra</v>
      </c>
      <c r="C12" s="0" t="n">
        <f aca="false">Helper!C11</f>
        <v>17</v>
      </c>
      <c r="D12" s="0" t="n">
        <f aca="false">Helper!D11</f>
        <v>0</v>
      </c>
      <c r="E12" s="0" t="n">
        <f aca="false">Helper!E11</f>
        <v>0</v>
      </c>
      <c r="F12" s="0" t="n">
        <f aca="false">Helper!F11</f>
        <v>0</v>
      </c>
      <c r="G12" s="0" t="n">
        <f aca="false">Helper!G11</f>
        <v>0</v>
      </c>
      <c r="H12" s="0" t="n">
        <f aca="false">Helper!H11</f>
        <v>0</v>
      </c>
      <c r="I12" s="0" t="n">
        <f aca="false">Helper!I11</f>
        <v>17</v>
      </c>
      <c r="J12" s="0" t="n">
        <f aca="false">Helper!J11</f>
        <v>1</v>
      </c>
      <c r="K12" s="0" t="n">
        <f aca="false">MAX(Helper!C11:H11)</f>
        <v>17</v>
      </c>
    </row>
    <row r="13" customFormat="false" ht="15" hidden="false" customHeight="true" outlineLevel="0" collapsed="false">
      <c r="A13" s="0" t="n">
        <v>11</v>
      </c>
      <c r="B13" s="0" t="str">
        <f aca="false">Helper!B12</f>
        <v>Jeffrey Loeser</v>
      </c>
      <c r="C13" s="0" t="n">
        <f aca="false">Helper!C12</f>
        <v>16</v>
      </c>
      <c r="D13" s="0" t="n">
        <f aca="false">Helper!D12</f>
        <v>0</v>
      </c>
      <c r="E13" s="0" t="n">
        <f aca="false">Helper!E12</f>
        <v>0</v>
      </c>
      <c r="F13" s="0" t="n">
        <f aca="false">Helper!F12</f>
        <v>0</v>
      </c>
      <c r="G13" s="0" t="n">
        <f aca="false">Helper!G12</f>
        <v>0</v>
      </c>
      <c r="H13" s="0" t="n">
        <f aca="false">Helper!H12</f>
        <v>0</v>
      </c>
      <c r="I13" s="0" t="n">
        <f aca="false">Helper!I12</f>
        <v>16</v>
      </c>
      <c r="J13" s="0" t="n">
        <f aca="false">Helper!J12</f>
        <v>1</v>
      </c>
      <c r="K13" s="0" t="n">
        <f aca="false">MAX(Helper!C12:H12)</f>
        <v>16</v>
      </c>
    </row>
    <row r="14" customFormat="false" ht="15" hidden="false" customHeight="true" outlineLevel="0" collapsed="false">
      <c r="A14" s="0" t="n">
        <v>12</v>
      </c>
      <c r="B14" s="0" t="str">
        <f aca="false">Helper!B13</f>
        <v>Jake Andrews</v>
      </c>
      <c r="C14" s="0" t="n">
        <f aca="false">Helper!C13</f>
        <v>9</v>
      </c>
      <c r="D14" s="0" t="n">
        <f aca="false">Helper!D13</f>
        <v>0</v>
      </c>
      <c r="E14" s="0" t="n">
        <f aca="false">Helper!E13</f>
        <v>0</v>
      </c>
      <c r="F14" s="0" t="n">
        <f aca="false">Helper!F13</f>
        <v>0</v>
      </c>
      <c r="G14" s="0" t="n">
        <f aca="false">Helper!G13</f>
        <v>0</v>
      </c>
      <c r="H14" s="0" t="n">
        <f aca="false">Helper!H13</f>
        <v>0</v>
      </c>
      <c r="I14" s="0" t="n">
        <f aca="false">Helper!I13</f>
        <v>9</v>
      </c>
      <c r="J14" s="0" t="n">
        <f aca="false">Helper!J13</f>
        <v>0</v>
      </c>
      <c r="K14" s="0" t="n">
        <f aca="false">MAX(Helper!C13:H13)</f>
        <v>9</v>
      </c>
    </row>
    <row r="16" customFormat="false" ht="17.25" hidden="false" customHeight="true" outlineLevel="0" collapsed="false">
      <c r="A16" s="23" t="s">
        <v>217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</row>
    <row r="17" customFormat="false" ht="15" hidden="false" customHeight="true" outlineLevel="0" collapsed="false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customFormat="false" ht="15" hidden="false" customHeight="true" outlineLevel="0" collapsed="false">
      <c r="A18" s="0" t="n">
        <v>1</v>
      </c>
      <c r="B18" s="0" t="str">
        <f aca="false">Helper!B2</f>
        <v>Evan Loeser</v>
      </c>
      <c r="C18" s="0" t="n">
        <f aca="false">Helper!L2</f>
        <v>0</v>
      </c>
      <c r="D18" s="0" t="n">
        <f aca="false">Helper!M2</f>
        <v>0</v>
      </c>
      <c r="E18" s="0" t="n">
        <f aca="false">Helper!N2</f>
        <v>0</v>
      </c>
      <c r="F18" s="0" t="n">
        <f aca="false">Helper!O2</f>
        <v>0</v>
      </c>
      <c r="G18" s="0" t="n">
        <f aca="false">Helper!P2</f>
        <v>0</v>
      </c>
      <c r="H18" s="0" t="n">
        <f aca="false">Helper!Q2</f>
        <v>0</v>
      </c>
      <c r="I18" s="0" t="n">
        <f aca="false">Helper!R2</f>
        <v>0</v>
      </c>
      <c r="J18" s="0" t="n">
        <f aca="false">Helper!S2</f>
        <v>0</v>
      </c>
      <c r="K18" s="0" t="n">
        <f aca="false">MAX(Helper!L2:Q2)</f>
        <v>0</v>
      </c>
    </row>
    <row r="19" customFormat="false" ht="15" hidden="false" customHeight="true" outlineLevel="0" collapsed="false">
      <c r="A19" s="0" t="n">
        <v>2</v>
      </c>
      <c r="B19" s="0" t="str">
        <f aca="false">Helper!B3</f>
        <v>Chris Simmons</v>
      </c>
      <c r="C19" s="0" t="n">
        <f aca="false">Helper!L3</f>
        <v>0</v>
      </c>
      <c r="D19" s="0" t="n">
        <f aca="false">Helper!M3</f>
        <v>0</v>
      </c>
      <c r="E19" s="0" t="n">
        <f aca="false">Helper!N3</f>
        <v>0</v>
      </c>
      <c r="F19" s="0" t="n">
        <f aca="false">Helper!O3</f>
        <v>0</v>
      </c>
      <c r="G19" s="0" t="n">
        <f aca="false">Helper!P3</f>
        <v>0</v>
      </c>
      <c r="H19" s="0" t="n">
        <f aca="false">Helper!Q3</f>
        <v>0</v>
      </c>
      <c r="I19" s="0" t="n">
        <f aca="false">Helper!R3</f>
        <v>0</v>
      </c>
      <c r="J19" s="0" t="n">
        <f aca="false">Helper!S3</f>
        <v>0</v>
      </c>
      <c r="K19" s="0" t="n">
        <f aca="false">MAX(Helper!L3:Q3)</f>
        <v>0</v>
      </c>
    </row>
    <row r="20" customFormat="false" ht="15" hidden="false" customHeight="true" outlineLevel="0" collapsed="false">
      <c r="A20" s="0" t="n">
        <v>3</v>
      </c>
      <c r="B20" s="0" t="str">
        <f aca="false">Helper!B4</f>
        <v>Jack Smith</v>
      </c>
      <c r="C20" s="0" t="n">
        <f aca="false">Helper!L4</f>
        <v>0</v>
      </c>
      <c r="D20" s="0" t="n">
        <f aca="false">Helper!M4</f>
        <v>0</v>
      </c>
      <c r="E20" s="0" t="n">
        <f aca="false">Helper!N4</f>
        <v>0</v>
      </c>
      <c r="F20" s="0" t="n">
        <f aca="false">Helper!O4</f>
        <v>0</v>
      </c>
      <c r="G20" s="0" t="n">
        <f aca="false">Helper!P4</f>
        <v>0</v>
      </c>
      <c r="H20" s="0" t="n">
        <f aca="false">Helper!Q4</f>
        <v>0</v>
      </c>
      <c r="I20" s="0" t="n">
        <f aca="false">Helper!R4</f>
        <v>0</v>
      </c>
      <c r="J20" s="0" t="n">
        <f aca="false">Helper!S4</f>
        <v>0</v>
      </c>
      <c r="K20" s="0" t="n">
        <f aca="false">MAX(Helper!L4:Q4)</f>
        <v>0</v>
      </c>
    </row>
    <row r="21" customFormat="false" ht="15" hidden="false" customHeight="true" outlineLevel="0" collapsed="false">
      <c r="A21" s="0" t="n">
        <v>4</v>
      </c>
      <c r="B21" s="0" t="str">
        <f aca="false">Helper!B5</f>
        <v>Luke Ussery</v>
      </c>
      <c r="C21" s="0" t="n">
        <f aca="false">Helper!L5</f>
        <v>0</v>
      </c>
      <c r="D21" s="0" t="n">
        <f aca="false">Helper!M5</f>
        <v>0</v>
      </c>
      <c r="E21" s="0" t="n">
        <f aca="false">Helper!N5</f>
        <v>0</v>
      </c>
      <c r="F21" s="0" t="n">
        <f aca="false">Helper!O5</f>
        <v>0</v>
      </c>
      <c r="G21" s="0" t="n">
        <f aca="false">Helper!P5</f>
        <v>0</v>
      </c>
      <c r="H21" s="0" t="n">
        <f aca="false">Helper!Q5</f>
        <v>0</v>
      </c>
      <c r="I21" s="0" t="n">
        <f aca="false">Helper!R5</f>
        <v>0</v>
      </c>
      <c r="J21" s="0" t="n">
        <f aca="false">Helper!S5</f>
        <v>0</v>
      </c>
      <c r="K21" s="0" t="n">
        <f aca="false">MAX(Helper!L5:Q5)</f>
        <v>0</v>
      </c>
    </row>
    <row r="22" customFormat="false" ht="15" hidden="false" customHeight="true" outlineLevel="0" collapsed="false">
      <c r="A22" s="0" t="n">
        <v>5</v>
      </c>
      <c r="B22" s="0" t="str">
        <f aca="false">Helper!B6</f>
        <v>Mikayla Simmons</v>
      </c>
      <c r="C22" s="0" t="n">
        <f aca="false">Helper!L6</f>
        <v>0</v>
      </c>
      <c r="D22" s="0" t="n">
        <f aca="false">Helper!M6</f>
        <v>0</v>
      </c>
      <c r="E22" s="0" t="n">
        <f aca="false">Helper!N6</f>
        <v>0</v>
      </c>
      <c r="F22" s="0" t="n">
        <f aca="false">Helper!O6</f>
        <v>0</v>
      </c>
      <c r="G22" s="0" t="n">
        <f aca="false">Helper!P6</f>
        <v>0</v>
      </c>
      <c r="H22" s="0" t="n">
        <f aca="false">Helper!Q6</f>
        <v>0</v>
      </c>
      <c r="I22" s="0" t="n">
        <f aca="false">Helper!R6</f>
        <v>0</v>
      </c>
      <c r="J22" s="0" t="n">
        <f aca="false">Helper!S6</f>
        <v>0</v>
      </c>
      <c r="K22" s="0" t="n">
        <f aca="false">MAX(Helper!L6:Q6)</f>
        <v>0</v>
      </c>
    </row>
    <row r="23" customFormat="false" ht="15" hidden="false" customHeight="true" outlineLevel="0" collapsed="false">
      <c r="A23" s="0" t="n">
        <v>6</v>
      </c>
      <c r="B23" s="0" t="str">
        <f aca="false">Helper!B7</f>
        <v>Alan Loeser</v>
      </c>
      <c r="C23" s="0" t="n">
        <f aca="false">Helper!L7</f>
        <v>0</v>
      </c>
      <c r="D23" s="0" t="n">
        <f aca="false">Helper!M7</f>
        <v>0</v>
      </c>
      <c r="E23" s="0" t="n">
        <f aca="false">Helper!N7</f>
        <v>0</v>
      </c>
      <c r="F23" s="0" t="n">
        <f aca="false">Helper!O7</f>
        <v>0</v>
      </c>
      <c r="G23" s="0" t="n">
        <f aca="false">Helper!P7</f>
        <v>0</v>
      </c>
      <c r="H23" s="0" t="n">
        <f aca="false">Helper!Q7</f>
        <v>0</v>
      </c>
      <c r="I23" s="0" t="n">
        <f aca="false">Helper!R7</f>
        <v>0</v>
      </c>
      <c r="J23" s="0" t="n">
        <f aca="false">Helper!S7</f>
        <v>0</v>
      </c>
      <c r="K23" s="0" t="n">
        <f aca="false">MAX(Helper!L7:Q7)</f>
        <v>0</v>
      </c>
    </row>
    <row r="24" customFormat="false" ht="15" hidden="false" customHeight="true" outlineLevel="0" collapsed="false">
      <c r="A24" s="0" t="n">
        <v>7</v>
      </c>
      <c r="B24" s="0" t="str">
        <f aca="false">Helper!B8</f>
        <v>Caleb Simmons</v>
      </c>
      <c r="C24" s="0" t="n">
        <f aca="false">Helper!L8</f>
        <v>0</v>
      </c>
      <c r="D24" s="0" t="n">
        <f aca="false">Helper!M8</f>
        <v>0</v>
      </c>
      <c r="E24" s="0" t="n">
        <f aca="false">Helper!N8</f>
        <v>0</v>
      </c>
      <c r="F24" s="0" t="n">
        <f aca="false">Helper!O8</f>
        <v>0</v>
      </c>
      <c r="G24" s="0" t="n">
        <f aca="false">Helper!P8</f>
        <v>0</v>
      </c>
      <c r="H24" s="0" t="n">
        <f aca="false">Helper!Q8</f>
        <v>0</v>
      </c>
      <c r="I24" s="0" t="n">
        <f aca="false">Helper!R8</f>
        <v>0</v>
      </c>
      <c r="J24" s="0" t="n">
        <f aca="false">Helper!S8</f>
        <v>0</v>
      </c>
      <c r="K24" s="0" t="n">
        <f aca="false">MAX(Helper!L8:Q8)</f>
        <v>0</v>
      </c>
    </row>
    <row r="25" customFormat="false" ht="15" hidden="false" customHeight="true" outlineLevel="0" collapsed="false">
      <c r="A25" s="0" t="n">
        <v>8</v>
      </c>
      <c r="B25" s="0" t="str">
        <f aca="false">Helper!B9</f>
        <v>Larry Loeser</v>
      </c>
      <c r="C25" s="0" t="n">
        <f aca="false">Helper!L9</f>
        <v>0</v>
      </c>
      <c r="D25" s="0" t="n">
        <f aca="false">Helper!M9</f>
        <v>0</v>
      </c>
      <c r="E25" s="0" t="n">
        <f aca="false">Helper!N9</f>
        <v>0</v>
      </c>
      <c r="F25" s="0" t="n">
        <f aca="false">Helper!O9</f>
        <v>0</v>
      </c>
      <c r="G25" s="0" t="n">
        <f aca="false">Helper!P9</f>
        <v>0</v>
      </c>
      <c r="H25" s="0" t="n">
        <f aca="false">Helper!Q9</f>
        <v>0</v>
      </c>
      <c r="I25" s="0" t="n">
        <f aca="false">Helper!R9</f>
        <v>0</v>
      </c>
      <c r="J25" s="0" t="n">
        <f aca="false">Helper!S9</f>
        <v>0</v>
      </c>
      <c r="K25" s="0" t="n">
        <f aca="false">MAX(Helper!L9:Q9)</f>
        <v>0</v>
      </c>
    </row>
    <row r="26" customFormat="false" ht="15" hidden="false" customHeight="true" outlineLevel="0" collapsed="false">
      <c r="A26" s="0" t="n">
        <v>9</v>
      </c>
      <c r="B26" s="0" t="str">
        <f aca="false">Helper!B10</f>
        <v>Daddy Michael</v>
      </c>
      <c r="C26" s="0" t="n">
        <f aca="false">Helper!L10</f>
        <v>0</v>
      </c>
      <c r="D26" s="0" t="n">
        <f aca="false">Helper!M10</f>
        <v>0</v>
      </c>
      <c r="E26" s="0" t="n">
        <f aca="false">Helper!N10</f>
        <v>0</v>
      </c>
      <c r="F26" s="0" t="n">
        <f aca="false">Helper!O10</f>
        <v>0</v>
      </c>
      <c r="G26" s="0" t="n">
        <f aca="false">Helper!P10</f>
        <v>0</v>
      </c>
      <c r="H26" s="0" t="n">
        <f aca="false">Helper!Q10</f>
        <v>0</v>
      </c>
      <c r="I26" s="0" t="n">
        <f aca="false">Helper!R10</f>
        <v>0</v>
      </c>
      <c r="J26" s="0" t="n">
        <f aca="false">Helper!S10</f>
        <v>0</v>
      </c>
      <c r="K26" s="0" t="n">
        <f aca="false">MAX(Helper!L10:Q10)</f>
        <v>0</v>
      </c>
    </row>
    <row r="27" customFormat="false" ht="15" hidden="false" customHeight="true" outlineLevel="0" collapsed="false">
      <c r="A27" s="0" t="n">
        <v>10</v>
      </c>
      <c r="B27" s="0" t="str">
        <f aca="false">Helper!B11</f>
        <v>Zach Zarra</v>
      </c>
      <c r="C27" s="0" t="n">
        <f aca="false">Helper!L11</f>
        <v>0</v>
      </c>
      <c r="D27" s="0" t="n">
        <f aca="false">Helper!M11</f>
        <v>0</v>
      </c>
      <c r="E27" s="0" t="n">
        <f aca="false">Helper!N11</f>
        <v>0</v>
      </c>
      <c r="F27" s="0" t="n">
        <f aca="false">Helper!O11</f>
        <v>0</v>
      </c>
      <c r="G27" s="0" t="n">
        <f aca="false">Helper!P11</f>
        <v>0</v>
      </c>
      <c r="H27" s="0" t="n">
        <f aca="false">Helper!Q11</f>
        <v>0</v>
      </c>
      <c r="I27" s="0" t="n">
        <f aca="false">Helper!R11</f>
        <v>0</v>
      </c>
      <c r="J27" s="0" t="n">
        <f aca="false">Helper!S11</f>
        <v>0</v>
      </c>
      <c r="K27" s="0" t="n">
        <f aca="false">MAX(Helper!L11:Q11)</f>
        <v>0</v>
      </c>
    </row>
    <row r="28" customFormat="false" ht="15" hidden="false" customHeight="true" outlineLevel="0" collapsed="false">
      <c r="A28" s="0" t="n">
        <v>11</v>
      </c>
      <c r="B28" s="0" t="str">
        <f aca="false">Helper!B12</f>
        <v>Jeffrey Loeser</v>
      </c>
      <c r="C28" s="0" t="n">
        <f aca="false">Helper!L12</f>
        <v>0</v>
      </c>
      <c r="D28" s="0" t="n">
        <f aca="false">Helper!M12</f>
        <v>0</v>
      </c>
      <c r="E28" s="0" t="n">
        <f aca="false">Helper!N12</f>
        <v>0</v>
      </c>
      <c r="F28" s="0" t="n">
        <f aca="false">Helper!O12</f>
        <v>0</v>
      </c>
      <c r="G28" s="0" t="n">
        <f aca="false">Helper!P12</f>
        <v>0</v>
      </c>
      <c r="H28" s="0" t="n">
        <f aca="false">Helper!Q12</f>
        <v>0</v>
      </c>
      <c r="I28" s="0" t="n">
        <f aca="false">Helper!R12</f>
        <v>0</v>
      </c>
      <c r="J28" s="0" t="n">
        <f aca="false">Helper!S12</f>
        <v>0</v>
      </c>
      <c r="K28" s="0" t="n">
        <f aca="false">MAX(Helper!L12:Q12)</f>
        <v>0</v>
      </c>
    </row>
    <row r="29" customFormat="false" ht="15" hidden="false" customHeight="true" outlineLevel="0" collapsed="false">
      <c r="A29" s="0" t="n">
        <v>12</v>
      </c>
      <c r="B29" s="0" t="str">
        <f aca="false">Helper!B13</f>
        <v>Jake Andrews</v>
      </c>
      <c r="C29" s="0" t="n">
        <f aca="false">Helper!L13</f>
        <v>0</v>
      </c>
      <c r="D29" s="0" t="n">
        <f aca="false">Helper!M13</f>
        <v>0</v>
      </c>
      <c r="E29" s="0" t="n">
        <f aca="false">Helper!N13</f>
        <v>0</v>
      </c>
      <c r="F29" s="0" t="n">
        <f aca="false">Helper!O13</f>
        <v>0</v>
      </c>
      <c r="G29" s="0" t="n">
        <f aca="false">Helper!P13</f>
        <v>0</v>
      </c>
      <c r="H29" s="0" t="n">
        <f aca="false">Helper!Q13</f>
        <v>0</v>
      </c>
      <c r="I29" s="0" t="n">
        <f aca="false">Helper!R13</f>
        <v>0</v>
      </c>
      <c r="J29" s="0" t="n">
        <f aca="false">Helper!S13</f>
        <v>0</v>
      </c>
      <c r="K29" s="0" t="n">
        <f aca="false">MAX(Helper!L13:Q13)</f>
        <v>0</v>
      </c>
    </row>
    <row r="31" customFormat="false" ht="17.25" hidden="false" customHeight="true" outlineLevel="0" collapsed="false">
      <c r="A31" s="24" t="s">
        <v>224</v>
      </c>
      <c r="B31" s="24"/>
      <c r="C31" s="24"/>
      <c r="D31" s="24"/>
      <c r="E31" s="24"/>
      <c r="F31" s="24"/>
      <c r="G31" s="24"/>
      <c r="H31" s="24"/>
      <c r="I31" s="24"/>
      <c r="J31" s="24"/>
      <c r="K31" s="24"/>
    </row>
    <row r="32" customFormat="false" ht="15" hidden="false" customHeight="true" outlineLevel="0" collapsed="false">
      <c r="A32" s="25" t="s">
        <v>225</v>
      </c>
    </row>
    <row r="33" customFormat="false" ht="15" hidden="false" customHeight="true" outlineLevel="0" collapsed="false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customFormat="false" ht="15" hidden="false" customHeight="true" outlineLevel="0" collapsed="false">
      <c r="A34" s="0" t="n">
        <v>1</v>
      </c>
      <c r="B34" s="0" t="str">
        <f aca="false">Helper!B2</f>
        <v>Evan Loeser</v>
      </c>
      <c r="C34" s="0" t="str">
        <f aca="false">Helper!U2</f>
        <v>-</v>
      </c>
      <c r="D34" s="0" t="str">
        <f aca="false">Helper!V2</f>
        <v>-</v>
      </c>
      <c r="E34" s="0" t="str">
        <f aca="false">Helper!W2</f>
        <v>-</v>
      </c>
      <c r="F34" s="0" t="str">
        <f aca="false">Helper!X2</f>
        <v>-</v>
      </c>
      <c r="G34" s="0" t="str">
        <f aca="false">Helper!Y2</f>
        <v>-</v>
      </c>
      <c r="H34" s="0" t="str">
        <f aca="false">Helper!Z2</f>
        <v>-</v>
      </c>
      <c r="I34" s="0" t="n">
        <f aca="false">Helper!AA2</f>
        <v>0</v>
      </c>
      <c r="J34" s="0" t="n">
        <f aca="false">Helper!AB2</f>
        <v>0</v>
      </c>
      <c r="K34" s="0" t="n">
        <f aca="false">Helper!AC2</f>
        <v>0</v>
      </c>
    </row>
    <row r="35" customFormat="false" ht="15" hidden="false" customHeight="true" outlineLevel="0" collapsed="false">
      <c r="A35" s="0" t="n">
        <v>2</v>
      </c>
      <c r="B35" s="0" t="str">
        <f aca="false">Helper!B3</f>
        <v>Chris Simmons</v>
      </c>
      <c r="C35" s="0" t="str">
        <f aca="false">Helper!U3</f>
        <v>-</v>
      </c>
      <c r="D35" s="0" t="str">
        <f aca="false">Helper!V3</f>
        <v>-</v>
      </c>
      <c r="E35" s="0" t="str">
        <f aca="false">Helper!W3</f>
        <v>-</v>
      </c>
      <c r="F35" s="0" t="str">
        <f aca="false">Helper!X3</f>
        <v>-</v>
      </c>
      <c r="G35" s="0" t="str">
        <f aca="false">Helper!Y3</f>
        <v>-</v>
      </c>
      <c r="H35" s="0" t="str">
        <f aca="false">Helper!Z3</f>
        <v>-</v>
      </c>
      <c r="I35" s="0" t="n">
        <f aca="false">Helper!AA3</f>
        <v>0</v>
      </c>
      <c r="J35" s="0" t="n">
        <f aca="false">Helper!AB3</f>
        <v>0</v>
      </c>
      <c r="K35" s="0" t="n">
        <f aca="false">Helper!AC3</f>
        <v>0</v>
      </c>
    </row>
    <row r="36" customFormat="false" ht="15" hidden="false" customHeight="true" outlineLevel="0" collapsed="false">
      <c r="A36" s="0" t="n">
        <v>3</v>
      </c>
      <c r="B36" s="0" t="str">
        <f aca="false">Helper!B4</f>
        <v>Jack Smith</v>
      </c>
      <c r="C36" s="0" t="str">
        <f aca="false">Helper!U4</f>
        <v>-</v>
      </c>
      <c r="D36" s="0" t="str">
        <f aca="false">Helper!V4</f>
        <v>-</v>
      </c>
      <c r="E36" s="0" t="str">
        <f aca="false">Helper!W4</f>
        <v>-</v>
      </c>
      <c r="F36" s="0" t="str">
        <f aca="false">Helper!X4</f>
        <v>-</v>
      </c>
      <c r="G36" s="0" t="str">
        <f aca="false">Helper!Y4</f>
        <v>-</v>
      </c>
      <c r="H36" s="0" t="str">
        <f aca="false">Helper!Z4</f>
        <v>-</v>
      </c>
      <c r="I36" s="0" t="n">
        <f aca="false">Helper!AA4</f>
        <v>0</v>
      </c>
      <c r="J36" s="0" t="n">
        <f aca="false">Helper!AB4</f>
        <v>0</v>
      </c>
      <c r="K36" s="0" t="n">
        <f aca="false">Helper!AC4</f>
        <v>0</v>
      </c>
    </row>
    <row r="37" customFormat="false" ht="15" hidden="false" customHeight="true" outlineLevel="0" collapsed="false">
      <c r="A37" s="0" t="n">
        <v>4</v>
      </c>
      <c r="B37" s="0" t="str">
        <f aca="false">Helper!B5</f>
        <v>Luke Ussery</v>
      </c>
      <c r="C37" s="0" t="str">
        <f aca="false">Helper!U5</f>
        <v>-</v>
      </c>
      <c r="D37" s="0" t="str">
        <f aca="false">Helper!V5</f>
        <v>-</v>
      </c>
      <c r="E37" s="0" t="str">
        <f aca="false">Helper!W5</f>
        <v>-</v>
      </c>
      <c r="F37" s="0" t="str">
        <f aca="false">Helper!X5</f>
        <v>-</v>
      </c>
      <c r="G37" s="0" t="str">
        <f aca="false">Helper!Y5</f>
        <v>-</v>
      </c>
      <c r="H37" s="0" t="str">
        <f aca="false">Helper!Z5</f>
        <v>-</v>
      </c>
      <c r="I37" s="0" t="n">
        <f aca="false">Helper!AA5</f>
        <v>0</v>
      </c>
      <c r="J37" s="0" t="n">
        <f aca="false">Helper!AB5</f>
        <v>0</v>
      </c>
      <c r="K37" s="0" t="n">
        <f aca="false">Helper!AC5</f>
        <v>0</v>
      </c>
    </row>
    <row r="39" customFormat="false" ht="15" hidden="false" customHeight="true" outlineLevel="0" collapsed="false">
      <c r="A39" s="25" t="s">
        <v>233</v>
      </c>
    </row>
    <row r="40" customFormat="false" ht="15" hidden="false" customHeight="true" outlineLevel="0" collapsed="false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customFormat="false" ht="15" hidden="false" customHeight="true" outlineLevel="0" collapsed="false">
      <c r="A41" s="0" t="n">
        <v>1</v>
      </c>
      <c r="B41" s="0" t="str">
        <f aca="false">Helper!B6</f>
        <v>Mikayla Simmons</v>
      </c>
      <c r="C41" s="0" t="str">
        <f aca="false">Helper!U6</f>
        <v>-</v>
      </c>
      <c r="D41" s="0" t="str">
        <f aca="false">Helper!V6</f>
        <v>-</v>
      </c>
      <c r="E41" s="0" t="str">
        <f aca="false">Helper!W6</f>
        <v>-</v>
      </c>
      <c r="F41" s="0" t="str">
        <f aca="false">Helper!X6</f>
        <v>-</v>
      </c>
      <c r="G41" s="0" t="str">
        <f aca="false">Helper!Y6</f>
        <v>-</v>
      </c>
      <c r="H41" s="0" t="str">
        <f aca="false">Helper!Z6</f>
        <v>-</v>
      </c>
      <c r="I41" s="0" t="n">
        <f aca="false">Helper!AA6</f>
        <v>0</v>
      </c>
      <c r="J41" s="0" t="n">
        <f aca="false">Helper!AB6</f>
        <v>0</v>
      </c>
      <c r="K41" s="0" t="n">
        <f aca="false">Helper!AC6</f>
        <v>0</v>
      </c>
    </row>
    <row r="42" customFormat="false" ht="15" hidden="false" customHeight="true" outlineLevel="0" collapsed="false">
      <c r="A42" s="0" t="n">
        <v>2</v>
      </c>
      <c r="B42" s="0" t="str">
        <f aca="false">Helper!B7</f>
        <v>Alan Loeser</v>
      </c>
      <c r="C42" s="0" t="str">
        <f aca="false">Helper!U7</f>
        <v>-</v>
      </c>
      <c r="D42" s="0" t="str">
        <f aca="false">Helper!V7</f>
        <v>-</v>
      </c>
      <c r="E42" s="0" t="str">
        <f aca="false">Helper!W7</f>
        <v>-</v>
      </c>
      <c r="F42" s="0" t="str">
        <f aca="false">Helper!X7</f>
        <v>-</v>
      </c>
      <c r="G42" s="0" t="str">
        <f aca="false">Helper!Y7</f>
        <v>-</v>
      </c>
      <c r="H42" s="0" t="str">
        <f aca="false">Helper!Z7</f>
        <v>-</v>
      </c>
      <c r="I42" s="0" t="n">
        <f aca="false">Helper!AA7</f>
        <v>0</v>
      </c>
      <c r="J42" s="0" t="n">
        <f aca="false">Helper!AB7</f>
        <v>0</v>
      </c>
      <c r="K42" s="0" t="n">
        <f aca="false">Helper!AC7</f>
        <v>0</v>
      </c>
    </row>
    <row r="43" customFormat="false" ht="15" hidden="false" customHeight="true" outlineLevel="0" collapsed="false">
      <c r="A43" s="0" t="n">
        <v>3</v>
      </c>
      <c r="B43" s="0" t="str">
        <f aca="false">Helper!B8</f>
        <v>Caleb Simmons</v>
      </c>
      <c r="C43" s="0" t="str">
        <f aca="false">Helper!U8</f>
        <v>-</v>
      </c>
      <c r="D43" s="0" t="str">
        <f aca="false">Helper!V8</f>
        <v>-</v>
      </c>
      <c r="E43" s="0" t="str">
        <f aca="false">Helper!W8</f>
        <v>-</v>
      </c>
      <c r="F43" s="0" t="str">
        <f aca="false">Helper!X8</f>
        <v>-</v>
      </c>
      <c r="G43" s="0" t="str">
        <f aca="false">Helper!Y8</f>
        <v>-</v>
      </c>
      <c r="H43" s="0" t="str">
        <f aca="false">Helper!Z8</f>
        <v>-</v>
      </c>
      <c r="I43" s="0" t="n">
        <f aca="false">Helper!AA8</f>
        <v>0</v>
      </c>
      <c r="J43" s="0" t="n">
        <f aca="false">Helper!AB8</f>
        <v>0</v>
      </c>
      <c r="K43" s="0" t="n">
        <f aca="false">Helper!AC8</f>
        <v>0</v>
      </c>
    </row>
    <row r="44" customFormat="false" ht="15" hidden="false" customHeight="true" outlineLevel="0" collapsed="false">
      <c r="A44" s="0" t="n">
        <v>4</v>
      </c>
      <c r="B44" s="0" t="str">
        <f aca="false">Helper!B9</f>
        <v>Larry Loeser</v>
      </c>
      <c r="C44" s="0" t="str">
        <f aca="false">Helper!U9</f>
        <v>-</v>
      </c>
      <c r="D44" s="0" t="str">
        <f aca="false">Helper!V9</f>
        <v>-</v>
      </c>
      <c r="E44" s="0" t="str">
        <f aca="false">Helper!W9</f>
        <v>-</v>
      </c>
      <c r="F44" s="0" t="str">
        <f aca="false">Helper!X9</f>
        <v>-</v>
      </c>
      <c r="G44" s="0" t="str">
        <f aca="false">Helper!Y9</f>
        <v>-</v>
      </c>
      <c r="H44" s="0" t="str">
        <f aca="false">Helper!Z9</f>
        <v>-</v>
      </c>
      <c r="I44" s="0" t="n">
        <f aca="false">Helper!AA9</f>
        <v>0</v>
      </c>
      <c r="J44" s="0" t="n">
        <f aca="false">Helper!AB9</f>
        <v>0</v>
      </c>
      <c r="K44" s="0" t="n">
        <f aca="false">Helper!AC9</f>
        <v>0</v>
      </c>
    </row>
    <row r="46" customFormat="false" ht="15" hidden="false" customHeight="true" outlineLevel="0" collapsed="false">
      <c r="A46" s="25" t="s">
        <v>234</v>
      </c>
    </row>
    <row r="47" customFormat="false" ht="15" hidden="false" customHeight="true" outlineLevel="0" collapsed="false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customFormat="false" ht="15" hidden="false" customHeight="true" outlineLevel="0" collapsed="false">
      <c r="A48" s="0" t="n">
        <v>1</v>
      </c>
      <c r="B48" s="0" t="str">
        <f aca="false">Helper!B10</f>
        <v>Daddy Michael</v>
      </c>
      <c r="C48" s="0" t="str">
        <f aca="false">Helper!U10</f>
        <v>-</v>
      </c>
      <c r="D48" s="0" t="str">
        <f aca="false">Helper!V10</f>
        <v>-</v>
      </c>
      <c r="E48" s="0" t="str">
        <f aca="false">Helper!W10</f>
        <v>-</v>
      </c>
      <c r="F48" s="0" t="str">
        <f aca="false">Helper!X10</f>
        <v>-</v>
      </c>
      <c r="G48" s="0" t="str">
        <f aca="false">Helper!Y10</f>
        <v>-</v>
      </c>
      <c r="H48" s="0" t="str">
        <f aca="false">Helper!Z10</f>
        <v>-</v>
      </c>
      <c r="I48" s="0" t="n">
        <f aca="false">Helper!AA10</f>
        <v>0</v>
      </c>
      <c r="J48" s="0" t="n">
        <f aca="false">Helper!AB10</f>
        <v>0</v>
      </c>
      <c r="K48" s="0" t="n">
        <f aca="false">Helper!AC10</f>
        <v>0</v>
      </c>
    </row>
    <row r="49" customFormat="false" ht="15" hidden="false" customHeight="true" outlineLevel="0" collapsed="false">
      <c r="A49" s="0" t="n">
        <v>2</v>
      </c>
      <c r="B49" s="0" t="str">
        <f aca="false">Helper!B11</f>
        <v>Zach Zarra</v>
      </c>
      <c r="C49" s="0" t="str">
        <f aca="false">Helper!U11</f>
        <v>-</v>
      </c>
      <c r="D49" s="0" t="str">
        <f aca="false">Helper!V11</f>
        <v>-</v>
      </c>
      <c r="E49" s="0" t="str">
        <f aca="false">Helper!W11</f>
        <v>-</v>
      </c>
      <c r="F49" s="0" t="str">
        <f aca="false">Helper!X11</f>
        <v>-</v>
      </c>
      <c r="G49" s="0" t="str">
        <f aca="false">Helper!Y11</f>
        <v>-</v>
      </c>
      <c r="H49" s="0" t="str">
        <f aca="false">Helper!Z11</f>
        <v>-</v>
      </c>
      <c r="I49" s="0" t="n">
        <f aca="false">Helper!AA11</f>
        <v>0</v>
      </c>
      <c r="J49" s="0" t="n">
        <f aca="false">Helper!AB11</f>
        <v>0</v>
      </c>
      <c r="K49" s="0" t="n">
        <f aca="false">Helper!AC11</f>
        <v>0</v>
      </c>
    </row>
    <row r="50" customFormat="false" ht="15" hidden="false" customHeight="true" outlineLevel="0" collapsed="false">
      <c r="A50" s="0" t="n">
        <v>3</v>
      </c>
      <c r="B50" s="0" t="str">
        <f aca="false">Helper!B12</f>
        <v>Jeffrey Loeser</v>
      </c>
      <c r="C50" s="0" t="str">
        <f aca="false">Helper!U12</f>
        <v>-</v>
      </c>
      <c r="D50" s="0" t="str">
        <f aca="false">Helper!V12</f>
        <v>-</v>
      </c>
      <c r="E50" s="0" t="str">
        <f aca="false">Helper!W12</f>
        <v>-</v>
      </c>
      <c r="F50" s="0" t="str">
        <f aca="false">Helper!X12</f>
        <v>-</v>
      </c>
      <c r="G50" s="0" t="str">
        <f aca="false">Helper!Y12</f>
        <v>-</v>
      </c>
      <c r="H50" s="0" t="str">
        <f aca="false">Helper!Z12</f>
        <v>-</v>
      </c>
      <c r="I50" s="0" t="n">
        <f aca="false">Helper!AA12</f>
        <v>0</v>
      </c>
      <c r="J50" s="0" t="n">
        <f aca="false">Helper!AB12</f>
        <v>0</v>
      </c>
      <c r="K50" s="0" t="n">
        <f aca="false">Helper!AC12</f>
        <v>0</v>
      </c>
    </row>
    <row r="51" customFormat="false" ht="15" hidden="false" customHeight="true" outlineLevel="0" collapsed="false">
      <c r="A51" s="0" t="n">
        <v>4</v>
      </c>
      <c r="B51" s="0" t="str">
        <f aca="false">Helper!B13</f>
        <v>Jake Andrews</v>
      </c>
      <c r="C51" s="0" t="str">
        <f aca="false">Helper!U13</f>
        <v>-</v>
      </c>
      <c r="D51" s="0" t="str">
        <f aca="false">Helper!V13</f>
        <v>-</v>
      </c>
      <c r="E51" s="0" t="str">
        <f aca="false">Helper!W13</f>
        <v>-</v>
      </c>
      <c r="F51" s="0" t="str">
        <f aca="false">Helper!X13</f>
        <v>-</v>
      </c>
      <c r="G51" s="0" t="str">
        <f aca="false">Helper!Y13</f>
        <v>-</v>
      </c>
      <c r="H51" s="0" t="str">
        <f aca="false">Helper!Z13</f>
        <v>-</v>
      </c>
      <c r="I51" s="0" t="n">
        <f aca="false">Helper!AA13</f>
        <v>0</v>
      </c>
      <c r="J51" s="0" t="n">
        <f aca="false">Helper!AB13</f>
        <v>0</v>
      </c>
      <c r="K51" s="0" t="n">
        <f aca="false">Helper!AC13</f>
        <v>0</v>
      </c>
    </row>
    <row r="55" customFormat="false" ht="17.25" hidden="false" customHeight="true" outlineLevel="0" collapsed="false">
      <c r="A55" s="26" t="s">
        <v>235</v>
      </c>
      <c r="B55" s="26"/>
      <c r="C55" s="26"/>
      <c r="D55" s="26"/>
      <c r="E55" s="26"/>
      <c r="F55" s="26"/>
      <c r="G55" s="26"/>
      <c r="H55" s="26"/>
    </row>
    <row r="56" customFormat="false" ht="15" hidden="false" customHeight="true" outlineLevel="0" collapsed="false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customFormat="false" ht="15" hidden="false" customHeight="true" outlineLevel="0" collapsed="false">
      <c r="A57" s="0" t="n">
        <v>1</v>
      </c>
      <c r="B57" s="0" t="str">
        <f aca="false">Helper!B2</f>
        <v>Evan Loeser</v>
      </c>
      <c r="C57" s="0" t="n">
        <f aca="false">Helper!I2</f>
        <v>5</v>
      </c>
      <c r="D57" s="0" t="n">
        <f aca="false">Helper!R2</f>
        <v>0</v>
      </c>
      <c r="E57" s="0" t="n">
        <f aca="false">Helper!AC2</f>
        <v>0</v>
      </c>
      <c r="F57" s="0" t="n">
        <f aca="false">Helper!AE2</f>
        <v>5</v>
      </c>
      <c r="G57" s="0" t="n">
        <f aca="false">Helper!K2</f>
        <v>5.0001</v>
      </c>
      <c r="H57" s="0" t="n">
        <f aca="false">Helper!T2</f>
        <v>0.0001</v>
      </c>
    </row>
    <row r="58" customFormat="false" ht="15" hidden="false" customHeight="true" outlineLevel="0" collapsed="false">
      <c r="A58" s="0" t="n">
        <v>2</v>
      </c>
      <c r="B58" s="0" t="str">
        <f aca="false">Helper!B3</f>
        <v>Chris Simmons</v>
      </c>
      <c r="C58" s="0" t="n">
        <f aca="false">Helper!I3</f>
        <v>9</v>
      </c>
      <c r="D58" s="0" t="n">
        <f aca="false">Helper!R3</f>
        <v>0</v>
      </c>
      <c r="E58" s="0" t="n">
        <f aca="false">Helper!AC3</f>
        <v>0</v>
      </c>
      <c r="F58" s="0" t="n">
        <f aca="false">Helper!AE3</f>
        <v>9</v>
      </c>
      <c r="G58" s="0" t="n">
        <f aca="false">Helper!K3</f>
        <v>9.0002</v>
      </c>
      <c r="H58" s="0" t="n">
        <f aca="false">Helper!T3</f>
        <v>0.0002</v>
      </c>
    </row>
    <row r="59" customFormat="false" ht="15" hidden="false" customHeight="true" outlineLevel="0" collapsed="false">
      <c r="A59" s="0" t="n">
        <v>3</v>
      </c>
      <c r="B59" s="0" t="str">
        <f aca="false">Helper!B4</f>
        <v>Jack Smith</v>
      </c>
      <c r="C59" s="0" t="n">
        <f aca="false">Helper!I4</f>
        <v>11</v>
      </c>
      <c r="D59" s="0" t="n">
        <f aca="false">Helper!R4</f>
        <v>0</v>
      </c>
      <c r="E59" s="0" t="n">
        <f aca="false">Helper!AC4</f>
        <v>0</v>
      </c>
      <c r="F59" s="0" t="n">
        <f aca="false">Helper!AE4</f>
        <v>11</v>
      </c>
      <c r="G59" s="0" t="n">
        <f aca="false">Helper!K4</f>
        <v>11.0003</v>
      </c>
      <c r="H59" s="0" t="n">
        <f aca="false">Helper!T4</f>
        <v>0.0003</v>
      </c>
    </row>
    <row r="60" customFormat="false" ht="15" hidden="false" customHeight="true" outlineLevel="0" collapsed="false">
      <c r="A60" s="0" t="n">
        <v>4</v>
      </c>
      <c r="B60" s="0" t="str">
        <f aca="false">Helper!B5</f>
        <v>Luke Ussery</v>
      </c>
      <c r="C60" s="0" t="n">
        <f aca="false">Helper!I5</f>
        <v>5</v>
      </c>
      <c r="D60" s="0" t="n">
        <f aca="false">Helper!R5</f>
        <v>0</v>
      </c>
      <c r="E60" s="0" t="n">
        <f aca="false">Helper!AC5</f>
        <v>0</v>
      </c>
      <c r="F60" s="0" t="n">
        <f aca="false">Helper!AE5</f>
        <v>5</v>
      </c>
      <c r="G60" s="0" t="n">
        <f aca="false">Helper!K5</f>
        <v>5.0004</v>
      </c>
      <c r="H60" s="0" t="n">
        <f aca="false">Helper!T5</f>
        <v>0.0004</v>
      </c>
    </row>
    <row r="61" customFormat="false" ht="15" hidden="false" customHeight="true" outlineLevel="0" collapsed="false">
      <c r="A61" s="0" t="n">
        <v>5</v>
      </c>
      <c r="B61" s="0" t="str">
        <f aca="false">Helper!B6</f>
        <v>Mikayla Simmons</v>
      </c>
      <c r="C61" s="0" t="n">
        <f aca="false">Helper!I6</f>
        <v>16</v>
      </c>
      <c r="D61" s="0" t="n">
        <f aca="false">Helper!R6</f>
        <v>0</v>
      </c>
      <c r="E61" s="0" t="n">
        <f aca="false">Helper!AC6</f>
        <v>0</v>
      </c>
      <c r="F61" s="0" t="n">
        <f aca="false">Helper!AE6</f>
        <v>16</v>
      </c>
      <c r="G61" s="0" t="n">
        <f aca="false">Helper!K6</f>
        <v>16.0005</v>
      </c>
      <c r="H61" s="0" t="n">
        <f aca="false">Helper!T6</f>
        <v>0.0005</v>
      </c>
    </row>
    <row r="62" customFormat="false" ht="15" hidden="false" customHeight="true" outlineLevel="0" collapsed="false">
      <c r="A62" s="0" t="n">
        <v>6</v>
      </c>
      <c r="B62" s="0" t="str">
        <f aca="false">Helper!B7</f>
        <v>Alan Loeser</v>
      </c>
      <c r="C62" s="0" t="n">
        <f aca="false">Helper!I7</f>
        <v>9</v>
      </c>
      <c r="D62" s="0" t="n">
        <f aca="false">Helper!R7</f>
        <v>0</v>
      </c>
      <c r="E62" s="0" t="n">
        <f aca="false">Helper!AC7</f>
        <v>0</v>
      </c>
      <c r="F62" s="0" t="n">
        <f aca="false">Helper!AE7</f>
        <v>9</v>
      </c>
      <c r="G62" s="0" t="n">
        <f aca="false">Helper!K7</f>
        <v>9.0006</v>
      </c>
      <c r="H62" s="0" t="n">
        <f aca="false">Helper!T7</f>
        <v>0.0006</v>
      </c>
    </row>
    <row r="63" customFormat="false" ht="15" hidden="false" customHeight="true" outlineLevel="0" collapsed="false">
      <c r="A63" s="0" t="n">
        <v>7</v>
      </c>
      <c r="B63" s="0" t="str">
        <f aca="false">Helper!B8</f>
        <v>Caleb Simmons</v>
      </c>
      <c r="C63" s="0" t="n">
        <f aca="false">Helper!I8</f>
        <v>7</v>
      </c>
      <c r="D63" s="0" t="n">
        <f aca="false">Helper!R8</f>
        <v>0</v>
      </c>
      <c r="E63" s="0" t="n">
        <f aca="false">Helper!AC8</f>
        <v>0</v>
      </c>
      <c r="F63" s="0" t="n">
        <f aca="false">Helper!AE8</f>
        <v>7</v>
      </c>
      <c r="G63" s="0" t="n">
        <f aca="false">Helper!K8</f>
        <v>7.0007</v>
      </c>
      <c r="H63" s="0" t="n">
        <f aca="false">Helper!T8</f>
        <v>0.0007</v>
      </c>
    </row>
    <row r="64" customFormat="false" ht="15" hidden="false" customHeight="true" outlineLevel="0" collapsed="false">
      <c r="A64" s="0" t="n">
        <v>8</v>
      </c>
      <c r="B64" s="0" t="str">
        <f aca="false">Helper!B9</f>
        <v>Larry Loeser</v>
      </c>
      <c r="C64" s="0" t="n">
        <f aca="false">Helper!I9</f>
        <v>15</v>
      </c>
      <c r="D64" s="0" t="n">
        <f aca="false">Helper!R9</f>
        <v>0</v>
      </c>
      <c r="E64" s="0" t="n">
        <f aca="false">Helper!AC9</f>
        <v>0</v>
      </c>
      <c r="F64" s="0" t="n">
        <f aca="false">Helper!AE9</f>
        <v>15</v>
      </c>
      <c r="G64" s="0" t="n">
        <f aca="false">Helper!K9</f>
        <v>15.0008</v>
      </c>
      <c r="H64" s="0" t="n">
        <f aca="false">Helper!T9</f>
        <v>0.0008</v>
      </c>
    </row>
    <row r="65" customFormat="false" ht="15" hidden="false" customHeight="true" outlineLevel="0" collapsed="false">
      <c r="A65" s="0" t="n">
        <v>9</v>
      </c>
      <c r="B65" s="0" t="str">
        <f aca="false">Helper!B10</f>
        <v>Daddy Michael</v>
      </c>
      <c r="C65" s="0" t="n">
        <f aca="false">Helper!I10</f>
        <v>11</v>
      </c>
      <c r="D65" s="0" t="n">
        <f aca="false">Helper!R10</f>
        <v>0</v>
      </c>
      <c r="E65" s="0" t="n">
        <f aca="false">Helper!AC10</f>
        <v>0</v>
      </c>
      <c r="F65" s="0" t="n">
        <f aca="false">Helper!AE10</f>
        <v>11</v>
      </c>
      <c r="G65" s="0" t="n">
        <f aca="false">Helper!K10</f>
        <v>11.0009</v>
      </c>
      <c r="H65" s="0" t="n">
        <f aca="false">Helper!T10</f>
        <v>0.0009</v>
      </c>
    </row>
    <row r="66" customFormat="false" ht="15" hidden="false" customHeight="true" outlineLevel="0" collapsed="false">
      <c r="A66" s="0" t="n">
        <v>10</v>
      </c>
      <c r="B66" s="0" t="str">
        <f aca="false">Helper!B11</f>
        <v>Zach Zarra</v>
      </c>
      <c r="C66" s="0" t="n">
        <f aca="false">Helper!I11</f>
        <v>17</v>
      </c>
      <c r="D66" s="0" t="n">
        <f aca="false">Helper!R11</f>
        <v>0</v>
      </c>
      <c r="E66" s="0" t="n">
        <f aca="false">Helper!AC11</f>
        <v>0</v>
      </c>
      <c r="F66" s="0" t="n">
        <f aca="false">Helper!AE11</f>
        <v>17</v>
      </c>
      <c r="G66" s="0" t="n">
        <f aca="false">Helper!K11</f>
        <v>17.001</v>
      </c>
      <c r="H66" s="0" t="n">
        <f aca="false">Helper!T11</f>
        <v>0.001</v>
      </c>
    </row>
    <row r="67" customFormat="false" ht="15" hidden="false" customHeight="true" outlineLevel="0" collapsed="false">
      <c r="A67" s="0" t="n">
        <v>11</v>
      </c>
      <c r="B67" s="0" t="str">
        <f aca="false">Helper!B12</f>
        <v>Jeffrey Loeser</v>
      </c>
      <c r="C67" s="0" t="n">
        <f aca="false">Helper!I12</f>
        <v>16</v>
      </c>
      <c r="D67" s="0" t="n">
        <f aca="false">Helper!R12</f>
        <v>0</v>
      </c>
      <c r="E67" s="0" t="n">
        <f aca="false">Helper!AC12</f>
        <v>0</v>
      </c>
      <c r="F67" s="0" t="n">
        <f aca="false">Helper!AE12</f>
        <v>16</v>
      </c>
      <c r="G67" s="0" t="n">
        <f aca="false">Helper!K12</f>
        <v>16.0011</v>
      </c>
      <c r="H67" s="0" t="n">
        <f aca="false">Helper!T12</f>
        <v>0.0011</v>
      </c>
    </row>
    <row r="68" customFormat="false" ht="15" hidden="false" customHeight="true" outlineLevel="0" collapsed="false">
      <c r="A68" s="0" t="n">
        <v>12</v>
      </c>
      <c r="B68" s="0" t="str">
        <f aca="false">Helper!B13</f>
        <v>Jake Andrews</v>
      </c>
      <c r="C68" s="0" t="n">
        <f aca="false">Helper!I13</f>
        <v>9</v>
      </c>
      <c r="D68" s="0" t="n">
        <f aca="false">Helper!R13</f>
        <v>0</v>
      </c>
      <c r="E68" s="0" t="n">
        <f aca="false">Helper!AC13</f>
        <v>0</v>
      </c>
      <c r="F68" s="0" t="n">
        <f aca="false">Helper!AE13</f>
        <v>9</v>
      </c>
      <c r="G68" s="0" t="n">
        <f aca="false">Helper!K13</f>
        <v>9.0012</v>
      </c>
      <c r="H68" s="0" t="n">
        <f aca="false">Helper!T13</f>
        <v>0.0012</v>
      </c>
    </row>
  </sheetData>
  <mergeCells count="4">
    <mergeCell ref="A1:K1"/>
    <mergeCell ref="A16:K16"/>
    <mergeCell ref="A31:K31"/>
    <mergeCell ref="A55:H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22"/>
  </cols>
  <sheetData>
    <row r="1" customFormat="false" ht="17.25" hidden="false" customHeight="true" outlineLevel="0" collapsed="false">
      <c r="A1" s="27" t="s">
        <v>242</v>
      </c>
    </row>
    <row r="3" customFormat="false" ht="15" hidden="false" customHeight="true" outlineLevel="0" collapsed="false">
      <c r="A3" s="28" t="s">
        <v>243</v>
      </c>
    </row>
    <row r="4" customFormat="false" ht="15" hidden="false" customHeight="true" outlineLevel="0" collapsed="false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9" t="s">
        <v>250</v>
      </c>
    </row>
    <row r="5" customFormat="false" ht="15" hidden="false" customHeight="true" outlineLevel="0" collapsed="false">
      <c r="A5" s="0" t="s">
        <v>251</v>
      </c>
      <c r="B5" s="0" t="str">
        <f aca="false">INDEX(Helper!B$2:B$13,MATCH(MAX(Helper!K$2:K$13),Helper!K$2:K$13,0))</f>
        <v>Zach Zarra</v>
      </c>
      <c r="C5" s="0" t="s">
        <v>252</v>
      </c>
      <c r="D5" s="0" t="s">
        <v>253</v>
      </c>
      <c r="E5" s="0" t="str">
        <f aca="false">B5</f>
        <v>Zach Zarra</v>
      </c>
      <c r="F5" s="0" t="str">
        <f aca="false">IF(B5="","—","QUALIFIED")</f>
        <v>QUALIFIED</v>
      </c>
      <c r="H5" s="0" t="str">
        <f aca="false">INDEX(Helper!B$2:B$5,MATCH(LARGE(Helper!AD$2:AD$5,1),Helper!AD$2:AD$5,0))</f>
        <v>Luke Ussery</v>
      </c>
    </row>
    <row r="6" customFormat="false" ht="15" hidden="false" customHeight="true" outlineLevel="0" collapsed="false">
      <c r="A6" s="0" t="s">
        <v>254</v>
      </c>
      <c r="B6" s="0" t="str">
        <f aca="false">INDEX(Helper!B$2:B$13,MATCH(MAX(Helper!T$2:T$13),Helper!T$2:T$13,0))</f>
        <v>Jake Andrews</v>
      </c>
      <c r="C6" s="0" t="s">
        <v>252</v>
      </c>
      <c r="D6" s="0" t="s">
        <v>255</v>
      </c>
      <c r="E6" s="0" t="str">
        <f aca="false">IF(B6&lt;&gt;$E$5,B6,INDEX(Helper!B$2:B$13,MATCH(LARGE(Helper!T$2:T$13,2),Helper!T$2:T$13,0)))</f>
        <v>Jake Andrews</v>
      </c>
      <c r="F6" s="0" t="str">
        <f aca="false">IF(E6=B6,"QUALIFIED","PASS → "&amp;E6)</f>
        <v>QUALIFIED</v>
      </c>
      <c r="H6" s="0" t="str">
        <f aca="false">INDEX(Helper!B$2:B$5,MATCH(LARGE(Helper!AD$2:AD$5,2),Helper!AD$2:AD$5,0))</f>
        <v>Jack Smith</v>
      </c>
    </row>
    <row r="7" customFormat="false" ht="15" hidden="false" customHeight="true" outlineLevel="0" collapsed="false">
      <c r="A7" s="0" t="s">
        <v>256</v>
      </c>
      <c r="B7" s="0" t="str">
        <f aca="false">H5</f>
        <v>Luke Ussery</v>
      </c>
      <c r="C7" s="0" t="s">
        <v>257</v>
      </c>
      <c r="D7" s="0" t="s">
        <v>7</v>
      </c>
      <c r="E7" s="0" t="str">
        <f aca="false">IF(AND(H5&lt;&gt;$E$5,H5&lt;&gt;$E$6),H5,IF(AND(H6&lt;&gt;$E$5,H6&lt;&gt;$E$6),H6,IF(AND(H7&lt;&gt;$E$5,H7&lt;&gt;$E$6),H7,H8)))</f>
        <v>Luke Ussery</v>
      </c>
      <c r="F7" s="0" t="str">
        <f aca="false">IF(E7=B7,"QUALIFIED","PASS → "&amp;E7)</f>
        <v>QUALIFIED</v>
      </c>
      <c r="H7" s="0" t="str">
        <f aca="false">INDEX(Helper!B$2:B$5,MATCH(LARGE(Helper!AD$2:AD$5,3),Helper!AD$2:AD$5,0))</f>
        <v>Chris Simmons</v>
      </c>
    </row>
    <row r="8" customFormat="false" ht="15" hidden="false" customHeight="true" outlineLevel="0" collapsed="false">
      <c r="A8" s="0" t="s">
        <v>258</v>
      </c>
      <c r="B8" s="0" t="str">
        <f aca="false">H9</f>
        <v>Larry Loeser</v>
      </c>
      <c r="C8" s="0" t="s">
        <v>257</v>
      </c>
      <c r="D8" s="0" t="s">
        <v>13</v>
      </c>
      <c r="E8" s="0" t="str">
        <f aca="false">IF(AND(H9&lt;&gt;$E$5,H9&lt;&gt;$E$6,H9&lt;&gt;$E$7),H9,IF(AND(H10&lt;&gt;$E$5,H10&lt;&gt;$E$6,H10&lt;&gt;$E$7),H10,IF(AND(H11&lt;&gt;$E$5,H11&lt;&gt;$E$6,H11&lt;&gt;$E$7),H11,H12)))</f>
        <v>Larry Loeser</v>
      </c>
      <c r="F8" s="0" t="str">
        <f aca="false">IF(E8=B8,"QUALIFIED","PASS → "&amp;E8)</f>
        <v>QUALIFIED</v>
      </c>
      <c r="H8" s="0" t="str">
        <f aca="false">INDEX(Helper!B$2:B$5,MATCH(LARGE(Helper!AD$2:AD$5,4),Helper!AD$2:AD$5,0))</f>
        <v>Evan Loeser</v>
      </c>
    </row>
    <row r="9" customFormat="false" ht="15" hidden="false" customHeight="true" outlineLevel="0" collapsed="false">
      <c r="A9" s="0" t="s">
        <v>259</v>
      </c>
      <c r="B9" s="0" t="str">
        <f aca="false">H13</f>
        <v>Jake Andrews</v>
      </c>
      <c r="C9" s="0" t="s">
        <v>257</v>
      </c>
      <c r="D9" s="0" t="s">
        <v>19</v>
      </c>
      <c r="E9" s="0" t="str">
        <f aca="false"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s="0" t="str">
        <f aca="false">IF(E9=B9,"QUALIFIED","PASS → "&amp;E9)</f>
        <v>PASS → Jeffrey Loeser</v>
      </c>
      <c r="H9" s="0" t="str">
        <f aca="false">INDEX(Helper!B$6:B$9,MATCH(LARGE(Helper!AD$6:AD$9,1),Helper!AD$6:AD$9,0))</f>
        <v>Larry Loeser</v>
      </c>
    </row>
    <row r="10" customFormat="false" ht="15" hidden="false" customHeight="true" outlineLevel="0" collapsed="false">
      <c r="H10" s="0" t="str">
        <f aca="false">INDEX(Helper!B$6:B$9,MATCH(LARGE(Helper!AD$6:AD$9,2),Helper!AD$6:AD$9,0))</f>
        <v>Caleb Simmons</v>
      </c>
    </row>
    <row r="11" customFormat="false" ht="15" hidden="false" customHeight="true" outlineLevel="0" collapsed="false">
      <c r="A11" s="28" t="s">
        <v>260</v>
      </c>
      <c r="H11" s="0" t="str">
        <f aca="false">INDEX(Helper!B$6:B$9,MATCH(LARGE(Helper!AD$6:AD$9,3),Helper!AD$6:AD$9,0))</f>
        <v>Alan Loeser</v>
      </c>
    </row>
    <row r="12" customFormat="false" ht="15" hidden="false" customHeight="true" outlineLevel="0" collapsed="false">
      <c r="A12" s="2" t="s">
        <v>244</v>
      </c>
      <c r="B12" s="2" t="s">
        <v>207</v>
      </c>
      <c r="C12" s="2" t="s">
        <v>261</v>
      </c>
      <c r="D12" s="2" t="s">
        <v>247</v>
      </c>
      <c r="H12" s="0" t="str">
        <f aca="false">INDEX(Helper!B$6:B$9,MATCH(LARGE(Helper!AD$6:AD$9,4),Helper!AD$6:AD$9,0))</f>
        <v>Mikayla Simmons</v>
      </c>
    </row>
    <row r="13" customFormat="false" ht="15" hidden="false" customHeight="true" outlineLevel="0" collapsed="false">
      <c r="A13" s="0" t="s">
        <v>262</v>
      </c>
      <c r="B13" s="0" t="str">
        <f aca="false">INDEX(H$40:H$51,MATCH(MAX(K$40:K$51),K$40:K$51,0))</f>
        <v>Mikayla Simmons</v>
      </c>
      <c r="C13" s="0" t="n">
        <f aca="false">INDEX(I$40:I$51,MATCH(MAX(K$40:K$51),K$40:K$51,0))</f>
        <v>16</v>
      </c>
      <c r="D13" s="0" t="s">
        <v>263</v>
      </c>
      <c r="H13" s="0" t="str">
        <f aca="false">INDEX(Helper!B$10:B$13,MATCH(LARGE(Helper!AD$10:AD$13,1),Helper!AD$10:AD$13,0))</f>
        <v>Jake Andrews</v>
      </c>
    </row>
    <row r="14" customFormat="false" ht="15" hidden="false" customHeight="true" outlineLevel="0" collapsed="false">
      <c r="H14" s="0" t="str">
        <f aca="false">INDEX(Helper!B$10:B$13,MATCH(LARGE(Helper!AD$10:AD$13,2),Helper!AD$10:AD$13,0))</f>
        <v>Jeffrey Loeser</v>
      </c>
    </row>
    <row r="15" customFormat="false" ht="15" hidden="false" customHeight="true" outlineLevel="0" collapsed="false">
      <c r="A15" s="28" t="s">
        <v>264</v>
      </c>
      <c r="H15" s="0" t="str">
        <f aca="false">INDEX(Helper!B$10:B$13,MATCH(LARGE(Helper!AD$10:AD$13,3),Helper!AD$10:AD$13,0))</f>
        <v>Zach Zarra</v>
      </c>
    </row>
    <row r="16" customFormat="false" ht="15" hidden="false" customHeight="true" outlineLevel="0" collapsed="false">
      <c r="A16" s="2" t="s">
        <v>27</v>
      </c>
      <c r="B16" s="2" t="s">
        <v>207</v>
      </c>
      <c r="C16" s="2" t="s">
        <v>265</v>
      </c>
      <c r="H16" s="0" t="str">
        <f aca="false">INDEX(Helper!B$10:B$13,MATCH(LARGE(Helper!AD$10:AD$13,4),Helper!AD$10:AD$13,0))</f>
        <v>Daddy Michael</v>
      </c>
    </row>
    <row r="17" customFormat="false" ht="15" hidden="false" customHeight="true" outlineLevel="0" collapsed="false">
      <c r="A17" s="0" t="n">
        <v>1</v>
      </c>
      <c r="B17" s="0" t="str">
        <f aca="false">E5</f>
        <v>Zach Zarra</v>
      </c>
      <c r="C17" s="0" t="str">
        <f aca="false">D5</f>
        <v>Weeks 1-6</v>
      </c>
    </row>
    <row r="18" customFormat="false" ht="15" hidden="false" customHeight="true" outlineLevel="0" collapsed="false">
      <c r="A18" s="0" t="n">
        <v>2</v>
      </c>
      <c r="B18" s="0" t="str">
        <f aca="false">E6</f>
        <v>Jake Andrews</v>
      </c>
      <c r="C18" s="0" t="str">
        <f aca="false">D6</f>
        <v>Weeks 7-12</v>
      </c>
    </row>
    <row r="19" customFormat="false" ht="15" hidden="false" customHeight="true" outlineLevel="0" collapsed="false">
      <c r="A19" s="0" t="n">
        <v>3</v>
      </c>
      <c r="B19" s="0" t="str">
        <f aca="false">E7</f>
        <v>Luke Ussery</v>
      </c>
      <c r="C19" s="0" t="str">
        <f aca="false">"Div A"</f>
        <v>Div A</v>
      </c>
    </row>
    <row r="20" customFormat="false" ht="15" hidden="false" customHeight="true" outlineLevel="0" collapsed="false">
      <c r="A20" s="0" t="n">
        <v>4</v>
      </c>
      <c r="B20" s="0" t="str">
        <f aca="false">E8</f>
        <v>Larry Loeser</v>
      </c>
      <c r="C20" s="0" t="str">
        <f aca="false">"Div B"</f>
        <v>Div B</v>
      </c>
    </row>
    <row r="21" customFormat="false" ht="15" hidden="false" customHeight="true" outlineLevel="0" collapsed="false">
      <c r="A21" s="0" t="n">
        <v>5</v>
      </c>
      <c r="B21" s="0" t="str">
        <f aca="false">E9</f>
        <v>Jeffrey Loeser</v>
      </c>
      <c r="C21" s="0" t="str">
        <f aca="false">"Div C"</f>
        <v>Div C</v>
      </c>
    </row>
    <row r="22" customFormat="false" ht="15" hidden="false" customHeight="true" outlineLevel="0" collapsed="false">
      <c r="A22" s="0" t="n">
        <v>6</v>
      </c>
      <c r="B22" s="0" t="str">
        <f aca="false">B13</f>
        <v>Mikayla Simmons</v>
      </c>
      <c r="C22" s="0" t="str">
        <f aca="false">"Wild Card 1"</f>
        <v>Wild Card 1</v>
      </c>
    </row>
    <row r="24" customFormat="false" ht="15" hidden="false" customHeight="true" outlineLevel="0" collapsed="false">
      <c r="A24" s="28" t="s">
        <v>266</v>
      </c>
    </row>
    <row r="25" customFormat="false" ht="15" hidden="false" customHeight="true" outlineLevel="0" collapsed="false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customFormat="false" ht="15" hidden="false" customHeight="true" outlineLevel="0" collapsed="false">
      <c r="A26" s="0" t="n">
        <v>1</v>
      </c>
      <c r="B26" s="0" t="str">
        <f aca="false">Roster!B3</f>
        <v>Evan Loeser</v>
      </c>
      <c r="C26" s="0" t="n">
        <f aca="false">IF(Roster!$B$16&gt;=7,IF(Roster!B3=$B$5,25,0),0)+IF(Roster!$B$16&gt;=13,IF(Roster!B3=$B$6,25,0),0)</f>
        <v>0</v>
      </c>
      <c r="D26" s="0" t="n">
        <f aca="false">IF(Roster!$B$16&gt;=19,IF(Roster!B3=$B$7,10,0)+IF(Roster!B3=$B$8,10,0)+IF(Roster!B3=$B$9,10,0),0)</f>
        <v>0</v>
      </c>
      <c r="E26" s="0" t="n">
        <f aca="false">IF(Roster!$B$16&gt;=23,IF(Roster!B3='Playoff Finals'!$B$13,150,IF(Roster!B3='Playoff Finals'!$B$14,45,IF(Roster!B3='Playoff Finals'!$B$15,25,0))),0)</f>
        <v>0</v>
      </c>
      <c r="F26" s="0" t="n">
        <f aca="false">C26+D26+E26</f>
        <v>0</v>
      </c>
    </row>
    <row r="27" customFormat="false" ht="15" hidden="false" customHeight="true" outlineLevel="0" collapsed="false">
      <c r="A27" s="0" t="n">
        <v>2</v>
      </c>
      <c r="B27" s="0" t="str">
        <f aca="false">Roster!B4</f>
        <v>Chris Simmons</v>
      </c>
      <c r="C27" s="0" t="n">
        <f aca="false">IF(Roster!$B$16&gt;=7,IF(Roster!B4=$B$5,25,0),0)+IF(Roster!$B$16&gt;=13,IF(Roster!B4=$B$6,25,0),0)</f>
        <v>0</v>
      </c>
      <c r="D27" s="0" t="n">
        <f aca="false">IF(Roster!$B$16&gt;=19,IF(Roster!B4=$B$7,10,0)+IF(Roster!B4=$B$8,10,0)+IF(Roster!B4=$B$9,10,0),0)</f>
        <v>0</v>
      </c>
      <c r="E27" s="0" t="n">
        <f aca="false">IF(Roster!$B$16&gt;=23,IF(Roster!B4='Playoff Finals'!$B$13,150,IF(Roster!B4='Playoff Finals'!$B$14,45,IF(Roster!B4='Playoff Finals'!$B$15,25,0))),0)</f>
        <v>0</v>
      </c>
      <c r="F27" s="0" t="n">
        <f aca="false">C27+D27+E27</f>
        <v>0</v>
      </c>
    </row>
    <row r="28" customFormat="false" ht="15" hidden="false" customHeight="true" outlineLevel="0" collapsed="false">
      <c r="A28" s="0" t="n">
        <v>3</v>
      </c>
      <c r="B28" s="0" t="str">
        <f aca="false">Roster!B5</f>
        <v>Jack Smith</v>
      </c>
      <c r="C28" s="0" t="n">
        <f aca="false">IF(Roster!$B$16&gt;=7,IF(Roster!B5=$B$5,25,0),0)+IF(Roster!$B$16&gt;=13,IF(Roster!B5=$B$6,25,0),0)</f>
        <v>0</v>
      </c>
      <c r="D28" s="0" t="n">
        <f aca="false">IF(Roster!$B$16&gt;=19,IF(Roster!B5=$B$7,10,0)+IF(Roster!B5=$B$8,10,0)+IF(Roster!B5=$B$9,10,0),0)</f>
        <v>0</v>
      </c>
      <c r="E28" s="0" t="n">
        <f aca="false">IF(Roster!$B$16&gt;=23,IF(Roster!B5='Playoff Finals'!$B$13,150,IF(Roster!B5='Playoff Finals'!$B$14,45,IF(Roster!B5='Playoff Finals'!$B$15,25,0))),0)</f>
        <v>0</v>
      </c>
      <c r="F28" s="0" t="n">
        <f aca="false">C28+D28+E28</f>
        <v>0</v>
      </c>
    </row>
    <row r="29" customFormat="false" ht="15" hidden="false" customHeight="true" outlineLevel="0" collapsed="false">
      <c r="A29" s="0" t="n">
        <v>4</v>
      </c>
      <c r="B29" s="0" t="str">
        <f aca="false">Roster!B6</f>
        <v>Luke Ussery</v>
      </c>
      <c r="C29" s="0" t="n">
        <f aca="false">IF(Roster!$B$16&gt;=7,IF(Roster!B6=$B$5,25,0),0)+IF(Roster!$B$16&gt;=13,IF(Roster!B6=$B$6,25,0),0)</f>
        <v>0</v>
      </c>
      <c r="D29" s="0" t="n">
        <f aca="false">IF(Roster!$B$16&gt;=19,IF(Roster!B6=$B$7,10,0)+IF(Roster!B6=$B$8,10,0)+IF(Roster!B6=$B$9,10,0),0)</f>
        <v>0</v>
      </c>
      <c r="E29" s="0" t="n">
        <f aca="false">IF(Roster!$B$16&gt;=23,IF(Roster!B6='Playoff Finals'!$B$13,150,IF(Roster!B6='Playoff Finals'!$B$14,45,IF(Roster!B6='Playoff Finals'!$B$15,25,0))),0)</f>
        <v>0</v>
      </c>
      <c r="F29" s="0" t="n">
        <f aca="false">C29+D29+E29</f>
        <v>0</v>
      </c>
    </row>
    <row r="30" customFormat="false" ht="15" hidden="false" customHeight="true" outlineLevel="0" collapsed="false">
      <c r="A30" s="0" t="n">
        <v>5</v>
      </c>
      <c r="B30" s="0" t="str">
        <f aca="false">Roster!B7</f>
        <v>Mikayla Simmons</v>
      </c>
      <c r="C30" s="0" t="n">
        <f aca="false">IF(Roster!$B$16&gt;=7,IF(Roster!B7=$B$5,25,0),0)+IF(Roster!$B$16&gt;=13,IF(Roster!B7=$B$6,25,0),0)</f>
        <v>0</v>
      </c>
      <c r="D30" s="0" t="n">
        <f aca="false">IF(Roster!$B$16&gt;=19,IF(Roster!B7=$B$7,10,0)+IF(Roster!B7=$B$8,10,0)+IF(Roster!B7=$B$9,10,0),0)</f>
        <v>0</v>
      </c>
      <c r="E30" s="0" t="n">
        <f aca="false">IF(Roster!$B$16&gt;=23,IF(Roster!B7='Playoff Finals'!$B$13,150,IF(Roster!B7='Playoff Finals'!$B$14,45,IF(Roster!B7='Playoff Finals'!$B$15,25,0))),0)</f>
        <v>0</v>
      </c>
      <c r="F30" s="0" t="n">
        <f aca="false">C30+D30+E30</f>
        <v>0</v>
      </c>
    </row>
    <row r="31" customFormat="false" ht="15" hidden="false" customHeight="true" outlineLevel="0" collapsed="false">
      <c r="A31" s="0" t="n">
        <v>6</v>
      </c>
      <c r="B31" s="0" t="str">
        <f aca="false">Roster!B8</f>
        <v>Alan Loeser</v>
      </c>
      <c r="C31" s="0" t="n">
        <f aca="false">IF(Roster!$B$16&gt;=7,IF(Roster!B8=$B$5,25,0),0)+IF(Roster!$B$16&gt;=13,IF(Roster!B8=$B$6,25,0),0)</f>
        <v>0</v>
      </c>
      <c r="D31" s="0" t="n">
        <f aca="false">IF(Roster!$B$16&gt;=19,IF(Roster!B8=$B$7,10,0)+IF(Roster!B8=$B$8,10,0)+IF(Roster!B8=$B$9,10,0),0)</f>
        <v>0</v>
      </c>
      <c r="E31" s="0" t="n">
        <f aca="false">IF(Roster!$B$16&gt;=23,IF(Roster!B8='Playoff Finals'!$B$13,150,IF(Roster!B8='Playoff Finals'!$B$14,45,IF(Roster!B8='Playoff Finals'!$B$15,25,0))),0)</f>
        <v>0</v>
      </c>
      <c r="F31" s="0" t="n">
        <f aca="false">C31+D31+E31</f>
        <v>0</v>
      </c>
    </row>
    <row r="32" customFormat="false" ht="15" hidden="false" customHeight="true" outlineLevel="0" collapsed="false">
      <c r="A32" s="0" t="n">
        <v>7</v>
      </c>
      <c r="B32" s="0" t="str">
        <f aca="false">Roster!B9</f>
        <v>Caleb Simmons</v>
      </c>
      <c r="C32" s="0" t="n">
        <f aca="false">IF(Roster!$B$16&gt;=7,IF(Roster!B9=$B$5,25,0),0)+IF(Roster!$B$16&gt;=13,IF(Roster!B9=$B$6,25,0),0)</f>
        <v>0</v>
      </c>
      <c r="D32" s="0" t="n">
        <f aca="false">IF(Roster!$B$16&gt;=19,IF(Roster!B9=$B$7,10,0)+IF(Roster!B9=$B$8,10,0)+IF(Roster!B9=$B$9,10,0),0)</f>
        <v>0</v>
      </c>
      <c r="E32" s="0" t="n">
        <f aca="false">IF(Roster!$B$16&gt;=23,IF(Roster!B9='Playoff Finals'!$B$13,150,IF(Roster!B9='Playoff Finals'!$B$14,45,IF(Roster!B9='Playoff Finals'!$B$15,25,0))),0)</f>
        <v>0</v>
      </c>
      <c r="F32" s="0" t="n">
        <f aca="false">C32+D32+E32</f>
        <v>0</v>
      </c>
    </row>
    <row r="33" customFormat="false" ht="15" hidden="false" customHeight="true" outlineLevel="0" collapsed="false">
      <c r="A33" s="0" t="n">
        <v>8</v>
      </c>
      <c r="B33" s="0" t="str">
        <f aca="false">Roster!B10</f>
        <v>Larry Loeser</v>
      </c>
      <c r="C33" s="0" t="n">
        <f aca="false">IF(Roster!$B$16&gt;=7,IF(Roster!B10=$B$5,25,0),0)+IF(Roster!$B$16&gt;=13,IF(Roster!B10=$B$6,25,0),0)</f>
        <v>0</v>
      </c>
      <c r="D33" s="0" t="n">
        <f aca="false">IF(Roster!$B$16&gt;=19,IF(Roster!B10=$B$7,10,0)+IF(Roster!B10=$B$8,10,0)+IF(Roster!B10=$B$9,10,0),0)</f>
        <v>0</v>
      </c>
      <c r="E33" s="0" t="n">
        <f aca="false">IF(Roster!$B$16&gt;=23,IF(Roster!B10='Playoff Finals'!$B$13,150,IF(Roster!B10='Playoff Finals'!$B$14,45,IF(Roster!B10='Playoff Finals'!$B$15,25,0))),0)</f>
        <v>0</v>
      </c>
      <c r="F33" s="0" t="n">
        <f aca="false">C33+D33+E33</f>
        <v>0</v>
      </c>
    </row>
    <row r="34" customFormat="false" ht="15" hidden="false" customHeight="true" outlineLevel="0" collapsed="false">
      <c r="A34" s="0" t="n">
        <v>9</v>
      </c>
      <c r="B34" s="0" t="str">
        <f aca="false">Roster!B11</f>
        <v>Daddy Michael</v>
      </c>
      <c r="C34" s="0" t="n">
        <f aca="false">IF(Roster!$B$16&gt;=7,IF(Roster!B11=$B$5,25,0),0)+IF(Roster!$B$16&gt;=13,IF(Roster!B11=$B$6,25,0),0)</f>
        <v>0</v>
      </c>
      <c r="D34" s="0" t="n">
        <f aca="false">IF(Roster!$B$16&gt;=19,IF(Roster!B11=$B$7,10,0)+IF(Roster!B11=$B$8,10,0)+IF(Roster!B11=$B$9,10,0),0)</f>
        <v>0</v>
      </c>
      <c r="E34" s="0" t="n">
        <f aca="false">IF(Roster!$B$16&gt;=23,IF(Roster!B11='Playoff Finals'!$B$13,150,IF(Roster!B11='Playoff Finals'!$B$14,45,IF(Roster!B11='Playoff Finals'!$B$15,25,0))),0)</f>
        <v>0</v>
      </c>
      <c r="F34" s="0" t="n">
        <f aca="false">C34+D34+E34</f>
        <v>0</v>
      </c>
    </row>
    <row r="35" customFormat="false" ht="15" hidden="false" customHeight="true" outlineLevel="0" collapsed="false">
      <c r="A35" s="0" t="n">
        <v>10</v>
      </c>
      <c r="B35" s="0" t="str">
        <f aca="false">Roster!B12</f>
        <v>Zach Zarra</v>
      </c>
      <c r="C35" s="0" t="n">
        <f aca="false">IF(Roster!$B$16&gt;=7,IF(Roster!B12=$B$5,25,0),0)+IF(Roster!$B$16&gt;=13,IF(Roster!B12=$B$6,25,0),0)</f>
        <v>0</v>
      </c>
      <c r="D35" s="0" t="n">
        <f aca="false">IF(Roster!$B$16&gt;=19,IF(Roster!B12=$B$7,10,0)+IF(Roster!B12=$B$8,10,0)+IF(Roster!B12=$B$9,10,0),0)</f>
        <v>0</v>
      </c>
      <c r="E35" s="0" t="n">
        <f aca="false">IF(Roster!$B$16&gt;=23,IF(Roster!B12='Playoff Finals'!$B$13,150,IF(Roster!B12='Playoff Finals'!$B$14,45,IF(Roster!B12='Playoff Finals'!$B$15,25,0))),0)</f>
        <v>0</v>
      </c>
      <c r="F35" s="0" t="n">
        <f aca="false">C35+D35+E35</f>
        <v>0</v>
      </c>
    </row>
    <row r="36" customFormat="false" ht="15" hidden="false" customHeight="true" outlineLevel="0" collapsed="false">
      <c r="A36" s="0" t="n">
        <v>11</v>
      </c>
      <c r="B36" s="0" t="str">
        <f aca="false">Roster!B13</f>
        <v>Jeffrey Loeser</v>
      </c>
      <c r="C36" s="0" t="n">
        <f aca="false">IF(Roster!$B$16&gt;=7,IF(Roster!B13=$B$5,25,0),0)+IF(Roster!$B$16&gt;=13,IF(Roster!B13=$B$6,25,0),0)</f>
        <v>0</v>
      </c>
      <c r="D36" s="0" t="n">
        <f aca="false">IF(Roster!$B$16&gt;=19,IF(Roster!B13=$B$7,10,0)+IF(Roster!B13=$B$8,10,0)+IF(Roster!B13=$B$9,10,0),0)</f>
        <v>0</v>
      </c>
      <c r="E36" s="0" t="n">
        <f aca="false">IF(Roster!$B$16&gt;=23,IF(Roster!B13='Playoff Finals'!$B$13,150,IF(Roster!B13='Playoff Finals'!$B$14,45,IF(Roster!B13='Playoff Finals'!$B$15,25,0))),0)</f>
        <v>0</v>
      </c>
      <c r="F36" s="0" t="n">
        <f aca="false">C36+D36+E36</f>
        <v>0</v>
      </c>
    </row>
    <row r="37" customFormat="false" ht="15" hidden="false" customHeight="true" outlineLevel="0" collapsed="false">
      <c r="A37" s="0" t="n">
        <v>12</v>
      </c>
      <c r="B37" s="0" t="str">
        <f aca="false">Roster!B14</f>
        <v>Jake Andrews</v>
      </c>
      <c r="C37" s="0" t="n">
        <f aca="false">IF(Roster!$B$16&gt;=7,IF(Roster!B14=$B$5,25,0),0)+IF(Roster!$B$16&gt;=13,IF(Roster!B14=$B$6,25,0),0)</f>
        <v>0</v>
      </c>
      <c r="D37" s="0" t="n">
        <f aca="false">IF(Roster!$B$16&gt;=19,IF(Roster!B14=$B$7,10,0)+IF(Roster!B14=$B$8,10,0)+IF(Roster!B14=$B$9,10,0),0)</f>
        <v>0</v>
      </c>
      <c r="E37" s="0" t="n">
        <f aca="false">IF(Roster!$B$16&gt;=23,IF(Roster!B14='Playoff Finals'!$B$13,150,IF(Roster!B14='Playoff Finals'!$B$14,45,IF(Roster!B14='Playoff Finals'!$B$15,25,0))),0)</f>
        <v>0</v>
      </c>
      <c r="F37" s="0" t="n">
        <f aca="false">C37+D37+E37</f>
        <v>0</v>
      </c>
    </row>
    <row r="38" customFormat="false" ht="15" hidden="false" customHeight="true" outlineLevel="0" collapsed="false">
      <c r="A38" s="0" t="s">
        <v>271</v>
      </c>
      <c r="C38" s="0" t="n">
        <f aca="false">SUM(C26:C37)</f>
        <v>0</v>
      </c>
      <c r="D38" s="0" t="n">
        <f aca="false">SUM(D26:D37)</f>
        <v>0</v>
      </c>
      <c r="E38" s="0" t="n">
        <f aca="false">SUM(E26:E37)</f>
        <v>0</v>
      </c>
      <c r="F38" s="0" t="n">
        <f aca="false">SUM(F26:F37)</f>
        <v>0</v>
      </c>
    </row>
    <row r="39" customFormat="false" ht="15" hidden="false" customHeight="true" outlineLevel="0" collapsed="false">
      <c r="H39" s="29" t="s">
        <v>272</v>
      </c>
    </row>
    <row r="40" customFormat="false" ht="15" hidden="false" customHeight="true" outlineLevel="0" collapsed="false">
      <c r="H40" s="0" t="str">
        <f aca="false">Roster!B3</f>
        <v>Evan Loeser</v>
      </c>
      <c r="I40" s="0" t="n">
        <f aca="false">Helper!AE2</f>
        <v>5</v>
      </c>
      <c r="J40" s="30" t="b">
        <f aca="false">OR(H40=$E$5,H40=$E$6,H40=$E$7,H40=$E$8,H40=$E$9)</f>
        <v>0</v>
      </c>
      <c r="K40" s="4" t="n">
        <f aca="false">IF(J40,-1,I40+0.00001)</f>
        <v>5.00001</v>
      </c>
    </row>
    <row r="41" customFormat="false" ht="15" hidden="false" customHeight="true" outlineLevel="0" collapsed="false">
      <c r="H41" s="0" t="str">
        <f aca="false">Roster!B4</f>
        <v>Chris Simmons</v>
      </c>
      <c r="I41" s="0" t="n">
        <f aca="false">Helper!AE3</f>
        <v>9</v>
      </c>
      <c r="J41" s="30" t="b">
        <f aca="false">OR(H41=$E$5,H41=$E$6,H41=$E$7,H41=$E$8,H41=$E$9)</f>
        <v>0</v>
      </c>
      <c r="K41" s="4" t="n">
        <f aca="false">IF(J41,-1,I41+0.00002)</f>
        <v>9.00002</v>
      </c>
    </row>
    <row r="42" customFormat="false" ht="15" hidden="false" customHeight="true" outlineLevel="0" collapsed="false">
      <c r="H42" s="0" t="str">
        <f aca="false">Roster!B5</f>
        <v>Jack Smith</v>
      </c>
      <c r="I42" s="0" t="n">
        <f aca="false">Helper!AE4</f>
        <v>11</v>
      </c>
      <c r="J42" s="30" t="b">
        <f aca="false">OR(H42=$E$5,H42=$E$6,H42=$E$7,H42=$E$8,H42=$E$9)</f>
        <v>0</v>
      </c>
      <c r="K42" s="4" t="n">
        <f aca="false">IF(J42,-1,I42+0.00003)</f>
        <v>11.00003</v>
      </c>
    </row>
    <row r="43" customFormat="false" ht="15" hidden="false" customHeight="true" outlineLevel="0" collapsed="false">
      <c r="H43" s="0" t="str">
        <f aca="false">Roster!B6</f>
        <v>Luke Ussery</v>
      </c>
      <c r="I43" s="0" t="n">
        <f aca="false">Helper!AE5</f>
        <v>5</v>
      </c>
      <c r="J43" s="30" t="b">
        <f aca="false">OR(H43=$E$5,H43=$E$6,H43=$E$7,H43=$E$8,H43=$E$9)</f>
        <v>1</v>
      </c>
      <c r="K43" s="4" t="n">
        <f aca="false">IF(J43,-1,I43+0.00004)</f>
        <v>-1</v>
      </c>
    </row>
    <row r="44" customFormat="false" ht="15" hidden="false" customHeight="true" outlineLevel="0" collapsed="false">
      <c r="H44" s="0" t="str">
        <f aca="false">Roster!B7</f>
        <v>Mikayla Simmons</v>
      </c>
      <c r="I44" s="0" t="n">
        <f aca="false">Helper!AE6</f>
        <v>16</v>
      </c>
      <c r="J44" s="30" t="b">
        <f aca="false">OR(H44=$E$5,H44=$E$6,H44=$E$7,H44=$E$8,H44=$E$9)</f>
        <v>0</v>
      </c>
      <c r="K44" s="4" t="n">
        <f aca="false">IF(J44,-1,I44+0.00005)</f>
        <v>16.00005</v>
      </c>
    </row>
    <row r="45" customFormat="false" ht="15" hidden="false" customHeight="true" outlineLevel="0" collapsed="false">
      <c r="H45" s="0" t="str">
        <f aca="false">Roster!B8</f>
        <v>Alan Loeser</v>
      </c>
      <c r="I45" s="0" t="n">
        <f aca="false">Helper!AE7</f>
        <v>9</v>
      </c>
      <c r="J45" s="30" t="b">
        <f aca="false">OR(H45=$E$5,H45=$E$6,H45=$E$7,H45=$E$8,H45=$E$9)</f>
        <v>0</v>
      </c>
      <c r="K45" s="4" t="n">
        <f aca="false">IF(J45,-1,I45+0.00006)</f>
        <v>9.00006</v>
      </c>
    </row>
    <row r="46" customFormat="false" ht="15" hidden="false" customHeight="true" outlineLevel="0" collapsed="false">
      <c r="H46" s="0" t="str">
        <f aca="false">Roster!B9</f>
        <v>Caleb Simmons</v>
      </c>
      <c r="I46" s="0" t="n">
        <f aca="false">Helper!AE8</f>
        <v>7</v>
      </c>
      <c r="J46" s="30" t="b">
        <f aca="false">OR(H46=$E$5,H46=$E$6,H46=$E$7,H46=$E$8,H46=$E$9)</f>
        <v>0</v>
      </c>
      <c r="K46" s="4" t="n">
        <f aca="false">IF(J46,-1,I46+0.00007)</f>
        <v>7.00007</v>
      </c>
    </row>
    <row r="47" customFormat="false" ht="15" hidden="false" customHeight="true" outlineLevel="0" collapsed="false">
      <c r="H47" s="0" t="str">
        <f aca="false">Roster!B10</f>
        <v>Larry Loeser</v>
      </c>
      <c r="I47" s="0" t="n">
        <f aca="false">Helper!AE9</f>
        <v>15</v>
      </c>
      <c r="J47" s="30" t="b">
        <f aca="false">OR(H47=$E$5,H47=$E$6,H47=$E$7,H47=$E$8,H47=$E$9)</f>
        <v>1</v>
      </c>
      <c r="K47" s="4" t="n">
        <f aca="false">IF(J47,-1,I47+0.00008)</f>
        <v>-1</v>
      </c>
    </row>
    <row r="48" customFormat="false" ht="15" hidden="false" customHeight="true" outlineLevel="0" collapsed="false">
      <c r="H48" s="0" t="str">
        <f aca="false">Roster!B11</f>
        <v>Daddy Michael</v>
      </c>
      <c r="I48" s="0" t="n">
        <f aca="false">Helper!AE10</f>
        <v>11</v>
      </c>
      <c r="J48" s="30" t="b">
        <f aca="false">OR(H48=$E$5,H48=$E$6,H48=$E$7,H48=$E$8,H48=$E$9)</f>
        <v>0</v>
      </c>
      <c r="K48" s="4" t="n">
        <f aca="false">IF(J48,-1,I48+0.00009)</f>
        <v>11.00009</v>
      </c>
    </row>
    <row r="49" customFormat="false" ht="15" hidden="false" customHeight="true" outlineLevel="0" collapsed="false">
      <c r="H49" s="0" t="str">
        <f aca="false">Roster!B12</f>
        <v>Zach Zarra</v>
      </c>
      <c r="I49" s="0" t="n">
        <f aca="false">Helper!AE11</f>
        <v>17</v>
      </c>
      <c r="J49" s="30" t="b">
        <f aca="false">OR(H49=$E$5,H49=$E$6,H49=$E$7,H49=$E$8,H49=$E$9)</f>
        <v>1</v>
      </c>
      <c r="K49" s="4" t="n">
        <f aca="false">IF(J49,-1,I49+0.0001)</f>
        <v>-1</v>
      </c>
    </row>
    <row r="50" customFormat="false" ht="15" hidden="false" customHeight="true" outlineLevel="0" collapsed="false">
      <c r="H50" s="0" t="str">
        <f aca="false">Roster!B13</f>
        <v>Jeffrey Loeser</v>
      </c>
      <c r="I50" s="0" t="n">
        <f aca="false">Helper!AE12</f>
        <v>16</v>
      </c>
      <c r="J50" s="30" t="b">
        <f aca="false">OR(H50=$E$5,H50=$E$6,H50=$E$7,H50=$E$8,H50=$E$9)</f>
        <v>1</v>
      </c>
      <c r="K50" s="4" t="n">
        <f aca="false">IF(J50,-1,I50+0.00011)</f>
        <v>-1</v>
      </c>
    </row>
    <row r="51" customFormat="false" ht="15" hidden="false" customHeight="true" outlineLevel="0" collapsed="false">
      <c r="H51" s="0" t="str">
        <f aca="false">Roster!B14</f>
        <v>Jake Andrews</v>
      </c>
      <c r="I51" s="0" t="n">
        <f aca="false">Helper!AE13</f>
        <v>9</v>
      </c>
      <c r="J51" s="30" t="b">
        <f aca="false">OR(H51=$E$5,H51=$E$6,H51=$E$7,H51=$E$8,H51=$E$9)</f>
        <v>1</v>
      </c>
      <c r="K51" s="4" t="n">
        <f aca="false">IF(J51,-1,I51+0.00012)</f>
        <v>-1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8.71484375" defaultRowHeight="15" zeroHeight="false" outlineLevelRow="0" outlineLevelCol="0"/>
  <cols>
    <col collapsed="false" customWidth="true" hidden="false" outlineLevel="0" max="8" min="1" style="0" width="14"/>
  </cols>
  <sheetData>
    <row r="1" customFormat="false" ht="17.25" hidden="false" customHeight="true" outlineLevel="0" collapsed="false">
      <c r="A1" s="27" t="s">
        <v>273</v>
      </c>
    </row>
    <row r="2" customFormat="false" ht="15" hidden="false" customHeight="true" outlineLevel="0" collapsed="false">
      <c r="A2" s="0" t="s">
        <v>274</v>
      </c>
    </row>
    <row r="4" customFormat="false" ht="15" hidden="false" customHeight="true" outlineLevel="0" collapsed="false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customFormat="false" ht="15" hidden="false" customHeight="true" outlineLevel="0" collapsed="false">
      <c r="A5" s="0" t="n">
        <v>1</v>
      </c>
      <c r="B5" s="0" t="str">
        <f aca="false">'Playoff Picture'!B17</f>
        <v>Zach Zarra</v>
      </c>
      <c r="C5" s="3" t="n">
        <v>6</v>
      </c>
      <c r="D5" s="4" t="n">
        <f aca="false">C5+0.001</f>
        <v>6.001</v>
      </c>
      <c r="E5" s="3" t="n">
        <v>0</v>
      </c>
      <c r="F5" s="3" t="n">
        <v>0</v>
      </c>
      <c r="G5" s="3" t="n">
        <v>0</v>
      </c>
      <c r="H5" s="4" t="n">
        <f aca="false">C5*10000000+D5</f>
        <v>60000006.001</v>
      </c>
    </row>
    <row r="6" customFormat="false" ht="15" hidden="false" customHeight="true" outlineLevel="0" collapsed="false">
      <c r="A6" s="0" t="n">
        <v>2</v>
      </c>
      <c r="B6" s="0" t="str">
        <f aca="false">'Playoff Picture'!B18</f>
        <v>Jake Andrews</v>
      </c>
      <c r="C6" s="3" t="n">
        <v>5</v>
      </c>
      <c r="D6" s="4" t="n">
        <f aca="false">C6+0.002</f>
        <v>5.002</v>
      </c>
      <c r="E6" s="3" t="n">
        <v>0</v>
      </c>
      <c r="F6" s="3" t="n">
        <v>0</v>
      </c>
      <c r="G6" s="3" t="n">
        <v>0</v>
      </c>
      <c r="H6" s="4" t="n">
        <f aca="false">C6*10000000+D6</f>
        <v>50000005.002</v>
      </c>
    </row>
    <row r="7" customFormat="false" ht="15" hidden="false" customHeight="true" outlineLevel="0" collapsed="false">
      <c r="A7" s="0" t="n">
        <v>3</v>
      </c>
      <c r="B7" s="0" t="str">
        <f aca="false">'Playoff Picture'!B19</f>
        <v>Luke Ussery</v>
      </c>
      <c r="C7" s="3" t="n">
        <v>4</v>
      </c>
      <c r="D7" s="4" t="n">
        <f aca="false">C7+0.003</f>
        <v>4.003</v>
      </c>
      <c r="E7" s="3" t="n">
        <v>0</v>
      </c>
      <c r="F7" s="3" t="n">
        <v>0</v>
      </c>
      <c r="G7" s="3" t="n">
        <v>0</v>
      </c>
      <c r="H7" s="4" t="n">
        <f aca="false">C7*10000000+D7</f>
        <v>40000004.003</v>
      </c>
    </row>
    <row r="8" customFormat="false" ht="15" hidden="false" customHeight="true" outlineLevel="0" collapsed="false">
      <c r="A8" s="0" t="n">
        <v>4</v>
      </c>
      <c r="B8" s="0" t="str">
        <f aca="false">'Playoff Picture'!B20</f>
        <v>Larry Loeser</v>
      </c>
      <c r="C8" s="3" t="n">
        <v>3</v>
      </c>
      <c r="D8" s="4" t="n">
        <f aca="false">C8+0.004</f>
        <v>3.004</v>
      </c>
      <c r="E8" s="3" t="n">
        <v>0</v>
      </c>
      <c r="F8" s="3" t="n">
        <v>0</v>
      </c>
      <c r="G8" s="3" t="n">
        <v>0</v>
      </c>
      <c r="H8" s="4" t="n">
        <f aca="false">C8*10000000+D8</f>
        <v>30000003.004</v>
      </c>
    </row>
    <row r="9" customFormat="false" ht="15" hidden="false" customHeight="true" outlineLevel="0" collapsed="false">
      <c r="A9" s="0" t="n">
        <v>5</v>
      </c>
      <c r="B9" s="0" t="str">
        <f aca="false">'Playoff Picture'!B21</f>
        <v>Jeffrey Loeser</v>
      </c>
      <c r="C9" s="3" t="n">
        <v>2</v>
      </c>
      <c r="D9" s="4" t="n">
        <f aca="false">C9+0.005</f>
        <v>2.005</v>
      </c>
      <c r="E9" s="3" t="n">
        <v>0</v>
      </c>
      <c r="F9" s="3" t="n">
        <v>0</v>
      </c>
      <c r="G9" s="3" t="n">
        <v>0</v>
      </c>
      <c r="H9" s="4" t="n">
        <f aca="false">C9*10000000+D9</f>
        <v>20000002.005</v>
      </c>
    </row>
    <row r="10" customFormat="false" ht="15" hidden="false" customHeight="true" outlineLevel="0" collapsed="false">
      <c r="A10" s="0" t="n">
        <v>6</v>
      </c>
      <c r="B10" s="0" t="str">
        <f aca="false">'Playoff Picture'!B22</f>
        <v>Mikayla Simmons</v>
      </c>
      <c r="C10" s="3" t="n">
        <v>1</v>
      </c>
      <c r="D10" s="4" t="n">
        <f aca="false">C10+0.006</f>
        <v>1.006</v>
      </c>
      <c r="E10" s="3" t="n">
        <v>0</v>
      </c>
      <c r="F10" s="3" t="n">
        <v>0</v>
      </c>
      <c r="G10" s="3" t="n">
        <v>0</v>
      </c>
      <c r="H10" s="4" t="n">
        <f aca="false">C10*10000000+D10</f>
        <v>10000001.006</v>
      </c>
    </row>
    <row r="12" customFormat="false" ht="15" hidden="false" customHeight="true" outlineLevel="0" collapsed="false">
      <c r="A12" s="28" t="s">
        <v>280</v>
      </c>
    </row>
    <row r="13" customFormat="false" ht="15" hidden="false" customHeight="true" outlineLevel="0" collapsed="false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customFormat="false" ht="15" hidden="false" customHeight="true" outlineLevel="0" collapsed="false">
      <c r="A14" s="0" t="n">
        <v>1</v>
      </c>
      <c r="B14" s="0" t="str">
        <f aca="false">INDEX($B$5:$B$10,MATCH(LARGE($H$5:$H$10,1),$H$5:$H$10,0))</f>
        <v>Zach Zarra</v>
      </c>
      <c r="C14" s="0" t="n">
        <f aca="false">INDEX($C$5:$C$10,MATCH(LARGE($H$5:$H$10,1),$H$5:$H$10,0))</f>
        <v>6</v>
      </c>
      <c r="E14" s="0" t="str">
        <f aca="false">IF(1&lt;=4,"ADVANCE","ELIMINATED")</f>
        <v>ADVANCE</v>
      </c>
    </row>
    <row r="15" customFormat="false" ht="15" hidden="false" customHeight="true" outlineLevel="0" collapsed="false">
      <c r="A15" s="0" t="n">
        <v>2</v>
      </c>
      <c r="B15" s="0" t="str">
        <f aca="false">INDEX($B$5:$B$10,MATCH(LARGE($H$5:$H$10,2),$H$5:$H$10,0))</f>
        <v>Jake Andrews</v>
      </c>
      <c r="C15" s="0" t="n">
        <f aca="false">INDEX($C$5:$C$10,MATCH(LARGE($H$5:$H$10,2),$H$5:$H$10,0))</f>
        <v>5</v>
      </c>
      <c r="E15" s="0" t="str">
        <f aca="false">IF(2&lt;=4,"ADVANCE","ELIMINATED")</f>
        <v>ADVANCE</v>
      </c>
    </row>
    <row r="16" customFormat="false" ht="15" hidden="false" customHeight="true" outlineLevel="0" collapsed="false">
      <c r="A16" s="0" t="n">
        <v>3</v>
      </c>
      <c r="B16" s="0" t="str">
        <f aca="false">INDEX($B$5:$B$10,MATCH(LARGE($H$5:$H$10,3),$H$5:$H$10,0))</f>
        <v>Luke Ussery</v>
      </c>
      <c r="C16" s="0" t="n">
        <f aca="false">INDEX($C$5:$C$10,MATCH(LARGE($H$5:$H$10,3),$H$5:$H$10,0))</f>
        <v>4</v>
      </c>
      <c r="E16" s="0" t="str">
        <f aca="false">IF(3&lt;=4,"ADVANCE","ELIMINATED")</f>
        <v>ADVANCE</v>
      </c>
    </row>
    <row r="17" customFormat="false" ht="15" hidden="false" customHeight="true" outlineLevel="0" collapsed="false">
      <c r="A17" s="0" t="n">
        <v>4</v>
      </c>
      <c r="B17" s="0" t="str">
        <f aca="false">INDEX($B$5:$B$10,MATCH(LARGE($H$5:$H$10,4),$H$5:$H$10,0))</f>
        <v>Larry Loeser</v>
      </c>
      <c r="C17" s="0" t="n">
        <f aca="false">INDEX($C$5:$C$10,MATCH(LARGE($H$5:$H$10,4),$H$5:$H$10,0))</f>
        <v>3</v>
      </c>
      <c r="E17" s="0" t="str">
        <f aca="false">IF(4&lt;=4,"ADVANCE","ELIMINATED")</f>
        <v>ADVANCE</v>
      </c>
    </row>
    <row r="18" customFormat="false" ht="15" hidden="false" customHeight="true" outlineLevel="0" collapsed="false">
      <c r="A18" s="0" t="n">
        <v>5</v>
      </c>
      <c r="B18" s="0" t="str">
        <f aca="false">INDEX($B$5:$B$10,MATCH(LARGE($H$5:$H$10,5),$H$5:$H$10,0))</f>
        <v>Jeffrey Loeser</v>
      </c>
      <c r="C18" s="0" t="n">
        <f aca="false">INDEX($C$5:$C$10,MATCH(LARGE($H$5:$H$10,5),$H$5:$H$10,0))</f>
        <v>2</v>
      </c>
      <c r="E18" s="0" t="str">
        <f aca="false">IF(5&lt;=4,"ADVANCE","ELIMINATED")</f>
        <v>ELIMINATED</v>
      </c>
    </row>
    <row r="19" customFormat="false" ht="15" hidden="false" customHeight="true" outlineLevel="0" collapsed="false">
      <c r="A19" s="0" t="n">
        <v>6</v>
      </c>
      <c r="B19" s="0" t="str">
        <f aca="false">INDEX($B$5:$B$10,MATCH(LARGE($H$5:$H$10,6),$H$5:$H$10,0))</f>
        <v>Mikayla Simmons</v>
      </c>
      <c r="C19" s="0" t="n">
        <f aca="false">INDEX($C$5:$C$10,MATCH(LARGE($H$5:$H$10,6),$H$5:$H$10,0))</f>
        <v>1</v>
      </c>
      <c r="E19" s="0" t="str">
        <f aca="false">IF(6&lt;=4,"ADVANCE","ELIMINATED")</f>
        <v>ELIMINATED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2" min="1" style="0" width="14"/>
  </cols>
  <sheetData>
    <row r="1" customFormat="false" ht="17.25" hidden="false" customHeight="true" outlineLevel="0" collapsed="false">
      <c r="A1" s="27" t="s">
        <v>281</v>
      </c>
    </row>
    <row r="2" customFormat="false" ht="15" hidden="false" customHeight="true" outlineLevel="0" collapsed="false">
      <c r="A2" s="0" t="s">
        <v>282</v>
      </c>
    </row>
    <row r="4" customFormat="false" ht="15" hidden="false" customHeight="true" outlineLevel="0" collapsed="false">
      <c r="A4" s="28" t="s">
        <v>283</v>
      </c>
    </row>
    <row r="5" customFormat="false" ht="15" hidden="false" customHeight="true" outlineLevel="0" collapsed="false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customFormat="false" ht="15" hidden="false" customHeight="true" outlineLevel="0" collapsed="false">
      <c r="A6" s="0" t="str">
        <f aca="false">'Playoff Wild Card'!B14</f>
        <v>Zach Zarra</v>
      </c>
      <c r="B6" s="0" t="n">
        <f aca="false">'Playoff Wild Card'!C14</f>
        <v>6</v>
      </c>
      <c r="C6" s="3" t="n">
        <v>0</v>
      </c>
      <c r="D6" s="4" t="n">
        <f aca="false">C6*2</f>
        <v>0</v>
      </c>
      <c r="E6" s="3" t="n">
        <v>0</v>
      </c>
      <c r="F6" s="4" t="n">
        <f aca="false">E6*4</f>
        <v>0</v>
      </c>
      <c r="G6" s="3" t="n">
        <v>0</v>
      </c>
      <c r="H6" s="4" t="n">
        <f aca="false">G6*8</f>
        <v>0</v>
      </c>
      <c r="I6" s="4" t="n">
        <f aca="false">B6+D6+F6+H6</f>
        <v>6</v>
      </c>
      <c r="J6" s="4" t="n">
        <f aca="false">I6*10000000+0.001</f>
        <v>60000000.001</v>
      </c>
      <c r="K6" s="3" t="n">
        <v>0</v>
      </c>
    </row>
    <row r="7" customFormat="false" ht="15" hidden="false" customHeight="true" outlineLevel="0" collapsed="false">
      <c r="A7" s="0" t="str">
        <f aca="false">'Playoff Wild Card'!B15</f>
        <v>Jake Andrews</v>
      </c>
      <c r="B7" s="0" t="n">
        <f aca="false">'Playoff Wild Card'!C15</f>
        <v>5</v>
      </c>
      <c r="C7" s="3" t="n">
        <v>0</v>
      </c>
      <c r="D7" s="4" t="n">
        <f aca="false">C7*2</f>
        <v>0</v>
      </c>
      <c r="E7" s="3" t="n">
        <v>0</v>
      </c>
      <c r="F7" s="4" t="n">
        <f aca="false">E7*4</f>
        <v>0</v>
      </c>
      <c r="G7" s="3" t="n">
        <v>0</v>
      </c>
      <c r="H7" s="4" t="n">
        <f aca="false">G7*8</f>
        <v>0</v>
      </c>
      <c r="I7" s="4" t="n">
        <f aca="false">B7+D7+F7+H7</f>
        <v>5</v>
      </c>
      <c r="J7" s="4" t="n">
        <f aca="false">I7*10000000+0.002</f>
        <v>50000000.002</v>
      </c>
      <c r="K7" s="3" t="n">
        <v>0</v>
      </c>
    </row>
    <row r="8" customFormat="false" ht="15" hidden="false" customHeight="true" outlineLevel="0" collapsed="false">
      <c r="A8" s="0" t="str">
        <f aca="false">'Playoff Wild Card'!B16</f>
        <v>Luke Ussery</v>
      </c>
      <c r="B8" s="0" t="n">
        <f aca="false">'Playoff Wild Card'!C16</f>
        <v>4</v>
      </c>
      <c r="C8" s="3" t="n">
        <v>0</v>
      </c>
      <c r="D8" s="4" t="n">
        <f aca="false">C8*2</f>
        <v>0</v>
      </c>
      <c r="E8" s="3" t="n">
        <v>0</v>
      </c>
      <c r="F8" s="4" t="n">
        <f aca="false">E8*4</f>
        <v>0</v>
      </c>
      <c r="G8" s="3" t="n">
        <v>0</v>
      </c>
      <c r="H8" s="4" t="n">
        <f aca="false">G8*8</f>
        <v>0</v>
      </c>
      <c r="I8" s="4" t="n">
        <f aca="false">B8+D8+F8+H8</f>
        <v>4</v>
      </c>
      <c r="J8" s="4" t="n">
        <f aca="false">I8*10000000+0.003</f>
        <v>40000000.003</v>
      </c>
      <c r="K8" s="3" t="n">
        <v>0</v>
      </c>
    </row>
    <row r="9" customFormat="false" ht="15" hidden="false" customHeight="true" outlineLevel="0" collapsed="false">
      <c r="A9" s="0" t="str">
        <f aca="false">'Playoff Wild Card'!B17</f>
        <v>Larry Loeser</v>
      </c>
      <c r="B9" s="0" t="n">
        <f aca="false">'Playoff Wild Card'!C17</f>
        <v>3</v>
      </c>
      <c r="C9" s="3" t="n">
        <v>0</v>
      </c>
      <c r="D9" s="4" t="n">
        <f aca="false">C9*2</f>
        <v>0</v>
      </c>
      <c r="E9" s="3" t="n">
        <v>0</v>
      </c>
      <c r="F9" s="4" t="n">
        <f aca="false">E9*4</f>
        <v>0</v>
      </c>
      <c r="G9" s="3" t="n">
        <v>0</v>
      </c>
      <c r="H9" s="4" t="n">
        <f aca="false">G9*8</f>
        <v>0</v>
      </c>
      <c r="I9" s="4" t="n">
        <f aca="false">B9+D9+F9+H9</f>
        <v>3</v>
      </c>
      <c r="J9" s="4" t="n">
        <f aca="false">I9*10000000+0.004</f>
        <v>30000000.004</v>
      </c>
      <c r="K9" s="3" t="n">
        <v>0</v>
      </c>
    </row>
    <row r="11" customFormat="false" ht="15" hidden="false" customHeight="true" outlineLevel="0" collapsed="false">
      <c r="A11" s="28" t="s">
        <v>293</v>
      </c>
    </row>
    <row r="12" customFormat="false" ht="15" hidden="false" customHeight="true" outlineLevel="0" collapsed="false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customFormat="false" ht="15" hidden="false" customHeight="true" outlineLevel="0" collapsed="false">
      <c r="A13" s="0" t="s">
        <v>300</v>
      </c>
      <c r="B13" s="0" t="str">
        <f aca="false">INDEX($A$6:$A$9,MATCH(LARGE($J$6:$J$9,1),$J$6:$J$9,0))</f>
        <v>Zach Zarra</v>
      </c>
      <c r="C13" s="0" t="n">
        <f aca="false">INDEX($B$6:$B$9,MATCH(LARGE($J$6:$J$9,1),$J$6:$J$9,0))</f>
        <v>6</v>
      </c>
      <c r="D13" s="0" t="n">
        <f aca="false">INDEX($D$6:$D$9,MATCH(LARGE($J$6:$J$9,1),$J$6:$J$9,0))</f>
        <v>0</v>
      </c>
      <c r="E13" s="0" t="n">
        <f aca="false">INDEX($F$6:$F$9,MATCH(LARGE($J$6:$J$9,1),$J$6:$J$9,0))</f>
        <v>0</v>
      </c>
      <c r="F13" s="0" t="n">
        <f aca="false">INDEX($H$6:$H$9,MATCH(LARGE($J$6:$J$9,1),$J$6:$J$9,0))</f>
        <v>0</v>
      </c>
      <c r="G13" s="0" t="n">
        <f aca="false">INDEX($I$6:$I$9,MATCH(LARGE($J$6:$J$9,1),$J$6:$J$9,0))</f>
        <v>6</v>
      </c>
      <c r="H13" s="0" t="s">
        <v>301</v>
      </c>
    </row>
    <row r="14" customFormat="false" ht="15" hidden="false" customHeight="true" outlineLevel="0" collapsed="false">
      <c r="A14" s="0" t="s">
        <v>302</v>
      </c>
      <c r="B14" s="0" t="str">
        <f aca="false">INDEX($A$6:$A$9,MATCH(LARGE($J$6:$J$9,2),$J$6:$J$9,0))</f>
        <v>Jake Andrews</v>
      </c>
      <c r="C14" s="0" t="n">
        <f aca="false">INDEX($B$6:$B$9,MATCH(LARGE($J$6:$J$9,2),$J$6:$J$9,0))</f>
        <v>5</v>
      </c>
      <c r="D14" s="0" t="n">
        <f aca="false">INDEX($D$6:$D$9,MATCH(LARGE($J$6:$J$9,2),$J$6:$J$9,0))</f>
        <v>0</v>
      </c>
      <c r="E14" s="0" t="n">
        <f aca="false">INDEX($F$6:$F$9,MATCH(LARGE($J$6:$J$9,2),$J$6:$J$9,0))</f>
        <v>0</v>
      </c>
      <c r="F14" s="0" t="n">
        <f aca="false">INDEX($H$6:$H$9,MATCH(LARGE($J$6:$J$9,2),$J$6:$J$9,0))</f>
        <v>0</v>
      </c>
      <c r="G14" s="0" t="n">
        <f aca="false">INDEX($I$6:$I$9,MATCH(LARGE($J$6:$J$9,2),$J$6:$J$9,0))</f>
        <v>5</v>
      </c>
      <c r="H14" s="0" t="s">
        <v>303</v>
      </c>
    </row>
    <row r="15" customFormat="false" ht="15" hidden="false" customHeight="true" outlineLevel="0" collapsed="false">
      <c r="A15" s="0" t="s">
        <v>304</v>
      </c>
      <c r="B15" s="0" t="str">
        <f aca="false">INDEX($A$6:$A$9,MATCH(LARGE($J$6:$J$9,3),$J$6:$J$9,0))</f>
        <v>Luke Ussery</v>
      </c>
      <c r="C15" s="0" t="n">
        <f aca="false">INDEX($B$6:$B$9,MATCH(LARGE($J$6:$J$9,3),$J$6:$J$9,0))</f>
        <v>4</v>
      </c>
      <c r="D15" s="0" t="n">
        <f aca="false">INDEX($D$6:$D$9,MATCH(LARGE($J$6:$J$9,3),$J$6:$J$9,0))</f>
        <v>0</v>
      </c>
      <c r="E15" s="0" t="n">
        <f aca="false">INDEX($F$6:$F$9,MATCH(LARGE($J$6:$J$9,3),$J$6:$J$9,0))</f>
        <v>0</v>
      </c>
      <c r="F15" s="0" t="n">
        <f aca="false">INDEX($H$6:$H$9,MATCH(LARGE($J$6:$J$9,3),$J$6:$J$9,0))</f>
        <v>0</v>
      </c>
      <c r="G15" s="0" t="n">
        <f aca="false">INDEX($I$6:$I$9,MATCH(LARGE($J$6:$J$9,3),$J$6:$J$9,0))</f>
        <v>4</v>
      </c>
      <c r="H15" s="0" t="s">
        <v>252</v>
      </c>
    </row>
    <row r="16" customFormat="false" ht="15" hidden="false" customHeight="true" outlineLevel="0" collapsed="false">
      <c r="A16" s="0" t="s">
        <v>305</v>
      </c>
      <c r="B16" s="0" t="str">
        <f aca="false">INDEX($A$6:$A$9,MATCH(LARGE($J$6:$J$9,4),$J$6:$J$9,0))</f>
        <v>Larry Loeser</v>
      </c>
      <c r="C16" s="0" t="n">
        <f aca="false">INDEX($B$6:$B$9,MATCH(LARGE($J$6:$J$9,4),$J$6:$J$9,0))</f>
        <v>3</v>
      </c>
      <c r="D16" s="0" t="n">
        <f aca="false">INDEX($D$6:$D$9,MATCH(LARGE($J$6:$J$9,4),$J$6:$J$9,0))</f>
        <v>0</v>
      </c>
      <c r="E16" s="0" t="n">
        <f aca="false">INDEX($F$6:$F$9,MATCH(LARGE($J$6:$J$9,4),$J$6:$J$9,0))</f>
        <v>0</v>
      </c>
      <c r="F16" s="0" t="n">
        <f aca="false">INDEX($H$6:$H$9,MATCH(LARGE($J$6:$J$9,4),$J$6:$J$9,0))</f>
        <v>0</v>
      </c>
      <c r="G16" s="0" t="n">
        <f aca="false">INDEX($I$6:$I$9,MATCH(LARGE($J$6:$J$9,4),$J$6:$J$9,0))</f>
        <v>3</v>
      </c>
      <c r="H16" s="0" t="s">
        <v>306</v>
      </c>
    </row>
    <row r="18" customFormat="false" ht="15" hidden="false" customHeight="true" outlineLevel="0" collapsed="false">
      <c r="A18" s="31" t="s">
        <v>307</v>
      </c>
    </row>
    <row r="20" customFormat="false" ht="15" hidden="false" customHeight="true" outlineLevel="0" collapsed="false">
      <c r="A20" s="28" t="s">
        <v>308</v>
      </c>
    </row>
    <row r="21" customFormat="false" ht="15" hidden="false" customHeight="true" outlineLevel="0" collapsed="false">
      <c r="A21" s="2" t="s">
        <v>207</v>
      </c>
      <c r="B21" s="2" t="s">
        <v>309</v>
      </c>
      <c r="C21" s="2" t="s">
        <v>310</v>
      </c>
      <c r="D21" s="2" t="s">
        <v>311</v>
      </c>
    </row>
    <row r="22" customFormat="false" ht="15" hidden="false" customHeight="true" outlineLevel="0" collapsed="false">
      <c r="A22" s="0" t="str">
        <f aca="false">A6</f>
        <v>Zach Zarra</v>
      </c>
      <c r="B22" s="3" t="n">
        <v>0</v>
      </c>
      <c r="C22" s="3" t="n">
        <v>0</v>
      </c>
      <c r="D22" s="4" t="n">
        <f aca="false">ABS(B22-C22)</f>
        <v>0</v>
      </c>
    </row>
    <row r="23" customFormat="false" ht="15" hidden="false" customHeight="true" outlineLevel="0" collapsed="false">
      <c r="A23" s="0" t="str">
        <f aca="false">A7</f>
        <v>Jake Andrews</v>
      </c>
      <c r="B23" s="3" t="n">
        <v>0</v>
      </c>
      <c r="C23" s="3" t="n">
        <v>0</v>
      </c>
      <c r="D23" s="4" t="n">
        <f aca="false">ABS(B23-C23)</f>
        <v>0</v>
      </c>
    </row>
    <row r="24" customFormat="false" ht="15" hidden="false" customHeight="true" outlineLevel="0" collapsed="false">
      <c r="A24" s="0" t="str">
        <f aca="false">A8</f>
        <v>Luke Ussery</v>
      </c>
      <c r="B24" s="3" t="n">
        <v>0</v>
      </c>
      <c r="C24" s="3" t="n">
        <v>0</v>
      </c>
      <c r="D24" s="4" t="n">
        <f aca="false">ABS(B24-C24)</f>
        <v>0</v>
      </c>
    </row>
    <row r="25" customFormat="false" ht="15" hidden="false" customHeight="true" outlineLevel="0" collapsed="false">
      <c r="A25" s="0" t="str">
        <f aca="false">A9</f>
        <v>Larry Loeser</v>
      </c>
      <c r="B25" s="3" t="n">
        <v>0</v>
      </c>
      <c r="C25" s="3" t="n">
        <v>0</v>
      </c>
      <c r="D25" s="4" t="n">
        <f aca="false">ABS(B25-C25)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60"/>
  </cols>
  <sheetData>
    <row r="1" customFormat="false" ht="17.25" hidden="false" customHeight="true" outlineLevel="0" collapsed="false">
      <c r="A1" s="27" t="s">
        <v>312</v>
      </c>
    </row>
    <row r="6" customFormat="false" ht="15" hidden="false" customHeight="true" outlineLevel="0" collapsed="false">
      <c r="A6" s="2" t="s">
        <v>313</v>
      </c>
      <c r="B6" s="2" t="s">
        <v>314</v>
      </c>
      <c r="C6" s="2" t="s">
        <v>315</v>
      </c>
    </row>
    <row r="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5" t="s">
        <v>28</v>
      </c>
      <c r="B1" s="5" t="s">
        <v>29</v>
      </c>
      <c r="C1" s="5" t="s">
        <v>316</v>
      </c>
      <c r="D1" s="5" t="s">
        <v>317</v>
      </c>
      <c r="E1" s="5" t="s">
        <v>318</v>
      </c>
      <c r="F1" s="5" t="s">
        <v>319</v>
      </c>
      <c r="G1" s="5" t="s">
        <v>320</v>
      </c>
      <c r="H1" s="5" t="s">
        <v>321</v>
      </c>
      <c r="I1" s="5" t="s">
        <v>322</v>
      </c>
      <c r="J1" s="5" t="s">
        <v>323</v>
      </c>
      <c r="K1" s="5" t="s">
        <v>324</v>
      </c>
      <c r="L1" s="5" t="s">
        <v>325</v>
      </c>
      <c r="M1" s="5" t="s">
        <v>326</v>
      </c>
      <c r="N1" s="5" t="s">
        <v>327</v>
      </c>
      <c r="O1" s="5" t="s">
        <v>328</v>
      </c>
      <c r="P1" s="5" t="s">
        <v>329</v>
      </c>
      <c r="Q1" s="5" t="s">
        <v>330</v>
      </c>
      <c r="R1" s="5" t="s">
        <v>331</v>
      </c>
      <c r="S1" s="5" t="s">
        <v>332</v>
      </c>
      <c r="T1" s="5" t="s">
        <v>333</v>
      </c>
      <c r="U1" s="5" t="s">
        <v>334</v>
      </c>
      <c r="V1" s="5" t="s">
        <v>335</v>
      </c>
      <c r="W1" s="5" t="s">
        <v>336</v>
      </c>
      <c r="X1" s="5" t="s">
        <v>337</v>
      </c>
      <c r="Y1" s="5" t="s">
        <v>338</v>
      </c>
      <c r="Z1" s="5" t="s">
        <v>339</v>
      </c>
      <c r="AA1" s="5" t="s">
        <v>340</v>
      </c>
      <c r="AB1" s="5" t="s">
        <v>341</v>
      </c>
      <c r="AC1" s="5" t="s">
        <v>342</v>
      </c>
      <c r="AD1" s="5" t="s">
        <v>343</v>
      </c>
      <c r="AE1" s="5" t="s">
        <v>344</v>
      </c>
      <c r="AF1" s="5" t="s">
        <v>345</v>
      </c>
    </row>
    <row r="2" customFormat="false" ht="15" hidden="false" customHeight="true" outlineLevel="0" collapsed="false">
      <c r="A2" s="0" t="n">
        <v>1</v>
      </c>
      <c r="B2" s="0" t="str">
        <f aca="false">Roster!B3</f>
        <v>Evan Loeser</v>
      </c>
      <c r="C2" s="0" t="n">
        <f aca="false">IF(Roster!$B$16&gt;=1,'Wk 1-6 Input'!H6,0)+IF(Roster!$B$16&gt;1,'Wk 1-6 Input'!G6,0)</f>
        <v>5</v>
      </c>
      <c r="D2" s="0" t="n">
        <f aca="false">IF(Roster!$B$16&gt;=2,'Wk 1-6 Input'!H21,0)+IF(Roster!$B$16&gt;2,'Wk 1-6 Input'!G21,0)</f>
        <v>0</v>
      </c>
      <c r="E2" s="0" t="n">
        <f aca="false">IF(Roster!$B$16&gt;=3,'Wk 1-6 Input'!H36,0)+IF(Roster!$B$16&gt;3,'Wk 1-6 Input'!G36,0)</f>
        <v>0</v>
      </c>
      <c r="F2" s="0" t="n">
        <f aca="false">IF(Roster!$B$16&gt;=4,'Wk 1-6 Input'!H51,0)+IF(Roster!$B$16&gt;4,'Wk 1-6 Input'!G51,0)</f>
        <v>0</v>
      </c>
      <c r="G2" s="0" t="n">
        <f aca="false">IF(Roster!$B$16&gt;=5,'Wk 1-6 Input'!H66,0)+IF(Roster!$B$16&gt;5,'Wk 1-6 Input'!G66,0)</f>
        <v>0</v>
      </c>
      <c r="H2" s="0" t="n">
        <f aca="false">IF(Roster!$B$16&gt;=6,'Wk 1-6 Input'!H81,0)+IF(Roster!$B$16&gt;6,'Wk 1-6 Input'!G81,0)</f>
        <v>0</v>
      </c>
      <c r="I2" s="0" t="n">
        <f aca="false">SUM(C2:H2)</f>
        <v>5</v>
      </c>
      <c r="J2" s="0" t="n">
        <f aca="false"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 s="0" t="n">
        <f aca="false">I2+0.0001</f>
        <v>5.0001</v>
      </c>
      <c r="L2" s="0" t="n">
        <f aca="false">IF(Roster!$B$16&gt;=7,'Wk 7-12 Input'!H6,0)+IF(Roster!$B$16&gt;7,'Wk 7-12 Input'!G6,0)</f>
        <v>0</v>
      </c>
      <c r="M2" s="0" t="n">
        <f aca="false">IF(Roster!$B$16&gt;=8,'Wk 7-12 Input'!H21,0)+IF(Roster!$B$16&gt;8,'Wk 7-12 Input'!G21,0)</f>
        <v>0</v>
      </c>
      <c r="N2" s="0" t="n">
        <f aca="false">IF(Roster!$B$16&gt;=9,'Wk 7-12 Input'!H36,0)+IF(Roster!$B$16&gt;9,'Wk 7-12 Input'!G36,0)</f>
        <v>0</v>
      </c>
      <c r="O2" s="0" t="n">
        <f aca="false">IF(Roster!$B$16&gt;=10,'Wk 7-12 Input'!H51,0)+IF(Roster!$B$16&gt;10,'Wk 7-12 Input'!G51,0)</f>
        <v>0</v>
      </c>
      <c r="P2" s="0" t="n">
        <f aca="false">IF(Roster!$B$16&gt;=11,'Wk 7-12 Input'!H66,0)+IF(Roster!$B$16&gt;11,'Wk 7-12 Input'!G66,0)</f>
        <v>0</v>
      </c>
      <c r="Q2" s="0" t="n">
        <f aca="false">IF(Roster!$B$16&gt;=12,'Wk 7-12 Input'!H81,0)+IF(Roster!$B$16&gt;12,'Wk 7-12 Input'!G81,0)</f>
        <v>0</v>
      </c>
      <c r="R2" s="0" t="n">
        <f aca="false">SUM(L2:Q2)</f>
        <v>0</v>
      </c>
      <c r="S2" s="0" t="n">
        <f aca="false"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 s="0" t="n">
        <f aca="false">R2+0.0001</f>
        <v>0.0001</v>
      </c>
      <c r="U2" s="0" t="str">
        <f aca="false">IF(Roster!$B$16&gt;13,'Wk 13-18 Input'!F6,"-")</f>
        <v>-</v>
      </c>
      <c r="V2" s="0" t="str">
        <f aca="false">IF(Roster!$B$16&gt;14,'Wk 13-18 Input'!F21,"-")</f>
        <v>-</v>
      </c>
      <c r="W2" s="0" t="str">
        <f aca="false">IF(Roster!$B$16&gt;15,'Wk 13-18 Input'!F36,"-")</f>
        <v>-</v>
      </c>
      <c r="X2" s="0" t="str">
        <f aca="false">IF(Roster!$B$16&gt;16,'Wk 13-18 Input'!F51,"-")</f>
        <v>-</v>
      </c>
      <c r="Y2" s="0" t="str">
        <f aca="false">IF(Roster!$B$16&gt;17,'Wk 13-18 Input'!F66,"-")</f>
        <v>-</v>
      </c>
      <c r="Z2" s="0" t="str">
        <f aca="false">IF(Roster!$B$16&gt;18,'Wk 13-18 Input'!F81,"-")</f>
        <v>-</v>
      </c>
      <c r="AA2" s="0" t="n">
        <f aca="false"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 s="0" t="n">
        <f aca="false"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 s="0" t="n">
        <f aca="false"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 s="0" t="n">
        <f aca="false">AA2+0.0001</f>
        <v>0.0001</v>
      </c>
      <c r="AE2" s="0" t="n">
        <f aca="false">I2+R2+AC2</f>
        <v>5</v>
      </c>
      <c r="AF2" s="0" t="n">
        <f aca="false">AE2+0.0001</f>
        <v>5.0001</v>
      </c>
    </row>
    <row r="3" customFormat="false" ht="15" hidden="false" customHeight="true" outlineLevel="0" collapsed="false">
      <c r="A3" s="0" t="n">
        <v>2</v>
      </c>
      <c r="B3" s="0" t="str">
        <f aca="false">Roster!B4</f>
        <v>Chris Simmons</v>
      </c>
      <c r="C3" s="0" t="n">
        <f aca="false">IF(Roster!$B$16&gt;=1,'Wk 1-6 Input'!H7,0)+IF(Roster!$B$16&gt;1,'Wk 1-6 Input'!G7,0)</f>
        <v>9</v>
      </c>
      <c r="D3" s="0" t="n">
        <f aca="false">IF(Roster!$B$16&gt;=2,'Wk 1-6 Input'!H22,0)+IF(Roster!$B$16&gt;2,'Wk 1-6 Input'!G22,0)</f>
        <v>0</v>
      </c>
      <c r="E3" s="0" t="n">
        <f aca="false">IF(Roster!$B$16&gt;=3,'Wk 1-6 Input'!H37,0)+IF(Roster!$B$16&gt;3,'Wk 1-6 Input'!G37,0)</f>
        <v>0</v>
      </c>
      <c r="F3" s="0" t="n">
        <f aca="false">IF(Roster!$B$16&gt;=4,'Wk 1-6 Input'!H52,0)+IF(Roster!$B$16&gt;4,'Wk 1-6 Input'!G52,0)</f>
        <v>0</v>
      </c>
      <c r="G3" s="0" t="n">
        <f aca="false">IF(Roster!$B$16&gt;=5,'Wk 1-6 Input'!H67,0)+IF(Roster!$B$16&gt;5,'Wk 1-6 Input'!G67,0)</f>
        <v>0</v>
      </c>
      <c r="H3" s="0" t="n">
        <f aca="false">IF(Roster!$B$16&gt;=6,'Wk 1-6 Input'!H82,0)+IF(Roster!$B$16&gt;6,'Wk 1-6 Input'!G82,0)</f>
        <v>0</v>
      </c>
      <c r="I3" s="0" t="n">
        <f aca="false">SUM(C3:H3)</f>
        <v>9</v>
      </c>
      <c r="J3" s="0" t="n">
        <f aca="false"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 s="0" t="n">
        <f aca="false">I3+0.0002</f>
        <v>9.0002</v>
      </c>
      <c r="L3" s="0" t="n">
        <f aca="false">IF(Roster!$B$16&gt;=7,'Wk 7-12 Input'!H7,0)+IF(Roster!$B$16&gt;7,'Wk 7-12 Input'!G7,0)</f>
        <v>0</v>
      </c>
      <c r="M3" s="0" t="n">
        <f aca="false">IF(Roster!$B$16&gt;=8,'Wk 7-12 Input'!H22,0)+IF(Roster!$B$16&gt;8,'Wk 7-12 Input'!G22,0)</f>
        <v>0</v>
      </c>
      <c r="N3" s="0" t="n">
        <f aca="false">IF(Roster!$B$16&gt;=9,'Wk 7-12 Input'!H37,0)+IF(Roster!$B$16&gt;9,'Wk 7-12 Input'!G37,0)</f>
        <v>0</v>
      </c>
      <c r="O3" s="0" t="n">
        <f aca="false">IF(Roster!$B$16&gt;=10,'Wk 7-12 Input'!H52,0)+IF(Roster!$B$16&gt;10,'Wk 7-12 Input'!G52,0)</f>
        <v>0</v>
      </c>
      <c r="P3" s="0" t="n">
        <f aca="false">IF(Roster!$B$16&gt;=11,'Wk 7-12 Input'!H67,0)+IF(Roster!$B$16&gt;11,'Wk 7-12 Input'!G67,0)</f>
        <v>0</v>
      </c>
      <c r="Q3" s="0" t="n">
        <f aca="false">IF(Roster!$B$16&gt;=12,'Wk 7-12 Input'!H82,0)+IF(Roster!$B$16&gt;12,'Wk 7-12 Input'!G82,0)</f>
        <v>0</v>
      </c>
      <c r="R3" s="0" t="n">
        <f aca="false">SUM(L3:Q3)</f>
        <v>0</v>
      </c>
      <c r="S3" s="0" t="n">
        <f aca="false"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 s="0" t="n">
        <f aca="false">R3+0.0002</f>
        <v>0.0002</v>
      </c>
      <c r="U3" s="0" t="str">
        <f aca="false">IF(Roster!$B$16&gt;13,'Wk 13-18 Input'!F7,"-")</f>
        <v>-</v>
      </c>
      <c r="V3" s="0" t="str">
        <f aca="false">IF(Roster!$B$16&gt;14,'Wk 13-18 Input'!F22,"-")</f>
        <v>-</v>
      </c>
      <c r="W3" s="0" t="str">
        <f aca="false">IF(Roster!$B$16&gt;15,'Wk 13-18 Input'!F37,"-")</f>
        <v>-</v>
      </c>
      <c r="X3" s="0" t="str">
        <f aca="false">IF(Roster!$B$16&gt;16,'Wk 13-18 Input'!F52,"-")</f>
        <v>-</v>
      </c>
      <c r="Y3" s="0" t="str">
        <f aca="false">IF(Roster!$B$16&gt;17,'Wk 13-18 Input'!F67,"-")</f>
        <v>-</v>
      </c>
      <c r="Z3" s="0" t="str">
        <f aca="false">IF(Roster!$B$16&gt;18,'Wk 13-18 Input'!F82,"-")</f>
        <v>-</v>
      </c>
      <c r="AA3" s="0" t="n">
        <f aca="false"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 s="0" t="n">
        <f aca="false"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 s="0" t="n">
        <f aca="false"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 s="0" t="n">
        <f aca="false">AA3+0.0002</f>
        <v>0.0002</v>
      </c>
      <c r="AE3" s="0" t="n">
        <f aca="false">I3+R3+AC3</f>
        <v>9</v>
      </c>
      <c r="AF3" s="0" t="n">
        <f aca="false">AE3+0.0002</f>
        <v>9.0002</v>
      </c>
    </row>
    <row r="4" customFormat="false" ht="15" hidden="false" customHeight="true" outlineLevel="0" collapsed="false">
      <c r="A4" s="0" t="n">
        <v>3</v>
      </c>
      <c r="B4" s="0" t="str">
        <f aca="false">Roster!B5</f>
        <v>Jack Smith</v>
      </c>
      <c r="C4" s="0" t="n">
        <f aca="false">IF(Roster!$B$16&gt;=1,'Wk 1-6 Input'!H8,0)+IF(Roster!$B$16&gt;1,'Wk 1-6 Input'!G8,0)</f>
        <v>11</v>
      </c>
      <c r="D4" s="0" t="n">
        <f aca="false">IF(Roster!$B$16&gt;=2,'Wk 1-6 Input'!H23,0)+IF(Roster!$B$16&gt;2,'Wk 1-6 Input'!G23,0)</f>
        <v>0</v>
      </c>
      <c r="E4" s="0" t="n">
        <f aca="false">IF(Roster!$B$16&gt;=3,'Wk 1-6 Input'!H38,0)+IF(Roster!$B$16&gt;3,'Wk 1-6 Input'!G38,0)</f>
        <v>0</v>
      </c>
      <c r="F4" s="0" t="n">
        <f aca="false">IF(Roster!$B$16&gt;=4,'Wk 1-6 Input'!H53,0)+IF(Roster!$B$16&gt;4,'Wk 1-6 Input'!G53,0)</f>
        <v>0</v>
      </c>
      <c r="G4" s="0" t="n">
        <f aca="false">IF(Roster!$B$16&gt;=5,'Wk 1-6 Input'!H68,0)+IF(Roster!$B$16&gt;5,'Wk 1-6 Input'!G68,0)</f>
        <v>0</v>
      </c>
      <c r="H4" s="0" t="n">
        <f aca="false">IF(Roster!$B$16&gt;=6,'Wk 1-6 Input'!H83,0)+IF(Roster!$B$16&gt;6,'Wk 1-6 Input'!G83,0)</f>
        <v>0</v>
      </c>
      <c r="I4" s="0" t="n">
        <f aca="false">SUM(C4:H4)</f>
        <v>11</v>
      </c>
      <c r="J4" s="0" t="n">
        <f aca="false"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 s="0" t="n">
        <f aca="false">I4+0.0003</f>
        <v>11.0003</v>
      </c>
      <c r="L4" s="0" t="n">
        <f aca="false">IF(Roster!$B$16&gt;=7,'Wk 7-12 Input'!H8,0)+IF(Roster!$B$16&gt;7,'Wk 7-12 Input'!G8,0)</f>
        <v>0</v>
      </c>
      <c r="M4" s="0" t="n">
        <f aca="false">IF(Roster!$B$16&gt;=8,'Wk 7-12 Input'!H23,0)+IF(Roster!$B$16&gt;8,'Wk 7-12 Input'!G23,0)</f>
        <v>0</v>
      </c>
      <c r="N4" s="0" t="n">
        <f aca="false">IF(Roster!$B$16&gt;=9,'Wk 7-12 Input'!H38,0)+IF(Roster!$B$16&gt;9,'Wk 7-12 Input'!G38,0)</f>
        <v>0</v>
      </c>
      <c r="O4" s="0" t="n">
        <f aca="false">IF(Roster!$B$16&gt;=10,'Wk 7-12 Input'!H53,0)+IF(Roster!$B$16&gt;10,'Wk 7-12 Input'!G53,0)</f>
        <v>0</v>
      </c>
      <c r="P4" s="0" t="n">
        <f aca="false">IF(Roster!$B$16&gt;=11,'Wk 7-12 Input'!H68,0)+IF(Roster!$B$16&gt;11,'Wk 7-12 Input'!G68,0)</f>
        <v>0</v>
      </c>
      <c r="Q4" s="0" t="n">
        <f aca="false">IF(Roster!$B$16&gt;=12,'Wk 7-12 Input'!H83,0)+IF(Roster!$B$16&gt;12,'Wk 7-12 Input'!G83,0)</f>
        <v>0</v>
      </c>
      <c r="R4" s="0" t="n">
        <f aca="false">SUM(L4:Q4)</f>
        <v>0</v>
      </c>
      <c r="S4" s="0" t="n">
        <f aca="false"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 s="0" t="n">
        <f aca="false">R4+0.0003</f>
        <v>0.0003</v>
      </c>
      <c r="U4" s="0" t="str">
        <f aca="false">IF(Roster!$B$16&gt;13,'Wk 13-18 Input'!F8,"-")</f>
        <v>-</v>
      </c>
      <c r="V4" s="0" t="str">
        <f aca="false">IF(Roster!$B$16&gt;14,'Wk 13-18 Input'!F23,"-")</f>
        <v>-</v>
      </c>
      <c r="W4" s="0" t="str">
        <f aca="false">IF(Roster!$B$16&gt;15,'Wk 13-18 Input'!F38,"-")</f>
        <v>-</v>
      </c>
      <c r="X4" s="0" t="str">
        <f aca="false">IF(Roster!$B$16&gt;16,'Wk 13-18 Input'!F53,"-")</f>
        <v>-</v>
      </c>
      <c r="Y4" s="0" t="str">
        <f aca="false">IF(Roster!$B$16&gt;17,'Wk 13-18 Input'!F68,"-")</f>
        <v>-</v>
      </c>
      <c r="Z4" s="0" t="str">
        <f aca="false">IF(Roster!$B$16&gt;18,'Wk 13-18 Input'!F83,"-")</f>
        <v>-</v>
      </c>
      <c r="AA4" s="0" t="n">
        <f aca="false"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 s="0" t="n">
        <f aca="false"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 s="0" t="n">
        <f aca="false"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 s="0" t="n">
        <f aca="false">AA4+0.0003</f>
        <v>0.0003</v>
      </c>
      <c r="AE4" s="0" t="n">
        <f aca="false">I4+R4+AC4</f>
        <v>11</v>
      </c>
      <c r="AF4" s="0" t="n">
        <f aca="false">AE4+0.0003</f>
        <v>11.0003</v>
      </c>
    </row>
    <row r="5" customFormat="false" ht="15" hidden="false" customHeight="true" outlineLevel="0" collapsed="false">
      <c r="A5" s="0" t="n">
        <v>4</v>
      </c>
      <c r="B5" s="0" t="str">
        <f aca="false">Roster!B6</f>
        <v>Luke Ussery</v>
      </c>
      <c r="C5" s="0" t="n">
        <f aca="false">IF(Roster!$B$16&gt;=1,'Wk 1-6 Input'!H9,0)+IF(Roster!$B$16&gt;1,'Wk 1-6 Input'!G9,0)</f>
        <v>5</v>
      </c>
      <c r="D5" s="0" t="n">
        <f aca="false">IF(Roster!$B$16&gt;=2,'Wk 1-6 Input'!H24,0)+IF(Roster!$B$16&gt;2,'Wk 1-6 Input'!G24,0)</f>
        <v>0</v>
      </c>
      <c r="E5" s="0" t="n">
        <f aca="false">IF(Roster!$B$16&gt;=3,'Wk 1-6 Input'!H39,0)+IF(Roster!$B$16&gt;3,'Wk 1-6 Input'!G39,0)</f>
        <v>0</v>
      </c>
      <c r="F5" s="0" t="n">
        <f aca="false">IF(Roster!$B$16&gt;=4,'Wk 1-6 Input'!H54,0)+IF(Roster!$B$16&gt;4,'Wk 1-6 Input'!G54,0)</f>
        <v>0</v>
      </c>
      <c r="G5" s="0" t="n">
        <f aca="false">IF(Roster!$B$16&gt;=5,'Wk 1-6 Input'!H69,0)+IF(Roster!$B$16&gt;5,'Wk 1-6 Input'!G69,0)</f>
        <v>0</v>
      </c>
      <c r="H5" s="0" t="n">
        <f aca="false">IF(Roster!$B$16&gt;=6,'Wk 1-6 Input'!H84,0)+IF(Roster!$B$16&gt;6,'Wk 1-6 Input'!G84,0)</f>
        <v>0</v>
      </c>
      <c r="I5" s="0" t="n">
        <f aca="false">SUM(C5:H5)</f>
        <v>5</v>
      </c>
      <c r="J5" s="0" t="n">
        <f aca="false"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 s="0" t="n">
        <f aca="false">I5+0.0004</f>
        <v>5.0004</v>
      </c>
      <c r="L5" s="0" t="n">
        <f aca="false">IF(Roster!$B$16&gt;=7,'Wk 7-12 Input'!H9,0)+IF(Roster!$B$16&gt;7,'Wk 7-12 Input'!G9,0)</f>
        <v>0</v>
      </c>
      <c r="M5" s="0" t="n">
        <f aca="false">IF(Roster!$B$16&gt;=8,'Wk 7-12 Input'!H24,0)+IF(Roster!$B$16&gt;8,'Wk 7-12 Input'!G24,0)</f>
        <v>0</v>
      </c>
      <c r="N5" s="0" t="n">
        <f aca="false">IF(Roster!$B$16&gt;=9,'Wk 7-12 Input'!H39,0)+IF(Roster!$B$16&gt;9,'Wk 7-12 Input'!G39,0)</f>
        <v>0</v>
      </c>
      <c r="O5" s="0" t="n">
        <f aca="false">IF(Roster!$B$16&gt;=10,'Wk 7-12 Input'!H54,0)+IF(Roster!$B$16&gt;10,'Wk 7-12 Input'!G54,0)</f>
        <v>0</v>
      </c>
      <c r="P5" s="0" t="n">
        <f aca="false">IF(Roster!$B$16&gt;=11,'Wk 7-12 Input'!H69,0)+IF(Roster!$B$16&gt;11,'Wk 7-12 Input'!G69,0)</f>
        <v>0</v>
      </c>
      <c r="Q5" s="0" t="n">
        <f aca="false">IF(Roster!$B$16&gt;=12,'Wk 7-12 Input'!H84,0)+IF(Roster!$B$16&gt;12,'Wk 7-12 Input'!G84,0)</f>
        <v>0</v>
      </c>
      <c r="R5" s="0" t="n">
        <f aca="false">SUM(L5:Q5)</f>
        <v>0</v>
      </c>
      <c r="S5" s="0" t="n">
        <f aca="false"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 s="0" t="n">
        <f aca="false">R5+0.0004</f>
        <v>0.0004</v>
      </c>
      <c r="U5" s="0" t="str">
        <f aca="false">IF(Roster!$B$16&gt;13,'Wk 13-18 Input'!F9,"-")</f>
        <v>-</v>
      </c>
      <c r="V5" s="0" t="str">
        <f aca="false">IF(Roster!$B$16&gt;14,'Wk 13-18 Input'!F24,"-")</f>
        <v>-</v>
      </c>
      <c r="W5" s="0" t="str">
        <f aca="false">IF(Roster!$B$16&gt;15,'Wk 13-18 Input'!F39,"-")</f>
        <v>-</v>
      </c>
      <c r="X5" s="0" t="str">
        <f aca="false">IF(Roster!$B$16&gt;16,'Wk 13-18 Input'!F54,"-")</f>
        <v>-</v>
      </c>
      <c r="Y5" s="0" t="str">
        <f aca="false">IF(Roster!$B$16&gt;17,'Wk 13-18 Input'!F69,"-")</f>
        <v>-</v>
      </c>
      <c r="Z5" s="0" t="str">
        <f aca="false">IF(Roster!$B$16&gt;18,'Wk 13-18 Input'!F84,"-")</f>
        <v>-</v>
      </c>
      <c r="AA5" s="0" t="n">
        <f aca="false"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 s="0" t="n">
        <f aca="false"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 s="0" t="n">
        <f aca="false"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 s="0" t="n">
        <f aca="false">AA5+0.0004</f>
        <v>0.0004</v>
      </c>
      <c r="AE5" s="0" t="n">
        <f aca="false">I5+R5+AC5</f>
        <v>5</v>
      </c>
      <c r="AF5" s="0" t="n">
        <f aca="false">AE5+0.0004</f>
        <v>5.0004</v>
      </c>
    </row>
    <row r="6" customFormat="false" ht="15" hidden="false" customHeight="true" outlineLevel="0" collapsed="false">
      <c r="A6" s="0" t="n">
        <v>5</v>
      </c>
      <c r="B6" s="0" t="str">
        <f aca="false">Roster!B7</f>
        <v>Mikayla Simmons</v>
      </c>
      <c r="C6" s="0" t="n">
        <f aca="false">IF(Roster!$B$16&gt;=1,'Wk 1-6 Input'!H10,0)+IF(Roster!$B$16&gt;1,'Wk 1-6 Input'!G10,0)</f>
        <v>16</v>
      </c>
      <c r="D6" s="0" t="n">
        <f aca="false">IF(Roster!$B$16&gt;=2,'Wk 1-6 Input'!H25,0)+IF(Roster!$B$16&gt;2,'Wk 1-6 Input'!G25,0)</f>
        <v>0</v>
      </c>
      <c r="E6" s="0" t="n">
        <f aca="false">IF(Roster!$B$16&gt;=3,'Wk 1-6 Input'!H40,0)+IF(Roster!$B$16&gt;3,'Wk 1-6 Input'!G40,0)</f>
        <v>0</v>
      </c>
      <c r="F6" s="0" t="n">
        <f aca="false">IF(Roster!$B$16&gt;=4,'Wk 1-6 Input'!H55,0)+IF(Roster!$B$16&gt;4,'Wk 1-6 Input'!G55,0)</f>
        <v>0</v>
      </c>
      <c r="G6" s="0" t="n">
        <f aca="false">IF(Roster!$B$16&gt;=5,'Wk 1-6 Input'!H70,0)+IF(Roster!$B$16&gt;5,'Wk 1-6 Input'!G70,0)</f>
        <v>0</v>
      </c>
      <c r="H6" s="0" t="n">
        <f aca="false">IF(Roster!$B$16&gt;=6,'Wk 1-6 Input'!H85,0)+IF(Roster!$B$16&gt;6,'Wk 1-6 Input'!G85,0)</f>
        <v>0</v>
      </c>
      <c r="I6" s="0" t="n">
        <f aca="false">SUM(C6:H6)</f>
        <v>16</v>
      </c>
      <c r="J6" s="0" t="n">
        <f aca="false"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 s="0" t="n">
        <f aca="false">I6+0.0005</f>
        <v>16.0005</v>
      </c>
      <c r="L6" s="0" t="n">
        <f aca="false">IF(Roster!$B$16&gt;=7,'Wk 7-12 Input'!H10,0)+IF(Roster!$B$16&gt;7,'Wk 7-12 Input'!G10,0)</f>
        <v>0</v>
      </c>
      <c r="M6" s="0" t="n">
        <f aca="false">IF(Roster!$B$16&gt;=8,'Wk 7-12 Input'!H25,0)+IF(Roster!$B$16&gt;8,'Wk 7-12 Input'!G25,0)</f>
        <v>0</v>
      </c>
      <c r="N6" s="0" t="n">
        <f aca="false">IF(Roster!$B$16&gt;=9,'Wk 7-12 Input'!H40,0)+IF(Roster!$B$16&gt;9,'Wk 7-12 Input'!G40,0)</f>
        <v>0</v>
      </c>
      <c r="O6" s="0" t="n">
        <f aca="false">IF(Roster!$B$16&gt;=10,'Wk 7-12 Input'!H55,0)+IF(Roster!$B$16&gt;10,'Wk 7-12 Input'!G55,0)</f>
        <v>0</v>
      </c>
      <c r="P6" s="0" t="n">
        <f aca="false">IF(Roster!$B$16&gt;=11,'Wk 7-12 Input'!H70,0)+IF(Roster!$B$16&gt;11,'Wk 7-12 Input'!G70,0)</f>
        <v>0</v>
      </c>
      <c r="Q6" s="0" t="n">
        <f aca="false">IF(Roster!$B$16&gt;=12,'Wk 7-12 Input'!H85,0)+IF(Roster!$B$16&gt;12,'Wk 7-12 Input'!G85,0)</f>
        <v>0</v>
      </c>
      <c r="R6" s="0" t="n">
        <f aca="false">SUM(L6:Q6)</f>
        <v>0</v>
      </c>
      <c r="S6" s="0" t="n">
        <f aca="false"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 s="0" t="n">
        <f aca="false">R6+0.0005</f>
        <v>0.0005</v>
      </c>
      <c r="U6" s="0" t="str">
        <f aca="false">IF(Roster!$B$16&gt;13,'Wk 13-18 Input'!F10,"-")</f>
        <v>-</v>
      </c>
      <c r="V6" s="0" t="str">
        <f aca="false">IF(Roster!$B$16&gt;14,'Wk 13-18 Input'!F25,"-")</f>
        <v>-</v>
      </c>
      <c r="W6" s="0" t="str">
        <f aca="false">IF(Roster!$B$16&gt;15,'Wk 13-18 Input'!F40,"-")</f>
        <v>-</v>
      </c>
      <c r="X6" s="0" t="str">
        <f aca="false">IF(Roster!$B$16&gt;16,'Wk 13-18 Input'!F55,"-")</f>
        <v>-</v>
      </c>
      <c r="Y6" s="0" t="str">
        <f aca="false">IF(Roster!$B$16&gt;17,'Wk 13-18 Input'!F70,"-")</f>
        <v>-</v>
      </c>
      <c r="Z6" s="0" t="str">
        <f aca="false">IF(Roster!$B$16&gt;18,'Wk 13-18 Input'!F85,"-")</f>
        <v>-</v>
      </c>
      <c r="AA6" s="0" t="n">
        <f aca="false"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 s="0" t="n">
        <f aca="false"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 s="0" t="n">
        <f aca="false"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 s="0" t="n">
        <f aca="false">AA6+0.0005</f>
        <v>0.0005</v>
      </c>
      <c r="AE6" s="0" t="n">
        <f aca="false">I6+R6+AC6</f>
        <v>16</v>
      </c>
      <c r="AF6" s="0" t="n">
        <f aca="false">AE6+0.0005</f>
        <v>16.0005</v>
      </c>
    </row>
    <row r="7" customFormat="false" ht="15" hidden="false" customHeight="true" outlineLevel="0" collapsed="false">
      <c r="A7" s="0" t="n">
        <v>6</v>
      </c>
      <c r="B7" s="0" t="str">
        <f aca="false">Roster!B8</f>
        <v>Alan Loeser</v>
      </c>
      <c r="C7" s="0" t="n">
        <f aca="false">IF(Roster!$B$16&gt;=1,'Wk 1-6 Input'!H11,0)+IF(Roster!$B$16&gt;1,'Wk 1-6 Input'!G11,0)</f>
        <v>9</v>
      </c>
      <c r="D7" s="0" t="n">
        <f aca="false">IF(Roster!$B$16&gt;=2,'Wk 1-6 Input'!H26,0)+IF(Roster!$B$16&gt;2,'Wk 1-6 Input'!G26,0)</f>
        <v>0</v>
      </c>
      <c r="E7" s="0" t="n">
        <f aca="false">IF(Roster!$B$16&gt;=3,'Wk 1-6 Input'!H41,0)+IF(Roster!$B$16&gt;3,'Wk 1-6 Input'!G41,0)</f>
        <v>0</v>
      </c>
      <c r="F7" s="0" t="n">
        <f aca="false">IF(Roster!$B$16&gt;=4,'Wk 1-6 Input'!H56,0)+IF(Roster!$B$16&gt;4,'Wk 1-6 Input'!G56,0)</f>
        <v>0</v>
      </c>
      <c r="G7" s="0" t="n">
        <f aca="false">IF(Roster!$B$16&gt;=5,'Wk 1-6 Input'!H71,0)+IF(Roster!$B$16&gt;5,'Wk 1-6 Input'!G71,0)</f>
        <v>0</v>
      </c>
      <c r="H7" s="0" t="n">
        <f aca="false">IF(Roster!$B$16&gt;=6,'Wk 1-6 Input'!H86,0)+IF(Roster!$B$16&gt;6,'Wk 1-6 Input'!G86,0)</f>
        <v>0</v>
      </c>
      <c r="I7" s="0" t="n">
        <f aca="false">SUM(C7:H7)</f>
        <v>9</v>
      </c>
      <c r="J7" s="0" t="n">
        <f aca="false"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 s="0" t="n">
        <f aca="false">I7+0.0006</f>
        <v>9.0006</v>
      </c>
      <c r="L7" s="0" t="n">
        <f aca="false">IF(Roster!$B$16&gt;=7,'Wk 7-12 Input'!H11,0)+IF(Roster!$B$16&gt;7,'Wk 7-12 Input'!G11,0)</f>
        <v>0</v>
      </c>
      <c r="M7" s="0" t="n">
        <f aca="false">IF(Roster!$B$16&gt;=8,'Wk 7-12 Input'!H26,0)+IF(Roster!$B$16&gt;8,'Wk 7-12 Input'!G26,0)</f>
        <v>0</v>
      </c>
      <c r="N7" s="0" t="n">
        <f aca="false">IF(Roster!$B$16&gt;=9,'Wk 7-12 Input'!H41,0)+IF(Roster!$B$16&gt;9,'Wk 7-12 Input'!G41,0)</f>
        <v>0</v>
      </c>
      <c r="O7" s="0" t="n">
        <f aca="false">IF(Roster!$B$16&gt;=10,'Wk 7-12 Input'!H56,0)+IF(Roster!$B$16&gt;10,'Wk 7-12 Input'!G56,0)</f>
        <v>0</v>
      </c>
      <c r="P7" s="0" t="n">
        <f aca="false">IF(Roster!$B$16&gt;=11,'Wk 7-12 Input'!H71,0)+IF(Roster!$B$16&gt;11,'Wk 7-12 Input'!G71,0)</f>
        <v>0</v>
      </c>
      <c r="Q7" s="0" t="n">
        <f aca="false">IF(Roster!$B$16&gt;=12,'Wk 7-12 Input'!H86,0)+IF(Roster!$B$16&gt;12,'Wk 7-12 Input'!G86,0)</f>
        <v>0</v>
      </c>
      <c r="R7" s="0" t="n">
        <f aca="false">SUM(L7:Q7)</f>
        <v>0</v>
      </c>
      <c r="S7" s="0" t="n">
        <f aca="false"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 s="0" t="n">
        <f aca="false">R7+0.0006</f>
        <v>0.0006</v>
      </c>
      <c r="U7" s="0" t="str">
        <f aca="false">IF(Roster!$B$16&gt;13,'Wk 13-18 Input'!F11,"-")</f>
        <v>-</v>
      </c>
      <c r="V7" s="0" t="str">
        <f aca="false">IF(Roster!$B$16&gt;14,'Wk 13-18 Input'!F26,"-")</f>
        <v>-</v>
      </c>
      <c r="W7" s="0" t="str">
        <f aca="false">IF(Roster!$B$16&gt;15,'Wk 13-18 Input'!F41,"-")</f>
        <v>-</v>
      </c>
      <c r="X7" s="0" t="str">
        <f aca="false">IF(Roster!$B$16&gt;16,'Wk 13-18 Input'!F56,"-")</f>
        <v>-</v>
      </c>
      <c r="Y7" s="0" t="str">
        <f aca="false">IF(Roster!$B$16&gt;17,'Wk 13-18 Input'!F71,"-")</f>
        <v>-</v>
      </c>
      <c r="Z7" s="0" t="str">
        <f aca="false">IF(Roster!$B$16&gt;18,'Wk 13-18 Input'!F86,"-")</f>
        <v>-</v>
      </c>
      <c r="AA7" s="0" t="n">
        <f aca="false"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 s="0" t="n">
        <f aca="false"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 s="0" t="n">
        <f aca="false"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 s="0" t="n">
        <f aca="false">AA7+0.0006</f>
        <v>0.0006</v>
      </c>
      <c r="AE7" s="0" t="n">
        <f aca="false">I7+R7+AC7</f>
        <v>9</v>
      </c>
      <c r="AF7" s="0" t="n">
        <f aca="false">AE7+0.0006</f>
        <v>9.0006</v>
      </c>
    </row>
    <row r="8" customFormat="false" ht="15" hidden="false" customHeight="true" outlineLevel="0" collapsed="false">
      <c r="A8" s="0" t="n">
        <v>7</v>
      </c>
      <c r="B8" s="0" t="str">
        <f aca="false">Roster!B9</f>
        <v>Caleb Simmons</v>
      </c>
      <c r="C8" s="0" t="n">
        <f aca="false">IF(Roster!$B$16&gt;=1,'Wk 1-6 Input'!H12,0)+IF(Roster!$B$16&gt;1,'Wk 1-6 Input'!G12,0)</f>
        <v>7</v>
      </c>
      <c r="D8" s="0" t="n">
        <f aca="false">IF(Roster!$B$16&gt;=2,'Wk 1-6 Input'!H27,0)+IF(Roster!$B$16&gt;2,'Wk 1-6 Input'!G27,0)</f>
        <v>0</v>
      </c>
      <c r="E8" s="0" t="n">
        <f aca="false">IF(Roster!$B$16&gt;=3,'Wk 1-6 Input'!H42,0)+IF(Roster!$B$16&gt;3,'Wk 1-6 Input'!G42,0)</f>
        <v>0</v>
      </c>
      <c r="F8" s="0" t="n">
        <f aca="false">IF(Roster!$B$16&gt;=4,'Wk 1-6 Input'!H57,0)+IF(Roster!$B$16&gt;4,'Wk 1-6 Input'!G57,0)</f>
        <v>0</v>
      </c>
      <c r="G8" s="0" t="n">
        <f aca="false">IF(Roster!$B$16&gt;=5,'Wk 1-6 Input'!H72,0)+IF(Roster!$B$16&gt;5,'Wk 1-6 Input'!G72,0)</f>
        <v>0</v>
      </c>
      <c r="H8" s="0" t="n">
        <f aca="false">IF(Roster!$B$16&gt;=6,'Wk 1-6 Input'!H87,0)+IF(Roster!$B$16&gt;6,'Wk 1-6 Input'!G87,0)</f>
        <v>0</v>
      </c>
      <c r="I8" s="0" t="n">
        <f aca="false">SUM(C8:H8)</f>
        <v>7</v>
      </c>
      <c r="J8" s="0" t="n">
        <f aca="false"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 s="0" t="n">
        <f aca="false">I8+0.0007</f>
        <v>7.0007</v>
      </c>
      <c r="L8" s="0" t="n">
        <f aca="false">IF(Roster!$B$16&gt;=7,'Wk 7-12 Input'!H12,0)+IF(Roster!$B$16&gt;7,'Wk 7-12 Input'!G12,0)</f>
        <v>0</v>
      </c>
      <c r="M8" s="0" t="n">
        <f aca="false">IF(Roster!$B$16&gt;=8,'Wk 7-12 Input'!H27,0)+IF(Roster!$B$16&gt;8,'Wk 7-12 Input'!G27,0)</f>
        <v>0</v>
      </c>
      <c r="N8" s="0" t="n">
        <f aca="false">IF(Roster!$B$16&gt;=9,'Wk 7-12 Input'!H42,0)+IF(Roster!$B$16&gt;9,'Wk 7-12 Input'!G42,0)</f>
        <v>0</v>
      </c>
      <c r="O8" s="0" t="n">
        <f aca="false">IF(Roster!$B$16&gt;=10,'Wk 7-12 Input'!H57,0)+IF(Roster!$B$16&gt;10,'Wk 7-12 Input'!G57,0)</f>
        <v>0</v>
      </c>
      <c r="P8" s="0" t="n">
        <f aca="false">IF(Roster!$B$16&gt;=11,'Wk 7-12 Input'!H72,0)+IF(Roster!$B$16&gt;11,'Wk 7-12 Input'!G72,0)</f>
        <v>0</v>
      </c>
      <c r="Q8" s="0" t="n">
        <f aca="false">IF(Roster!$B$16&gt;=12,'Wk 7-12 Input'!H87,0)+IF(Roster!$B$16&gt;12,'Wk 7-12 Input'!G87,0)</f>
        <v>0</v>
      </c>
      <c r="R8" s="0" t="n">
        <f aca="false">SUM(L8:Q8)</f>
        <v>0</v>
      </c>
      <c r="S8" s="0" t="n">
        <f aca="false"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 s="0" t="n">
        <f aca="false">R8+0.0007</f>
        <v>0.0007</v>
      </c>
      <c r="U8" s="0" t="str">
        <f aca="false">IF(Roster!$B$16&gt;13,'Wk 13-18 Input'!F12,"-")</f>
        <v>-</v>
      </c>
      <c r="V8" s="0" t="str">
        <f aca="false">IF(Roster!$B$16&gt;14,'Wk 13-18 Input'!F27,"-")</f>
        <v>-</v>
      </c>
      <c r="W8" s="0" t="str">
        <f aca="false">IF(Roster!$B$16&gt;15,'Wk 13-18 Input'!F42,"-")</f>
        <v>-</v>
      </c>
      <c r="X8" s="0" t="str">
        <f aca="false">IF(Roster!$B$16&gt;16,'Wk 13-18 Input'!F57,"-")</f>
        <v>-</v>
      </c>
      <c r="Y8" s="0" t="str">
        <f aca="false">IF(Roster!$B$16&gt;17,'Wk 13-18 Input'!F72,"-")</f>
        <v>-</v>
      </c>
      <c r="Z8" s="0" t="str">
        <f aca="false">IF(Roster!$B$16&gt;18,'Wk 13-18 Input'!F87,"-")</f>
        <v>-</v>
      </c>
      <c r="AA8" s="0" t="n">
        <f aca="false"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 s="0" t="n">
        <f aca="false"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 s="0" t="n">
        <f aca="false"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 s="0" t="n">
        <f aca="false">AA8+0.0007</f>
        <v>0.0007</v>
      </c>
      <c r="AE8" s="0" t="n">
        <f aca="false">I8+R8+AC8</f>
        <v>7</v>
      </c>
      <c r="AF8" s="0" t="n">
        <f aca="false">AE8+0.0007</f>
        <v>7.0007</v>
      </c>
    </row>
    <row r="9" customFormat="false" ht="15" hidden="false" customHeight="true" outlineLevel="0" collapsed="false">
      <c r="A9" s="0" t="n">
        <v>8</v>
      </c>
      <c r="B9" s="0" t="str">
        <f aca="false">Roster!B10</f>
        <v>Larry Loeser</v>
      </c>
      <c r="C9" s="0" t="n">
        <f aca="false">IF(Roster!$B$16&gt;=1,'Wk 1-6 Input'!H13,0)+IF(Roster!$B$16&gt;1,'Wk 1-6 Input'!G13,0)</f>
        <v>15</v>
      </c>
      <c r="D9" s="0" t="n">
        <f aca="false">IF(Roster!$B$16&gt;=2,'Wk 1-6 Input'!H28,0)+IF(Roster!$B$16&gt;2,'Wk 1-6 Input'!G28,0)</f>
        <v>0</v>
      </c>
      <c r="E9" s="0" t="n">
        <f aca="false">IF(Roster!$B$16&gt;=3,'Wk 1-6 Input'!H43,0)+IF(Roster!$B$16&gt;3,'Wk 1-6 Input'!G43,0)</f>
        <v>0</v>
      </c>
      <c r="F9" s="0" t="n">
        <f aca="false">IF(Roster!$B$16&gt;=4,'Wk 1-6 Input'!H58,0)+IF(Roster!$B$16&gt;4,'Wk 1-6 Input'!G58,0)</f>
        <v>0</v>
      </c>
      <c r="G9" s="0" t="n">
        <f aca="false">IF(Roster!$B$16&gt;=5,'Wk 1-6 Input'!H73,0)+IF(Roster!$B$16&gt;5,'Wk 1-6 Input'!G73,0)</f>
        <v>0</v>
      </c>
      <c r="H9" s="0" t="n">
        <f aca="false">IF(Roster!$B$16&gt;=6,'Wk 1-6 Input'!H88,0)+IF(Roster!$B$16&gt;6,'Wk 1-6 Input'!G88,0)</f>
        <v>0</v>
      </c>
      <c r="I9" s="0" t="n">
        <f aca="false">SUM(C9:H9)</f>
        <v>15</v>
      </c>
      <c r="J9" s="0" t="n">
        <f aca="false"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1</v>
      </c>
      <c r="K9" s="0" t="n">
        <f aca="false">I9+0.0008</f>
        <v>15.0008</v>
      </c>
      <c r="L9" s="0" t="n">
        <f aca="false">IF(Roster!$B$16&gt;=7,'Wk 7-12 Input'!H13,0)+IF(Roster!$B$16&gt;7,'Wk 7-12 Input'!G13,0)</f>
        <v>0</v>
      </c>
      <c r="M9" s="0" t="n">
        <f aca="false">IF(Roster!$B$16&gt;=8,'Wk 7-12 Input'!H28,0)+IF(Roster!$B$16&gt;8,'Wk 7-12 Input'!G28,0)</f>
        <v>0</v>
      </c>
      <c r="N9" s="0" t="n">
        <f aca="false">IF(Roster!$B$16&gt;=9,'Wk 7-12 Input'!H43,0)+IF(Roster!$B$16&gt;9,'Wk 7-12 Input'!G43,0)</f>
        <v>0</v>
      </c>
      <c r="O9" s="0" t="n">
        <f aca="false">IF(Roster!$B$16&gt;=10,'Wk 7-12 Input'!H58,0)+IF(Roster!$B$16&gt;10,'Wk 7-12 Input'!G58,0)</f>
        <v>0</v>
      </c>
      <c r="P9" s="0" t="n">
        <f aca="false">IF(Roster!$B$16&gt;=11,'Wk 7-12 Input'!H73,0)+IF(Roster!$B$16&gt;11,'Wk 7-12 Input'!G73,0)</f>
        <v>0</v>
      </c>
      <c r="Q9" s="0" t="n">
        <f aca="false">IF(Roster!$B$16&gt;=12,'Wk 7-12 Input'!H88,0)+IF(Roster!$B$16&gt;12,'Wk 7-12 Input'!G88,0)</f>
        <v>0</v>
      </c>
      <c r="R9" s="0" t="n">
        <f aca="false">SUM(L9:Q9)</f>
        <v>0</v>
      </c>
      <c r="S9" s="0" t="n">
        <f aca="false"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 s="0" t="n">
        <f aca="false">R9+0.0008</f>
        <v>0.0008</v>
      </c>
      <c r="U9" s="0" t="str">
        <f aca="false">IF(Roster!$B$16&gt;13,'Wk 13-18 Input'!F13,"-")</f>
        <v>-</v>
      </c>
      <c r="V9" s="0" t="str">
        <f aca="false">IF(Roster!$B$16&gt;14,'Wk 13-18 Input'!F28,"-")</f>
        <v>-</v>
      </c>
      <c r="W9" s="0" t="str">
        <f aca="false">IF(Roster!$B$16&gt;15,'Wk 13-18 Input'!F43,"-")</f>
        <v>-</v>
      </c>
      <c r="X9" s="0" t="str">
        <f aca="false">IF(Roster!$B$16&gt;16,'Wk 13-18 Input'!F58,"-")</f>
        <v>-</v>
      </c>
      <c r="Y9" s="0" t="str">
        <f aca="false">IF(Roster!$B$16&gt;17,'Wk 13-18 Input'!F73,"-")</f>
        <v>-</v>
      </c>
      <c r="Z9" s="0" t="str">
        <f aca="false">IF(Roster!$B$16&gt;18,'Wk 13-18 Input'!F88,"-")</f>
        <v>-</v>
      </c>
      <c r="AA9" s="0" t="n">
        <f aca="false"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 s="0" t="n">
        <f aca="false"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 s="0" t="n">
        <f aca="false"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 s="0" t="n">
        <f aca="false">AA9+0.0008</f>
        <v>0.0008</v>
      </c>
      <c r="AE9" s="0" t="n">
        <f aca="false">I9+R9+AC9</f>
        <v>15</v>
      </c>
      <c r="AF9" s="0" t="n">
        <f aca="false">AE9+0.0008</f>
        <v>15.0008</v>
      </c>
    </row>
    <row r="10" customFormat="false" ht="15" hidden="false" customHeight="true" outlineLevel="0" collapsed="false">
      <c r="A10" s="0" t="n">
        <v>9</v>
      </c>
      <c r="B10" s="0" t="str">
        <f aca="false">Roster!B11</f>
        <v>Daddy Michael</v>
      </c>
      <c r="C10" s="0" t="n">
        <f aca="false">IF(Roster!$B$16&gt;=1,'Wk 1-6 Input'!H14,0)+IF(Roster!$B$16&gt;1,'Wk 1-6 Input'!G14,0)</f>
        <v>11</v>
      </c>
      <c r="D10" s="0" t="n">
        <f aca="false">IF(Roster!$B$16&gt;=2,'Wk 1-6 Input'!H29,0)+IF(Roster!$B$16&gt;2,'Wk 1-6 Input'!G29,0)</f>
        <v>0</v>
      </c>
      <c r="E10" s="0" t="n">
        <f aca="false">IF(Roster!$B$16&gt;=3,'Wk 1-6 Input'!H44,0)+IF(Roster!$B$16&gt;3,'Wk 1-6 Input'!G44,0)</f>
        <v>0</v>
      </c>
      <c r="F10" s="0" t="n">
        <f aca="false">IF(Roster!$B$16&gt;=4,'Wk 1-6 Input'!H59,0)+IF(Roster!$B$16&gt;4,'Wk 1-6 Input'!G59,0)</f>
        <v>0</v>
      </c>
      <c r="G10" s="0" t="n">
        <f aca="false">IF(Roster!$B$16&gt;=5,'Wk 1-6 Input'!H74,0)+IF(Roster!$B$16&gt;5,'Wk 1-6 Input'!G74,0)</f>
        <v>0</v>
      </c>
      <c r="H10" s="0" t="n">
        <f aca="false">IF(Roster!$B$16&gt;=6,'Wk 1-6 Input'!H89,0)+IF(Roster!$B$16&gt;6,'Wk 1-6 Input'!G89,0)</f>
        <v>0</v>
      </c>
      <c r="I10" s="0" t="n">
        <f aca="false">SUM(C10:H10)</f>
        <v>11</v>
      </c>
      <c r="J10" s="0" t="n">
        <f aca="false"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 s="0" t="n">
        <f aca="false">I10+0.0009</f>
        <v>11.0009</v>
      </c>
      <c r="L10" s="0" t="n">
        <f aca="false">IF(Roster!$B$16&gt;=7,'Wk 7-12 Input'!H14,0)+IF(Roster!$B$16&gt;7,'Wk 7-12 Input'!G14,0)</f>
        <v>0</v>
      </c>
      <c r="M10" s="0" t="n">
        <f aca="false">IF(Roster!$B$16&gt;=8,'Wk 7-12 Input'!H29,0)+IF(Roster!$B$16&gt;8,'Wk 7-12 Input'!G29,0)</f>
        <v>0</v>
      </c>
      <c r="N10" s="0" t="n">
        <f aca="false">IF(Roster!$B$16&gt;=9,'Wk 7-12 Input'!H44,0)+IF(Roster!$B$16&gt;9,'Wk 7-12 Input'!G44,0)</f>
        <v>0</v>
      </c>
      <c r="O10" s="0" t="n">
        <f aca="false">IF(Roster!$B$16&gt;=10,'Wk 7-12 Input'!H59,0)+IF(Roster!$B$16&gt;10,'Wk 7-12 Input'!G59,0)</f>
        <v>0</v>
      </c>
      <c r="P10" s="0" t="n">
        <f aca="false">IF(Roster!$B$16&gt;=11,'Wk 7-12 Input'!H74,0)+IF(Roster!$B$16&gt;11,'Wk 7-12 Input'!G74,0)</f>
        <v>0</v>
      </c>
      <c r="Q10" s="0" t="n">
        <f aca="false">IF(Roster!$B$16&gt;=12,'Wk 7-12 Input'!H89,0)+IF(Roster!$B$16&gt;12,'Wk 7-12 Input'!G89,0)</f>
        <v>0</v>
      </c>
      <c r="R10" s="0" t="n">
        <f aca="false">SUM(L10:Q10)</f>
        <v>0</v>
      </c>
      <c r="S10" s="0" t="n">
        <f aca="false"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 s="0" t="n">
        <f aca="false">R10+0.0009</f>
        <v>0.0009</v>
      </c>
      <c r="U10" s="0" t="str">
        <f aca="false">IF(Roster!$B$16&gt;13,'Wk 13-18 Input'!F14,"-")</f>
        <v>-</v>
      </c>
      <c r="V10" s="0" t="str">
        <f aca="false">IF(Roster!$B$16&gt;14,'Wk 13-18 Input'!F29,"-")</f>
        <v>-</v>
      </c>
      <c r="W10" s="0" t="str">
        <f aca="false">IF(Roster!$B$16&gt;15,'Wk 13-18 Input'!F44,"-")</f>
        <v>-</v>
      </c>
      <c r="X10" s="0" t="str">
        <f aca="false">IF(Roster!$B$16&gt;16,'Wk 13-18 Input'!F59,"-")</f>
        <v>-</v>
      </c>
      <c r="Y10" s="0" t="str">
        <f aca="false">IF(Roster!$B$16&gt;17,'Wk 13-18 Input'!F74,"-")</f>
        <v>-</v>
      </c>
      <c r="Z10" s="0" t="str">
        <f aca="false">IF(Roster!$B$16&gt;18,'Wk 13-18 Input'!F89,"-")</f>
        <v>-</v>
      </c>
      <c r="AA10" s="0" t="n">
        <f aca="false"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 s="0" t="n">
        <f aca="false"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 s="0" t="n">
        <f aca="false"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 s="0" t="n">
        <f aca="false">AA10+0.0009</f>
        <v>0.0009</v>
      </c>
      <c r="AE10" s="0" t="n">
        <f aca="false">I10+R10+AC10</f>
        <v>11</v>
      </c>
      <c r="AF10" s="0" t="n">
        <f aca="false">AE10+0.0009</f>
        <v>11.0009</v>
      </c>
    </row>
    <row r="11" customFormat="false" ht="15" hidden="false" customHeight="true" outlineLevel="0" collapsed="false">
      <c r="A11" s="0" t="n">
        <v>10</v>
      </c>
      <c r="B11" s="0" t="str">
        <f aca="false">Roster!B12</f>
        <v>Zach Zarra</v>
      </c>
      <c r="C11" s="0" t="n">
        <f aca="false">IF(Roster!$B$16&gt;=1,'Wk 1-6 Input'!H15,0)+IF(Roster!$B$16&gt;1,'Wk 1-6 Input'!G15,0)</f>
        <v>17</v>
      </c>
      <c r="D11" s="0" t="n">
        <f aca="false">IF(Roster!$B$16&gt;=2,'Wk 1-6 Input'!H30,0)+IF(Roster!$B$16&gt;2,'Wk 1-6 Input'!G30,0)</f>
        <v>0</v>
      </c>
      <c r="E11" s="0" t="n">
        <f aca="false">IF(Roster!$B$16&gt;=3,'Wk 1-6 Input'!H45,0)+IF(Roster!$B$16&gt;3,'Wk 1-6 Input'!G45,0)</f>
        <v>0</v>
      </c>
      <c r="F11" s="0" t="n">
        <f aca="false">IF(Roster!$B$16&gt;=4,'Wk 1-6 Input'!H60,0)+IF(Roster!$B$16&gt;4,'Wk 1-6 Input'!G60,0)</f>
        <v>0</v>
      </c>
      <c r="G11" s="0" t="n">
        <f aca="false">IF(Roster!$B$16&gt;=5,'Wk 1-6 Input'!H75,0)+IF(Roster!$B$16&gt;5,'Wk 1-6 Input'!G75,0)</f>
        <v>0</v>
      </c>
      <c r="H11" s="0" t="n">
        <f aca="false">IF(Roster!$B$16&gt;=6,'Wk 1-6 Input'!H90,0)+IF(Roster!$B$16&gt;6,'Wk 1-6 Input'!G90,0)</f>
        <v>0</v>
      </c>
      <c r="I11" s="0" t="n">
        <f aca="false">SUM(C11:H11)</f>
        <v>17</v>
      </c>
      <c r="J11" s="0" t="n">
        <f aca="false"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 s="0" t="n">
        <f aca="false">I11+0.001</f>
        <v>17.001</v>
      </c>
      <c r="L11" s="0" t="n">
        <f aca="false">IF(Roster!$B$16&gt;=7,'Wk 7-12 Input'!H15,0)+IF(Roster!$B$16&gt;7,'Wk 7-12 Input'!G15,0)</f>
        <v>0</v>
      </c>
      <c r="M11" s="0" t="n">
        <f aca="false">IF(Roster!$B$16&gt;=8,'Wk 7-12 Input'!H30,0)+IF(Roster!$B$16&gt;8,'Wk 7-12 Input'!G30,0)</f>
        <v>0</v>
      </c>
      <c r="N11" s="0" t="n">
        <f aca="false">IF(Roster!$B$16&gt;=9,'Wk 7-12 Input'!H45,0)+IF(Roster!$B$16&gt;9,'Wk 7-12 Input'!G45,0)</f>
        <v>0</v>
      </c>
      <c r="O11" s="0" t="n">
        <f aca="false">IF(Roster!$B$16&gt;=10,'Wk 7-12 Input'!H60,0)+IF(Roster!$B$16&gt;10,'Wk 7-12 Input'!G60,0)</f>
        <v>0</v>
      </c>
      <c r="P11" s="0" t="n">
        <f aca="false">IF(Roster!$B$16&gt;=11,'Wk 7-12 Input'!H75,0)+IF(Roster!$B$16&gt;11,'Wk 7-12 Input'!G75,0)</f>
        <v>0</v>
      </c>
      <c r="Q11" s="0" t="n">
        <f aca="false">IF(Roster!$B$16&gt;=12,'Wk 7-12 Input'!H90,0)+IF(Roster!$B$16&gt;12,'Wk 7-12 Input'!G90,0)</f>
        <v>0</v>
      </c>
      <c r="R11" s="0" t="n">
        <f aca="false">SUM(L11:Q11)</f>
        <v>0</v>
      </c>
      <c r="S11" s="0" t="n">
        <f aca="false"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 s="0" t="n">
        <f aca="false">R11+0.001</f>
        <v>0.001</v>
      </c>
      <c r="U11" s="0" t="str">
        <f aca="false">IF(Roster!$B$16&gt;13,'Wk 13-18 Input'!F15,"-")</f>
        <v>-</v>
      </c>
      <c r="V11" s="0" t="str">
        <f aca="false">IF(Roster!$B$16&gt;14,'Wk 13-18 Input'!F30,"-")</f>
        <v>-</v>
      </c>
      <c r="W11" s="0" t="str">
        <f aca="false">IF(Roster!$B$16&gt;15,'Wk 13-18 Input'!F45,"-")</f>
        <v>-</v>
      </c>
      <c r="X11" s="0" t="str">
        <f aca="false">IF(Roster!$B$16&gt;16,'Wk 13-18 Input'!F60,"-")</f>
        <v>-</v>
      </c>
      <c r="Y11" s="0" t="str">
        <f aca="false">IF(Roster!$B$16&gt;17,'Wk 13-18 Input'!F75,"-")</f>
        <v>-</v>
      </c>
      <c r="Z11" s="0" t="str">
        <f aca="false">IF(Roster!$B$16&gt;18,'Wk 13-18 Input'!F90,"-")</f>
        <v>-</v>
      </c>
      <c r="AA11" s="0" t="n">
        <f aca="false"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 s="0" t="n">
        <f aca="false"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 s="0" t="n">
        <f aca="false"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 s="0" t="n">
        <f aca="false">AA11+0.001</f>
        <v>0.001</v>
      </c>
      <c r="AE11" s="0" t="n">
        <f aca="false">I11+R11+AC11</f>
        <v>17</v>
      </c>
      <c r="AF11" s="0" t="n">
        <f aca="false">AE11+0.001</f>
        <v>17.001</v>
      </c>
    </row>
    <row r="12" customFormat="false" ht="15" hidden="false" customHeight="true" outlineLevel="0" collapsed="false">
      <c r="A12" s="0" t="n">
        <v>11</v>
      </c>
      <c r="B12" s="0" t="str">
        <f aca="false">Roster!B13</f>
        <v>Jeffrey Loeser</v>
      </c>
      <c r="C12" s="0" t="n">
        <f aca="false">IF(Roster!$B$16&gt;=1,'Wk 1-6 Input'!H16,0)+IF(Roster!$B$16&gt;1,'Wk 1-6 Input'!G16,0)</f>
        <v>16</v>
      </c>
      <c r="D12" s="0" t="n">
        <f aca="false">IF(Roster!$B$16&gt;=2,'Wk 1-6 Input'!H31,0)+IF(Roster!$B$16&gt;2,'Wk 1-6 Input'!G31,0)</f>
        <v>0</v>
      </c>
      <c r="E12" s="0" t="n">
        <f aca="false">IF(Roster!$B$16&gt;=3,'Wk 1-6 Input'!H46,0)+IF(Roster!$B$16&gt;3,'Wk 1-6 Input'!G46,0)</f>
        <v>0</v>
      </c>
      <c r="F12" s="0" t="n">
        <f aca="false">IF(Roster!$B$16&gt;=4,'Wk 1-6 Input'!H61,0)+IF(Roster!$B$16&gt;4,'Wk 1-6 Input'!G61,0)</f>
        <v>0</v>
      </c>
      <c r="G12" s="0" t="n">
        <f aca="false">IF(Roster!$B$16&gt;=5,'Wk 1-6 Input'!H76,0)+IF(Roster!$B$16&gt;5,'Wk 1-6 Input'!G76,0)</f>
        <v>0</v>
      </c>
      <c r="H12" s="0" t="n">
        <f aca="false">IF(Roster!$B$16&gt;=6,'Wk 1-6 Input'!H91,0)+IF(Roster!$B$16&gt;6,'Wk 1-6 Input'!G91,0)</f>
        <v>0</v>
      </c>
      <c r="I12" s="0" t="n">
        <f aca="false">SUM(C12:H12)</f>
        <v>16</v>
      </c>
      <c r="J12" s="0" t="n">
        <f aca="false"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 s="0" t="n">
        <f aca="false">I12+0.0011</f>
        <v>16.0011</v>
      </c>
      <c r="L12" s="0" t="n">
        <f aca="false">IF(Roster!$B$16&gt;=7,'Wk 7-12 Input'!H16,0)+IF(Roster!$B$16&gt;7,'Wk 7-12 Input'!G16,0)</f>
        <v>0</v>
      </c>
      <c r="M12" s="0" t="n">
        <f aca="false">IF(Roster!$B$16&gt;=8,'Wk 7-12 Input'!H31,0)+IF(Roster!$B$16&gt;8,'Wk 7-12 Input'!G31,0)</f>
        <v>0</v>
      </c>
      <c r="N12" s="0" t="n">
        <f aca="false">IF(Roster!$B$16&gt;=9,'Wk 7-12 Input'!H46,0)+IF(Roster!$B$16&gt;9,'Wk 7-12 Input'!G46,0)</f>
        <v>0</v>
      </c>
      <c r="O12" s="0" t="n">
        <f aca="false">IF(Roster!$B$16&gt;=10,'Wk 7-12 Input'!H61,0)+IF(Roster!$B$16&gt;10,'Wk 7-12 Input'!G61,0)</f>
        <v>0</v>
      </c>
      <c r="P12" s="0" t="n">
        <f aca="false">IF(Roster!$B$16&gt;=11,'Wk 7-12 Input'!H76,0)+IF(Roster!$B$16&gt;11,'Wk 7-12 Input'!G76,0)</f>
        <v>0</v>
      </c>
      <c r="Q12" s="0" t="n">
        <f aca="false">IF(Roster!$B$16&gt;=12,'Wk 7-12 Input'!H91,0)+IF(Roster!$B$16&gt;12,'Wk 7-12 Input'!G91,0)</f>
        <v>0</v>
      </c>
      <c r="R12" s="0" t="n">
        <f aca="false">SUM(L12:Q12)</f>
        <v>0</v>
      </c>
      <c r="S12" s="0" t="n">
        <f aca="false"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 s="0" t="n">
        <f aca="false">R12+0.0011</f>
        <v>0.0011</v>
      </c>
      <c r="U12" s="0" t="str">
        <f aca="false">IF(Roster!$B$16&gt;13,'Wk 13-18 Input'!F16,"-")</f>
        <v>-</v>
      </c>
      <c r="V12" s="0" t="str">
        <f aca="false">IF(Roster!$B$16&gt;14,'Wk 13-18 Input'!F31,"-")</f>
        <v>-</v>
      </c>
      <c r="W12" s="0" t="str">
        <f aca="false">IF(Roster!$B$16&gt;15,'Wk 13-18 Input'!F46,"-")</f>
        <v>-</v>
      </c>
      <c r="X12" s="0" t="str">
        <f aca="false">IF(Roster!$B$16&gt;16,'Wk 13-18 Input'!F61,"-")</f>
        <v>-</v>
      </c>
      <c r="Y12" s="0" t="str">
        <f aca="false">IF(Roster!$B$16&gt;17,'Wk 13-18 Input'!F76,"-")</f>
        <v>-</v>
      </c>
      <c r="Z12" s="0" t="str">
        <f aca="false">IF(Roster!$B$16&gt;18,'Wk 13-18 Input'!F91,"-")</f>
        <v>-</v>
      </c>
      <c r="AA12" s="0" t="n">
        <f aca="false"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 s="0" t="n">
        <f aca="false"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 s="0" t="n">
        <f aca="false"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 s="0" t="n">
        <f aca="false">AA12+0.0011</f>
        <v>0.0011</v>
      </c>
      <c r="AE12" s="0" t="n">
        <f aca="false">I12+R12+AC12</f>
        <v>16</v>
      </c>
      <c r="AF12" s="0" t="n">
        <f aca="false">AE12+0.0011</f>
        <v>16.0011</v>
      </c>
    </row>
    <row r="13" customFormat="false" ht="15" hidden="false" customHeight="true" outlineLevel="0" collapsed="false">
      <c r="A13" s="0" t="n">
        <v>12</v>
      </c>
      <c r="B13" s="0" t="str">
        <f aca="false">Roster!B14</f>
        <v>Jake Andrews</v>
      </c>
      <c r="C13" s="0" t="n">
        <f aca="false">IF(Roster!$B$16&gt;=1,'Wk 1-6 Input'!H17,0)+IF(Roster!$B$16&gt;1,'Wk 1-6 Input'!G17,0)</f>
        <v>9</v>
      </c>
      <c r="D13" s="0" t="n">
        <f aca="false">IF(Roster!$B$16&gt;=2,'Wk 1-6 Input'!H32,0)+IF(Roster!$B$16&gt;2,'Wk 1-6 Input'!G32,0)</f>
        <v>0</v>
      </c>
      <c r="E13" s="0" t="n">
        <f aca="false">IF(Roster!$B$16&gt;=3,'Wk 1-6 Input'!H47,0)+IF(Roster!$B$16&gt;3,'Wk 1-6 Input'!G47,0)</f>
        <v>0</v>
      </c>
      <c r="F13" s="0" t="n">
        <f aca="false">IF(Roster!$B$16&gt;=4,'Wk 1-6 Input'!H62,0)+IF(Roster!$B$16&gt;4,'Wk 1-6 Input'!G62,0)</f>
        <v>0</v>
      </c>
      <c r="G13" s="0" t="n">
        <f aca="false">IF(Roster!$B$16&gt;=5,'Wk 1-6 Input'!H77,0)+IF(Roster!$B$16&gt;5,'Wk 1-6 Input'!G77,0)</f>
        <v>0</v>
      </c>
      <c r="H13" s="0" t="n">
        <f aca="false">IF(Roster!$B$16&gt;=6,'Wk 1-6 Input'!H92,0)+IF(Roster!$B$16&gt;6,'Wk 1-6 Input'!G92,0)</f>
        <v>0</v>
      </c>
      <c r="I13" s="0" t="n">
        <f aca="false">SUM(C13:H13)</f>
        <v>9</v>
      </c>
      <c r="J13" s="0" t="n">
        <f aca="false"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 s="0" t="n">
        <f aca="false">I13+0.0012</f>
        <v>9.0012</v>
      </c>
      <c r="L13" s="0" t="n">
        <f aca="false">IF(Roster!$B$16&gt;=7,'Wk 7-12 Input'!H17,0)+IF(Roster!$B$16&gt;7,'Wk 7-12 Input'!G17,0)</f>
        <v>0</v>
      </c>
      <c r="M13" s="0" t="n">
        <f aca="false">IF(Roster!$B$16&gt;=8,'Wk 7-12 Input'!H32,0)+IF(Roster!$B$16&gt;8,'Wk 7-12 Input'!G32,0)</f>
        <v>0</v>
      </c>
      <c r="N13" s="0" t="n">
        <f aca="false">IF(Roster!$B$16&gt;=9,'Wk 7-12 Input'!H47,0)+IF(Roster!$B$16&gt;9,'Wk 7-12 Input'!G47,0)</f>
        <v>0</v>
      </c>
      <c r="O13" s="0" t="n">
        <f aca="false">IF(Roster!$B$16&gt;=10,'Wk 7-12 Input'!H62,0)+IF(Roster!$B$16&gt;10,'Wk 7-12 Input'!G62,0)</f>
        <v>0</v>
      </c>
      <c r="P13" s="0" t="n">
        <f aca="false">IF(Roster!$B$16&gt;=11,'Wk 7-12 Input'!H77,0)+IF(Roster!$B$16&gt;11,'Wk 7-12 Input'!G77,0)</f>
        <v>0</v>
      </c>
      <c r="Q13" s="0" t="n">
        <f aca="false">IF(Roster!$B$16&gt;=12,'Wk 7-12 Input'!H92,0)+IF(Roster!$B$16&gt;12,'Wk 7-12 Input'!G92,0)</f>
        <v>0</v>
      </c>
      <c r="R13" s="0" t="n">
        <f aca="false">SUM(L13:Q13)</f>
        <v>0</v>
      </c>
      <c r="S13" s="0" t="n">
        <f aca="false"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 s="0" t="n">
        <f aca="false">R13+0.0012</f>
        <v>0.0012</v>
      </c>
      <c r="U13" s="0" t="str">
        <f aca="false">IF(Roster!$B$16&gt;13,'Wk 13-18 Input'!F17,"-")</f>
        <v>-</v>
      </c>
      <c r="V13" s="0" t="str">
        <f aca="false">IF(Roster!$B$16&gt;14,'Wk 13-18 Input'!F32,"-")</f>
        <v>-</v>
      </c>
      <c r="W13" s="0" t="str">
        <f aca="false">IF(Roster!$B$16&gt;15,'Wk 13-18 Input'!F47,"-")</f>
        <v>-</v>
      </c>
      <c r="X13" s="0" t="str">
        <f aca="false">IF(Roster!$B$16&gt;16,'Wk 13-18 Input'!F62,"-")</f>
        <v>-</v>
      </c>
      <c r="Y13" s="0" t="str">
        <f aca="false">IF(Roster!$B$16&gt;17,'Wk 13-18 Input'!F77,"-")</f>
        <v>-</v>
      </c>
      <c r="Z13" s="0" t="str">
        <f aca="false">IF(Roster!$B$16&gt;18,'Wk 13-18 Input'!F92,"-")</f>
        <v>-</v>
      </c>
      <c r="AA13" s="0" t="n">
        <f aca="false"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 s="0" t="n">
        <f aca="false"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 s="0" t="n">
        <f aca="false"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 s="0" t="n">
        <f aca="false">AA13+0.0012</f>
        <v>0.0012</v>
      </c>
      <c r="AE13" s="0" t="n">
        <f aca="false">I13+R13+AC13</f>
        <v>9</v>
      </c>
      <c r="AF13" s="0" t="n">
        <f aca="false">AE13+0.0012</f>
        <v>9.0012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2026-09-09T19:06:51Z</dcterms:created>
  <dc:creator>openpyxl</dc:creator>
  <dc:description/>
  <dc:language>en-US</dc:language>
  <cp:lastModifiedBy>Evan Loeser</cp:lastModifiedBy>
  <dcterms:modified xsi:type="dcterms:W3CDTF">2026-09-14T19:09:23Z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