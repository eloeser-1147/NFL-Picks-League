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08" documentId="11_6034A8D24D14BF460B0C50849224F53B42431133" xr6:coauthVersionLast="47" xr6:coauthVersionMax="47" xr10:uidLastSave="{1E2BCA20-24A7-409C-A910-6D7F01EA643F}"/>
  <bookViews>
    <workbookView xWindow="-12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I11" i="3" s="1"/>
  <c r="C7" i="11"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R11" i="11" l="1"/>
  <c r="AI11" i="11"/>
  <c r="R5" i="1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K29" i="7" s="1"/>
  <c r="D24" i="7"/>
  <c r="E35" i="7"/>
  <c r="J25" i="7"/>
  <c r="I22" i="7"/>
  <c r="C33" i="7"/>
  <c r="I29" i="7"/>
  <c r="C25" i="7"/>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6" i="7" l="1"/>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B22"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G75" i="7"/>
  <c r="H83" i="7"/>
  <c r="H73" i="7"/>
  <c r="H74" i="7"/>
  <c r="D46" i="8"/>
  <c r="B19" i="8"/>
  <c r="B5" i="9" s="1"/>
  <c r="B23" i="9" s="1"/>
  <c r="E7" i="8"/>
  <c r="H80" i="7"/>
  <c r="H82" i="7"/>
  <c r="G84" i="7"/>
  <c r="H75" i="7"/>
  <c r="G71" i="7"/>
  <c r="B75" i="7"/>
  <c r="B78" i="7"/>
  <c r="F83" i="7"/>
  <c r="C81" i="7"/>
  <c r="G81" i="7" s="1"/>
  <c r="H81" i="7"/>
  <c r="H77" i="7"/>
  <c r="H78" i="7"/>
  <c r="G79" i="7" l="1"/>
  <c r="G78" i="7"/>
  <c r="G77" i="7"/>
  <c r="G80" i="7"/>
  <c r="G74" i="7"/>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C14" i="8"/>
  <c r="B14" i="8"/>
  <c r="B25" i="8" s="1"/>
  <c r="B11" i="9" s="1"/>
  <c r="B17" i="9" s="1"/>
  <c r="A7" i="10" s="1"/>
  <c r="A24" i="10"/>
  <c r="B14" i="10"/>
  <c r="B13" i="10" l="1"/>
  <c r="A23" i="10"/>
  <c r="B15" i="10"/>
  <c r="A22" i="10"/>
  <c r="B16" i="10"/>
  <c r="E40" i="8" l="1"/>
  <c r="F40" i="8" s="1"/>
  <c r="E44" i="8"/>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<sst xmlns="http://schemas.openxmlformats.org/spreadsheetml/2006/main" count="804" uniqueCount="281">
  <si>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</si>
  <si>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</si>
  <si>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</si>
  <si>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</si>
  <si>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</si>
  <si>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</si>
  <si>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</si>
  <si>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</si>
  <si>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</si>
  <si>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</si>
  <si>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</si>
  <si>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</si>
  <si>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</si>
  <si>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</si>
  <si>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</si>
  <si>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</si>
  <si>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</si>
  <si>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</si>
  <si>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</si>
  <si>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</si>
  <si>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</si>
  <si>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</si>
  <si>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</si>
  <si>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</si>
  <si>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</si>
  <si>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</si>
  <si>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</si>
  <si>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</si>
  <si>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</si>
  <si>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</si>
  <si>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</si>
  <si>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</si>
  <si>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</si>
  <si>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</si>
  <si>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</si>
  <si>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</si>
  <si>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</si>
  <si>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</si>
  <si>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</si>
  <si>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</si>
  <si>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</si>
  <si>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</si>
  <si>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</si>
  <si>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</si>
  <si>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</si>
  <si>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</si>
  <si>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</si>
  <si>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</si>
  <si>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</si>
  <si>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</si>
  <si>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</si>
  <si>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</si>
  <si>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</si>
  <si>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</si>
  <si>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</si>
  <si>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</si>
  <si>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</si>
  <si>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</si>
  <si>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</si>
  <si>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</si>
  <si>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</si>
  <si>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</si>
  <si>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</si>
  <si>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</si>
  <si>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</si>
  <si>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</si>
  <si>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</si>
  <si>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</si>
  <si>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</si>
  <si>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</si>
  <si>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</si>
  <si>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</si>
  <si>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</si>
  <si>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</si>
  <si>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</si>
  <si>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</si>
  <si>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</si>
  <si>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</si>
  <si>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</si>
  <si>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</si>
  <si>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</si>
  <si>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</si>
  <si>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</si>
  <si>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</si>
  <si>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</si>
  <si>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</si>
  <si>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</si>
  <si>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</si>
  <si>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</si>
  <si>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</si>
  <si>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</si>
  <si>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</si>
  <si>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</si>
  <si>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</si>
  <si>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</si>
  <si>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</si>
  <si>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</si>
  <si>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</si>
  <si>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</si>
  <si>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</si>
  <si>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</si>
  <si>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</si>
  <si>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</si>
  <si>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</si>
  <si>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</si>
  <si>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</si>
  <si>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</si>
  <si>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</si>
  <si>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</si>
  <si>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</si>
  <si>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</si>
  <si>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</si>
  <si>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</si>
  <si>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</si>
  <si>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</si>
  <si>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</si>
  <si>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</si>
  <si>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</si>
  <si>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</si>
  <si>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</si>
  <si>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</si>
  <si>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</si>
  <si>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</si>
  <si>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</si>
  <si>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</si>
  <si>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</si>
  <si>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</si>
  <si>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</si>
  <si>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</si>
  <si>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</si>
  <si>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</si>
  <si>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</si>
  <si>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</si>
  <si>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</si>
  <si>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</si>
  <si>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</si>
  <si>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</si>
  <si>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</si>
  <si>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</si>
  <si>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</si>
  <si>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</si>
  <si>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</si>
  <si>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</si>
  <si>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</si>
  <si>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</si>
  <si>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</si>
  <si>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</si>
  <si>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</si>
  <si>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</si>
  <si>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</si>
  <si>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</si>
  <si>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</si>
  <si>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</si>
  <si>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</si>
  <si>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</si>
  <si>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</si>
  <si>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</si>
  <si>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</si>
  <si>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</si>
  <si>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</si>
  <si>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</si>
  <si>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</si>
  <si>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</si>
  <si>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</si>
  <si>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</si>
  <si>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</si>
  <si>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</si>
  <si>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</si>
  <si>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</si>
  <si>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</si>
  <si>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</si>
  <si>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</si>
  <si>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</si>
  <si>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</si>
  <si>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</si>
  <si>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</si>
  <si>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</si>
  <si>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</si>
  <si>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</si>
  <si>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</si>
  <si>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</si>
  <si>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</si>
  <si>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</si>
  <si>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</si>
  <si>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</si>
  <si>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</si>
  <si>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</si>
  <si>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</si>
  <si>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</si>
  <si>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</si>
  <si>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</si>
  <si>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</si>
  <si>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</si>
  <si>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</si>
  <si>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</si>
  <si>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</si>
  <si>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</si>
  <si>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</si>
  <si>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</si>
  <si>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</si>
  <si>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</si>
  <si>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</si>
  <si>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</si>
  <si>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</si>
  <si>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</si>
  <si>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</si>
  <si>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</si>
  <si>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</si>
  <si>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</si>
  <si>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</si>
  <si>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</si>
  <si>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</si>
  <si>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</si>
  <si>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</si>
  <si>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</si>
  <si>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</si>
  <si>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</si>
  <si>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</si>
  <si>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</si>
  <si>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</si>
  <si>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</si>
  <si>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</si>
  <si>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</si>
  <si>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</si>
  <si>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</si>
  <si>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</si>
  <si>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</si>
  <si>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</si>
  <si>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</si>
  <si>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</si>
  <si>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</si>
  <si>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</si>
  <si>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</si>
  <si>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</si>
  <si>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</si>
  <si>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</si>
  <si>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</si>
  <si>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</si>
  <si>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</si>
  <si>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</si>
  <si>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</si>
  <si>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</si>
  <si>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</si>
  <si>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</si>
  <si>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</si>
  <si>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</si>
  <si>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</si>
  <si>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</si>
  <si>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</si>
  <si>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</si>
  <si>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</si>
  <si>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</si>
  <si>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</si>
  <si>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</si>
  <si>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</si>
  <si>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</si>
  <si>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</si>
  <si>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</si>
  <si>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</si>
  <si>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</si>
  <si>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</si>
  <si>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</si>
  <si>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</si>
  <si>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</si>
  <si>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</si>
  <si>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</si>
  <si>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</si>
  <si>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</si>
  <si>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</si>
  <si>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</si>
  <si>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</si>
  <si>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</si>
  <si>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</si>
  <si>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</si>
  <si>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</si>
  <si>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</si>
  <si>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</si>
  <si>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</si>
  <si>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 xml:space="preserve">Playoffs </t>
  </si>
  <si>
    <t>Congrats on the 8 players to reach playoffs</t>
  </si>
  <si>
    <t>Update this number each week (1-23)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</si>
</sst>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0" fillId="5"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M22" sqref="M22"/>
    </sheetView>
  </sheetViews>
  <sheetFormatPr defaultColWidth="8.7109375" defaultRowHeight="15" x14ac:dyDescent="0.25"/>
  <cols>
    <col min="1" max="4" width="18" customWidth="1"/>
  </cols>
  <sheetData>
    <row r="1" spans="1:4" ht="17.25" customHeight="1" x14ac:dyDescent="0.25">
      <c r="A1" s="71" t="s">
        <v>0</v>
      </c>
      <c r="B1" s="71"/>
      <c r="C1" s="71"/>
      <c r="D1" s="71"/>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13</v>
      </c>
    </row>
    <row r="21" spans="1:4" ht="15" customHeight="1" x14ac:dyDescent="0.25">
      <c r="A21" s="6" t="s">
        <v>280</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2" t="s">
        <v>34</v>
      </c>
      <c r="B1" s="72"/>
      <c r="C1" s="72"/>
      <c r="D1" s="72"/>
      <c r="E1" s="72"/>
      <c r="F1" s="72"/>
    </row>
    <row r="2" spans="1:6" ht="15" customHeight="1" x14ac:dyDescent="0.25">
      <c r="A2" s="73" t="s">
        <v>35</v>
      </c>
      <c r="B2" s="73"/>
      <c r="C2" s="73"/>
      <c r="D2" s="73"/>
      <c r="E2" s="73"/>
      <c r="F2" s="73"/>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3" t="s">
        <v>40</v>
      </c>
      <c r="B13" s="73"/>
      <c r="C13" s="73"/>
      <c r="D13" s="73"/>
      <c r="E13" s="73"/>
      <c r="F13" s="73"/>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3" t="s">
        <v>41</v>
      </c>
      <c r="B24" s="73"/>
      <c r="C24" s="73"/>
      <c r="D24" s="73"/>
      <c r="E24" s="73"/>
      <c r="F24" s="73"/>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3" t="s">
        <v>42</v>
      </c>
      <c r="B35" s="73"/>
      <c r="C35" s="73"/>
      <c r="D35" s="73"/>
      <c r="E35" s="73"/>
      <c r="F35" s="73"/>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3" t="s">
        <v>43</v>
      </c>
      <c r="B46" s="73"/>
      <c r="C46" s="73"/>
      <c r="D46" s="73"/>
      <c r="E46" s="73"/>
      <c r="F46" s="73"/>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3" t="s">
        <v>44</v>
      </c>
      <c r="B57" s="73"/>
      <c r="C57" s="73"/>
      <c r="D57" s="73"/>
      <c r="E57" s="73"/>
      <c r="F57" s="73"/>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2" t="s">
        <v>45</v>
      </c>
      <c r="B68" s="72"/>
      <c r="C68" s="72"/>
      <c r="D68" s="72"/>
      <c r="E68" s="72"/>
      <c r="F68" s="72"/>
    </row>
    <row r="69" spans="1:6" ht="15" customHeight="1" x14ac:dyDescent="0.25">
      <c r="A69" s="73" t="s">
        <v>46</v>
      </c>
      <c r="B69" s="73"/>
      <c r="C69" s="73"/>
      <c r="D69" s="73"/>
      <c r="E69" s="73"/>
      <c r="F69" s="73"/>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3" t="s">
        <v>47</v>
      </c>
      <c r="B80" s="73"/>
      <c r="C80" s="73"/>
      <c r="D80" s="73"/>
      <c r="E80" s="73"/>
      <c r="F80" s="73"/>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3" t="s">
        <v>48</v>
      </c>
      <c r="B91" s="73"/>
      <c r="C91" s="73"/>
      <c r="D91" s="73"/>
      <c r="E91" s="73"/>
      <c r="F91" s="73"/>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3" t="s">
        <v>49</v>
      </c>
      <c r="B102" s="73"/>
      <c r="C102" s="73"/>
      <c r="D102" s="73"/>
      <c r="E102" s="73"/>
      <c r="F102" s="73"/>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3" t="s">
        <v>50</v>
      </c>
      <c r="B113" s="73"/>
      <c r="C113" s="73"/>
      <c r="D113" s="73"/>
      <c r="E113" s="73"/>
      <c r="F113" s="73"/>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3" t="s">
        <v>51</v>
      </c>
      <c r="B124" s="73"/>
      <c r="C124" s="73"/>
      <c r="D124" s="73"/>
      <c r="E124" s="73"/>
      <c r="F124" s="73"/>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2" t="s">
        <v>52</v>
      </c>
      <c r="B135" s="72"/>
      <c r="C135" s="72"/>
      <c r="D135" s="72"/>
      <c r="E135" s="72"/>
      <c r="F135" s="72"/>
    </row>
    <row r="136" spans="1:6" ht="15" customHeight="1" x14ac:dyDescent="0.25">
      <c r="A136" s="73" t="s">
        <v>53</v>
      </c>
      <c r="B136" s="73"/>
      <c r="C136" s="73"/>
      <c r="D136" s="73"/>
      <c r="E136" s="73"/>
      <c r="F136" s="73"/>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3" t="s">
        <v>54</v>
      </c>
      <c r="B147" s="73"/>
      <c r="C147" s="73"/>
      <c r="D147" s="73"/>
      <c r="E147" s="73"/>
      <c r="F147" s="73"/>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3" t="s">
        <v>55</v>
      </c>
      <c r="B158" s="73"/>
      <c r="C158" s="73"/>
      <c r="D158" s="73"/>
      <c r="E158" s="73"/>
      <c r="F158" s="73"/>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3" t="s">
        <v>56</v>
      </c>
      <c r="B169" s="73"/>
      <c r="C169" s="73"/>
      <c r="D169" s="73"/>
      <c r="E169" s="73"/>
      <c r="F169" s="73"/>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3" t="s">
        <v>57</v>
      </c>
      <c r="B180" s="73"/>
      <c r="C180" s="73"/>
      <c r="D180" s="73"/>
      <c r="E180" s="73"/>
      <c r="F180" s="73"/>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3" t="s">
        <v>58</v>
      </c>
      <c r="B191" s="73"/>
      <c r="C191" s="73"/>
      <c r="D191" s="73"/>
      <c r="E191" s="73"/>
      <c r="F191" s="73"/>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1" sqref="O11"/>
    </sheetView>
  </sheetViews>
  <sheetFormatPr defaultColWidth="8.7109375" defaultRowHeight="15" x14ac:dyDescent="0.25"/>
  <cols>
    <col min="1" max="9" width="15" customWidth="1"/>
  </cols>
  <sheetData>
    <row r="1" spans="1:9" ht="17.25" customHeight="1" x14ac:dyDescent="0.25">
      <c r="A1" s="71" t="s">
        <v>59</v>
      </c>
      <c r="B1" s="71"/>
      <c r="C1" s="71"/>
      <c r="D1" s="71"/>
      <c r="E1" s="71"/>
      <c r="F1" s="71"/>
      <c r="G1" s="71"/>
      <c r="H1" s="71"/>
      <c r="I1" s="71"/>
    </row>
    <row r="2" spans="1:9" ht="15" customHeight="1" x14ac:dyDescent="0.25">
      <c r="A2" s="11" t="s">
        <v>60</v>
      </c>
    </row>
    <row r="4" spans="1:9" ht="15" customHeight="1" x14ac:dyDescent="0.25">
      <c r="A4" s="70" t="s">
        <v>61</v>
      </c>
      <c r="B4" s="70"/>
      <c r="C4" s="70"/>
      <c r="D4" s="70"/>
      <c r="E4" s="70"/>
      <c r="F4" s="70"/>
      <c r="G4" s="70"/>
      <c r="H4" s="70"/>
      <c r="I4" s="70"/>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6</v>
      </c>
      <c r="F7" s="2" t="str">
        <f t="shared" si="0"/>
        <v>L</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v>6</v>
      </c>
      <c r="D11" s="9">
        <v>2</v>
      </c>
      <c r="E11" s="9">
        <f>C7</f>
        <v>0</v>
      </c>
      <c r="F11" s="2" t="str">
        <f t="shared" si="0"/>
        <v>W</v>
      </c>
      <c r="G11" s="2">
        <f t="shared" si="1"/>
        <v>6</v>
      </c>
      <c r="H11" s="2">
        <f t="shared" si="2"/>
        <v>6</v>
      </c>
      <c r="I11" s="15">
        <f t="shared" si="3"/>
        <v>12</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0" t="s">
        <v>69</v>
      </c>
      <c r="B23" s="70"/>
      <c r="C23" s="70"/>
      <c r="D23" s="70"/>
      <c r="E23" s="70"/>
      <c r="F23" s="70"/>
      <c r="G23" s="70"/>
      <c r="H23" s="70"/>
      <c r="I23" s="70"/>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0" t="s">
        <v>70</v>
      </c>
      <c r="B42" s="70"/>
      <c r="C42" s="70"/>
      <c r="D42" s="70"/>
      <c r="E42" s="70"/>
      <c r="F42" s="70"/>
      <c r="G42" s="70"/>
      <c r="H42" s="70"/>
      <c r="I42" s="70"/>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0" t="s">
        <v>71</v>
      </c>
      <c r="B61" s="70"/>
      <c r="C61" s="70"/>
      <c r="D61" s="70"/>
      <c r="E61" s="70"/>
      <c r="F61" s="70"/>
      <c r="G61" s="70"/>
      <c r="H61" s="70"/>
      <c r="I61" s="70"/>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0" t="s">
        <v>72</v>
      </c>
      <c r="B80" s="70"/>
      <c r="C80" s="70"/>
      <c r="D80" s="70"/>
      <c r="E80" s="70"/>
      <c r="F80" s="70"/>
      <c r="G80" s="70"/>
      <c r="H80" s="70"/>
      <c r="I80" s="70"/>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0" t="s">
        <v>73</v>
      </c>
      <c r="B99" s="70"/>
      <c r="C99" s="70"/>
      <c r="D99" s="70"/>
      <c r="E99" s="70"/>
      <c r="F99" s="70"/>
      <c r="G99" s="70"/>
      <c r="H99" s="70"/>
      <c r="I99" s="70"/>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N22" sqref="N22"/>
    </sheetView>
  </sheetViews>
  <sheetFormatPr defaultColWidth="8.7109375" defaultRowHeight="15" x14ac:dyDescent="0.25"/>
  <cols>
    <col min="1" max="9" width="15" customWidth="1"/>
  </cols>
  <sheetData>
    <row r="1" spans="1:9" ht="17.25" customHeight="1" x14ac:dyDescent="0.25">
      <c r="A1" s="71" t="s">
        <v>74</v>
      </c>
      <c r="B1" s="71"/>
      <c r="C1" s="71"/>
      <c r="D1" s="71"/>
      <c r="E1" s="71"/>
      <c r="F1" s="71"/>
      <c r="G1" s="71"/>
      <c r="H1" s="71"/>
      <c r="I1" s="71"/>
    </row>
    <row r="2" spans="1:9" ht="15" customHeight="1" x14ac:dyDescent="0.25">
      <c r="A2" s="11" t="s">
        <v>75</v>
      </c>
    </row>
    <row r="4" spans="1:9" ht="15" customHeight="1" x14ac:dyDescent="0.25">
      <c r="A4" s="70" t="s">
        <v>76</v>
      </c>
      <c r="B4" s="70"/>
      <c r="C4" s="70"/>
      <c r="D4" s="70"/>
      <c r="E4" s="70"/>
      <c r="F4" s="70"/>
      <c r="G4" s="70"/>
      <c r="H4" s="70"/>
      <c r="I4" s="70"/>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10</v>
      </c>
      <c r="F9" s="2" t="str">
        <f t="shared" si="0"/>
        <v>L</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v>10</v>
      </c>
      <c r="D15" s="9">
        <v>4</v>
      </c>
      <c r="E15" s="9">
        <f>C9</f>
        <v>0</v>
      </c>
      <c r="F15" s="2" t="str">
        <f t="shared" si="0"/>
        <v>W</v>
      </c>
      <c r="G15" s="2">
        <f t="shared" si="1"/>
        <v>10</v>
      </c>
      <c r="H15" s="2">
        <f t="shared" si="2"/>
        <v>10</v>
      </c>
      <c r="I15" s="15">
        <f t="shared" si="3"/>
        <v>20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0" t="s">
        <v>79</v>
      </c>
      <c r="B23" s="70"/>
      <c r="C23" s="70"/>
      <c r="D23" s="70"/>
      <c r="E23" s="70"/>
      <c r="F23" s="70"/>
      <c r="G23" s="70"/>
      <c r="H23" s="70"/>
      <c r="I23" s="70"/>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0" t="s">
        <v>80</v>
      </c>
      <c r="B42" s="70"/>
      <c r="C42" s="70"/>
      <c r="D42" s="70"/>
      <c r="E42" s="70"/>
      <c r="F42" s="70"/>
      <c r="G42" s="70"/>
      <c r="H42" s="70"/>
      <c r="I42" s="70"/>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0" t="s">
        <v>81</v>
      </c>
      <c r="B61" s="70"/>
      <c r="C61" s="70"/>
      <c r="D61" s="70"/>
      <c r="E61" s="70"/>
      <c r="F61" s="70"/>
      <c r="G61" s="70"/>
      <c r="H61" s="70"/>
      <c r="I61" s="70"/>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0" t="s">
        <v>82</v>
      </c>
      <c r="B80" s="70"/>
      <c r="C80" s="70"/>
      <c r="D80" s="70"/>
      <c r="E80" s="70"/>
      <c r="F80" s="70"/>
      <c r="G80" s="70"/>
      <c r="H80" s="70"/>
      <c r="I80" s="70"/>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0" t="s">
        <v>83</v>
      </c>
      <c r="B99" s="70"/>
      <c r="C99" s="70"/>
      <c r="D99" s="70"/>
      <c r="E99" s="70"/>
      <c r="F99" s="70"/>
      <c r="G99" s="70"/>
      <c r="H99" s="70"/>
      <c r="I99" s="70"/>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topLeftCell="A120"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1" t="s">
        <v>84</v>
      </c>
      <c r="B1" s="71"/>
      <c r="C1" s="71"/>
      <c r="D1" s="71"/>
      <c r="E1" s="71"/>
      <c r="F1" s="71"/>
      <c r="G1" s="71"/>
      <c r="H1" s="71"/>
      <c r="I1" s="71"/>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R26" sqref="R26"/>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0</v>
      </c>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10</v>
      </c>
      <c r="C6" s="14">
        <v>0</v>
      </c>
      <c r="D6" s="51">
        <f t="shared" si="0"/>
        <v>2E-3</v>
      </c>
      <c r="E6" s="14"/>
      <c r="F6" s="14">
        <v>0</v>
      </c>
      <c r="G6" s="14">
        <v>0</v>
      </c>
      <c r="H6" s="51">
        <f t="shared" si="1"/>
        <v>10000000.002</v>
      </c>
    </row>
    <row r="7" spans="1:8" ht="15" customHeight="1" x14ac:dyDescent="0.25">
      <c r="A7" s="2">
        <v>3</v>
      </c>
      <c r="B7" s="45" t="str">
        <f>'Playoff Picture'!B21</f>
        <v>Player 4</v>
      </c>
      <c r="C7" s="14">
        <v>0</v>
      </c>
      <c r="D7" s="51">
        <f t="shared" si="0"/>
        <v>3.0000000000000001E-3</v>
      </c>
      <c r="E7" s="14"/>
      <c r="F7" s="14">
        <v>0</v>
      </c>
      <c r="G7" s="14">
        <v>0</v>
      </c>
      <c r="H7" s="51">
        <f t="shared" si="1"/>
        <v>10000000.003</v>
      </c>
    </row>
    <row r="8" spans="1:8" ht="15" customHeight="1" x14ac:dyDescent="0.25">
      <c r="A8" s="2">
        <v>4</v>
      </c>
      <c r="B8" s="45" t="str">
        <f>'Playoff Picture'!B22</f>
        <v>Player 8</v>
      </c>
      <c r="C8" s="14">
        <v>0</v>
      </c>
      <c r="D8" s="51">
        <f t="shared" si="0"/>
        <v>4.0000000000000001E-3</v>
      </c>
      <c r="E8" s="14"/>
      <c r="F8" s="14">
        <v>0</v>
      </c>
      <c r="G8" s="14">
        <v>0</v>
      </c>
      <c r="H8" s="51">
        <f t="shared" si="1"/>
        <v>10000000.004000001</v>
      </c>
    </row>
    <row r="9" spans="1:8" ht="15" customHeight="1" x14ac:dyDescent="0.25">
      <c r="A9" s="2">
        <v>5</v>
      </c>
      <c r="B9" s="45" t="str">
        <f>'Playoff Picture'!B23</f>
        <v>Player 12</v>
      </c>
      <c r="C9" s="14">
        <v>0</v>
      </c>
      <c r="D9" s="51">
        <f t="shared" si="0"/>
        <v>5.0000000000000001E-3</v>
      </c>
      <c r="E9" s="14"/>
      <c r="F9" s="14">
        <v>0</v>
      </c>
      <c r="G9" s="14">
        <v>0</v>
      </c>
      <c r="H9" s="51">
        <f t="shared" si="1"/>
        <v>10000000.005000001</v>
      </c>
    </row>
    <row r="10" spans="1:8" ht="15" customHeight="1" x14ac:dyDescent="0.25">
      <c r="A10" s="2">
        <v>6</v>
      </c>
      <c r="B10" s="45" t="str">
        <f>'Playoff Picture'!B24</f>
        <v>Player 16</v>
      </c>
      <c r="C10" s="14">
        <v>0</v>
      </c>
      <c r="D10" s="51">
        <f t="shared" si="0"/>
        <v>6.0000000000000001E-3</v>
      </c>
      <c r="E10" s="14"/>
      <c r="F10" s="14">
        <v>0</v>
      </c>
      <c r="G10" s="14">
        <v>0</v>
      </c>
      <c r="H10" s="51">
        <f t="shared" si="1"/>
        <v>10000000.005999999</v>
      </c>
    </row>
    <row r="11" spans="1:8" ht="15" customHeight="1" x14ac:dyDescent="0.25">
      <c r="A11" s="2">
        <v>7</v>
      </c>
      <c r="B11" s="45" t="str">
        <f>'Playoff Picture'!B25</f>
        <v>Player 6</v>
      </c>
      <c r="C11" s="14">
        <v>0</v>
      </c>
      <c r="D11" s="51">
        <f t="shared" si="0"/>
        <v>7.0000000000000001E-3</v>
      </c>
      <c r="E11" s="14"/>
      <c r="F11" s="14">
        <v>0</v>
      </c>
      <c r="G11" s="14">
        <v>0</v>
      </c>
      <c r="H11" s="51">
        <f t="shared" si="1"/>
        <v>10000000.006999999</v>
      </c>
    </row>
    <row r="12" spans="1:8" ht="15" customHeight="1" x14ac:dyDescent="0.25">
      <c r="A12" s="2">
        <v>8</v>
      </c>
      <c r="B12" s="45" t="str">
        <f>'Playoff Picture'!B26</f>
        <v>Player 15</v>
      </c>
      <c r="C12" s="14">
        <v>0</v>
      </c>
      <c r="D12" s="51">
        <f t="shared" si="0"/>
        <v>8.0000000000000002E-3</v>
      </c>
      <c r="E12" s="14"/>
      <c r="F12" s="14">
        <v>0</v>
      </c>
      <c r="G12" s="14">
        <v>0</v>
      </c>
      <c r="H12" s="51">
        <f t="shared" si="1"/>
        <v>10000000.007999999</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15</v>
      </c>
      <c r="C16" s="2">
        <f>INDEX($C$5:$C$12,MATCH(LARGE($H$5:$H$12,1),$H$5:$H$12,0))</f>
        <v>0</v>
      </c>
      <c r="D16" s="2"/>
      <c r="E16" s="36" t="s">
        <v>200</v>
      </c>
    </row>
    <row r="17" spans="1:5" ht="15" customHeight="1" x14ac:dyDescent="0.25">
      <c r="A17" s="44">
        <v>2</v>
      </c>
      <c r="B17" s="44" t="str">
        <f>INDEX($B$5:$B$12,MATCH(LARGE($H$5:$H$12,2),$H$5:$H$12,0))</f>
        <v>Player 6</v>
      </c>
      <c r="C17" s="2">
        <f>INDEX($C$5:$C$12,MATCH(LARGE($H$5:$H$12,2),$H$5:$H$12,0))</f>
        <v>0</v>
      </c>
      <c r="D17" s="2"/>
      <c r="E17" s="36" t="s">
        <v>200</v>
      </c>
    </row>
    <row r="18" spans="1:5" ht="15" customHeight="1" x14ac:dyDescent="0.25">
      <c r="A18" s="44">
        <v>3</v>
      </c>
      <c r="B18" s="44" t="str">
        <f>INDEX($B$5:$B$12,MATCH(LARGE($H$5:$H$12,3),$H$5:$H$12,0))</f>
        <v>Player 16</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8</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10</v>
      </c>
      <c r="C22" s="2">
        <f>INDEX($C$5:$C$12,MATCH(LARGE($H$5:$H$12,7),$H$5:$H$12,0))</f>
        <v>0</v>
      </c>
      <c r="D22" s="2"/>
      <c r="E22" s="53" t="s">
        <v>201</v>
      </c>
    </row>
    <row r="23" spans="1:5" ht="15" customHeight="1" x14ac:dyDescent="0.25">
      <c r="A23" s="44">
        <v>8</v>
      </c>
      <c r="B23" s="44" t="str">
        <f>INDEX($B$5:$B$12,MATCH(LARGE($H$5:$H$12,8),$H$5:$H$12,0))</f>
        <v>Player 1</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1" t="s">
        <v>203</v>
      </c>
      <c r="B1" s="71"/>
      <c r="C1" s="71"/>
      <c r="D1" s="71"/>
      <c r="E1" s="71"/>
      <c r="F1" s="71"/>
      <c r="G1" s="71"/>
      <c r="H1" s="71"/>
    </row>
    <row r="2" spans="1:12" ht="15" customHeight="1" x14ac:dyDescent="0.25">
      <c r="A2" s="11" t="s">
        <v>204</v>
      </c>
    </row>
    <row r="4" spans="1:12" ht="15" customHeight="1" x14ac:dyDescent="0.25">
      <c r="A4" s="70" t="s">
        <v>205</v>
      </c>
      <c r="B4" s="70"/>
      <c r="C4" s="70"/>
      <c r="D4" s="70"/>
      <c r="E4" s="70"/>
      <c r="F4" s="70"/>
      <c r="G4" s="70"/>
      <c r="H4" s="70"/>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15</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6</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16</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16</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6</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15</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15</v>
      </c>
      <c r="B22" s="14">
        <v>0</v>
      </c>
      <c r="C22" s="14">
        <v>0</v>
      </c>
      <c r="D22" s="44">
        <f>ABS(B22-C22)</f>
        <v>0</v>
      </c>
    </row>
    <row r="23" spans="1:4" ht="15" customHeight="1" x14ac:dyDescent="0.25">
      <c r="A23" s="45" t="str">
        <f>$A$7</f>
        <v>Player 6</v>
      </c>
      <c r="B23" s="14">
        <v>0</v>
      </c>
      <c r="C23" s="2">
        <f>C22</f>
        <v>0</v>
      </c>
      <c r="D23" s="44">
        <f>ABS(B23-C23)</f>
        <v>0</v>
      </c>
    </row>
    <row r="24" spans="1:4" ht="15" customHeight="1" x14ac:dyDescent="0.25">
      <c r="A24" s="45" t="str">
        <f>$A$8</f>
        <v>Player 16</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G18" sqref="G18"/>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1" t="s">
        <v>157</v>
      </c>
      <c r="B1" s="71"/>
      <c r="C1" s="71"/>
      <c r="D1" s="71"/>
      <c r="E1" s="71"/>
      <c r="F1" s="71"/>
      <c r="G1" s="71"/>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10</v>
      </c>
      <c r="C6" s="35" t="s">
        <v>145</v>
      </c>
      <c r="D6" s="2" t="s">
        <v>169</v>
      </c>
      <c r="E6" s="36" t="str">
        <f>IF(COUNTIF($E$5:$E$5,B6)&gt;0,IF(COUNTIF($E$5:$E$5,INDEX(Helper!$B$2:$B$17,MATCH(LARGE(Helper!$AJ$2:$AJ$17,2),Helper!$AJ$2:$AJ$17,0)))&gt;0,INDEX(Helper!$B$2:$B$17,MATCH(LARGE(Helper!$AJ$2:$AJ$17,3),Helper!$AJ$2:$AJ$17,0)),INDEX(Helper!$B$2:$B$17,MATCH(LARGE(Helper!$AJ$2:$AJ$17,2),Helper!$AJ$2:$AJ$17,0))),B6)</f>
        <v>Player 10</v>
      </c>
      <c r="F6" s="37" t="str">
        <f>IF(B6=E6,"QUALIFIED","PASS → "&amp;E6)</f>
        <v>QUALIFIED</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16</v>
      </c>
      <c r="F10" s="37" t="str">
        <f>IF(B10=E10,"QUALIFIED","PASS → "&amp;E10)</f>
        <v>QUALIFIED</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6</v>
      </c>
      <c r="C14" s="2">
        <f>INDEX(Helper!$AE$2:$AE$17,MATCH(LARGE(Helper!$AO$2:$AO$17,1),Helper!$AO$2:$AO$17,0))</f>
        <v>12</v>
      </c>
      <c r="D14" s="2" t="s">
        <v>178</v>
      </c>
      <c r="E14" s="40"/>
      <c r="F14" s="32"/>
      <c r="G14" s="32"/>
      <c r="H14" s="32"/>
      <c r="I14" s="32"/>
      <c r="J14" s="32"/>
    </row>
    <row r="15" spans="1:10" ht="25.5" customHeight="1" x14ac:dyDescent="0.25">
      <c r="A15" s="1" t="s">
        <v>179</v>
      </c>
      <c r="B15" s="42" t="str">
        <f>INDEX(Helper!$B$2:$B$17,MATCH(LARGE(Helper!$AO$2:$AO$17,2),Helper!$AO$2:$AO$17,0))</f>
        <v>Player 15</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10</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16</v>
      </c>
      <c r="C24" s="2" t="s">
        <v>185</v>
      </c>
      <c r="D24" s="32"/>
      <c r="E24" s="32"/>
      <c r="F24" s="32"/>
      <c r="G24" s="32"/>
      <c r="H24" s="32"/>
      <c r="I24" s="32"/>
      <c r="J24" s="32"/>
    </row>
    <row r="25" spans="1:10" ht="15" customHeight="1" x14ac:dyDescent="0.25">
      <c r="A25" s="2">
        <v>7</v>
      </c>
      <c r="B25" s="44" t="str">
        <f>B14</f>
        <v>Player 6</v>
      </c>
      <c r="C25" s="2" t="s">
        <v>177</v>
      </c>
      <c r="D25" s="32"/>
      <c r="E25" s="32"/>
      <c r="F25" s="32"/>
      <c r="G25" s="32"/>
      <c r="H25" s="32"/>
      <c r="I25" s="32"/>
      <c r="J25" s="32"/>
    </row>
    <row r="26" spans="1:10" ht="15" customHeight="1" x14ac:dyDescent="0.25">
      <c r="A26" s="2">
        <v>8</v>
      </c>
      <c r="B26" s="44" t="str">
        <f>B15</f>
        <v>Player 15</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0</v>
      </c>
      <c r="E30" s="46">
        <f>IF(B30='Playoff Finals'!B13,200,IF(B30='Playoff Finals'!B14,75,IF(B30='Playoff Finals'!B15,35,0)))</f>
        <v>0</v>
      </c>
      <c r="F30" s="47">
        <f t="shared" ref="F30:F45" si="3">C30+D30+E30</f>
        <v>25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35</v>
      </c>
      <c r="F35" s="47">
        <f t="shared" si="3"/>
        <v>35</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25</v>
      </c>
      <c r="D39" s="46">
        <f t="shared" si="2"/>
        <v>0</v>
      </c>
      <c r="E39" s="46">
        <f>IF(B39='Playoff Finals'!B13,200,IF(B39='Playoff Finals'!B14,75,IF(B39='Playoff Finals'!B15,35,0)))</f>
        <v>0</v>
      </c>
      <c r="F39" s="47">
        <f t="shared" si="3"/>
        <v>25</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0</v>
      </c>
      <c r="D45" s="46">
        <f t="shared" si="2"/>
        <v>10</v>
      </c>
      <c r="E45" s="46">
        <f>IF(B45='Playoff Finals'!B13,200,IF(B45='Playoff Finals'!B14,75,IF(B45='Playoff Finals'!B15,35,0)))</f>
        <v>75</v>
      </c>
      <c r="F45" s="47">
        <f t="shared" si="3"/>
        <v>85</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6</v>
      </c>
      <c r="C4" s="22">
        <f>INDEX(Helper!$C$2:$C$17,MATCH(LARGE(Helper!$AH$2:$AH$17,2),Helper!$AH$2:$AH$17,0))</f>
        <v>12</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12</v>
      </c>
      <c r="J4" s="22">
        <f>INDEX(Helper!$J$2:$J$17,MATCH(LARGE(Helper!$AH$2:$AH$17,2),Helper!$AH$2:$AH$17,0))</f>
        <v>1</v>
      </c>
      <c r="K4" s="22">
        <f t="shared" si="0"/>
        <v>12</v>
      </c>
    </row>
    <row r="5" spans="1:11" ht="15" customHeight="1" x14ac:dyDescent="0.25">
      <c r="A5" s="24">
        <v>3</v>
      </c>
      <c r="B5" s="21" t="str">
        <f>INDEX(Helper!$B$2:$B$17,MATCH(LARGE(Helper!$AH$2:$AH$17,3),Helper!$AH$2:$AH$17,0))</f>
        <v>Player 16</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15</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14</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13</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12</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11</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10</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9</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8</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7</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10</v>
      </c>
      <c r="C22" s="22">
        <f>INDEX(Helper!$L$2:$L$17,MATCH(LARGE(Helper!$AJ$2:$AJ$17,1),Helper!$AJ$2:$AJ$17,0))</f>
        <v>20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20</v>
      </c>
      <c r="J22" s="22">
        <f>INDEX(Helper!$S$2:$S$17,MATCH(LARGE(Helper!$AJ$2:$AJ$17,1),Helper!$AJ$2:$AJ$17,0))</f>
        <v>1</v>
      </c>
      <c r="K22" s="22">
        <f t="shared" ref="K22:K37" si="1">MAX(C22:H22)</f>
        <v>20</v>
      </c>
    </row>
    <row r="23" spans="1:11" ht="15" customHeight="1" x14ac:dyDescent="0.25">
      <c r="A23" s="23">
        <v>2</v>
      </c>
      <c r="B23" s="21" t="str">
        <f>INDEX(Helper!$B$2:$B$17,MATCH(LARGE(Helper!$AJ$2:$AJ$17,2),Helper!$AJ$2:$AJ$17,0))</f>
        <v>Player 16</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15</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14</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13</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12</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11</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10</v>
      </c>
      <c r="C71" s="22">
        <f>INDEX(Helper!$I$2:$I$17,MATCH(LARGE(Helper!$AM$2:$AM$17,1),Helper!$AM$2:$AM$17,0))</f>
        <v>0</v>
      </c>
      <c r="D71" s="22">
        <f>INDEX(Helper!$R$2:$R$17,MATCH(LARGE(Helper!$AM$2:$AM$17,1),Helper!$AM$2:$AM$17,0))</f>
        <v>20</v>
      </c>
      <c r="E71" s="22">
        <f>INDEX(Helper!$AC$2:$AC$17,MATCH(LARGE(Helper!$AM$2:$AM$17,1),Helper!$AM$2:$AM$17,0))</f>
        <v>0</v>
      </c>
      <c r="F71" s="19">
        <f>INDEX(Helper!$AE$2:$AE$17,MATCH(LARGE(Helper!$AM$2:$AM$17,1),Helper!$AM$2:$AM$17,0))</f>
        <v>20</v>
      </c>
      <c r="G71" s="22">
        <f>RANK(C71,$C$71:$C$86,0)</f>
        <v>3</v>
      </c>
      <c r="H71" s="22">
        <f>RANK(D71,$D$71:$D$86,0)</f>
        <v>1</v>
      </c>
    </row>
    <row r="72" spans="1:12" ht="15" customHeight="1" x14ac:dyDescent="0.25">
      <c r="A72" s="23">
        <v>2</v>
      </c>
      <c r="B72" s="21" t="str">
        <f>INDEX(Helper!$B$2:$B$17,MATCH(LARGE(Helper!$AM$2:$AM$17,2),Helper!$AM$2:$AM$17,0))</f>
        <v>Player 1</v>
      </c>
      <c r="C72" s="22">
        <f>INDEX(Helper!$I$2:$I$17,MATCH(LARGE(Helper!$AM$2:$AM$17,2),Helper!$AM$2:$AM$17,0))</f>
        <v>14</v>
      </c>
      <c r="D72" s="22">
        <f>INDEX(Helper!$R$2:$R$17,MATCH(LARGE(Helper!$AM$2:$AM$17,2),Helper!$AM$2:$AM$17,0))</f>
        <v>0</v>
      </c>
      <c r="E72" s="22">
        <f>INDEX(Helper!$AC$2:$AC$17,MATCH(LARGE(Helper!$AM$2:$AM$17,2),Helper!$AM$2:$AM$17,0))</f>
        <v>0</v>
      </c>
      <c r="F72" s="19">
        <f>INDEX(Helper!$AE$2:$AE$17,MATCH(LARGE(Helper!$AM$2:$AM$17,2),Helper!$AM$2:$AM$17,0))</f>
        <v>14</v>
      </c>
      <c r="G72" s="22">
        <f>RANK(C72,$C$72:$C$87,0)</f>
        <v>1</v>
      </c>
      <c r="H72" s="22">
        <f>RANK(D72,$D$72:$D$87,0)</f>
        <v>1</v>
      </c>
    </row>
    <row r="73" spans="1:12" ht="15" customHeight="1" x14ac:dyDescent="0.25">
      <c r="A73" s="24">
        <v>3</v>
      </c>
      <c r="B73" s="21" t="str">
        <f>INDEX(Helper!$B$2:$B$17,MATCH(LARGE(Helper!$AM$2:$AM$17,3),Helper!$AM$2:$AM$17,0))</f>
        <v>Player 6</v>
      </c>
      <c r="C73" s="22">
        <f>INDEX(Helper!$I$2:$I$17,MATCH(LARGE(Helper!$AM$2:$AM$17,3),Helper!$AM$2:$AM$17,0))</f>
        <v>12</v>
      </c>
      <c r="D73" s="22">
        <f>INDEX(Helper!$R$2:$R$17,MATCH(LARGE(Helper!$AM$2:$AM$17,3),Helper!$AM$2:$AM$17,0))</f>
        <v>0</v>
      </c>
      <c r="E73" s="22">
        <f>INDEX(Helper!$AC$2:$AC$17,MATCH(LARGE(Helper!$AM$2:$AM$17,3),Helper!$AM$2:$AM$17,0))</f>
        <v>0</v>
      </c>
      <c r="F73" s="19">
        <f>INDEX(Helper!$AE$2:$AE$17,MATCH(LARGE(Helper!$AM$2:$AM$17,3),Helper!$AM$2:$AM$17,0))</f>
        <v>12</v>
      </c>
      <c r="G73" s="22">
        <f>RANK(C73,$C$73:$C$88,0)</f>
        <v>1</v>
      </c>
      <c r="H73" s="22">
        <f>RANK(D73,$D$73:$D$88,0)</f>
        <v>1</v>
      </c>
    </row>
    <row r="74" spans="1:12" ht="15" customHeight="1" x14ac:dyDescent="0.25">
      <c r="A74" s="25">
        <v>4</v>
      </c>
      <c r="B74" s="21" t="str">
        <f>INDEX(Helper!$B$2:$B$17,MATCH(LARGE(Helper!$AM$2:$AM$17,4),Helper!$AM$2:$AM$17,0))</f>
        <v>Player 16</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15</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14</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13</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12</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11</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9</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8</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7</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B7" sqref="B7"/>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278</v>
      </c>
      <c r="C7" s="69" t="s">
        <v>279</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14</v>
      </c>
      <c r="AF2">
        <f t="shared" ref="AF2:AF17" si="8">AE2+A2*0.0001</f>
        <v>14.0001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1401400.01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12</v>
      </c>
      <c r="D7">
        <f>'Wk 1-6 Input'!I30</f>
        <v>0</v>
      </c>
      <c r="E7">
        <f>'Wk 1-6 Input'!I49</f>
        <v>0</v>
      </c>
      <c r="F7">
        <f>'Wk 1-6 Input'!I68</f>
        <v>0</v>
      </c>
      <c r="G7">
        <f>'Wk 1-6 Input'!I87</f>
        <v>0</v>
      </c>
      <c r="H7">
        <f>'Wk 1-6 Input'!I106</f>
        <v>0</v>
      </c>
      <c r="I7">
        <f t="shared" si="0"/>
        <v>12</v>
      </c>
      <c r="J7">
        <f>COUNTIF('Wk 1-6 Input'!F11,"W")+COUNTIF('Wk 1-6 Input'!F30,"W")+COUNTIF('Wk 1-6 Input'!F49,"W")+COUNTIF('Wk 1-6 Input'!F68,"W")+COUNTIF('Wk 1-6 Input'!F87,"W")+COUNTIF('Wk 1-6 Input'!F106,"W")</f>
        <v>1</v>
      </c>
      <c r="K7">
        <f t="shared" si="1"/>
        <v>12.0006</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12</v>
      </c>
      <c r="AF7">
        <f t="shared" si="8"/>
        <v>12.0006</v>
      </c>
      <c r="AG7">
        <f t="shared" si="9"/>
        <v>12</v>
      </c>
      <c r="AH7">
        <f t="shared" si="10"/>
        <v>1212010.06</v>
      </c>
      <c r="AI7">
        <f t="shared" si="11"/>
        <v>0</v>
      </c>
      <c r="AJ7">
        <f t="shared" si="12"/>
        <v>0.06</v>
      </c>
      <c r="AK7">
        <f>MAX('Wk 13-18 Input'!C11,'Wk 13-18 Input'!C30,'Wk 13-18 Input'!C49,'Wk 13-18 Input'!C68,'Wk 13-18 Input'!C87,'Wk 13-18 Input'!C106)</f>
        <v>0</v>
      </c>
      <c r="AL7">
        <f t="shared" si="13"/>
        <v>0.06</v>
      </c>
      <c r="AM7">
        <f t="shared" si="14"/>
        <v>1201200.06</v>
      </c>
      <c r="AN7">
        <f>COUNTIF('Playoff Picture'!$E$5:$E$10,B7)</f>
        <v>0</v>
      </c>
      <c r="AO7">
        <f t="shared" si="15"/>
        <v>1201200.06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20</v>
      </c>
      <c r="M11">
        <f>'Wk 7-12 Input'!I34</f>
        <v>0</v>
      </c>
      <c r="N11">
        <f>'Wk 7-12 Input'!I53</f>
        <v>0</v>
      </c>
      <c r="O11">
        <f>'Wk 7-12 Input'!I72</f>
        <v>0</v>
      </c>
      <c r="P11">
        <f>'Wk 7-12 Input'!I91</f>
        <v>0</v>
      </c>
      <c r="Q11">
        <f>'Wk 7-12 Input'!I110</f>
        <v>0</v>
      </c>
      <c r="R11">
        <f t="shared" si="2"/>
        <v>20</v>
      </c>
      <c r="S11">
        <f>COUNTIF('Wk 7-12 Input'!F15,"W")+COUNTIF('Wk 7-12 Input'!F34,"W")+COUNTIF('Wk 7-12 Input'!F53,"W")+COUNTIF('Wk 7-12 Input'!F72,"W")+COUNTIF('Wk 7-12 Input'!F91,"W")+COUNTIF('Wk 7-12 Input'!F110,"W")</f>
        <v>1</v>
      </c>
      <c r="T11">
        <f t="shared" si="3"/>
        <v>20.001000000000001</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20</v>
      </c>
      <c r="AF11">
        <f t="shared" si="8"/>
        <v>20.001000000000001</v>
      </c>
      <c r="AG11">
        <f t="shared" si="9"/>
        <v>0</v>
      </c>
      <c r="AH11">
        <f t="shared" si="10"/>
        <v>0.1</v>
      </c>
      <c r="AI11">
        <f t="shared" si="11"/>
        <v>20</v>
      </c>
      <c r="AJ11">
        <f t="shared" si="12"/>
        <v>2020010.1</v>
      </c>
      <c r="AK11">
        <f>MAX('Wk 13-18 Input'!C15,'Wk 13-18 Input'!C34,'Wk 13-18 Input'!C53,'Wk 13-18 Input'!C72,'Wk 13-18 Input'!C91,'Wk 13-18 Input'!C110)</f>
        <v>0</v>
      </c>
      <c r="AL11">
        <f t="shared" si="13"/>
        <v>0.1</v>
      </c>
      <c r="AM11">
        <f t="shared" si="14"/>
        <v>2002000.1</v>
      </c>
      <c r="AN11">
        <f>COUNTIF('Playoff Picture'!$E$5:$E$10,B11)</f>
        <v>1</v>
      </c>
      <c r="AO11">
        <f t="shared" si="15"/>
        <v>0</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0</v>
      </c>
      <c r="AO16">
        <f t="shared" si="15"/>
        <v>0.15</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2026-09-04T03:43:27Z</dcterms:modified>
  <dc:language>en-US</dc:language>
</cp:coreProperties>
</file>