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43" documentId="11_C5FB6D5EBB7DB41C9C4944A345A03722CFCA9995" xr6:coauthVersionLast="47" xr6:coauthVersionMax="47" xr10:uidLastSave="{2AD18BB0-0DBD-4B56-A4AD-219CD650D677}"/>
  <bookViews>
    <workbookView xWindow="-28920" yWindow="-120" windowWidth="29040" windowHeight="16440" tabRatio="857" activeTab="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V13" i="13"/>
  <c r="D51" i="8" s="1"/>
  <c r="U13" i="13"/>
  <c r="C51" i="8" s="1"/>
  <c r="Q13" i="13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E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E28" i="8" s="1"/>
  <c r="M12" i="13"/>
  <c r="D28" i="8" s="1"/>
  <c r="L12" i="13"/>
  <c r="C28" i="8" s="1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E10" i="13"/>
  <c r="E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E9" i="13"/>
  <c r="E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E8" i="13"/>
  <c r="E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E7" i="13"/>
  <c r="E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E6" i="13"/>
  <c r="E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H5" i="13"/>
  <c r="H6" i="8" s="1"/>
  <c r="G5" i="13"/>
  <c r="G6" i="8" s="1"/>
  <c r="F5" i="13"/>
  <c r="E5" i="13"/>
  <c r="E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E4" i="13"/>
  <c r="E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E3" i="13"/>
  <c r="E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E2" i="13"/>
  <c r="E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E51" i="8"/>
  <c r="G50" i="8"/>
  <c r="B50" i="8"/>
  <c r="K49" i="8"/>
  <c r="J49" i="8"/>
  <c r="I49" i="8"/>
  <c r="H49" i="8"/>
  <c r="C49" i="8"/>
  <c r="K48" i="8"/>
  <c r="J48" i="8"/>
  <c r="I48" i="8"/>
  <c r="H48" i="8"/>
  <c r="G48" i="8"/>
  <c r="F48" i="8"/>
  <c r="H44" i="8"/>
  <c r="G44" i="8"/>
  <c r="F44" i="8"/>
  <c r="E44" i="8"/>
  <c r="D44" i="8"/>
  <c r="B44" i="8"/>
  <c r="D43" i="8"/>
  <c r="C43" i="8"/>
  <c r="K42" i="8"/>
  <c r="I42" i="8"/>
  <c r="F42" i="8"/>
  <c r="B42" i="8"/>
  <c r="F41" i="8"/>
  <c r="E41" i="8"/>
  <c r="J37" i="8"/>
  <c r="I37" i="8"/>
  <c r="B37" i="8"/>
  <c r="B36" i="8"/>
  <c r="I35" i="8"/>
  <c r="H35" i="8"/>
  <c r="B35" i="8"/>
  <c r="B34" i="8"/>
  <c r="H29" i="8"/>
  <c r="E29" i="8"/>
  <c r="H28" i="8"/>
  <c r="G28" i="8"/>
  <c r="F28" i="8"/>
  <c r="B28" i="8"/>
  <c r="H27" i="8"/>
  <c r="D27" i="8"/>
  <c r="C27" i="8"/>
  <c r="D26" i="8"/>
  <c r="G25" i="8"/>
  <c r="B25" i="8"/>
  <c r="H24" i="8"/>
  <c r="F24" i="8"/>
  <c r="E24" i="8"/>
  <c r="F23" i="8"/>
  <c r="E23" i="8"/>
  <c r="D23" i="8"/>
  <c r="B23" i="8"/>
  <c r="H22" i="8"/>
  <c r="F21" i="8"/>
  <c r="C21" i="8"/>
  <c r="B21" i="8"/>
  <c r="F20" i="8"/>
  <c r="B20" i="8"/>
  <c r="H19" i="8"/>
  <c r="B19" i="8"/>
  <c r="B18" i="8"/>
  <c r="H14" i="8"/>
  <c r="F14" i="8"/>
  <c r="E14" i="8"/>
  <c r="F13" i="8"/>
  <c r="E13" i="8"/>
  <c r="B13" i="8"/>
  <c r="H11" i="8"/>
  <c r="G11" i="8"/>
  <c r="F11" i="8"/>
  <c r="H10" i="8"/>
  <c r="B10" i="8"/>
  <c r="B8" i="8"/>
  <c r="H7" i="8"/>
  <c r="F6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J37" i="4"/>
  <c r="E40" i="3" s="1"/>
  <c r="I37" i="4"/>
  <c r="J36" i="4"/>
  <c r="I36" i="4"/>
  <c r="J35" i="4"/>
  <c r="I35" i="4"/>
  <c r="J34" i="4"/>
  <c r="I34" i="4"/>
  <c r="J33" i="4"/>
  <c r="I33" i="4"/>
  <c r="J32" i="4"/>
  <c r="E35" i="3" s="1"/>
  <c r="I32" i="4"/>
  <c r="J31" i="4"/>
  <c r="E34" i="3" s="1"/>
  <c r="I31" i="4"/>
  <c r="J30" i="4"/>
  <c r="E33" i="3" s="1"/>
  <c r="I30" i="4"/>
  <c r="J29" i="4"/>
  <c r="I29" i="4"/>
  <c r="J28" i="4"/>
  <c r="I28" i="4"/>
  <c r="J27" i="4"/>
  <c r="I27" i="4"/>
  <c r="J26" i="4"/>
  <c r="E29" i="3" s="1"/>
  <c r="I26" i="4"/>
  <c r="J25" i="4"/>
  <c r="E28" i="3" s="1"/>
  <c r="I25" i="4"/>
  <c r="J24" i="4"/>
  <c r="I24" i="4"/>
  <c r="J23" i="4"/>
  <c r="I23" i="4"/>
  <c r="J22" i="4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41" i="3"/>
  <c r="E39" i="3"/>
  <c r="E38" i="3"/>
  <c r="E37" i="3"/>
  <c r="E36" i="3"/>
  <c r="E32" i="3"/>
  <c r="E31" i="3"/>
  <c r="E30" i="3"/>
  <c r="E27" i="3"/>
  <c r="E26" i="3"/>
  <c r="C31" i="5" s="1"/>
  <c r="E25" i="3"/>
  <c r="C32" i="5" s="1"/>
  <c r="E19" i="3"/>
  <c r="E18" i="3"/>
  <c r="E17" i="3"/>
  <c r="E16" i="3"/>
  <c r="E15" i="3"/>
  <c r="E14" i="3"/>
  <c r="E13" i="3"/>
  <c r="E12" i="3"/>
  <c r="E11" i="3"/>
  <c r="E10" i="3"/>
  <c r="E7" i="3"/>
  <c r="E6" i="3"/>
  <c r="C17" i="5" l="1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H32" i="5"/>
  <c r="D13" i="13" s="1"/>
  <c r="D14" i="8" s="1"/>
  <c r="F32" i="5"/>
  <c r="G32" i="5" s="1"/>
  <c r="I32" i="5" s="1"/>
  <c r="E27" i="5"/>
  <c r="H31" i="5"/>
  <c r="D12" i="13" s="1"/>
  <c r="D13" i="8" s="1"/>
  <c r="E28" i="5"/>
  <c r="F31" i="5"/>
  <c r="G31" i="5" s="1"/>
  <c r="I31" i="5" s="1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I20" i="8" l="1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5" i="5"/>
  <c r="G25" i="5" s="1"/>
  <c r="I25" i="5" s="1"/>
  <c r="F74" i="7"/>
  <c r="I74" i="7"/>
  <c r="E76" i="7"/>
  <c r="E40" i="5"/>
  <c r="F44" i="5"/>
  <c r="G44" i="5" s="1"/>
  <c r="I44" i="5" s="1"/>
  <c r="H44" i="5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2" i="5"/>
  <c r="G22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H29" i="5"/>
  <c r="D10" i="13" s="1"/>
  <c r="D11" i="8" s="1"/>
  <c r="F29" i="5"/>
  <c r="G29" i="5" s="1"/>
  <c r="I29" i="5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F28" i="5"/>
  <c r="G28" i="5" s="1"/>
  <c r="I28" i="5" s="1"/>
  <c r="E31" i="5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I27" i="5" s="1"/>
  <c r="E32" i="5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F21" i="5"/>
  <c r="G21" i="5" s="1"/>
  <c r="E26" i="5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23" i="5"/>
  <c r="G23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F26" i="5"/>
  <c r="G26" i="5" s="1"/>
  <c r="E21" i="5"/>
  <c r="F90" i="7"/>
  <c r="E89" i="7"/>
  <c r="I90" i="7"/>
  <c r="H24" i="5"/>
  <c r="D5" i="13" s="1"/>
  <c r="D6" i="8" s="1"/>
  <c r="F24" i="5"/>
  <c r="G24" i="5" s="1"/>
  <c r="I24" i="5" s="1"/>
  <c r="E29" i="5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F30" i="5"/>
  <c r="G30" i="5" s="1"/>
  <c r="E23" i="5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67" i="5" l="1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C60" i="8"/>
  <c r="K5" i="13"/>
  <c r="G60" i="8" s="1"/>
  <c r="I6" i="8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I4" i="8" l="1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<sst xmlns="http://schemas.openxmlformats.org/spreadsheetml/2006/main" count="3407" uniqueCount="346">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</sst>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0" sqref="J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zoomScaleNormal="100" workbookViewId="0">
      <selection activeCell="V19" sqref="V19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H19" sqref="H19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E15" sqref="E15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-</v>
      </c>
      <c r="G21">
        <f t="shared" ref="G21:G32" si="3">IF(F21="W",6,IF(F21="T",3,0))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abSelected="1"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7</v>
      </c>
      <c r="J4">
        <f>Helper!J3</f>
        <v>0</v>
      </c>
      <c r="K4">
        <f>MAX(Helper!C3:H3)</f>
        <v>7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14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6</v>
      </c>
      <c r="J6">
        <f>Helper!J5</f>
        <v>0</v>
      </c>
      <c r="K6">
        <f>MAX(Helper!C5:H5)</f>
        <v>6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16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13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17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16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15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7</v>
      </c>
      <c r="D58">
        <f>Helper!R3</f>
        <v>0</v>
      </c>
      <c r="E58">
        <f>Helper!AC3</f>
        <v>0</v>
      </c>
      <c r="F58">
        <f>Helper!AE3</f>
        <v>7</v>
      </c>
      <c r="G58">
        <f>Helper!K3</f>
        <v>7.0002000000000004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14</v>
      </c>
      <c r="D59">
        <f>Helper!R4</f>
        <v>0</v>
      </c>
      <c r="E59">
        <f>Helper!AC4</f>
        <v>0</v>
      </c>
      <c r="F59">
        <f>Helper!AE4</f>
        <v>14</v>
      </c>
      <c r="G59">
        <f>Helper!K4</f>
        <v>14.000299999999999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6</v>
      </c>
      <c r="D60">
        <f>Helper!R5</f>
        <v>0</v>
      </c>
      <c r="E60">
        <f>Helper!AC5</f>
        <v>0</v>
      </c>
      <c r="F60">
        <f>Helper!AE5</f>
        <v>6</v>
      </c>
      <c r="G60">
        <f>Helper!K5</f>
        <v>6.0004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16</v>
      </c>
      <c r="D61">
        <f>Helper!R6</f>
        <v>0</v>
      </c>
      <c r="E61">
        <f>Helper!AC6</f>
        <v>0</v>
      </c>
      <c r="F61">
        <f>Helper!AE6</f>
        <v>16</v>
      </c>
      <c r="G61">
        <f>Helper!K6</f>
        <v>16.000499999999999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13</v>
      </c>
      <c r="D62">
        <f>Helper!R7</f>
        <v>0</v>
      </c>
      <c r="E62">
        <f>Helper!AC7</f>
        <v>0</v>
      </c>
      <c r="F62">
        <f>Helper!AE7</f>
        <v>13</v>
      </c>
      <c r="G62">
        <f>Helper!K7</f>
        <v>13.0006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17</v>
      </c>
      <c r="D66">
        <f>Helper!R11</f>
        <v>0</v>
      </c>
      <c r="E66">
        <f>Helper!AC11</f>
        <v>0</v>
      </c>
      <c r="F66">
        <f>Helper!AE11</f>
        <v>17</v>
      </c>
      <c r="G66">
        <f>Helper!K11</f>
        <v>17.001000000000001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16</v>
      </c>
      <c r="D67">
        <f>Helper!R12</f>
        <v>0</v>
      </c>
      <c r="E67">
        <f>Helper!AC12</f>
        <v>0</v>
      </c>
      <c r="F67">
        <f>Helper!AE12</f>
        <v>16</v>
      </c>
      <c r="G67">
        <f>Helper!K12</f>
        <v>16.001100000000001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15</v>
      </c>
      <c r="D68">
        <f>Helper!R13</f>
        <v>0</v>
      </c>
      <c r="E68">
        <f>Helper!AC13</f>
        <v>0</v>
      </c>
      <c r="F68">
        <f>Helper!AE13</f>
        <v>15</v>
      </c>
      <c r="G68">
        <f>Helper!K13</f>
        <v>15.001200000000001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16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7</v>
      </c>
      <c r="J41" t="b">
        <f t="shared" si="1"/>
        <v>0</v>
      </c>
      <c r="K41">
        <f>IF(J41,-1,I41+0.00002)</f>
        <v>7.0000200000000001</v>
      </c>
    </row>
    <row r="42" spans="1:11" ht="15" customHeight="1" x14ac:dyDescent="0.25">
      <c r="H42" t="str">
        <f>Roster!B5</f>
        <v>Jack Smith</v>
      </c>
      <c r="I42">
        <f>Helper!AE4</f>
        <v>14</v>
      </c>
      <c r="J42" t="b">
        <f t="shared" si="1"/>
        <v>0</v>
      </c>
      <c r="K42">
        <f>IF(J42,-1,I42+0.00003)</f>
        <v>14.000030000000001</v>
      </c>
    </row>
    <row r="43" spans="1:11" ht="15" customHeight="1" x14ac:dyDescent="0.25">
      <c r="H43" t="str">
        <f>Roster!B6</f>
        <v>Luke Ussery</v>
      </c>
      <c r="I43">
        <f>Helper!AE5</f>
        <v>6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16</v>
      </c>
      <c r="J44" t="b">
        <f t="shared" si="1"/>
        <v>0</v>
      </c>
      <c r="K44">
        <f>IF(J44,-1,I44+0.00005)</f>
        <v>16.000050000000002</v>
      </c>
    </row>
    <row r="45" spans="1:11" ht="15" customHeight="1" x14ac:dyDescent="0.25">
      <c r="H45" t="str">
        <f>Roster!B8</f>
        <v>Alan Loeser</v>
      </c>
      <c r="I45">
        <f>Helper!AE7</f>
        <v>13</v>
      </c>
      <c r="J45" t="b">
        <f t="shared" si="1"/>
        <v>0</v>
      </c>
      <c r="K45">
        <f>IF(J45,-1,I45+0.00006)</f>
        <v>13.00006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17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15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7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7.0002000000000004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7</v>
      </c>
      <c r="AF3">
        <f>AE3+0.0002</f>
        <v>7.0002000000000004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14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14.000299999999999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14</v>
      </c>
      <c r="AF4">
        <f>AE4+0.0003</f>
        <v>14.000299999999999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6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6.0004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6</v>
      </c>
      <c r="AF5">
        <f>AE5+0.0004</f>
        <v>6.0004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16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16.000499999999999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16</v>
      </c>
      <c r="AF6">
        <f>AE6+0.0005</f>
        <v>16.000499999999999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13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13.0006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13</v>
      </c>
      <c r="AF7">
        <f>AE7+0.0006</f>
        <v>13.0006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17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17.001000000000001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17</v>
      </c>
      <c r="AF11">
        <f>AE11+0.001</f>
        <v>17.001000000000001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16.001100000000001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16</v>
      </c>
      <c r="AF12">
        <f>AE12+0.0011</f>
        <v>16.001100000000001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15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15.001200000000001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15</v>
      </c>
      <c r="AF13">
        <f>AE13+0.0012</f>
        <v>15.001200000000001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2026-09-15T03:27:32Z</dcterms:modified>
  <dc:language>en-US</dc:language>
</cp:coreProperties>
</file>