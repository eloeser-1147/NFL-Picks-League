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2" documentId="11_73ECE2C8CBDB28D81CB0DD2B89DEE8C139D5ABA5" xr6:coauthVersionLast="47" xr6:coauthVersionMax="47" xr10:uidLastSave="{3DBF35DF-4329-4A17-B1F0-FE11CCF7CCF3}"/>
  <bookViews>
    <workbookView xWindow="28680" yWindow="-120" windowWidth="29040" windowHeight="16440" tabRatio="500" activeTab="6" xr2:uid="{00000000-000D-0000-FFFF-FFFF00000000}"/>
  </bookViews>
  <sheets>
    <sheet name="Roster" sheetId="1" r:id="rId1"/>
    <sheet name="Schedule" sheetId="2" r:id="rId2"/>
    <sheet name="NFL Schedule" sheetId="3" r:id="rId3"/>
    <sheet name="Wk 1-6 Input" sheetId="4" r:id="rId4"/>
    <sheet name="Wk 7-12 Input" sheetId="5" r:id="rId5"/>
    <sheet name="Wk 13-18 Input" sheetId="6" r:id="rId6"/>
    <sheet name="Standings" sheetId="7" r:id="rId7"/>
    <sheet name="Playoff Picture" sheetId="8" r:id="rId8"/>
    <sheet name="Playoff Wild Card" sheetId="9" r:id="rId9"/>
    <sheet name="Playoff Finals" sheetId="10" r:id="rId10"/>
    <sheet name="Helper" sheetId="11" r:id="rId11"/>
    <sheet name="Updates" sheetId="12" r:id="rId1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1" i="11" l="1"/>
  <c r="B10" i="11"/>
  <c r="B9" i="11"/>
  <c r="B8" i="11"/>
  <c r="B7" i="11"/>
  <c r="B6" i="11"/>
  <c r="B5" i="11"/>
  <c r="B4" i="11"/>
  <c r="B3" i="11"/>
  <c r="B2" i="11"/>
  <c r="D25" i="10"/>
  <c r="D24" i="10"/>
  <c r="D23" i="10"/>
  <c r="D22" i="10"/>
  <c r="H9" i="10"/>
  <c r="F9" i="10"/>
  <c r="D9" i="10"/>
  <c r="I9" i="10" s="1"/>
  <c r="J9" i="10" s="1"/>
  <c r="H8" i="10"/>
  <c r="F8" i="10"/>
  <c r="D8" i="10"/>
  <c r="I8" i="10" s="1"/>
  <c r="J8" i="10" s="1"/>
  <c r="H7" i="10"/>
  <c r="F7" i="10"/>
  <c r="I7" i="10" s="1"/>
  <c r="J7" i="10" s="1"/>
  <c r="D7" i="10"/>
  <c r="H6" i="10"/>
  <c r="I6" i="10" s="1"/>
  <c r="J6" i="10" s="1"/>
  <c r="F6" i="10"/>
  <c r="D6" i="10"/>
  <c r="D10" i="9"/>
  <c r="H10" i="9" s="1"/>
  <c r="H9" i="9"/>
  <c r="D9" i="9"/>
  <c r="D8" i="9"/>
  <c r="H8" i="9" s="1"/>
  <c r="D7" i="9"/>
  <c r="H7" i="9" s="1"/>
  <c r="D6" i="9"/>
  <c r="H6" i="9" s="1"/>
  <c r="H5" i="9"/>
  <c r="D5" i="9"/>
  <c r="E36" i="8"/>
  <c r="D36" i="8"/>
  <c r="C36" i="8"/>
  <c r="F35" i="8"/>
  <c r="F34" i="8"/>
  <c r="F33" i="8"/>
  <c r="F32" i="8"/>
  <c r="F31" i="8"/>
  <c r="F30" i="8"/>
  <c r="F29" i="8"/>
  <c r="F28" i="8"/>
  <c r="F27" i="8"/>
  <c r="F36" i="8" s="1"/>
  <c r="F26" i="8"/>
  <c r="I80" i="6"/>
  <c r="F80" i="6"/>
  <c r="G80" i="6" s="1"/>
  <c r="E80" i="6"/>
  <c r="B80" i="6"/>
  <c r="I79" i="6"/>
  <c r="H79" i="6"/>
  <c r="F79" i="6"/>
  <c r="G79" i="6" s="1"/>
  <c r="E79" i="6"/>
  <c r="B79" i="6"/>
  <c r="I78" i="6"/>
  <c r="F78" i="6"/>
  <c r="G78" i="6" s="1"/>
  <c r="E78" i="6"/>
  <c r="B78" i="6"/>
  <c r="I77" i="6"/>
  <c r="F77" i="6"/>
  <c r="G77" i="6" s="1"/>
  <c r="E77" i="6"/>
  <c r="B77" i="6"/>
  <c r="I76" i="6"/>
  <c r="F76" i="6"/>
  <c r="G76" i="6" s="1"/>
  <c r="E76" i="6"/>
  <c r="B76" i="6"/>
  <c r="I75" i="6"/>
  <c r="H75" i="6"/>
  <c r="F75" i="6"/>
  <c r="G75" i="6" s="1"/>
  <c r="E75" i="6"/>
  <c r="B75" i="6"/>
  <c r="I74" i="6"/>
  <c r="F74" i="6"/>
  <c r="G74" i="6" s="1"/>
  <c r="E74" i="6"/>
  <c r="B74" i="6"/>
  <c r="I73" i="6"/>
  <c r="F73" i="6"/>
  <c r="G73" i="6" s="1"/>
  <c r="E73" i="6"/>
  <c r="B73" i="6"/>
  <c r="I72" i="6"/>
  <c r="F72" i="6"/>
  <c r="G72" i="6" s="1"/>
  <c r="E72" i="6"/>
  <c r="B72" i="6"/>
  <c r="I71" i="6"/>
  <c r="F71" i="6"/>
  <c r="G71" i="6" s="1"/>
  <c r="E71" i="6"/>
  <c r="B71" i="6"/>
  <c r="I67" i="6"/>
  <c r="H67" i="6"/>
  <c r="F67" i="6"/>
  <c r="G67" i="6" s="1"/>
  <c r="E67" i="6"/>
  <c r="B67" i="6"/>
  <c r="I66" i="6"/>
  <c r="H66" i="6"/>
  <c r="F66" i="6"/>
  <c r="G66" i="6" s="1"/>
  <c r="E66" i="6"/>
  <c r="B66" i="6"/>
  <c r="I65" i="6"/>
  <c r="F65" i="6"/>
  <c r="G65" i="6" s="1"/>
  <c r="E65" i="6"/>
  <c r="B65" i="6"/>
  <c r="I64" i="6"/>
  <c r="H64" i="6"/>
  <c r="F64" i="6"/>
  <c r="G64" i="6" s="1"/>
  <c r="E64" i="6"/>
  <c r="B64" i="6"/>
  <c r="I63" i="6"/>
  <c r="H63" i="6"/>
  <c r="F63" i="6"/>
  <c r="G63" i="6" s="1"/>
  <c r="E63" i="6"/>
  <c r="B63" i="6"/>
  <c r="I62" i="6"/>
  <c r="H62" i="6"/>
  <c r="F62" i="6"/>
  <c r="G62" i="6" s="1"/>
  <c r="E62" i="6"/>
  <c r="B62" i="6"/>
  <c r="I61" i="6"/>
  <c r="H61" i="6"/>
  <c r="F61" i="6"/>
  <c r="G61" i="6" s="1"/>
  <c r="E61" i="6"/>
  <c r="B61" i="6"/>
  <c r="I60" i="6"/>
  <c r="H60" i="6"/>
  <c r="F60" i="6"/>
  <c r="G60" i="6" s="1"/>
  <c r="E60" i="6"/>
  <c r="B60" i="6"/>
  <c r="I59" i="6"/>
  <c r="F59" i="6"/>
  <c r="G59" i="6" s="1"/>
  <c r="E59" i="6"/>
  <c r="B59" i="6"/>
  <c r="I58" i="6"/>
  <c r="F58" i="6"/>
  <c r="G58" i="6" s="1"/>
  <c r="E58" i="6"/>
  <c r="B58" i="6"/>
  <c r="I54" i="6"/>
  <c r="F54" i="6"/>
  <c r="G54" i="6" s="1"/>
  <c r="E54" i="6"/>
  <c r="B54" i="6"/>
  <c r="I53" i="6"/>
  <c r="F53" i="6"/>
  <c r="G53" i="6" s="1"/>
  <c r="E53" i="6"/>
  <c r="B53" i="6"/>
  <c r="I52" i="6"/>
  <c r="F52" i="6"/>
  <c r="G52" i="6" s="1"/>
  <c r="E52" i="6"/>
  <c r="B52" i="6"/>
  <c r="I51" i="6"/>
  <c r="H51" i="6"/>
  <c r="F51" i="6"/>
  <c r="G51" i="6" s="1"/>
  <c r="E51" i="6"/>
  <c r="B51" i="6"/>
  <c r="I50" i="6"/>
  <c r="F50" i="6"/>
  <c r="G50" i="6" s="1"/>
  <c r="E50" i="6"/>
  <c r="B50" i="6"/>
  <c r="I49" i="6"/>
  <c r="H49" i="6"/>
  <c r="F49" i="6"/>
  <c r="G49" i="6" s="1"/>
  <c r="E49" i="6"/>
  <c r="B49" i="6"/>
  <c r="I48" i="6"/>
  <c r="H48" i="6"/>
  <c r="F48" i="6"/>
  <c r="G48" i="6" s="1"/>
  <c r="E48" i="6"/>
  <c r="B48" i="6"/>
  <c r="I47" i="6"/>
  <c r="H47" i="6"/>
  <c r="F47" i="6"/>
  <c r="G47" i="6" s="1"/>
  <c r="E47" i="6"/>
  <c r="B47" i="6"/>
  <c r="I46" i="6"/>
  <c r="H46" i="6"/>
  <c r="F46" i="6"/>
  <c r="G46" i="6" s="1"/>
  <c r="E46" i="6"/>
  <c r="B46" i="6"/>
  <c r="I45" i="6"/>
  <c r="H45" i="6"/>
  <c r="F45" i="6"/>
  <c r="G45" i="6" s="1"/>
  <c r="E45" i="6"/>
  <c r="B45" i="6"/>
  <c r="I41" i="6"/>
  <c r="F41" i="6"/>
  <c r="G41" i="6" s="1"/>
  <c r="E41" i="6"/>
  <c r="B41" i="6"/>
  <c r="I40" i="6"/>
  <c r="F40" i="6"/>
  <c r="G40" i="6" s="1"/>
  <c r="E40" i="6"/>
  <c r="B40" i="6"/>
  <c r="I39" i="6"/>
  <c r="F39" i="6"/>
  <c r="G39" i="6" s="1"/>
  <c r="E39" i="6"/>
  <c r="B39" i="6"/>
  <c r="I38" i="6"/>
  <c r="F38" i="6"/>
  <c r="G38" i="6" s="1"/>
  <c r="E38" i="6"/>
  <c r="B38" i="6"/>
  <c r="I37" i="6"/>
  <c r="F37" i="6"/>
  <c r="G37" i="6" s="1"/>
  <c r="E37" i="6"/>
  <c r="B37" i="6"/>
  <c r="I36" i="6"/>
  <c r="H36" i="6"/>
  <c r="F36" i="6"/>
  <c r="G36" i="6" s="1"/>
  <c r="E36" i="6"/>
  <c r="B36" i="6"/>
  <c r="I35" i="6"/>
  <c r="F35" i="6"/>
  <c r="G35" i="6" s="1"/>
  <c r="E35" i="6"/>
  <c r="B35" i="6"/>
  <c r="I34" i="6"/>
  <c r="H34" i="6"/>
  <c r="F34" i="6"/>
  <c r="G34" i="6" s="1"/>
  <c r="E34" i="6"/>
  <c r="B34" i="6"/>
  <c r="I33" i="6"/>
  <c r="H33" i="6"/>
  <c r="F33" i="6"/>
  <c r="G33" i="6" s="1"/>
  <c r="E33" i="6"/>
  <c r="B33" i="6"/>
  <c r="I32" i="6"/>
  <c r="H32" i="6"/>
  <c r="F32" i="6"/>
  <c r="G32" i="6" s="1"/>
  <c r="E32" i="6"/>
  <c r="B32" i="6"/>
  <c r="I28" i="6"/>
  <c r="H28" i="6"/>
  <c r="F28" i="6"/>
  <c r="G28" i="6" s="1"/>
  <c r="E28" i="6"/>
  <c r="B28" i="6"/>
  <c r="I27" i="6"/>
  <c r="H27" i="6"/>
  <c r="F27" i="6"/>
  <c r="G27" i="6" s="1"/>
  <c r="E27" i="6"/>
  <c r="B27" i="6"/>
  <c r="I26" i="6"/>
  <c r="F26" i="6"/>
  <c r="G26" i="6" s="1"/>
  <c r="E26" i="6"/>
  <c r="B26" i="6"/>
  <c r="I25" i="6"/>
  <c r="F25" i="6"/>
  <c r="G25" i="6" s="1"/>
  <c r="E25" i="6"/>
  <c r="B25" i="6"/>
  <c r="I24" i="6"/>
  <c r="F24" i="6"/>
  <c r="G24" i="6" s="1"/>
  <c r="E24" i="6"/>
  <c r="B24" i="6"/>
  <c r="I23" i="6"/>
  <c r="F23" i="6"/>
  <c r="G23" i="6" s="1"/>
  <c r="E23" i="6"/>
  <c r="B23" i="6"/>
  <c r="I22" i="6"/>
  <c r="F22" i="6"/>
  <c r="G22" i="6" s="1"/>
  <c r="E22" i="6"/>
  <c r="B22" i="6"/>
  <c r="I21" i="6"/>
  <c r="H21" i="6"/>
  <c r="F21" i="6"/>
  <c r="G21" i="6" s="1"/>
  <c r="E21" i="6"/>
  <c r="B21" i="6"/>
  <c r="I20" i="6"/>
  <c r="F20" i="6"/>
  <c r="G20" i="6" s="1"/>
  <c r="E20" i="6"/>
  <c r="B20" i="6"/>
  <c r="I19" i="6"/>
  <c r="H19" i="6"/>
  <c r="F19" i="6"/>
  <c r="G19" i="6" s="1"/>
  <c r="E19" i="6"/>
  <c r="B19" i="6"/>
  <c r="I15" i="6"/>
  <c r="H15" i="6"/>
  <c r="F15" i="6"/>
  <c r="G15" i="6" s="1"/>
  <c r="E15" i="6"/>
  <c r="B15" i="6"/>
  <c r="I14" i="6"/>
  <c r="H14" i="6"/>
  <c r="F14" i="6"/>
  <c r="G14" i="6" s="1"/>
  <c r="E14" i="6"/>
  <c r="B14" i="6"/>
  <c r="I13" i="6"/>
  <c r="H13" i="6"/>
  <c r="F13" i="6"/>
  <c r="G13" i="6" s="1"/>
  <c r="E13" i="6"/>
  <c r="B13" i="6"/>
  <c r="I12" i="6"/>
  <c r="H12" i="6"/>
  <c r="F12" i="6"/>
  <c r="G12" i="6" s="1"/>
  <c r="E12" i="6"/>
  <c r="B12" i="6"/>
  <c r="I11" i="6"/>
  <c r="F11" i="6"/>
  <c r="G11" i="6" s="1"/>
  <c r="E11" i="6"/>
  <c r="B11" i="6"/>
  <c r="I10" i="6"/>
  <c r="F10" i="6"/>
  <c r="G10" i="6" s="1"/>
  <c r="E10" i="6"/>
  <c r="B10" i="6"/>
  <c r="I9" i="6"/>
  <c r="F9" i="6"/>
  <c r="G9" i="6" s="1"/>
  <c r="E9" i="6"/>
  <c r="B9" i="6"/>
  <c r="I8" i="6"/>
  <c r="F8" i="6"/>
  <c r="G8" i="6" s="1"/>
  <c r="E8" i="6"/>
  <c r="B8" i="6"/>
  <c r="I7" i="6"/>
  <c r="F7" i="6"/>
  <c r="G7" i="6" s="1"/>
  <c r="E7" i="6"/>
  <c r="B7" i="6"/>
  <c r="I6" i="6"/>
  <c r="H6" i="6"/>
  <c r="F6" i="6"/>
  <c r="G6" i="6" s="1"/>
  <c r="E6" i="6"/>
  <c r="B6" i="6"/>
  <c r="H80" i="5"/>
  <c r="F80" i="5"/>
  <c r="G80" i="5" s="1"/>
  <c r="I80" i="5" s="1"/>
  <c r="E80" i="5"/>
  <c r="B80" i="5"/>
  <c r="H79" i="5"/>
  <c r="F79" i="5"/>
  <c r="G79" i="5" s="1"/>
  <c r="I79" i="5" s="1"/>
  <c r="E79" i="5"/>
  <c r="B79" i="5"/>
  <c r="H78" i="5"/>
  <c r="F78" i="5"/>
  <c r="G78" i="5" s="1"/>
  <c r="I78" i="5" s="1"/>
  <c r="E78" i="5"/>
  <c r="B78" i="5"/>
  <c r="H77" i="5"/>
  <c r="I77" i="5" s="1"/>
  <c r="F77" i="5"/>
  <c r="G77" i="5" s="1"/>
  <c r="E77" i="5"/>
  <c r="B77" i="5"/>
  <c r="I76" i="5"/>
  <c r="H76" i="5"/>
  <c r="F76" i="5"/>
  <c r="G76" i="5" s="1"/>
  <c r="E76" i="5"/>
  <c r="B76" i="5"/>
  <c r="H75" i="5"/>
  <c r="I75" i="5" s="1"/>
  <c r="F75" i="5"/>
  <c r="G75" i="5" s="1"/>
  <c r="E75" i="5"/>
  <c r="B75" i="5"/>
  <c r="H74" i="5"/>
  <c r="F74" i="5"/>
  <c r="G74" i="5" s="1"/>
  <c r="I74" i="5" s="1"/>
  <c r="E74" i="5"/>
  <c r="B74" i="5"/>
  <c r="H73" i="5"/>
  <c r="F73" i="5"/>
  <c r="G73" i="5" s="1"/>
  <c r="I73" i="5" s="1"/>
  <c r="E73" i="5"/>
  <c r="B73" i="5"/>
  <c r="I72" i="5"/>
  <c r="H72" i="5"/>
  <c r="F72" i="5"/>
  <c r="G72" i="5" s="1"/>
  <c r="E72" i="5"/>
  <c r="B72" i="5"/>
  <c r="H71" i="5"/>
  <c r="F71" i="5"/>
  <c r="G71" i="5" s="1"/>
  <c r="I71" i="5" s="1"/>
  <c r="E71" i="5"/>
  <c r="B71" i="5"/>
  <c r="I67" i="5"/>
  <c r="H67" i="5"/>
  <c r="F67" i="5"/>
  <c r="G67" i="5" s="1"/>
  <c r="E67" i="5"/>
  <c r="B67" i="5"/>
  <c r="H66" i="5"/>
  <c r="F66" i="5"/>
  <c r="G66" i="5" s="1"/>
  <c r="I66" i="5" s="1"/>
  <c r="E66" i="5"/>
  <c r="B66" i="5"/>
  <c r="H65" i="5"/>
  <c r="F65" i="5"/>
  <c r="G65" i="5" s="1"/>
  <c r="I65" i="5" s="1"/>
  <c r="E65" i="5"/>
  <c r="B65" i="5"/>
  <c r="H64" i="5"/>
  <c r="F64" i="5"/>
  <c r="G64" i="5" s="1"/>
  <c r="I64" i="5" s="1"/>
  <c r="E64" i="5"/>
  <c r="B64" i="5"/>
  <c r="H63" i="5"/>
  <c r="F63" i="5"/>
  <c r="G63" i="5" s="1"/>
  <c r="I63" i="5" s="1"/>
  <c r="E63" i="5"/>
  <c r="B63" i="5"/>
  <c r="H62" i="5"/>
  <c r="I62" i="5" s="1"/>
  <c r="F62" i="5"/>
  <c r="G62" i="5" s="1"/>
  <c r="E62" i="5"/>
  <c r="B62" i="5"/>
  <c r="I61" i="5"/>
  <c r="H61" i="5"/>
  <c r="F61" i="5"/>
  <c r="G61" i="5" s="1"/>
  <c r="E61" i="5"/>
  <c r="B61" i="5"/>
  <c r="H60" i="5"/>
  <c r="I60" i="5" s="1"/>
  <c r="F60" i="5"/>
  <c r="G60" i="5" s="1"/>
  <c r="E60" i="5"/>
  <c r="B60" i="5"/>
  <c r="H59" i="5"/>
  <c r="F59" i="5"/>
  <c r="G59" i="5" s="1"/>
  <c r="I59" i="5" s="1"/>
  <c r="E59" i="5"/>
  <c r="B59" i="5"/>
  <c r="H58" i="5"/>
  <c r="F58" i="5"/>
  <c r="G58" i="5" s="1"/>
  <c r="I58" i="5" s="1"/>
  <c r="E58" i="5"/>
  <c r="B58" i="5"/>
  <c r="I54" i="5"/>
  <c r="H54" i="5"/>
  <c r="F54" i="5"/>
  <c r="G54" i="5" s="1"/>
  <c r="E54" i="5"/>
  <c r="B54" i="5"/>
  <c r="H53" i="5"/>
  <c r="G53" i="5"/>
  <c r="I53" i="5" s="1"/>
  <c r="F53" i="5"/>
  <c r="E53" i="5"/>
  <c r="B53" i="5"/>
  <c r="H52" i="5"/>
  <c r="I52" i="5" s="1"/>
  <c r="F52" i="5"/>
  <c r="G52" i="5" s="1"/>
  <c r="E52" i="5"/>
  <c r="B52" i="5"/>
  <c r="H51" i="5"/>
  <c r="F51" i="5"/>
  <c r="G51" i="5" s="1"/>
  <c r="I51" i="5" s="1"/>
  <c r="E51" i="5"/>
  <c r="B51" i="5"/>
  <c r="I50" i="5"/>
  <c r="H50" i="5"/>
  <c r="F50" i="5"/>
  <c r="G50" i="5" s="1"/>
  <c r="E50" i="5"/>
  <c r="B50" i="5"/>
  <c r="H49" i="5"/>
  <c r="G49" i="5"/>
  <c r="I49" i="5" s="1"/>
  <c r="F49" i="5"/>
  <c r="E49" i="5"/>
  <c r="B49" i="5"/>
  <c r="H48" i="5"/>
  <c r="I48" i="5" s="1"/>
  <c r="F48" i="5"/>
  <c r="G48" i="5" s="1"/>
  <c r="E48" i="5"/>
  <c r="B48" i="5"/>
  <c r="H47" i="5"/>
  <c r="G47" i="5"/>
  <c r="I47" i="5" s="1"/>
  <c r="F47" i="5"/>
  <c r="E47" i="5"/>
  <c r="B47" i="5"/>
  <c r="H46" i="5"/>
  <c r="F46" i="5"/>
  <c r="G46" i="5" s="1"/>
  <c r="I46" i="5" s="1"/>
  <c r="E46" i="5"/>
  <c r="B46" i="5"/>
  <c r="H45" i="5"/>
  <c r="F45" i="5"/>
  <c r="G45" i="5" s="1"/>
  <c r="I45" i="5" s="1"/>
  <c r="E45" i="5"/>
  <c r="B45" i="5"/>
  <c r="H41" i="5"/>
  <c r="F41" i="5"/>
  <c r="G41" i="5" s="1"/>
  <c r="I41" i="5" s="1"/>
  <c r="E41" i="5"/>
  <c r="B41" i="5"/>
  <c r="I40" i="5"/>
  <c r="H40" i="5"/>
  <c r="G40" i="5"/>
  <c r="F40" i="5"/>
  <c r="E40" i="5"/>
  <c r="B40" i="5"/>
  <c r="H39" i="5"/>
  <c r="F39" i="5"/>
  <c r="G39" i="5" s="1"/>
  <c r="I39" i="5" s="1"/>
  <c r="E39" i="5"/>
  <c r="B39" i="5"/>
  <c r="H38" i="5"/>
  <c r="F38" i="5"/>
  <c r="G38" i="5" s="1"/>
  <c r="I38" i="5" s="1"/>
  <c r="E38" i="5"/>
  <c r="B38" i="5"/>
  <c r="H37" i="5"/>
  <c r="F37" i="5"/>
  <c r="G37" i="5" s="1"/>
  <c r="I37" i="5" s="1"/>
  <c r="E37" i="5"/>
  <c r="B37" i="5"/>
  <c r="I36" i="5"/>
  <c r="H36" i="5"/>
  <c r="G36" i="5"/>
  <c r="F36" i="5"/>
  <c r="E36" i="5"/>
  <c r="B36" i="5"/>
  <c r="I35" i="5"/>
  <c r="H35" i="5"/>
  <c r="F35" i="5"/>
  <c r="G35" i="5" s="1"/>
  <c r="E35" i="5"/>
  <c r="B35" i="5"/>
  <c r="H34" i="5"/>
  <c r="F34" i="5"/>
  <c r="G34" i="5" s="1"/>
  <c r="I34" i="5" s="1"/>
  <c r="E34" i="5"/>
  <c r="B34" i="5"/>
  <c r="H33" i="5"/>
  <c r="F33" i="5"/>
  <c r="G33" i="5" s="1"/>
  <c r="I33" i="5" s="1"/>
  <c r="E33" i="5"/>
  <c r="B33" i="5"/>
  <c r="H32" i="5"/>
  <c r="G32" i="5"/>
  <c r="I32" i="5" s="1"/>
  <c r="F32" i="5"/>
  <c r="E32" i="5"/>
  <c r="B32" i="5"/>
  <c r="H28" i="5"/>
  <c r="F28" i="5"/>
  <c r="G28" i="5" s="1"/>
  <c r="I28" i="5" s="1"/>
  <c r="E28" i="5"/>
  <c r="B28" i="5"/>
  <c r="H27" i="5"/>
  <c r="F27" i="5"/>
  <c r="G27" i="5" s="1"/>
  <c r="I27" i="5" s="1"/>
  <c r="E27" i="5"/>
  <c r="B27" i="5"/>
  <c r="H26" i="5"/>
  <c r="F26" i="5"/>
  <c r="G26" i="5" s="1"/>
  <c r="I26" i="5" s="1"/>
  <c r="E26" i="5"/>
  <c r="B26" i="5"/>
  <c r="H25" i="5"/>
  <c r="F25" i="5"/>
  <c r="G25" i="5" s="1"/>
  <c r="I25" i="5" s="1"/>
  <c r="E25" i="5"/>
  <c r="B25" i="5"/>
  <c r="H24" i="5"/>
  <c r="F24" i="5"/>
  <c r="G24" i="5" s="1"/>
  <c r="I24" i="5" s="1"/>
  <c r="E24" i="5"/>
  <c r="B24" i="5"/>
  <c r="H23" i="5"/>
  <c r="G23" i="5"/>
  <c r="I23" i="5" s="1"/>
  <c r="F23" i="5"/>
  <c r="E23" i="5"/>
  <c r="B23" i="5"/>
  <c r="H22" i="5"/>
  <c r="F22" i="5"/>
  <c r="G22" i="5" s="1"/>
  <c r="I22" i="5" s="1"/>
  <c r="E22" i="5"/>
  <c r="B22" i="5"/>
  <c r="H21" i="5"/>
  <c r="F21" i="5"/>
  <c r="G21" i="5" s="1"/>
  <c r="I21" i="5" s="1"/>
  <c r="E21" i="5"/>
  <c r="B21" i="5"/>
  <c r="I20" i="5"/>
  <c r="H20" i="5"/>
  <c r="F20" i="5"/>
  <c r="G20" i="5" s="1"/>
  <c r="E20" i="5"/>
  <c r="B20" i="5"/>
  <c r="H19" i="5"/>
  <c r="G19" i="5"/>
  <c r="I19" i="5" s="1"/>
  <c r="F19" i="5"/>
  <c r="E19" i="5"/>
  <c r="B19" i="5"/>
  <c r="H15" i="5"/>
  <c r="I15" i="5" s="1"/>
  <c r="F15" i="5"/>
  <c r="G15" i="5" s="1"/>
  <c r="E15" i="5"/>
  <c r="B15" i="5"/>
  <c r="H14" i="5"/>
  <c r="G14" i="5"/>
  <c r="I14" i="5" s="1"/>
  <c r="F14" i="5"/>
  <c r="E14" i="5"/>
  <c r="B14" i="5"/>
  <c r="H13" i="5"/>
  <c r="F13" i="5"/>
  <c r="G13" i="5" s="1"/>
  <c r="I13" i="5" s="1"/>
  <c r="E13" i="5"/>
  <c r="B13" i="5"/>
  <c r="H12" i="5"/>
  <c r="F12" i="5"/>
  <c r="G12" i="5" s="1"/>
  <c r="I12" i="5" s="1"/>
  <c r="E12" i="5"/>
  <c r="B12" i="5"/>
  <c r="H11" i="5"/>
  <c r="F11" i="5"/>
  <c r="G11" i="5" s="1"/>
  <c r="I11" i="5" s="1"/>
  <c r="E11" i="5"/>
  <c r="B11" i="5"/>
  <c r="H10" i="5"/>
  <c r="G10" i="5"/>
  <c r="I10" i="5" s="1"/>
  <c r="F10" i="5"/>
  <c r="E10" i="5"/>
  <c r="B10" i="5"/>
  <c r="H9" i="5"/>
  <c r="I9" i="5" s="1"/>
  <c r="F9" i="5"/>
  <c r="G9" i="5" s="1"/>
  <c r="E9" i="5"/>
  <c r="B9" i="5"/>
  <c r="H8" i="5"/>
  <c r="F8" i="5"/>
  <c r="G8" i="5" s="1"/>
  <c r="I8" i="5" s="1"/>
  <c r="E8" i="5"/>
  <c r="B8" i="5"/>
  <c r="H7" i="5"/>
  <c r="F7" i="5"/>
  <c r="G7" i="5" s="1"/>
  <c r="I7" i="5" s="1"/>
  <c r="E7" i="5"/>
  <c r="B7" i="5"/>
  <c r="I6" i="5"/>
  <c r="H6" i="5"/>
  <c r="G6" i="5"/>
  <c r="F6" i="5"/>
  <c r="E6" i="5"/>
  <c r="B6" i="5"/>
  <c r="I80" i="4"/>
  <c r="H80" i="4"/>
  <c r="F80" i="4"/>
  <c r="G80" i="4" s="1"/>
  <c r="E80" i="4"/>
  <c r="B80" i="4"/>
  <c r="H79" i="4"/>
  <c r="F79" i="4"/>
  <c r="G79" i="4" s="1"/>
  <c r="I79" i="4" s="1"/>
  <c r="E79" i="4"/>
  <c r="B79" i="4"/>
  <c r="H78" i="4"/>
  <c r="F78" i="4"/>
  <c r="G78" i="4" s="1"/>
  <c r="I78" i="4" s="1"/>
  <c r="E78" i="4"/>
  <c r="B78" i="4"/>
  <c r="H77" i="4"/>
  <c r="G77" i="4"/>
  <c r="I77" i="4" s="1"/>
  <c r="F77" i="4"/>
  <c r="E77" i="4"/>
  <c r="B77" i="4"/>
  <c r="H76" i="4"/>
  <c r="F76" i="4"/>
  <c r="G76" i="4" s="1"/>
  <c r="I76" i="4" s="1"/>
  <c r="E76" i="4"/>
  <c r="B76" i="4"/>
  <c r="H75" i="4"/>
  <c r="F75" i="4"/>
  <c r="G75" i="4" s="1"/>
  <c r="I75" i="4" s="1"/>
  <c r="E75" i="4"/>
  <c r="B75" i="4"/>
  <c r="H74" i="4"/>
  <c r="F74" i="4"/>
  <c r="G74" i="4" s="1"/>
  <c r="I74" i="4" s="1"/>
  <c r="E74" i="4"/>
  <c r="B74" i="4"/>
  <c r="H73" i="4"/>
  <c r="F73" i="4"/>
  <c r="G73" i="4" s="1"/>
  <c r="I73" i="4" s="1"/>
  <c r="E73" i="4"/>
  <c r="B73" i="4"/>
  <c r="H72" i="4"/>
  <c r="F72" i="4"/>
  <c r="G72" i="4" s="1"/>
  <c r="I72" i="4" s="1"/>
  <c r="E72" i="4"/>
  <c r="B72" i="4"/>
  <c r="H71" i="4"/>
  <c r="G71" i="4"/>
  <c r="I71" i="4" s="1"/>
  <c r="F71" i="4"/>
  <c r="E71" i="4"/>
  <c r="B71" i="4"/>
  <c r="H67" i="4"/>
  <c r="I67" i="4" s="1"/>
  <c r="F67" i="4"/>
  <c r="G67" i="4" s="1"/>
  <c r="E67" i="4"/>
  <c r="B67" i="4"/>
  <c r="H66" i="4"/>
  <c r="F66" i="4"/>
  <c r="G66" i="4" s="1"/>
  <c r="I66" i="4" s="1"/>
  <c r="E66" i="4"/>
  <c r="B66" i="4"/>
  <c r="I65" i="4"/>
  <c r="H65" i="4"/>
  <c r="F65" i="4"/>
  <c r="G65" i="4" s="1"/>
  <c r="E65" i="4"/>
  <c r="B65" i="4"/>
  <c r="H64" i="4"/>
  <c r="G64" i="4"/>
  <c r="I64" i="4" s="1"/>
  <c r="F64" i="4"/>
  <c r="E64" i="4"/>
  <c r="B64" i="4"/>
  <c r="H63" i="4"/>
  <c r="I63" i="4" s="1"/>
  <c r="F63" i="4"/>
  <c r="G63" i="4" s="1"/>
  <c r="E63" i="4"/>
  <c r="B63" i="4"/>
  <c r="H62" i="4"/>
  <c r="G62" i="4"/>
  <c r="I62" i="4" s="1"/>
  <c r="F62" i="4"/>
  <c r="E62" i="4"/>
  <c r="B62" i="4"/>
  <c r="H61" i="4"/>
  <c r="F61" i="4"/>
  <c r="G61" i="4" s="1"/>
  <c r="I61" i="4" s="1"/>
  <c r="E61" i="4"/>
  <c r="B61" i="4"/>
  <c r="H60" i="4"/>
  <c r="F60" i="4"/>
  <c r="G60" i="4" s="1"/>
  <c r="I60" i="4" s="1"/>
  <c r="E60" i="4"/>
  <c r="B60" i="4"/>
  <c r="H59" i="4"/>
  <c r="F59" i="4"/>
  <c r="G59" i="4" s="1"/>
  <c r="I59" i="4" s="1"/>
  <c r="E59" i="4"/>
  <c r="B59" i="4"/>
  <c r="H58" i="4"/>
  <c r="G58" i="4"/>
  <c r="I58" i="4" s="1"/>
  <c r="F58" i="4"/>
  <c r="E58" i="4"/>
  <c r="B58" i="4"/>
  <c r="H54" i="4"/>
  <c r="I54" i="4" s="1"/>
  <c r="F54" i="4"/>
  <c r="G54" i="4" s="1"/>
  <c r="E54" i="4"/>
  <c r="B54" i="4"/>
  <c r="H53" i="4"/>
  <c r="F53" i="4"/>
  <c r="G53" i="4" s="1"/>
  <c r="I53" i="4" s="1"/>
  <c r="E53" i="4"/>
  <c r="B53" i="4"/>
  <c r="H52" i="4"/>
  <c r="F52" i="4"/>
  <c r="G52" i="4" s="1"/>
  <c r="I52" i="4" s="1"/>
  <c r="E52" i="4"/>
  <c r="B52" i="4"/>
  <c r="I51" i="4"/>
  <c r="H51" i="4"/>
  <c r="G51" i="4"/>
  <c r="F51" i="4"/>
  <c r="E51" i="4"/>
  <c r="B51" i="4"/>
  <c r="I50" i="4"/>
  <c r="H50" i="4"/>
  <c r="F50" i="4"/>
  <c r="G50" i="4" s="1"/>
  <c r="E50" i="4"/>
  <c r="B50" i="4"/>
  <c r="H49" i="4"/>
  <c r="F49" i="4"/>
  <c r="G49" i="4" s="1"/>
  <c r="I49" i="4" s="1"/>
  <c r="E49" i="4"/>
  <c r="B49" i="4"/>
  <c r="H48" i="4"/>
  <c r="F48" i="4"/>
  <c r="G48" i="4" s="1"/>
  <c r="I48" i="4" s="1"/>
  <c r="E48" i="4"/>
  <c r="B48" i="4"/>
  <c r="H47" i="4"/>
  <c r="G47" i="4"/>
  <c r="I47" i="4" s="1"/>
  <c r="F47" i="4"/>
  <c r="E47" i="4"/>
  <c r="B47" i="4"/>
  <c r="H46" i="4"/>
  <c r="F46" i="4"/>
  <c r="G46" i="4" s="1"/>
  <c r="I46" i="4" s="1"/>
  <c r="E46" i="4"/>
  <c r="B46" i="4"/>
  <c r="H45" i="4"/>
  <c r="F45" i="4"/>
  <c r="G45" i="4" s="1"/>
  <c r="I45" i="4" s="1"/>
  <c r="E45" i="4"/>
  <c r="B45" i="4"/>
  <c r="H41" i="4"/>
  <c r="F41" i="4"/>
  <c r="G41" i="4" s="1"/>
  <c r="I41" i="4" s="1"/>
  <c r="E41" i="4"/>
  <c r="B41" i="4"/>
  <c r="H40" i="4"/>
  <c r="F40" i="4"/>
  <c r="G40" i="4" s="1"/>
  <c r="I40" i="4" s="1"/>
  <c r="E40" i="4"/>
  <c r="B40" i="4"/>
  <c r="H39" i="4"/>
  <c r="F39" i="4"/>
  <c r="G39" i="4" s="1"/>
  <c r="I39" i="4" s="1"/>
  <c r="E39" i="4"/>
  <c r="B39" i="4"/>
  <c r="H38" i="4"/>
  <c r="G38" i="4"/>
  <c r="I38" i="4" s="1"/>
  <c r="F38" i="4"/>
  <c r="E38" i="4"/>
  <c r="B38" i="4"/>
  <c r="H37" i="4"/>
  <c r="F37" i="4"/>
  <c r="G37" i="4" s="1"/>
  <c r="I37" i="4" s="1"/>
  <c r="E37" i="4"/>
  <c r="B37" i="4"/>
  <c r="H36" i="4"/>
  <c r="F36" i="4"/>
  <c r="G36" i="4" s="1"/>
  <c r="I36" i="4" s="1"/>
  <c r="E36" i="4"/>
  <c r="B36" i="4"/>
  <c r="I35" i="4"/>
  <c r="H35" i="4"/>
  <c r="F35" i="4"/>
  <c r="G35" i="4" s="1"/>
  <c r="E35" i="4"/>
  <c r="B35" i="4"/>
  <c r="H34" i="4"/>
  <c r="G34" i="4"/>
  <c r="I34" i="4" s="1"/>
  <c r="F34" i="4"/>
  <c r="E34" i="4"/>
  <c r="B34" i="4"/>
  <c r="H33" i="4"/>
  <c r="I33" i="4" s="1"/>
  <c r="F33" i="4"/>
  <c r="G33" i="4" s="1"/>
  <c r="E33" i="4"/>
  <c r="B33" i="4"/>
  <c r="H32" i="4"/>
  <c r="G32" i="4"/>
  <c r="I32" i="4" s="1"/>
  <c r="F32" i="4"/>
  <c r="E32" i="4"/>
  <c r="B32" i="4"/>
  <c r="H28" i="4"/>
  <c r="F28" i="4"/>
  <c r="G28" i="4" s="1"/>
  <c r="I28" i="4" s="1"/>
  <c r="E28" i="4"/>
  <c r="B28" i="4"/>
  <c r="H27" i="4"/>
  <c r="F27" i="4"/>
  <c r="G27" i="4" s="1"/>
  <c r="I27" i="4" s="1"/>
  <c r="E27" i="4"/>
  <c r="B27" i="4"/>
  <c r="H26" i="4"/>
  <c r="F26" i="4"/>
  <c r="G26" i="4" s="1"/>
  <c r="I26" i="4" s="1"/>
  <c r="E26" i="4"/>
  <c r="B26" i="4"/>
  <c r="I25" i="4"/>
  <c r="H25" i="4"/>
  <c r="G25" i="4"/>
  <c r="F25" i="4"/>
  <c r="E25" i="4"/>
  <c r="B25" i="4"/>
  <c r="H24" i="4"/>
  <c r="I24" i="4" s="1"/>
  <c r="F24" i="4"/>
  <c r="G24" i="4" s="1"/>
  <c r="E24" i="4"/>
  <c r="B24" i="4"/>
  <c r="H23" i="4"/>
  <c r="F23" i="4"/>
  <c r="G23" i="4" s="1"/>
  <c r="I23" i="4" s="1"/>
  <c r="E23" i="4"/>
  <c r="B23" i="4"/>
  <c r="H22" i="4"/>
  <c r="G22" i="4"/>
  <c r="I22" i="4" s="1"/>
  <c r="F22" i="4"/>
  <c r="E22" i="4"/>
  <c r="B22" i="4"/>
  <c r="H21" i="4"/>
  <c r="F21" i="4"/>
  <c r="G21" i="4" s="1"/>
  <c r="I21" i="4" s="1"/>
  <c r="E21" i="4"/>
  <c r="B21" i="4"/>
  <c r="H20" i="4"/>
  <c r="G20" i="4"/>
  <c r="I20" i="4" s="1"/>
  <c r="F20" i="4"/>
  <c r="E20" i="4"/>
  <c r="B20" i="4"/>
  <c r="H19" i="4"/>
  <c r="F19" i="4"/>
  <c r="G19" i="4" s="1"/>
  <c r="I19" i="4" s="1"/>
  <c r="E19" i="4"/>
  <c r="B19" i="4"/>
  <c r="H15" i="4"/>
  <c r="F15" i="4"/>
  <c r="G15" i="4" s="1"/>
  <c r="I15" i="4" s="1"/>
  <c r="E15" i="4"/>
  <c r="B15" i="4"/>
  <c r="H14" i="4"/>
  <c r="F14" i="4"/>
  <c r="G14" i="4" s="1"/>
  <c r="I14" i="4" s="1"/>
  <c r="E14" i="4"/>
  <c r="B14" i="4"/>
  <c r="H13" i="4"/>
  <c r="F13" i="4"/>
  <c r="G13" i="4" s="1"/>
  <c r="I13" i="4" s="1"/>
  <c r="E13" i="4"/>
  <c r="B13" i="4"/>
  <c r="H12" i="4"/>
  <c r="F12" i="4"/>
  <c r="G12" i="4" s="1"/>
  <c r="I12" i="4" s="1"/>
  <c r="E12" i="4"/>
  <c r="B12" i="4"/>
  <c r="H11" i="4"/>
  <c r="G11" i="4"/>
  <c r="I11" i="4" s="1"/>
  <c r="F11" i="4"/>
  <c r="E11" i="4"/>
  <c r="B11" i="4"/>
  <c r="H10" i="4"/>
  <c r="F10" i="4"/>
  <c r="G10" i="4" s="1"/>
  <c r="I10" i="4" s="1"/>
  <c r="E10" i="4"/>
  <c r="B10" i="4"/>
  <c r="H9" i="4"/>
  <c r="F9" i="4"/>
  <c r="G9" i="4" s="1"/>
  <c r="I9" i="4" s="1"/>
  <c r="E9" i="4"/>
  <c r="B9" i="4"/>
  <c r="H8" i="4"/>
  <c r="F8" i="4"/>
  <c r="G8" i="4" s="1"/>
  <c r="I8" i="4" s="1"/>
  <c r="E8" i="4"/>
  <c r="B8" i="4"/>
  <c r="H7" i="4"/>
  <c r="G7" i="4"/>
  <c r="I7" i="4" s="1"/>
  <c r="F7" i="4"/>
  <c r="E7" i="4"/>
  <c r="B7" i="4"/>
  <c r="H6" i="4"/>
  <c r="F6" i="4"/>
  <c r="G6" i="4" s="1"/>
  <c r="I6" i="4" s="1"/>
  <c r="E6" i="4"/>
  <c r="B6" i="4"/>
  <c r="J348" i="3"/>
  <c r="I348" i="3"/>
  <c r="J344" i="3"/>
  <c r="I344" i="3"/>
  <c r="J343" i="3"/>
  <c r="I343" i="3"/>
  <c r="J339" i="3"/>
  <c r="I339" i="3"/>
  <c r="J338" i="3"/>
  <c r="I338" i="3"/>
  <c r="J337" i="3"/>
  <c r="I337" i="3"/>
  <c r="J336" i="3"/>
  <c r="I336" i="3"/>
  <c r="J332" i="3"/>
  <c r="I332" i="3"/>
  <c r="J331" i="3"/>
  <c r="I331" i="3"/>
  <c r="J330" i="3"/>
  <c r="I330" i="3"/>
  <c r="J329" i="3"/>
  <c r="I329" i="3"/>
  <c r="J325" i="3"/>
  <c r="I325" i="3"/>
  <c r="J324" i="3"/>
  <c r="I324" i="3"/>
  <c r="J323" i="3"/>
  <c r="I323" i="3"/>
  <c r="J322" i="3"/>
  <c r="I322" i="3"/>
  <c r="J321" i="3"/>
  <c r="I321" i="3"/>
  <c r="J320" i="3"/>
  <c r="I320" i="3"/>
  <c r="J319" i="3"/>
  <c r="I319" i="3"/>
  <c r="J318" i="3"/>
  <c r="I318" i="3"/>
  <c r="J317" i="3"/>
  <c r="I317" i="3"/>
  <c r="J316" i="3"/>
  <c r="I316" i="3"/>
  <c r="J315" i="3"/>
  <c r="I315" i="3"/>
  <c r="J314" i="3"/>
  <c r="I314" i="3"/>
  <c r="J313" i="3"/>
  <c r="I313" i="3"/>
  <c r="J312" i="3"/>
  <c r="I312" i="3"/>
  <c r="J311" i="3"/>
  <c r="I311" i="3"/>
  <c r="J310" i="3"/>
  <c r="I310" i="3"/>
  <c r="J306" i="3"/>
  <c r="I306" i="3"/>
  <c r="J305" i="3"/>
  <c r="I305" i="3"/>
  <c r="J304" i="3"/>
  <c r="I304" i="3"/>
  <c r="J303" i="3"/>
  <c r="I303" i="3"/>
  <c r="J302" i="3"/>
  <c r="I302" i="3"/>
  <c r="J301" i="3"/>
  <c r="I301" i="3"/>
  <c r="J300" i="3"/>
  <c r="I300" i="3"/>
  <c r="J299" i="3"/>
  <c r="I299" i="3"/>
  <c r="J298" i="3"/>
  <c r="I298" i="3"/>
  <c r="J297" i="3"/>
  <c r="I297" i="3"/>
  <c r="J296" i="3"/>
  <c r="I296" i="3"/>
  <c r="J295" i="3"/>
  <c r="I295" i="3"/>
  <c r="J294" i="3"/>
  <c r="I294" i="3"/>
  <c r="J293" i="3"/>
  <c r="I293" i="3"/>
  <c r="J292" i="3"/>
  <c r="I292" i="3"/>
  <c r="J291" i="3"/>
  <c r="I291" i="3"/>
  <c r="J287" i="3"/>
  <c r="I287" i="3"/>
  <c r="J286" i="3"/>
  <c r="I286" i="3"/>
  <c r="J285" i="3"/>
  <c r="I285" i="3"/>
  <c r="J284" i="3"/>
  <c r="I284" i="3"/>
  <c r="J283" i="3"/>
  <c r="I283" i="3"/>
  <c r="J282" i="3"/>
  <c r="I282" i="3"/>
  <c r="J281" i="3"/>
  <c r="I281" i="3"/>
  <c r="J280" i="3"/>
  <c r="I280" i="3"/>
  <c r="J279" i="3"/>
  <c r="I279" i="3"/>
  <c r="J278" i="3"/>
  <c r="I278" i="3"/>
  <c r="J277" i="3"/>
  <c r="I277" i="3"/>
  <c r="J276" i="3"/>
  <c r="I276" i="3"/>
  <c r="J275" i="3"/>
  <c r="I275" i="3"/>
  <c r="J274" i="3"/>
  <c r="I274" i="3"/>
  <c r="J273" i="3"/>
  <c r="I273" i="3"/>
  <c r="J272" i="3"/>
  <c r="I272" i="3"/>
  <c r="J268" i="3"/>
  <c r="I268" i="3"/>
  <c r="J267" i="3"/>
  <c r="I267" i="3"/>
  <c r="J266" i="3"/>
  <c r="I266" i="3"/>
  <c r="J265" i="3"/>
  <c r="I265" i="3"/>
  <c r="J264" i="3"/>
  <c r="I264" i="3"/>
  <c r="J263" i="3"/>
  <c r="I263" i="3"/>
  <c r="J262" i="3"/>
  <c r="I262" i="3"/>
  <c r="J261" i="3"/>
  <c r="I261" i="3"/>
  <c r="J260" i="3"/>
  <c r="I260" i="3"/>
  <c r="J259" i="3"/>
  <c r="I259" i="3"/>
  <c r="J258" i="3"/>
  <c r="I258" i="3"/>
  <c r="J257" i="3"/>
  <c r="I257" i="3"/>
  <c r="J256" i="3"/>
  <c r="I256" i="3"/>
  <c r="J255" i="3"/>
  <c r="I255" i="3"/>
  <c r="J254" i="3"/>
  <c r="I254" i="3"/>
  <c r="J253" i="3"/>
  <c r="I253" i="3"/>
  <c r="J249" i="3"/>
  <c r="I249" i="3"/>
  <c r="J248" i="3"/>
  <c r="I248" i="3"/>
  <c r="J247" i="3"/>
  <c r="I247" i="3"/>
  <c r="J246" i="3"/>
  <c r="I246" i="3"/>
  <c r="J245" i="3"/>
  <c r="I245" i="3"/>
  <c r="J244" i="3"/>
  <c r="I244" i="3"/>
  <c r="J243" i="3"/>
  <c r="I243" i="3"/>
  <c r="J242" i="3"/>
  <c r="I242" i="3"/>
  <c r="J241" i="3"/>
  <c r="I241" i="3"/>
  <c r="J240" i="3"/>
  <c r="I240" i="3"/>
  <c r="J239" i="3"/>
  <c r="I239" i="3"/>
  <c r="J238" i="3"/>
  <c r="I238" i="3"/>
  <c r="J237" i="3"/>
  <c r="I237" i="3"/>
  <c r="J236" i="3"/>
  <c r="I236" i="3"/>
  <c r="J235" i="3"/>
  <c r="I235" i="3"/>
  <c r="J231" i="3"/>
  <c r="I231" i="3"/>
  <c r="J230" i="3"/>
  <c r="I230" i="3"/>
  <c r="J229" i="3"/>
  <c r="I229" i="3"/>
  <c r="J228" i="3"/>
  <c r="I228" i="3"/>
  <c r="J227" i="3"/>
  <c r="I227" i="3"/>
  <c r="J226" i="3"/>
  <c r="I226" i="3"/>
  <c r="J225" i="3"/>
  <c r="I225" i="3"/>
  <c r="J224" i="3"/>
  <c r="I224" i="3"/>
  <c r="J223" i="3"/>
  <c r="I223" i="3"/>
  <c r="J222" i="3"/>
  <c r="I222" i="3"/>
  <c r="J221" i="3"/>
  <c r="I221" i="3"/>
  <c r="J220" i="3"/>
  <c r="I220" i="3"/>
  <c r="J219" i="3"/>
  <c r="I219" i="3"/>
  <c r="J218" i="3"/>
  <c r="I218" i="3"/>
  <c r="J214" i="3"/>
  <c r="I214" i="3"/>
  <c r="J213" i="3"/>
  <c r="I213" i="3"/>
  <c r="J212" i="3"/>
  <c r="I212" i="3"/>
  <c r="J211" i="3"/>
  <c r="I211" i="3"/>
  <c r="J210" i="3"/>
  <c r="I210" i="3"/>
  <c r="J209" i="3"/>
  <c r="I209" i="3"/>
  <c r="J208" i="3"/>
  <c r="I208" i="3"/>
  <c r="J207" i="3"/>
  <c r="I207" i="3"/>
  <c r="J206" i="3"/>
  <c r="I206" i="3"/>
  <c r="J205" i="3"/>
  <c r="I205" i="3"/>
  <c r="J204" i="3"/>
  <c r="I204" i="3"/>
  <c r="J203" i="3"/>
  <c r="I203" i="3"/>
  <c r="J202" i="3"/>
  <c r="I202" i="3"/>
  <c r="J201" i="3"/>
  <c r="I201" i="3"/>
  <c r="J200" i="3"/>
  <c r="I200" i="3"/>
  <c r="J199" i="3"/>
  <c r="I199" i="3"/>
  <c r="J195" i="3"/>
  <c r="I195" i="3"/>
  <c r="J194" i="3"/>
  <c r="I194" i="3"/>
  <c r="J193" i="3"/>
  <c r="I193" i="3"/>
  <c r="J192" i="3"/>
  <c r="I192" i="3"/>
  <c r="J191" i="3"/>
  <c r="I191" i="3"/>
  <c r="J190" i="3"/>
  <c r="I190" i="3"/>
  <c r="J189" i="3"/>
  <c r="I189" i="3"/>
  <c r="J188" i="3"/>
  <c r="I188" i="3"/>
  <c r="J187" i="3"/>
  <c r="I187" i="3"/>
  <c r="J186" i="3"/>
  <c r="I186" i="3"/>
  <c r="J185" i="3"/>
  <c r="I185" i="3"/>
  <c r="J184" i="3"/>
  <c r="I184" i="3"/>
  <c r="J183" i="3"/>
  <c r="I183" i="3"/>
  <c r="J179" i="3"/>
  <c r="I179" i="3"/>
  <c r="J178" i="3"/>
  <c r="I178" i="3"/>
  <c r="J177" i="3"/>
  <c r="I177" i="3"/>
  <c r="J176" i="3"/>
  <c r="I176" i="3"/>
  <c r="J175" i="3"/>
  <c r="I175" i="3"/>
  <c r="J174" i="3"/>
  <c r="I174" i="3"/>
  <c r="J173" i="3"/>
  <c r="I173" i="3"/>
  <c r="J172" i="3"/>
  <c r="I172" i="3"/>
  <c r="J171" i="3"/>
  <c r="I171" i="3"/>
  <c r="J170" i="3"/>
  <c r="I170" i="3"/>
  <c r="J169" i="3"/>
  <c r="I169" i="3"/>
  <c r="J168" i="3"/>
  <c r="I168" i="3"/>
  <c r="J167" i="3"/>
  <c r="I167" i="3"/>
  <c r="J166" i="3"/>
  <c r="I166" i="3"/>
  <c r="J162" i="3"/>
  <c r="I162" i="3"/>
  <c r="J161" i="3"/>
  <c r="I161" i="3"/>
  <c r="J160" i="3"/>
  <c r="I160" i="3"/>
  <c r="J159" i="3"/>
  <c r="I159" i="3"/>
  <c r="J158" i="3"/>
  <c r="I158" i="3"/>
  <c r="J157" i="3"/>
  <c r="I157" i="3"/>
  <c r="J156" i="3"/>
  <c r="I156" i="3"/>
  <c r="J155" i="3"/>
  <c r="I155" i="3"/>
  <c r="J154" i="3"/>
  <c r="I154" i="3"/>
  <c r="J153" i="3"/>
  <c r="I153" i="3"/>
  <c r="J152" i="3"/>
  <c r="I152" i="3"/>
  <c r="J151" i="3"/>
  <c r="I151" i="3"/>
  <c r="J150" i="3"/>
  <c r="I150" i="3"/>
  <c r="J149" i="3"/>
  <c r="I149" i="3"/>
  <c r="J148" i="3"/>
  <c r="I148" i="3"/>
  <c r="J144" i="3"/>
  <c r="I144" i="3"/>
  <c r="J143" i="3"/>
  <c r="I143" i="3"/>
  <c r="J142" i="3"/>
  <c r="I142" i="3"/>
  <c r="J141" i="3"/>
  <c r="I141" i="3"/>
  <c r="J140" i="3"/>
  <c r="I140" i="3"/>
  <c r="J139" i="3"/>
  <c r="I139" i="3"/>
  <c r="J138" i="3"/>
  <c r="I138" i="3"/>
  <c r="J137" i="3"/>
  <c r="I137" i="3"/>
  <c r="J136" i="3"/>
  <c r="I136" i="3"/>
  <c r="J135" i="3"/>
  <c r="I135" i="3"/>
  <c r="J134" i="3"/>
  <c r="I134" i="3"/>
  <c r="J133" i="3"/>
  <c r="I133" i="3"/>
  <c r="J132" i="3"/>
  <c r="I132" i="3"/>
  <c r="J131" i="3"/>
  <c r="I131" i="3"/>
  <c r="J127" i="3"/>
  <c r="I127" i="3"/>
  <c r="J126" i="3"/>
  <c r="I126" i="3"/>
  <c r="J125" i="3"/>
  <c r="I125" i="3"/>
  <c r="J124" i="3"/>
  <c r="I124" i="3"/>
  <c r="J123" i="3"/>
  <c r="I123" i="3"/>
  <c r="J122" i="3"/>
  <c r="I122" i="3"/>
  <c r="J121" i="3"/>
  <c r="I121" i="3"/>
  <c r="J120" i="3"/>
  <c r="I120" i="3"/>
  <c r="J119" i="3"/>
  <c r="I119" i="3"/>
  <c r="J118" i="3"/>
  <c r="I118" i="3"/>
  <c r="J117" i="3"/>
  <c r="I117" i="3"/>
  <c r="J116" i="3"/>
  <c r="I116" i="3"/>
  <c r="J115" i="3"/>
  <c r="I115" i="3"/>
  <c r="J114" i="3"/>
  <c r="I114" i="3"/>
  <c r="J110" i="3"/>
  <c r="I110" i="3"/>
  <c r="J109" i="3"/>
  <c r="I109" i="3"/>
  <c r="J108" i="3"/>
  <c r="I108" i="3"/>
  <c r="J107" i="3"/>
  <c r="I107" i="3"/>
  <c r="J106" i="3"/>
  <c r="I106" i="3"/>
  <c r="J105" i="3"/>
  <c r="I105" i="3"/>
  <c r="J104" i="3"/>
  <c r="I104" i="3"/>
  <c r="J103" i="3"/>
  <c r="I103" i="3"/>
  <c r="J102" i="3"/>
  <c r="I102" i="3"/>
  <c r="J101" i="3"/>
  <c r="I101" i="3"/>
  <c r="J100" i="3"/>
  <c r="I100" i="3"/>
  <c r="J99" i="3"/>
  <c r="I99" i="3"/>
  <c r="J98" i="3"/>
  <c r="I98" i="3"/>
  <c r="J97" i="3"/>
  <c r="I97" i="3"/>
  <c r="J93" i="3"/>
  <c r="I93" i="3"/>
  <c r="J92" i="3"/>
  <c r="I92" i="3"/>
  <c r="J91" i="3"/>
  <c r="I91" i="3"/>
  <c r="J90" i="3"/>
  <c r="I90" i="3"/>
  <c r="J89" i="3"/>
  <c r="I89" i="3"/>
  <c r="J88" i="3"/>
  <c r="I88" i="3"/>
  <c r="J87" i="3"/>
  <c r="I87" i="3"/>
  <c r="J86" i="3"/>
  <c r="I86" i="3"/>
  <c r="J85" i="3"/>
  <c r="I85" i="3"/>
  <c r="J84" i="3"/>
  <c r="I84" i="3"/>
  <c r="J83" i="3"/>
  <c r="I83" i="3"/>
  <c r="J82" i="3"/>
  <c r="I82" i="3"/>
  <c r="J81" i="3"/>
  <c r="I81" i="3"/>
  <c r="J80" i="3"/>
  <c r="I80" i="3"/>
  <c r="J79" i="3"/>
  <c r="I79" i="3"/>
  <c r="J75" i="3"/>
  <c r="I75" i="3"/>
  <c r="J74" i="3"/>
  <c r="I74" i="3"/>
  <c r="J73" i="3"/>
  <c r="I73" i="3"/>
  <c r="J72" i="3"/>
  <c r="I72" i="3"/>
  <c r="J71" i="3"/>
  <c r="I71" i="3"/>
  <c r="J70" i="3"/>
  <c r="I70" i="3"/>
  <c r="J69" i="3"/>
  <c r="I69" i="3"/>
  <c r="J68" i="3"/>
  <c r="I68" i="3"/>
  <c r="J67" i="3"/>
  <c r="I67" i="3"/>
  <c r="J66" i="3"/>
  <c r="I66" i="3"/>
  <c r="J65" i="3"/>
  <c r="I65" i="3"/>
  <c r="J64" i="3"/>
  <c r="I64" i="3"/>
  <c r="J63" i="3"/>
  <c r="I63" i="3"/>
  <c r="J62" i="3"/>
  <c r="I62" i="3"/>
  <c r="J61" i="3"/>
  <c r="I61" i="3"/>
  <c r="J60" i="3"/>
  <c r="I60" i="3"/>
  <c r="J56" i="3"/>
  <c r="I56" i="3"/>
  <c r="J55" i="3"/>
  <c r="I55" i="3"/>
  <c r="J54" i="3"/>
  <c r="I54" i="3"/>
  <c r="J53" i="3"/>
  <c r="I53" i="3"/>
  <c r="J52" i="3"/>
  <c r="I52" i="3"/>
  <c r="J51" i="3"/>
  <c r="I51" i="3"/>
  <c r="J50" i="3"/>
  <c r="I50" i="3"/>
  <c r="J49" i="3"/>
  <c r="I49" i="3"/>
  <c r="J48" i="3"/>
  <c r="I48" i="3"/>
  <c r="J47" i="3"/>
  <c r="I47" i="3"/>
  <c r="J46" i="3"/>
  <c r="I46" i="3"/>
  <c r="J45" i="3"/>
  <c r="I45" i="3"/>
  <c r="J44" i="3"/>
  <c r="I44" i="3"/>
  <c r="J43" i="3"/>
  <c r="I43" i="3"/>
  <c r="J42" i="3"/>
  <c r="I42" i="3"/>
  <c r="J41" i="3"/>
  <c r="I41" i="3"/>
  <c r="J37" i="3"/>
  <c r="I37" i="3"/>
  <c r="J36" i="3"/>
  <c r="I36" i="3"/>
  <c r="J35" i="3"/>
  <c r="I35" i="3"/>
  <c r="J34" i="3"/>
  <c r="I34" i="3"/>
  <c r="J33" i="3"/>
  <c r="I33" i="3"/>
  <c r="J32" i="3"/>
  <c r="I32" i="3"/>
  <c r="J31" i="3"/>
  <c r="I31" i="3"/>
  <c r="J30" i="3"/>
  <c r="I30" i="3"/>
  <c r="J29" i="3"/>
  <c r="I29" i="3"/>
  <c r="J28" i="3"/>
  <c r="I28" i="3"/>
  <c r="J27" i="3"/>
  <c r="I27" i="3"/>
  <c r="J26" i="3"/>
  <c r="I26" i="3"/>
  <c r="J25" i="3"/>
  <c r="I25" i="3"/>
  <c r="J24" i="3"/>
  <c r="I24" i="3"/>
  <c r="J23" i="3"/>
  <c r="I23" i="3"/>
  <c r="J22" i="3"/>
  <c r="I22" i="3"/>
  <c r="J18" i="3"/>
  <c r="I18" i="3"/>
  <c r="J17" i="3"/>
  <c r="I17" i="3"/>
  <c r="J16" i="3"/>
  <c r="I16" i="3"/>
  <c r="J15" i="3"/>
  <c r="I15" i="3"/>
  <c r="J14" i="3"/>
  <c r="I14" i="3"/>
  <c r="J13" i="3"/>
  <c r="I13" i="3"/>
  <c r="J12" i="3"/>
  <c r="I12" i="3"/>
  <c r="J11" i="3"/>
  <c r="I11" i="3"/>
  <c r="J10" i="3"/>
  <c r="I10" i="3"/>
  <c r="J9" i="3"/>
  <c r="I9" i="3"/>
  <c r="J8" i="3"/>
  <c r="I8" i="3"/>
  <c r="J7" i="3"/>
  <c r="I7" i="3"/>
  <c r="J6" i="3"/>
  <c r="I6" i="3"/>
  <c r="J5" i="3"/>
  <c r="I5" i="3"/>
  <c r="J4" i="3"/>
  <c r="I4" i="3"/>
  <c r="J3" i="3"/>
  <c r="I3" i="3"/>
  <c r="F146" i="2"/>
  <c r="C146" i="2"/>
  <c r="F145" i="2"/>
  <c r="C145" i="2"/>
  <c r="F144" i="2"/>
  <c r="C144" i="2"/>
  <c r="F143" i="2"/>
  <c r="C143" i="2"/>
  <c r="F142" i="2"/>
  <c r="C142" i="2"/>
  <c r="F138" i="2"/>
  <c r="C138" i="2"/>
  <c r="F137" i="2"/>
  <c r="C137" i="2"/>
  <c r="F136" i="2"/>
  <c r="C136" i="2"/>
  <c r="F135" i="2"/>
  <c r="C135" i="2"/>
  <c r="F134" i="2"/>
  <c r="C134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4" i="2"/>
  <c r="C114" i="2"/>
  <c r="F113" i="2"/>
  <c r="C113" i="2"/>
  <c r="F112" i="2"/>
  <c r="C112" i="2"/>
  <c r="F111" i="2"/>
  <c r="C111" i="2"/>
  <c r="F110" i="2"/>
  <c r="C110" i="2"/>
  <c r="F106" i="2"/>
  <c r="C106" i="2"/>
  <c r="F105" i="2"/>
  <c r="C105" i="2"/>
  <c r="F104" i="2"/>
  <c r="C104" i="2"/>
  <c r="F103" i="2"/>
  <c r="C103" i="2"/>
  <c r="F102" i="2"/>
  <c r="C102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5" i="2"/>
  <c r="C65" i="2"/>
  <c r="F64" i="2"/>
  <c r="C64" i="2"/>
  <c r="F63" i="2"/>
  <c r="C63" i="2"/>
  <c r="F62" i="2"/>
  <c r="C62" i="2"/>
  <c r="F61" i="2"/>
  <c r="C61" i="2"/>
  <c r="F57" i="2"/>
  <c r="C57" i="2"/>
  <c r="F56" i="2"/>
  <c r="C56" i="2"/>
  <c r="F55" i="2"/>
  <c r="C55" i="2"/>
  <c r="F54" i="2"/>
  <c r="C54" i="2"/>
  <c r="F53" i="2"/>
  <c r="C53" i="2"/>
  <c r="F48" i="2"/>
  <c r="C48" i="2"/>
  <c r="F47" i="2"/>
  <c r="C47" i="2"/>
  <c r="F46" i="2"/>
  <c r="C46" i="2"/>
  <c r="F45" i="2"/>
  <c r="C45" i="2"/>
  <c r="F44" i="2"/>
  <c r="C44" i="2"/>
  <c r="F40" i="2"/>
  <c r="C40" i="2"/>
  <c r="F39" i="2"/>
  <c r="C39" i="2"/>
  <c r="F38" i="2"/>
  <c r="C38" i="2"/>
  <c r="F37" i="2"/>
  <c r="C37" i="2"/>
  <c r="F36" i="2"/>
  <c r="C36" i="2"/>
  <c r="F32" i="2"/>
  <c r="C32" i="2"/>
  <c r="F31" i="2"/>
  <c r="C31" i="2"/>
  <c r="F30" i="2"/>
  <c r="C30" i="2"/>
  <c r="F29" i="2"/>
  <c r="C29" i="2"/>
  <c r="F28" i="2"/>
  <c r="C28" i="2"/>
  <c r="F24" i="2"/>
  <c r="C24" i="2"/>
  <c r="F23" i="2"/>
  <c r="C23" i="2"/>
  <c r="F22" i="2"/>
  <c r="C22" i="2"/>
  <c r="F21" i="2"/>
  <c r="C21" i="2"/>
  <c r="F20" i="2"/>
  <c r="C20" i="2"/>
  <c r="F16" i="2"/>
  <c r="C16" i="2"/>
  <c r="F15" i="2"/>
  <c r="C15" i="2"/>
  <c r="F14" i="2"/>
  <c r="C14" i="2"/>
  <c r="F13" i="2"/>
  <c r="C13" i="2"/>
  <c r="F12" i="2"/>
  <c r="C12" i="2"/>
  <c r="F8" i="2"/>
  <c r="C8" i="2"/>
  <c r="F7" i="2"/>
  <c r="C7" i="2"/>
  <c r="F6" i="2"/>
  <c r="C6" i="2"/>
  <c r="F5" i="2"/>
  <c r="C5" i="2"/>
  <c r="F4" i="2"/>
  <c r="C4" i="2"/>
  <c r="H7" i="6" l="1"/>
  <c r="H22" i="6"/>
  <c r="H37" i="6"/>
  <c r="H52" i="6"/>
  <c r="H80" i="6"/>
  <c r="H20" i="6"/>
  <c r="H35" i="6"/>
  <c r="H50" i="6"/>
  <c r="H65" i="6"/>
  <c r="H10" i="6"/>
  <c r="H25" i="6"/>
  <c r="H40" i="6"/>
  <c r="H58" i="6"/>
  <c r="H73" i="6"/>
  <c r="H78" i="6"/>
  <c r="H8" i="6"/>
  <c r="H23" i="6"/>
  <c r="H38" i="6"/>
  <c r="H53" i="6"/>
  <c r="H71" i="6"/>
  <c r="H76" i="6"/>
  <c r="H11" i="6"/>
  <c r="H26" i="6"/>
  <c r="H41" i="6"/>
  <c r="H59" i="6"/>
  <c r="H74" i="6"/>
  <c r="H9" i="6"/>
  <c r="H24" i="6"/>
  <c r="H39" i="6"/>
  <c r="H54" i="6"/>
  <c r="H72" i="6"/>
  <c r="H77" i="6"/>
</calcChain>
</file>

<file path=xl/sharedStrings.xml><?xml version="1.0" encoding="utf-8"?>
<sst xmlns="http://schemas.openxmlformats.org/spreadsheetml/2006/main" count="2211" uniqueCount="346">
  <si>
    <t>NFL PICKS LEAGUE — ROSTER</t>
  </si>
  <si>
    <t>Player #</t>
  </si>
  <si>
    <t>Player Name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</si>
  <si>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</si>
  <si>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</si>
  <si>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</si>
  <si>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</si>
  <si>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</si>
  <si>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</si>
  <si>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</si>
  <si>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</si>
  <si>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</si>
  <si>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Player 6</t>
  </si>
  <si>
    <t>B</t>
  </si>
  <si>
    <t>Division B</t>
  </si>
  <si>
    <t>Player 7</t>
  </si>
  <si>
    <t>Player 8</t>
  </si>
  <si>
    <t>Player 9</t>
  </si>
  <si>
    <t>Player 10</t>
  </si>
  <si>
    <t>CURRENT WEEK:</t>
  </si>
  <si>
    <t>Update this number each week (1-22)</t>
  </si>
  <si>
    <t>Division A: Players 1-5</t>
  </si>
  <si>
    <t>Division B: Players 6-10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</si>
  <si>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</si>
  <si>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</si>
  <si>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</si>
  <si>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</si>
  <si>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</si>
  <si>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</si>
  <si>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</si>
  <si>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</si>
  <si>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</si>
  <si>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</si>
  <si>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</si>
  <si>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</si>
  <si>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</si>
  <si>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</si>
  <si>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</si>
  <si>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</si>
  <si>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</si>
  <si>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</si>
  <si>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</si>
  <si>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</si>
  <si>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</si>
  <si>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</si>
  <si>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</si>
  <si>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</si>
  <si>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</si>
  <si>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WEEK 1</t>
  </si>
  <si>
    <t>Wk</t>
  </si>
  <si>
    <t>Day/Date</t>
  </si>
  <si>
    <t>Time</t>
  </si>
  <si>
    <t>Away</t>
  </si>
  <si>
    <t>Away Sc</t>
  </si>
  <si>
    <t>Home</t>
  </si>
  <si>
    <t>Home Sc</t>
  </si>
  <si>
    <t>Spread</t>
  </si>
  <si>
    <t>Winner</t>
  </si>
  <si>
    <t>ATS</t>
  </si>
  <si>
    <t>Wed Sep 9</t>
  </si>
  <si>
    <t>8:20 PM</t>
  </si>
  <si>
    <t>NE</t>
  </si>
  <si>
    <t>SEA</t>
  </si>
  <si>
    <t>Thu Sep 10</t>
  </si>
  <si>
    <t>8:35 PM</t>
  </si>
  <si>
    <t>SF</t>
  </si>
  <si>
    <t>LAR</t>
  </si>
  <si>
    <t>Sun Sep 13</t>
  </si>
  <si>
    <t>1:00 PM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</si>
  <si>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</si>
  <si>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</si>
  <si>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</si>
  <si>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</si>
  <si>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</si>
  <si>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</si>
  <si>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</si>
  <si>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</si>
  <si>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</si>
  <si>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</si>
  <si>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</si>
  <si>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</si>
  <si>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</si>
  <si>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</si>
  <si>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</si>
  <si>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</si>
  <si>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4:25 PM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</si>
  <si>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</si>
  <si>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</si>
  <si>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</si>
  <si>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</si>
  <si>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</si>
  <si>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</si>
  <si>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</si>
  <si>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</si>
  <si>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</si>
  <si>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</si>
  <si>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Mon Sep 14</t>
  </si>
  <si>
    <t>8:15 PM</t>
  </si>
  <si>
    <t>DEN</t>
  </si>
  <si>
    <t>KC</t>
  </si>
  <si>
    <t>WEEK 2</t>
  </si>
  <si>
    <t>Thu Sep 17</t>
  </si>
  <si>
    <t>Sun Sep 20</t>
  </si>
  <si>
    <t>4:05 PM</t>
  </si>
  <si>
    <t>Mon Sep 21</t>
  </si>
  <si>
    <t>WEEK 3</t>
  </si>
  <si>
    <t>Thu Sep 24</t>
  </si>
  <si>
    <t>Sun Sep 27</t>
  </si>
  <si>
    <t>Mon Sep 28</t>
  </si>
  <si>
    <t>WEEK 4</t>
  </si>
  <si>
    <t>Thu Oct 1</t>
  </si>
  <si>
    <t>Sun Oct 4</t>
  </si>
  <si>
    <t>9:30 AM</t>
  </si>
  <si>
    <t>Mon Oct 5</t>
  </si>
  <si>
    <t>WEEK 5</t>
  </si>
  <si>
    <t>Thu Oct 8</t>
  </si>
  <si>
    <t>Sun Oct 11</t>
  </si>
  <si>
    <t>Mon Oct 12</t>
  </si>
  <si>
    <t>WEEK 6</t>
  </si>
  <si>
    <t>Thu Oct 15</t>
  </si>
  <si>
    <t>Sun Oct 18</t>
  </si>
  <si>
    <t>Mon Oct 19</t>
  </si>
  <si>
    <t>WEEK 7</t>
  </si>
  <si>
    <t>Thu Oct 22</t>
  </si>
  <si>
    <t>Sun Oct 25</t>
  </si>
  <si>
    <t>Mon Oct 26</t>
  </si>
  <si>
    <t>WEEK 8</t>
  </si>
  <si>
    <t>Thu Oct 29</t>
  </si>
  <si>
    <t>Sun Nov 1</t>
  </si>
  <si>
    <t>Mon Nov 2</t>
  </si>
  <si>
    <t>WEEK 9</t>
  </si>
  <si>
    <t>Thu Nov 5</t>
  </si>
  <si>
    <t>Sun Nov 8</t>
  </si>
  <si>
    <t>Mon Nov 9</t>
  </si>
  <si>
    <t>WEEK 10</t>
  </si>
  <si>
    <t>Thu Nov 12</t>
  </si>
  <si>
    <t>Sun Nov 15</t>
  </si>
  <si>
    <t>Mon Nov 16</t>
  </si>
  <si>
    <t>WEEK 11</t>
  </si>
  <si>
    <t>Thu Nov 19</t>
  </si>
  <si>
    <t>Sun Nov 22</t>
  </si>
  <si>
    <t>Mon Nov 23</t>
  </si>
  <si>
    <t>WEEK 12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</si>
  <si>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</si>
  <si>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</si>
  <si>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</si>
  <si>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</si>
  <si>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</si>
  <si>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</si>
  <si>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</si>
  <si>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</si>
  <si>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WEEK 13</t>
  </si>
  <si>
    <t>Thu Dec 3</t>
  </si>
  <si>
    <t>Sun Dec 6</t>
  </si>
  <si>
    <t>Mon Dec 7</t>
  </si>
  <si>
    <t>WEEK 14</t>
  </si>
  <si>
    <t>Thu Dec 10</t>
  </si>
  <si>
    <t>Sun Dec 13</t>
  </si>
  <si>
    <t>Mon Dec 14</t>
  </si>
  <si>
    <t>WEEK 15</t>
  </si>
  <si>
    <t>Thu Dec 17</t>
  </si>
  <si>
    <t>Sat Dec 19</t>
  </si>
  <si>
    <t>5:00 PM</t>
  </si>
  <si>
    <t>Sun Dec 20</t>
  </si>
  <si>
    <t>Mon Dec 21</t>
  </si>
  <si>
    <t>WEEK 16</t>
  </si>
  <si>
    <t>Thu Dec 24</t>
  </si>
  <si>
    <t>Fri Dec 25</t>
  </si>
  <si>
    <t>Sun Dec 27</t>
  </si>
  <si>
    <t>Mon Dec 28</t>
  </si>
  <si>
    <t>TBD</t>
  </si>
  <si>
    <t>WEEK 17</t>
  </si>
  <si>
    <t>Thu Dec 31</t>
  </si>
  <si>
    <t>Sun Jan 3</t>
  </si>
  <si>
    <t>Mon Jan 4</t>
  </si>
  <si>
    <t>WEEK 18</t>
  </si>
  <si>
    <t>Week 19 (Wild Card)</t>
  </si>
  <si>
    <t>Week 20 (Divisional)</t>
  </si>
  <si>
    <t>Week 21 (Championship)</t>
  </si>
  <si>
    <t>Week 22 (SuperBowl)</t>
  </si>
  <si>
    <t>WEEKS 1-6 — WEEKLY INPUT (Correct Picks &amp; H2H Results)</t>
  </si>
  <si>
    <t>Enter each player's correct picks for the week. H2H winner is auto-calculated from the schedule.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</si>
  <si>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</si>
  <si>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</si>
  <si>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</si>
  <si>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</si>
  <si>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</si>
  <si>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</si>
  <si>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</si>
  <si>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WEEKS 7-12 — WEEKLY INPUT (Weighted Picks &amp; H2H Results)</t>
  </si>
  <si>
    <t>Enter each player's weighted points (sum of confidence values for correct picks). H2H auto-calculated.</t>
  </si>
  <si>
    <t>Weighted Pts</t>
  </si>
  <si>
    <t>Opp Wtd Pts</t>
  </si>
  <si>
    <t>WEEKS 13-18 — WEEKLY INPUT (Division Play)</t>
  </si>
  <si>
    <t>Enter correct picks per player. H2H: most correct picks wins. Tie = .5W/.5L each.</t>
  </si>
  <si>
    <t>Wins</t>
  </si>
  <si>
    <t>Losses</t>
  </si>
  <si>
    <t>Total Picks</t>
  </si>
  <si>
    <t>SEGMENT 1 — WEEKS 1-6  (H2H + Points  |  Max 22 pts/wk)</t>
  </si>
  <si>
    <t>Rank</t>
  </si>
  <si>
    <t>Player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</si>
  <si>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</si>
  <si>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</si>
  <si>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</si>
  <si>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</si>
  <si>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</si>
  <si>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</si>
  <si>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</si>
  <si>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</si>
  <si>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</si>
  <si>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</si>
  <si>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</si>
  <si>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</si>
  <si>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</si>
  <si>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</si>
  <si>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</si>
  <si>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</si>
  <si>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</si>
  <si>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</si>
  <si>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</si>
  <si>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</si>
  <si>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</si>
  <si>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</si>
  <si>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</si>
  <si>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</si>
  <si>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</si>
  <si>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-</t>
  </si>
  <si>
    <t>DIVISION B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</si>
  <si>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</si>
  <si>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</si>
  <si>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</si>
  <si>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</si>
  <si>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</si>
  <si>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</si>
  <si>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</si>
  <si>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</si>
  <si>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4 SPOTS</t>
  </si>
  <si>
    <t>Spot</t>
  </si>
  <si>
    <t>Winner (Cash)</t>
  </si>
  <si>
    <t>Prize</t>
  </si>
  <si>
    <t>Source</t>
  </si>
  <si>
    <t>Playoff Qualifier</t>
  </si>
  <si>
    <t>Status</t>
  </si>
  <si>
    <t>Seg 1 Winner</t>
  </si>
  <si>
    <t>$25</t>
  </si>
  <si>
    <t>Weeks 1-6</t>
  </si>
  <si>
    <t>QUALIFIED</t>
  </si>
  <si>
    <t>Seg 2 Winner</t>
  </si>
  <si>
    <t>Weeks 7-12</t>
  </si>
  <si>
    <t>PASS → Player 9</t>
  </si>
  <si>
    <t>Div A Winner</t>
  </si>
  <si>
    <t>$10</t>
  </si>
  <si>
    <t>Div B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</si>
  <si>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</si>
  <si>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</si>
  <si>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</si>
  <si>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</si>
  <si>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</si>
  <si>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6 PLAYERS</t>
  </si>
  <si>
    <t>Qualified Via</t>
  </si>
  <si>
    <t>Div A</t>
  </si>
  <si>
    <t>Div B</t>
  </si>
  <si>
    <t>EARNINGS TRACKER</t>
  </si>
  <si>
    <t>Segment $</t>
  </si>
  <si>
    <t>Division $</t>
  </si>
  <si>
    <t>Playoff $</t>
  </si>
  <si>
    <t>Total Earned</t>
  </si>
  <si>
    <t>TOTAL PAID</t>
  </si>
  <si>
    <t>WILD CARD ROUND — INPUT</t>
  </si>
  <si>
    <t>All 6 players pick all games against the spread, weighted 1-4 confidence. Enter total weighted points per player.</t>
  </si>
  <si>
    <t>Adj Score</t>
  </si>
  <si>
    <t>Weekly TB Rank</t>
  </si>
  <si>
    <t>AFC WC Pts</t>
  </si>
  <si>
    <t>NFC WC Pts</t>
  </si>
  <si>
    <t>Sort Score</t>
  </si>
  <si>
    <t>WILD CARD RESULTS — TOP 4 ADVANCE</t>
  </si>
  <si>
    <t>ADVANCE</t>
  </si>
  <si>
    <t>ELIMINATED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</si>
  <si>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</si>
  <si>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</si>
  <si>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</si>
  <si>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</si>
  <si>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</si>
  <si>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</si>
  <si>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</si>
  <si>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</si>
  <si>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</si>
  <si>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</si>
  <si>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</si>
  <si>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</si>
  <si>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</si>
  <si>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</si>
  <si>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</si>
  <si>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</si>
  <si>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</si>
  <si>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</si>
  <si>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</si>
  <si>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</si>
  <si>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$125</t>
  </si>
  <si>
    <t>2nd</t>
  </si>
  <si>
    <t>$30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</si>
  <si>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</si>
  <si>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</si>
  <si>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</si>
  <si>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</si>
  <si>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</si>
  <si>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</si>
  <si>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</si>
  <si>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</si>
  <si>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</si>
  <si>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</si>
  <si>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</si>
  <si>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</si>
  <si>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</si>
  <si>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</si>
  <si>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</si>
  <si>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</si>
  <si>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</si>
  <si>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</si>
  <si>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</si>
  <si>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</si>
  <si>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</si>
  <si>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</si>
  <si>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</si>
  <si>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</si>
  <si>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</si>
  <si>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</si>
  <si>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</si>
  <si>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</si>
  <si>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</si>
  <si>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</si>
  <si>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</si>
  <si>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</si>
  <si>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</si>
  <si>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</si>
  <si>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</si>
  <si>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</si>
  <si>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</si>
  <si>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</si>
  <si>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LEAGUE UPDATES</t>
  </si>
  <si>
    <t>Instructions:</t>
  </si>
  <si>
    <t>Type updates below. Each row = one update shown on the dashboard. Leave rows blank to skip.</t>
  </si>
  <si>
    <t>Date</t>
  </si>
  <si>
    <t>Title</t>
  </si>
  <si>
    <t>Message</t>
  </si>
  <si>
    <t>Welcome to the 10-player NFL Picks League!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</si>
</sst>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sz val="9"/>
      <color rgb="FF808080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i/>
      <sz val="9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3D1E5C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E8E8E8"/>
        <bgColor rgb="FFD6E4F0"/>
      </patternFill>
    </fill>
    <fill>
      <patternFill patternType="solid">
        <fgColor rgb="FF3D1E5C"/>
        <bgColor rgb="FF1A1A2E"/>
      </patternFill>
    </fill>
    <fill>
      <patternFill patternType="solid">
        <fgColor rgb="FF4A3020"/>
        <bgColor rgb="FF3D1E5C"/>
      </patternFill>
    </fill>
    <fill>
      <patternFill patternType="solid">
        <fgColor rgb="FF1A1A2E"/>
        <bgColor rgb="FF3D1E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8" borderId="0" xfId="0" applyFont="1" applyFill="1"/>
    <xf numFmtId="0" fontId="1" fillId="7" borderId="0" xfId="0" applyFont="1" applyFill="1"/>
    <xf numFmtId="0" fontId="1" fillId="6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4" fillId="0" borderId="0" xfId="0" applyFont="1"/>
    <xf numFmtId="0" fontId="1" fillId="2" borderId="0" xfId="0" applyFont="1" applyFill="1"/>
    <xf numFmtId="0" fontId="5" fillId="5" borderId="0" xfId="0" applyFont="1" applyFill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8E8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29922"/>
      <rgbColor rgb="FFFF6600"/>
      <rgbColor rgb="FF666699"/>
      <rgbColor rgb="FF969696"/>
      <rgbColor rgb="FF1A3A5C"/>
      <rgbColor rgb="FF339966"/>
      <rgbColor rgb="FF003300"/>
      <rgbColor rgb="FF1A1A2E"/>
      <rgbColor rgb="FF993300"/>
      <rgbColor rgb="FF993366"/>
      <rgbColor rgb="FF3D1E5C"/>
      <rgbColor rgb="FF4A30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"/>
  <sheetViews>
    <sheetView zoomScaleNormal="100" workbookViewId="0">
      <selection activeCell="B14" sqref="B14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5" t="s">
        <v>0</v>
      </c>
      <c r="B1" s="5"/>
      <c r="C1" s="5"/>
      <c r="D1" s="5"/>
    </row>
    <row r="2" spans="1:4" ht="15" customHeight="1" x14ac:dyDescent="0.25">
      <c r="A2" s="6" t="s">
        <v>1</v>
      </c>
      <c r="B2" s="6" t="s">
        <v>2</v>
      </c>
      <c r="C2" s="6" t="s">
        <v>3</v>
      </c>
      <c r="D2" s="6" t="s">
        <v>4</v>
      </c>
    </row>
    <row r="3" spans="1:4" ht="15" customHeight="1" x14ac:dyDescent="0.25">
      <c r="A3">
        <v>1</v>
      </c>
      <c r="B3" s="7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7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7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7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7" t="s">
        <v>11</v>
      </c>
      <c r="C7" t="s">
        <v>6</v>
      </c>
      <c r="D7" t="s">
        <v>7</v>
      </c>
    </row>
    <row r="8" spans="1:4" ht="15" customHeight="1" x14ac:dyDescent="0.25">
      <c r="A8">
        <v>6</v>
      </c>
      <c r="B8" s="7" t="s">
        <v>12</v>
      </c>
      <c r="C8" t="s">
        <v>13</v>
      </c>
      <c r="D8" t="s">
        <v>14</v>
      </c>
    </row>
    <row r="9" spans="1:4" ht="15" customHeight="1" x14ac:dyDescent="0.25">
      <c r="A9">
        <v>7</v>
      </c>
      <c r="B9" s="7" t="s">
        <v>15</v>
      </c>
      <c r="C9" t="s">
        <v>13</v>
      </c>
      <c r="D9" t="s">
        <v>14</v>
      </c>
    </row>
    <row r="10" spans="1:4" ht="15" customHeight="1" x14ac:dyDescent="0.25">
      <c r="A10">
        <v>8</v>
      </c>
      <c r="B10" s="7" t="s">
        <v>16</v>
      </c>
      <c r="C10" t="s">
        <v>13</v>
      </c>
      <c r="D10" t="s">
        <v>14</v>
      </c>
    </row>
    <row r="11" spans="1:4" ht="15" customHeight="1" x14ac:dyDescent="0.25">
      <c r="A11">
        <v>9</v>
      </c>
      <c r="B11" s="7" t="s">
        <v>17</v>
      </c>
      <c r="C11" t="s">
        <v>13</v>
      </c>
      <c r="D11" t="s">
        <v>14</v>
      </c>
    </row>
    <row r="12" spans="1:4" ht="15" customHeight="1" x14ac:dyDescent="0.25">
      <c r="A12">
        <v>10</v>
      </c>
      <c r="B12" s="7" t="s">
        <v>18</v>
      </c>
      <c r="C12" t="s">
        <v>13</v>
      </c>
      <c r="D12" t="s">
        <v>14</v>
      </c>
    </row>
    <row r="14" spans="1:4" ht="15" customHeight="1" x14ac:dyDescent="0.25">
      <c r="A14" s="8" t="s">
        <v>19</v>
      </c>
      <c r="B14" s="7">
        <v>1</v>
      </c>
    </row>
    <row r="15" spans="1:4" ht="15" customHeight="1" x14ac:dyDescent="0.25">
      <c r="A15" s="9" t="s">
        <v>20</v>
      </c>
    </row>
    <row r="17" spans="1:1" ht="15" customHeight="1" x14ac:dyDescent="0.25">
      <c r="A17" s="10" t="s">
        <v>21</v>
      </c>
    </row>
    <row r="18" spans="1:1" ht="15" customHeight="1" x14ac:dyDescent="0.25">
      <c r="A18" s="10" t="s">
        <v>22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6"/>
  <sheetViews>
    <sheetView zoomScaleNormal="100" workbookViewId="0"/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4" t="s">
        <v>23</v>
      </c>
      <c r="B1" s="4"/>
      <c r="C1" s="4"/>
      <c r="D1" s="4"/>
      <c r="E1" s="4"/>
      <c r="F1" s="4"/>
    </row>
    <row r="2" spans="1:6" ht="15" customHeight="1" x14ac:dyDescent="0.25">
      <c r="A2" s="8" t="s">
        <v>24</v>
      </c>
    </row>
    <row r="3" spans="1:6" ht="15" customHeight="1" x14ac:dyDescent="0.25">
      <c r="A3" s="6" t="s">
        <v>25</v>
      </c>
      <c r="B3" s="6" t="s">
        <v>26</v>
      </c>
      <c r="C3" s="6" t="s">
        <v>27</v>
      </c>
      <c r="D3" s="6" t="s">
        <v>28</v>
      </c>
      <c r="E3" s="6" t="s">
        <v>26</v>
      </c>
      <c r="F3" s="6" t="s">
        <v>27</v>
      </c>
    </row>
    <row r="4" spans="1:6" ht="15" customHeight="1" x14ac:dyDescent="0.25">
      <c r="A4">
        <v>1</v>
      </c>
      <c r="B4">
        <v>1</v>
      </c>
      <c r="C4" t="str">
        <f>VLOOKUP(B4,Roster!$A$3:$B$12,2,FALSE())</f>
        <v>Player 1</v>
      </c>
      <c r="D4" t="s">
        <v>28</v>
      </c>
      <c r="E4">
        <v>6</v>
      </c>
      <c r="F4" t="str">
        <f>VLOOKUP(E4,Roster!$A$3:$B$12,2,FALSE())</f>
        <v>Player 6</v>
      </c>
    </row>
    <row r="5" spans="1:6" ht="15" customHeight="1" x14ac:dyDescent="0.25">
      <c r="A5">
        <v>2</v>
      </c>
      <c r="B5">
        <v>2</v>
      </c>
      <c r="C5" t="str">
        <f>VLOOKUP(B5,Roster!$A$3:$B$12,2,FALSE())</f>
        <v>Player 2</v>
      </c>
      <c r="D5" t="s">
        <v>28</v>
      </c>
      <c r="E5">
        <v>7</v>
      </c>
      <c r="F5" t="str">
        <f>VLOOKUP(E5,Roster!$A$3:$B$12,2,FALSE())</f>
        <v>Player 7</v>
      </c>
    </row>
    <row r="6" spans="1:6" ht="15" customHeight="1" x14ac:dyDescent="0.25">
      <c r="A6">
        <v>3</v>
      </c>
      <c r="B6">
        <v>3</v>
      </c>
      <c r="C6" t="str">
        <f>VLOOKUP(B6,Roster!$A$3:$B$12,2,FALSE())</f>
        <v>Player 3</v>
      </c>
      <c r="D6" t="s">
        <v>28</v>
      </c>
      <c r="E6">
        <v>8</v>
      </c>
      <c r="F6" t="str">
        <f>VLOOKUP(E6,Roster!$A$3:$B$12,2,FALSE())</f>
        <v>Player 8</v>
      </c>
    </row>
    <row r="7" spans="1:6" ht="15" customHeight="1" x14ac:dyDescent="0.25">
      <c r="A7">
        <v>4</v>
      </c>
      <c r="B7">
        <v>4</v>
      </c>
      <c r="C7" t="str">
        <f>VLOOKUP(B7,Roster!$A$3:$B$12,2,FALSE())</f>
        <v>Player 4</v>
      </c>
      <c r="D7" t="s">
        <v>28</v>
      </c>
      <c r="E7">
        <v>9</v>
      </c>
      <c r="F7" t="str">
        <f>VLOOKUP(E7,Roster!$A$3:$B$12,2,FALSE())</f>
        <v>Player 9</v>
      </c>
    </row>
    <row r="8" spans="1:6" ht="15" customHeight="1" x14ac:dyDescent="0.25">
      <c r="A8">
        <v>5</v>
      </c>
      <c r="B8">
        <v>5</v>
      </c>
      <c r="C8" t="str">
        <f>VLOOKUP(B8,Roster!$A$3:$B$12,2,FALSE())</f>
        <v>Player 5</v>
      </c>
      <c r="D8" t="s">
        <v>28</v>
      </c>
      <c r="E8">
        <v>10</v>
      </c>
      <c r="F8" t="str">
        <f>VLOOKUP(E8,Roster!$A$3:$B$12,2,FALSE())</f>
        <v>Player 10</v>
      </c>
    </row>
    <row r="10" spans="1:6" ht="15" customHeight="1" x14ac:dyDescent="0.25">
      <c r="A10" s="8" t="s">
        <v>29</v>
      </c>
    </row>
    <row r="11" spans="1:6" ht="15" customHeight="1" x14ac:dyDescent="0.25">
      <c r="A11" s="6" t="s">
        <v>25</v>
      </c>
      <c r="B11" s="6" t="s">
        <v>26</v>
      </c>
      <c r="C11" s="6" t="s">
        <v>27</v>
      </c>
      <c r="D11" s="6" t="s">
        <v>28</v>
      </c>
      <c r="E11" s="6" t="s">
        <v>26</v>
      </c>
      <c r="F11" s="6" t="s">
        <v>27</v>
      </c>
    </row>
    <row r="12" spans="1:6" ht="15" customHeight="1" x14ac:dyDescent="0.25">
      <c r="A12">
        <v>1</v>
      </c>
      <c r="B12">
        <v>1</v>
      </c>
      <c r="C12" t="str">
        <f>VLOOKUP(B12,Roster!$A$3:$B$12,2,FALSE())</f>
        <v>Player 1</v>
      </c>
      <c r="D12" t="s">
        <v>28</v>
      </c>
      <c r="E12">
        <v>7</v>
      </c>
      <c r="F12" t="str">
        <f>VLOOKUP(E12,Roster!$A$3:$B$12,2,FALSE())</f>
        <v>Player 7</v>
      </c>
    </row>
    <row r="13" spans="1:6" ht="15" customHeight="1" x14ac:dyDescent="0.25">
      <c r="A13">
        <v>2</v>
      </c>
      <c r="B13">
        <v>2</v>
      </c>
      <c r="C13" t="str">
        <f>VLOOKUP(B13,Roster!$A$3:$B$12,2,FALSE())</f>
        <v>Player 2</v>
      </c>
      <c r="D13" t="s">
        <v>28</v>
      </c>
      <c r="E13">
        <v>8</v>
      </c>
      <c r="F13" t="str">
        <f>VLOOKUP(E13,Roster!$A$3:$B$12,2,FALSE())</f>
        <v>Player 8</v>
      </c>
    </row>
    <row r="14" spans="1:6" ht="15" customHeight="1" x14ac:dyDescent="0.25">
      <c r="A14">
        <v>3</v>
      </c>
      <c r="B14">
        <v>3</v>
      </c>
      <c r="C14" t="str">
        <f>VLOOKUP(B14,Roster!$A$3:$B$12,2,FALSE())</f>
        <v>Player 3</v>
      </c>
      <c r="D14" t="s">
        <v>28</v>
      </c>
      <c r="E14">
        <v>9</v>
      </c>
      <c r="F14" t="str">
        <f>VLOOKUP(E14,Roster!$A$3:$B$12,2,FALSE())</f>
        <v>Player 9</v>
      </c>
    </row>
    <row r="15" spans="1:6" ht="15" customHeight="1" x14ac:dyDescent="0.25">
      <c r="A15">
        <v>4</v>
      </c>
      <c r="B15">
        <v>4</v>
      </c>
      <c r="C15" t="str">
        <f>VLOOKUP(B15,Roster!$A$3:$B$12,2,FALSE())</f>
        <v>Player 4</v>
      </c>
      <c r="D15" t="s">
        <v>28</v>
      </c>
      <c r="E15">
        <v>10</v>
      </c>
      <c r="F15" t="str">
        <f>VLOOKUP(E15,Roster!$A$3:$B$12,2,FALSE())</f>
        <v>Player 10</v>
      </c>
    </row>
    <row r="16" spans="1:6" ht="15" customHeight="1" x14ac:dyDescent="0.25">
      <c r="A16">
        <v>5</v>
      </c>
      <c r="B16">
        <v>5</v>
      </c>
      <c r="C16" t="str">
        <f>VLOOKUP(B16,Roster!$A$3:$B$12,2,FALSE())</f>
        <v>Player 5</v>
      </c>
      <c r="D16" t="s">
        <v>28</v>
      </c>
      <c r="E16">
        <v>6</v>
      </c>
      <c r="F16" t="str">
        <f>VLOOKUP(E16,Roster!$A$3:$B$12,2,FALSE())</f>
        <v>Player 6</v>
      </c>
    </row>
    <row r="18" spans="1:6" ht="15" customHeight="1" x14ac:dyDescent="0.25">
      <c r="A18" s="8" t="s">
        <v>30</v>
      </c>
    </row>
    <row r="19" spans="1:6" ht="15" customHeight="1" x14ac:dyDescent="0.25">
      <c r="A19" s="6" t="s">
        <v>25</v>
      </c>
      <c r="B19" s="6" t="s">
        <v>26</v>
      </c>
      <c r="C19" s="6" t="s">
        <v>27</v>
      </c>
      <c r="D19" s="6" t="s">
        <v>28</v>
      </c>
      <c r="E19" s="6" t="s">
        <v>26</v>
      </c>
      <c r="F19" s="6" t="s">
        <v>27</v>
      </c>
    </row>
    <row r="20" spans="1:6" ht="15" customHeight="1" x14ac:dyDescent="0.25">
      <c r="A20">
        <v>1</v>
      </c>
      <c r="B20">
        <v>1</v>
      </c>
      <c r="C20" t="str">
        <f>VLOOKUP(B20,Roster!$A$3:$B$12,2,FALSE())</f>
        <v>Player 1</v>
      </c>
      <c r="D20" t="s">
        <v>28</v>
      </c>
      <c r="E20">
        <v>8</v>
      </c>
      <c r="F20" t="str">
        <f>VLOOKUP(E20,Roster!$A$3:$B$12,2,FALSE())</f>
        <v>Player 8</v>
      </c>
    </row>
    <row r="21" spans="1:6" ht="15" customHeight="1" x14ac:dyDescent="0.25">
      <c r="A21">
        <v>2</v>
      </c>
      <c r="B21">
        <v>2</v>
      </c>
      <c r="C21" t="str">
        <f>VLOOKUP(B21,Roster!$A$3:$B$12,2,FALSE())</f>
        <v>Player 2</v>
      </c>
      <c r="D21" t="s">
        <v>28</v>
      </c>
      <c r="E21">
        <v>9</v>
      </c>
      <c r="F21" t="str">
        <f>VLOOKUP(E21,Roster!$A$3:$B$12,2,FALSE())</f>
        <v>Player 9</v>
      </c>
    </row>
    <row r="22" spans="1:6" ht="15" customHeight="1" x14ac:dyDescent="0.25">
      <c r="A22">
        <v>3</v>
      </c>
      <c r="B22">
        <v>3</v>
      </c>
      <c r="C22" t="str">
        <f>VLOOKUP(B22,Roster!$A$3:$B$12,2,FALSE())</f>
        <v>Player 3</v>
      </c>
      <c r="D22" t="s">
        <v>28</v>
      </c>
      <c r="E22">
        <v>10</v>
      </c>
      <c r="F22" t="str">
        <f>VLOOKUP(E22,Roster!$A$3:$B$12,2,FALSE())</f>
        <v>Player 10</v>
      </c>
    </row>
    <row r="23" spans="1:6" ht="15" customHeight="1" x14ac:dyDescent="0.25">
      <c r="A23">
        <v>4</v>
      </c>
      <c r="B23">
        <v>4</v>
      </c>
      <c r="C23" t="str">
        <f>VLOOKUP(B23,Roster!$A$3:$B$12,2,FALSE())</f>
        <v>Player 4</v>
      </c>
      <c r="D23" t="s">
        <v>28</v>
      </c>
      <c r="E23">
        <v>6</v>
      </c>
      <c r="F23" t="str">
        <f>VLOOKUP(E23,Roster!$A$3:$B$12,2,FALSE())</f>
        <v>Player 6</v>
      </c>
    </row>
    <row r="24" spans="1:6" ht="15" customHeight="1" x14ac:dyDescent="0.25">
      <c r="A24">
        <v>5</v>
      </c>
      <c r="B24">
        <v>5</v>
      </c>
      <c r="C24" t="str">
        <f>VLOOKUP(B24,Roster!$A$3:$B$12,2,FALSE())</f>
        <v>Player 5</v>
      </c>
      <c r="D24" t="s">
        <v>28</v>
      </c>
      <c r="E24">
        <v>7</v>
      </c>
      <c r="F24" t="str">
        <f>VLOOKUP(E24,Roster!$A$3:$B$12,2,FALSE())</f>
        <v>Player 7</v>
      </c>
    </row>
    <row r="26" spans="1:6" ht="15" customHeight="1" x14ac:dyDescent="0.25">
      <c r="A26" s="8" t="s">
        <v>31</v>
      </c>
    </row>
    <row r="27" spans="1:6" ht="15" customHeight="1" x14ac:dyDescent="0.25">
      <c r="A27" s="6" t="s">
        <v>25</v>
      </c>
      <c r="B27" s="6" t="s">
        <v>26</v>
      </c>
      <c r="C27" s="6" t="s">
        <v>27</v>
      </c>
      <c r="D27" s="6" t="s">
        <v>28</v>
      </c>
      <c r="E27" s="6" t="s">
        <v>26</v>
      </c>
      <c r="F27" s="6" t="s">
        <v>27</v>
      </c>
    </row>
    <row r="28" spans="1:6" ht="15" customHeight="1" x14ac:dyDescent="0.25">
      <c r="A28">
        <v>1</v>
      </c>
      <c r="B28">
        <v>1</v>
      </c>
      <c r="C28" t="str">
        <f>VLOOKUP(B28,Roster!$A$3:$B$12,2,FALSE())</f>
        <v>Player 1</v>
      </c>
      <c r="D28" t="s">
        <v>28</v>
      </c>
      <c r="E28">
        <v>9</v>
      </c>
      <c r="F28" t="str">
        <f>VLOOKUP(E28,Roster!$A$3:$B$12,2,FALSE())</f>
        <v>Player 9</v>
      </c>
    </row>
    <row r="29" spans="1:6" ht="15" customHeight="1" x14ac:dyDescent="0.25">
      <c r="A29">
        <v>2</v>
      </c>
      <c r="B29">
        <v>2</v>
      </c>
      <c r="C29" t="str">
        <f>VLOOKUP(B29,Roster!$A$3:$B$12,2,FALSE())</f>
        <v>Player 2</v>
      </c>
      <c r="D29" t="s">
        <v>28</v>
      </c>
      <c r="E29">
        <v>10</v>
      </c>
      <c r="F29" t="str">
        <f>VLOOKUP(E29,Roster!$A$3:$B$12,2,FALSE())</f>
        <v>Player 10</v>
      </c>
    </row>
    <row r="30" spans="1:6" ht="15" customHeight="1" x14ac:dyDescent="0.25">
      <c r="A30">
        <v>3</v>
      </c>
      <c r="B30">
        <v>3</v>
      </c>
      <c r="C30" t="str">
        <f>VLOOKUP(B30,Roster!$A$3:$B$12,2,FALSE())</f>
        <v>Player 3</v>
      </c>
      <c r="D30" t="s">
        <v>28</v>
      </c>
      <c r="E30">
        <v>6</v>
      </c>
      <c r="F30" t="str">
        <f>VLOOKUP(E30,Roster!$A$3:$B$12,2,FALSE())</f>
        <v>Player 6</v>
      </c>
    </row>
    <row r="31" spans="1:6" ht="15" customHeight="1" x14ac:dyDescent="0.25">
      <c r="A31">
        <v>4</v>
      </c>
      <c r="B31">
        <v>4</v>
      </c>
      <c r="C31" t="str">
        <f>VLOOKUP(B31,Roster!$A$3:$B$12,2,FALSE())</f>
        <v>Player 4</v>
      </c>
      <c r="D31" t="s">
        <v>28</v>
      </c>
      <c r="E31">
        <v>7</v>
      </c>
      <c r="F31" t="str">
        <f>VLOOKUP(E31,Roster!$A$3:$B$12,2,FALSE())</f>
        <v>Player 7</v>
      </c>
    </row>
    <row r="32" spans="1:6" ht="15" customHeight="1" x14ac:dyDescent="0.25">
      <c r="A32">
        <v>5</v>
      </c>
      <c r="B32">
        <v>5</v>
      </c>
      <c r="C32" t="str">
        <f>VLOOKUP(B32,Roster!$A$3:$B$12,2,FALSE())</f>
        <v>Player 5</v>
      </c>
      <c r="D32" t="s">
        <v>28</v>
      </c>
      <c r="E32">
        <v>8</v>
      </c>
      <c r="F32" t="str">
        <f>VLOOKUP(E32,Roster!$A$3:$B$12,2,FALSE())</f>
        <v>Player 8</v>
      </c>
    </row>
    <row r="34" spans="1:6" ht="15" customHeight="1" x14ac:dyDescent="0.25">
      <c r="A34" s="8" t="s">
        <v>32</v>
      </c>
    </row>
    <row r="35" spans="1:6" ht="15" customHeight="1" x14ac:dyDescent="0.25">
      <c r="A35" s="6" t="s">
        <v>25</v>
      </c>
      <c r="B35" s="6" t="s">
        <v>26</v>
      </c>
      <c r="C35" s="6" t="s">
        <v>27</v>
      </c>
      <c r="D35" s="6" t="s">
        <v>28</v>
      </c>
      <c r="E35" s="6" t="s">
        <v>26</v>
      </c>
      <c r="F35" s="6" t="s">
        <v>27</v>
      </c>
    </row>
    <row r="36" spans="1:6" ht="15" customHeight="1" x14ac:dyDescent="0.25">
      <c r="A36">
        <v>1</v>
      </c>
      <c r="B36">
        <v>1</v>
      </c>
      <c r="C36" t="str">
        <f>VLOOKUP(B36,Roster!$A$3:$B$12,2,FALSE())</f>
        <v>Player 1</v>
      </c>
      <c r="D36" t="s">
        <v>28</v>
      </c>
      <c r="E36">
        <v>10</v>
      </c>
      <c r="F36" t="str">
        <f>VLOOKUP(E36,Roster!$A$3:$B$12,2,FALSE())</f>
        <v>Player 10</v>
      </c>
    </row>
    <row r="37" spans="1:6" ht="15" customHeight="1" x14ac:dyDescent="0.25">
      <c r="A37">
        <v>2</v>
      </c>
      <c r="B37">
        <v>2</v>
      </c>
      <c r="C37" t="str">
        <f>VLOOKUP(B37,Roster!$A$3:$B$12,2,FALSE())</f>
        <v>Player 2</v>
      </c>
      <c r="D37" t="s">
        <v>28</v>
      </c>
      <c r="E37">
        <v>6</v>
      </c>
      <c r="F37" t="str">
        <f>VLOOKUP(E37,Roster!$A$3:$B$12,2,FALSE())</f>
        <v>Player 6</v>
      </c>
    </row>
    <row r="38" spans="1:6" ht="15" customHeight="1" x14ac:dyDescent="0.25">
      <c r="A38">
        <v>3</v>
      </c>
      <c r="B38">
        <v>3</v>
      </c>
      <c r="C38" t="str">
        <f>VLOOKUP(B38,Roster!$A$3:$B$12,2,FALSE())</f>
        <v>Player 3</v>
      </c>
      <c r="D38" t="s">
        <v>28</v>
      </c>
      <c r="E38">
        <v>7</v>
      </c>
      <c r="F38" t="str">
        <f>VLOOKUP(E38,Roster!$A$3:$B$12,2,FALSE())</f>
        <v>Player 7</v>
      </c>
    </row>
    <row r="39" spans="1:6" ht="15" customHeight="1" x14ac:dyDescent="0.25">
      <c r="A39">
        <v>4</v>
      </c>
      <c r="B39">
        <v>4</v>
      </c>
      <c r="C39" t="str">
        <f>VLOOKUP(B39,Roster!$A$3:$B$12,2,FALSE())</f>
        <v>Player 4</v>
      </c>
      <c r="D39" t="s">
        <v>28</v>
      </c>
      <c r="E39">
        <v>8</v>
      </c>
      <c r="F39" t="str">
        <f>VLOOKUP(E39,Roster!$A$3:$B$12,2,FALSE())</f>
        <v>Player 8</v>
      </c>
    </row>
    <row r="40" spans="1:6" ht="15" customHeight="1" x14ac:dyDescent="0.25">
      <c r="A40">
        <v>5</v>
      </c>
      <c r="B40">
        <v>5</v>
      </c>
      <c r="C40" t="str">
        <f>VLOOKUP(B40,Roster!$A$3:$B$12,2,FALSE())</f>
        <v>Player 5</v>
      </c>
      <c r="D40" t="s">
        <v>28</v>
      </c>
      <c r="E40">
        <v>9</v>
      </c>
      <c r="F40" t="str">
        <f>VLOOKUP(E40,Roster!$A$3:$B$12,2,FALSE())</f>
        <v>Player 9</v>
      </c>
    </row>
    <row r="42" spans="1:6" ht="15" customHeight="1" x14ac:dyDescent="0.25">
      <c r="A42" s="8" t="s">
        <v>33</v>
      </c>
    </row>
    <row r="43" spans="1:6" ht="15" customHeight="1" x14ac:dyDescent="0.25">
      <c r="A43" s="6" t="s">
        <v>25</v>
      </c>
      <c r="B43" s="6" t="s">
        <v>26</v>
      </c>
      <c r="C43" s="6" t="s">
        <v>27</v>
      </c>
      <c r="D43" s="6" t="s">
        <v>28</v>
      </c>
      <c r="E43" s="6" t="s">
        <v>26</v>
      </c>
      <c r="F43" s="6" t="s">
        <v>27</v>
      </c>
    </row>
    <row r="44" spans="1:6" ht="15" customHeight="1" x14ac:dyDescent="0.25">
      <c r="A44">
        <v>1</v>
      </c>
      <c r="B44">
        <v>6</v>
      </c>
      <c r="C44" t="str">
        <f>VLOOKUP(B44,Roster!$A$3:$B$12,2,FALSE())</f>
        <v>Player 6</v>
      </c>
      <c r="D44" t="s">
        <v>28</v>
      </c>
      <c r="E44">
        <v>1</v>
      </c>
      <c r="F44" t="str">
        <f>VLOOKUP(E44,Roster!$A$3:$B$12,2,FALSE())</f>
        <v>Player 1</v>
      </c>
    </row>
    <row r="45" spans="1:6" ht="15" customHeight="1" x14ac:dyDescent="0.25">
      <c r="A45">
        <v>2</v>
      </c>
      <c r="B45">
        <v>7</v>
      </c>
      <c r="C45" t="str">
        <f>VLOOKUP(B45,Roster!$A$3:$B$12,2,FALSE())</f>
        <v>Player 7</v>
      </c>
      <c r="D45" t="s">
        <v>28</v>
      </c>
      <c r="E45">
        <v>2</v>
      </c>
      <c r="F45" t="str">
        <f>VLOOKUP(E45,Roster!$A$3:$B$12,2,FALSE())</f>
        <v>Player 2</v>
      </c>
    </row>
    <row r="46" spans="1:6" ht="15" customHeight="1" x14ac:dyDescent="0.25">
      <c r="A46">
        <v>3</v>
      </c>
      <c r="B46">
        <v>8</v>
      </c>
      <c r="C46" t="str">
        <f>VLOOKUP(B46,Roster!$A$3:$B$12,2,FALSE())</f>
        <v>Player 8</v>
      </c>
      <c r="D46" t="s">
        <v>28</v>
      </c>
      <c r="E46">
        <v>3</v>
      </c>
      <c r="F46" t="str">
        <f>VLOOKUP(E46,Roster!$A$3:$B$12,2,FALSE())</f>
        <v>Player 3</v>
      </c>
    </row>
    <row r="47" spans="1:6" ht="15" customHeight="1" x14ac:dyDescent="0.25">
      <c r="A47">
        <v>4</v>
      </c>
      <c r="B47">
        <v>9</v>
      </c>
      <c r="C47" t="str">
        <f>VLOOKUP(B47,Roster!$A$3:$B$12,2,FALSE())</f>
        <v>Player 9</v>
      </c>
      <c r="D47" t="s">
        <v>28</v>
      </c>
      <c r="E47">
        <v>4</v>
      </c>
      <c r="F47" t="str">
        <f>VLOOKUP(E47,Roster!$A$3:$B$12,2,FALSE())</f>
        <v>Player 4</v>
      </c>
    </row>
    <row r="48" spans="1:6" ht="15" customHeight="1" x14ac:dyDescent="0.25">
      <c r="A48">
        <v>5</v>
      </c>
      <c r="B48">
        <v>10</v>
      </c>
      <c r="C48" t="str">
        <f>VLOOKUP(B48,Roster!$A$3:$B$12,2,FALSE())</f>
        <v>Player 10</v>
      </c>
      <c r="D48" t="s">
        <v>28</v>
      </c>
      <c r="E48">
        <v>5</v>
      </c>
      <c r="F48" t="str">
        <f>VLOOKUP(E48,Roster!$A$3:$B$12,2,FALSE())</f>
        <v>Player 5</v>
      </c>
    </row>
    <row r="50" spans="1:6" ht="17.25" customHeight="1" x14ac:dyDescent="0.25">
      <c r="A50" s="4" t="s">
        <v>34</v>
      </c>
      <c r="B50" s="4"/>
      <c r="C50" s="4"/>
      <c r="D50" s="4"/>
      <c r="E50" s="4"/>
      <c r="F50" s="4"/>
    </row>
    <row r="51" spans="1:6" ht="15" customHeight="1" x14ac:dyDescent="0.25">
      <c r="A51" s="8" t="s">
        <v>35</v>
      </c>
    </row>
    <row r="52" spans="1:6" ht="15" customHeight="1" x14ac:dyDescent="0.25">
      <c r="A52" s="6" t="s">
        <v>25</v>
      </c>
      <c r="B52" s="6" t="s">
        <v>26</v>
      </c>
      <c r="C52" s="6" t="s">
        <v>27</v>
      </c>
      <c r="D52" s="6" t="s">
        <v>28</v>
      </c>
      <c r="E52" s="6" t="s">
        <v>26</v>
      </c>
      <c r="F52" s="6" t="s">
        <v>27</v>
      </c>
    </row>
    <row r="53" spans="1:6" ht="15" customHeight="1" x14ac:dyDescent="0.25">
      <c r="A53">
        <v>1</v>
      </c>
      <c r="B53">
        <v>1</v>
      </c>
      <c r="C53" t="str">
        <f>VLOOKUP(B53,Roster!$A$3:$B$12,2,FALSE())</f>
        <v>Player 1</v>
      </c>
      <c r="D53" t="s">
        <v>28</v>
      </c>
      <c r="E53">
        <v>8</v>
      </c>
      <c r="F53" t="str">
        <f>VLOOKUP(E53,Roster!$A$3:$B$12,2,FALSE())</f>
        <v>Player 8</v>
      </c>
    </row>
    <row r="54" spans="1:6" ht="15" customHeight="1" x14ac:dyDescent="0.25">
      <c r="A54">
        <v>2</v>
      </c>
      <c r="B54">
        <v>2</v>
      </c>
      <c r="C54" t="str">
        <f>VLOOKUP(B54,Roster!$A$3:$B$12,2,FALSE())</f>
        <v>Player 2</v>
      </c>
      <c r="D54" t="s">
        <v>28</v>
      </c>
      <c r="E54">
        <v>9</v>
      </c>
      <c r="F54" t="str">
        <f>VLOOKUP(E54,Roster!$A$3:$B$12,2,FALSE())</f>
        <v>Player 9</v>
      </c>
    </row>
    <row r="55" spans="1:6" ht="15" customHeight="1" x14ac:dyDescent="0.25">
      <c r="A55">
        <v>3</v>
      </c>
      <c r="B55">
        <v>3</v>
      </c>
      <c r="C55" t="str">
        <f>VLOOKUP(B55,Roster!$A$3:$B$12,2,FALSE())</f>
        <v>Player 3</v>
      </c>
      <c r="D55" t="s">
        <v>28</v>
      </c>
      <c r="E55">
        <v>10</v>
      </c>
      <c r="F55" t="str">
        <f>VLOOKUP(E55,Roster!$A$3:$B$12,2,FALSE())</f>
        <v>Player 10</v>
      </c>
    </row>
    <row r="56" spans="1:6" ht="15" customHeight="1" x14ac:dyDescent="0.25">
      <c r="A56">
        <v>4</v>
      </c>
      <c r="B56">
        <v>4</v>
      </c>
      <c r="C56" t="str">
        <f>VLOOKUP(B56,Roster!$A$3:$B$12,2,FALSE())</f>
        <v>Player 4</v>
      </c>
      <c r="D56" t="s">
        <v>28</v>
      </c>
      <c r="E56">
        <v>6</v>
      </c>
      <c r="F56" t="str">
        <f>VLOOKUP(E56,Roster!$A$3:$B$12,2,FALSE())</f>
        <v>Player 6</v>
      </c>
    </row>
    <row r="57" spans="1:6" ht="15" customHeight="1" x14ac:dyDescent="0.25">
      <c r="A57">
        <v>5</v>
      </c>
      <c r="B57">
        <v>5</v>
      </c>
      <c r="C57" t="str">
        <f>VLOOKUP(B57,Roster!$A$3:$B$12,2,FALSE())</f>
        <v>Player 5</v>
      </c>
      <c r="D57" t="s">
        <v>28</v>
      </c>
      <c r="E57">
        <v>7</v>
      </c>
      <c r="F57" t="str">
        <f>VLOOKUP(E57,Roster!$A$3:$B$12,2,FALSE())</f>
        <v>Player 7</v>
      </c>
    </row>
    <row r="59" spans="1:6" ht="15" customHeight="1" x14ac:dyDescent="0.25">
      <c r="A59" s="8" t="s">
        <v>36</v>
      </c>
    </row>
    <row r="60" spans="1:6" ht="15" customHeight="1" x14ac:dyDescent="0.25">
      <c r="A60" s="6" t="s">
        <v>25</v>
      </c>
      <c r="B60" s="6" t="s">
        <v>26</v>
      </c>
      <c r="C60" s="6" t="s">
        <v>27</v>
      </c>
      <c r="D60" s="6" t="s">
        <v>28</v>
      </c>
      <c r="E60" s="6" t="s">
        <v>26</v>
      </c>
      <c r="F60" s="6" t="s">
        <v>27</v>
      </c>
    </row>
    <row r="61" spans="1:6" ht="15" customHeight="1" x14ac:dyDescent="0.25">
      <c r="A61">
        <v>1</v>
      </c>
      <c r="B61">
        <v>1</v>
      </c>
      <c r="C61" t="str">
        <f>VLOOKUP(B61,Roster!$A$3:$B$12,2,FALSE())</f>
        <v>Player 1</v>
      </c>
      <c r="D61" t="s">
        <v>28</v>
      </c>
      <c r="E61">
        <v>9</v>
      </c>
      <c r="F61" t="str">
        <f>VLOOKUP(E61,Roster!$A$3:$B$12,2,FALSE())</f>
        <v>Player 9</v>
      </c>
    </row>
    <row r="62" spans="1:6" ht="15" customHeight="1" x14ac:dyDescent="0.25">
      <c r="A62">
        <v>2</v>
      </c>
      <c r="B62">
        <v>2</v>
      </c>
      <c r="C62" t="str">
        <f>VLOOKUP(B62,Roster!$A$3:$B$12,2,FALSE())</f>
        <v>Player 2</v>
      </c>
      <c r="D62" t="s">
        <v>28</v>
      </c>
      <c r="E62">
        <v>10</v>
      </c>
      <c r="F62" t="str">
        <f>VLOOKUP(E62,Roster!$A$3:$B$12,2,FALSE())</f>
        <v>Player 10</v>
      </c>
    </row>
    <row r="63" spans="1:6" ht="15" customHeight="1" x14ac:dyDescent="0.25">
      <c r="A63">
        <v>3</v>
      </c>
      <c r="B63">
        <v>3</v>
      </c>
      <c r="C63" t="str">
        <f>VLOOKUP(B63,Roster!$A$3:$B$12,2,FALSE())</f>
        <v>Player 3</v>
      </c>
      <c r="D63" t="s">
        <v>28</v>
      </c>
      <c r="E63">
        <v>6</v>
      </c>
      <c r="F63" t="str">
        <f>VLOOKUP(E63,Roster!$A$3:$B$12,2,FALSE())</f>
        <v>Player 6</v>
      </c>
    </row>
    <row r="64" spans="1:6" ht="15" customHeight="1" x14ac:dyDescent="0.25">
      <c r="A64">
        <v>4</v>
      </c>
      <c r="B64">
        <v>4</v>
      </c>
      <c r="C64" t="str">
        <f>VLOOKUP(B64,Roster!$A$3:$B$12,2,FALSE())</f>
        <v>Player 4</v>
      </c>
      <c r="D64" t="s">
        <v>28</v>
      </c>
      <c r="E64">
        <v>7</v>
      </c>
      <c r="F64" t="str">
        <f>VLOOKUP(E64,Roster!$A$3:$B$12,2,FALSE())</f>
        <v>Player 7</v>
      </c>
    </row>
    <row r="65" spans="1:6" ht="15" customHeight="1" x14ac:dyDescent="0.25">
      <c r="A65">
        <v>5</v>
      </c>
      <c r="B65">
        <v>5</v>
      </c>
      <c r="C65" t="str">
        <f>VLOOKUP(B65,Roster!$A$3:$B$12,2,FALSE())</f>
        <v>Player 5</v>
      </c>
      <c r="D65" t="s">
        <v>28</v>
      </c>
      <c r="E65">
        <v>8</v>
      </c>
      <c r="F65" t="str">
        <f>VLOOKUP(E65,Roster!$A$3:$B$12,2,FALSE())</f>
        <v>Player 8</v>
      </c>
    </row>
    <row r="67" spans="1:6" ht="15" customHeight="1" x14ac:dyDescent="0.25">
      <c r="A67" s="8" t="s">
        <v>37</v>
      </c>
    </row>
    <row r="68" spans="1:6" ht="15" customHeight="1" x14ac:dyDescent="0.25">
      <c r="A68" s="6" t="s">
        <v>25</v>
      </c>
      <c r="B68" s="6" t="s">
        <v>26</v>
      </c>
      <c r="C68" s="6" t="s">
        <v>27</v>
      </c>
      <c r="D68" s="6" t="s">
        <v>28</v>
      </c>
      <c r="E68" s="6" t="s">
        <v>26</v>
      </c>
      <c r="F68" s="6" t="s">
        <v>27</v>
      </c>
    </row>
    <row r="69" spans="1:6" ht="15" customHeight="1" x14ac:dyDescent="0.25">
      <c r="A69">
        <v>1</v>
      </c>
      <c r="B69">
        <v>1</v>
      </c>
      <c r="C69" t="str">
        <f>VLOOKUP(B69,Roster!$A$3:$B$12,2,FALSE())</f>
        <v>Player 1</v>
      </c>
      <c r="D69" t="s">
        <v>28</v>
      </c>
      <c r="E69">
        <v>10</v>
      </c>
      <c r="F69" t="str">
        <f>VLOOKUP(E69,Roster!$A$3:$B$12,2,FALSE())</f>
        <v>Player 10</v>
      </c>
    </row>
    <row r="70" spans="1:6" ht="15" customHeight="1" x14ac:dyDescent="0.25">
      <c r="A70">
        <v>2</v>
      </c>
      <c r="B70">
        <v>2</v>
      </c>
      <c r="C70" t="str">
        <f>VLOOKUP(B70,Roster!$A$3:$B$12,2,FALSE())</f>
        <v>Player 2</v>
      </c>
      <c r="D70" t="s">
        <v>28</v>
      </c>
      <c r="E70">
        <v>6</v>
      </c>
      <c r="F70" t="str">
        <f>VLOOKUP(E70,Roster!$A$3:$B$12,2,FALSE())</f>
        <v>Player 6</v>
      </c>
    </row>
    <row r="71" spans="1:6" ht="15" customHeight="1" x14ac:dyDescent="0.25">
      <c r="A71">
        <v>3</v>
      </c>
      <c r="B71">
        <v>3</v>
      </c>
      <c r="C71" t="str">
        <f>VLOOKUP(B71,Roster!$A$3:$B$12,2,FALSE())</f>
        <v>Player 3</v>
      </c>
      <c r="D71" t="s">
        <v>28</v>
      </c>
      <c r="E71">
        <v>7</v>
      </c>
      <c r="F71" t="str">
        <f>VLOOKUP(E71,Roster!$A$3:$B$12,2,FALSE())</f>
        <v>Player 7</v>
      </c>
    </row>
    <row r="72" spans="1:6" ht="15" customHeight="1" x14ac:dyDescent="0.25">
      <c r="A72">
        <v>4</v>
      </c>
      <c r="B72">
        <v>4</v>
      </c>
      <c r="C72" t="str">
        <f>VLOOKUP(B72,Roster!$A$3:$B$12,2,FALSE())</f>
        <v>Player 4</v>
      </c>
      <c r="D72" t="s">
        <v>28</v>
      </c>
      <c r="E72">
        <v>8</v>
      </c>
      <c r="F72" t="str">
        <f>VLOOKUP(E72,Roster!$A$3:$B$12,2,FALSE())</f>
        <v>Player 8</v>
      </c>
    </row>
    <row r="73" spans="1:6" ht="15" customHeight="1" x14ac:dyDescent="0.25">
      <c r="A73">
        <v>5</v>
      </c>
      <c r="B73">
        <v>5</v>
      </c>
      <c r="C73" t="str">
        <f>VLOOKUP(B73,Roster!$A$3:$B$12,2,FALSE())</f>
        <v>Player 5</v>
      </c>
      <c r="D73" t="s">
        <v>28</v>
      </c>
      <c r="E73">
        <v>9</v>
      </c>
      <c r="F73" t="str">
        <f>VLOOKUP(E73,Roster!$A$3:$B$12,2,FALSE())</f>
        <v>Player 9</v>
      </c>
    </row>
    <row r="75" spans="1:6" ht="15" customHeight="1" x14ac:dyDescent="0.25">
      <c r="A75" s="8" t="s">
        <v>38</v>
      </c>
    </row>
    <row r="76" spans="1:6" ht="15" customHeight="1" x14ac:dyDescent="0.25">
      <c r="A76" s="6" t="s">
        <v>25</v>
      </c>
      <c r="B76" s="6" t="s">
        <v>26</v>
      </c>
      <c r="C76" s="6" t="s">
        <v>27</v>
      </c>
      <c r="D76" s="6" t="s">
        <v>28</v>
      </c>
      <c r="E76" s="6" t="s">
        <v>26</v>
      </c>
      <c r="F76" s="6" t="s">
        <v>27</v>
      </c>
    </row>
    <row r="77" spans="1:6" ht="15" customHeight="1" x14ac:dyDescent="0.25">
      <c r="A77">
        <v>1</v>
      </c>
      <c r="B77">
        <v>1</v>
      </c>
      <c r="C77" t="str">
        <f>VLOOKUP(B77,Roster!$A$3:$B$12,2,FALSE())</f>
        <v>Player 1</v>
      </c>
      <c r="D77" t="s">
        <v>28</v>
      </c>
      <c r="E77">
        <v>6</v>
      </c>
      <c r="F77" t="str">
        <f>VLOOKUP(E77,Roster!$A$3:$B$12,2,FALSE())</f>
        <v>Player 6</v>
      </c>
    </row>
    <row r="78" spans="1:6" ht="15" customHeight="1" x14ac:dyDescent="0.25">
      <c r="A78">
        <v>2</v>
      </c>
      <c r="B78">
        <v>2</v>
      </c>
      <c r="C78" t="str">
        <f>VLOOKUP(B78,Roster!$A$3:$B$12,2,FALSE())</f>
        <v>Player 2</v>
      </c>
      <c r="D78" t="s">
        <v>28</v>
      </c>
      <c r="E78">
        <v>7</v>
      </c>
      <c r="F78" t="str">
        <f>VLOOKUP(E78,Roster!$A$3:$B$12,2,FALSE())</f>
        <v>Player 7</v>
      </c>
    </row>
    <row r="79" spans="1:6" ht="15" customHeight="1" x14ac:dyDescent="0.25">
      <c r="A79">
        <v>3</v>
      </c>
      <c r="B79">
        <v>3</v>
      </c>
      <c r="C79" t="str">
        <f>VLOOKUP(B79,Roster!$A$3:$B$12,2,FALSE())</f>
        <v>Player 3</v>
      </c>
      <c r="D79" t="s">
        <v>28</v>
      </c>
      <c r="E79">
        <v>8</v>
      </c>
      <c r="F79" t="str">
        <f>VLOOKUP(E79,Roster!$A$3:$B$12,2,FALSE())</f>
        <v>Player 8</v>
      </c>
    </row>
    <row r="80" spans="1:6" ht="15" customHeight="1" x14ac:dyDescent="0.25">
      <c r="A80">
        <v>4</v>
      </c>
      <c r="B80">
        <v>4</v>
      </c>
      <c r="C80" t="str">
        <f>VLOOKUP(B80,Roster!$A$3:$B$12,2,FALSE())</f>
        <v>Player 4</v>
      </c>
      <c r="D80" t="s">
        <v>28</v>
      </c>
      <c r="E80">
        <v>9</v>
      </c>
      <c r="F80" t="str">
        <f>VLOOKUP(E80,Roster!$A$3:$B$12,2,FALSE())</f>
        <v>Player 9</v>
      </c>
    </row>
    <row r="81" spans="1:6" ht="15" customHeight="1" x14ac:dyDescent="0.25">
      <c r="A81">
        <v>5</v>
      </c>
      <c r="B81">
        <v>5</v>
      </c>
      <c r="C81" t="str">
        <f>VLOOKUP(B81,Roster!$A$3:$B$12,2,FALSE())</f>
        <v>Player 5</v>
      </c>
      <c r="D81" t="s">
        <v>28</v>
      </c>
      <c r="E81">
        <v>10</v>
      </c>
      <c r="F81" t="str">
        <f>VLOOKUP(E81,Roster!$A$3:$B$12,2,FALSE())</f>
        <v>Player 10</v>
      </c>
    </row>
    <row r="83" spans="1:6" ht="15" customHeight="1" x14ac:dyDescent="0.25">
      <c r="A83" s="8" t="s">
        <v>39</v>
      </c>
    </row>
    <row r="84" spans="1:6" ht="15" customHeight="1" x14ac:dyDescent="0.25">
      <c r="A84" s="6" t="s">
        <v>25</v>
      </c>
      <c r="B84" s="6" t="s">
        <v>26</v>
      </c>
      <c r="C84" s="6" t="s">
        <v>27</v>
      </c>
      <c r="D84" s="6" t="s">
        <v>28</v>
      </c>
      <c r="E84" s="6" t="s">
        <v>26</v>
      </c>
      <c r="F84" s="6" t="s">
        <v>27</v>
      </c>
    </row>
    <row r="85" spans="1:6" ht="15" customHeight="1" x14ac:dyDescent="0.25">
      <c r="A85">
        <v>1</v>
      </c>
      <c r="B85">
        <v>1</v>
      </c>
      <c r="C85" t="str">
        <f>VLOOKUP(B85,Roster!$A$3:$B$12,2,FALSE())</f>
        <v>Player 1</v>
      </c>
      <c r="D85" t="s">
        <v>28</v>
      </c>
      <c r="E85">
        <v>7</v>
      </c>
      <c r="F85" t="str">
        <f>VLOOKUP(E85,Roster!$A$3:$B$12,2,FALSE())</f>
        <v>Player 7</v>
      </c>
    </row>
    <row r="86" spans="1:6" ht="15" customHeight="1" x14ac:dyDescent="0.25">
      <c r="A86">
        <v>2</v>
      </c>
      <c r="B86">
        <v>2</v>
      </c>
      <c r="C86" t="str">
        <f>VLOOKUP(B86,Roster!$A$3:$B$12,2,FALSE())</f>
        <v>Player 2</v>
      </c>
      <c r="D86" t="s">
        <v>28</v>
      </c>
      <c r="E86">
        <v>8</v>
      </c>
      <c r="F86" t="str">
        <f>VLOOKUP(E86,Roster!$A$3:$B$12,2,FALSE())</f>
        <v>Player 8</v>
      </c>
    </row>
    <row r="87" spans="1:6" ht="15" customHeight="1" x14ac:dyDescent="0.25">
      <c r="A87">
        <v>3</v>
      </c>
      <c r="B87">
        <v>3</v>
      </c>
      <c r="C87" t="str">
        <f>VLOOKUP(B87,Roster!$A$3:$B$12,2,FALSE())</f>
        <v>Player 3</v>
      </c>
      <c r="D87" t="s">
        <v>28</v>
      </c>
      <c r="E87">
        <v>9</v>
      </c>
      <c r="F87" t="str">
        <f>VLOOKUP(E87,Roster!$A$3:$B$12,2,FALSE())</f>
        <v>Player 9</v>
      </c>
    </row>
    <row r="88" spans="1:6" ht="15" customHeight="1" x14ac:dyDescent="0.25">
      <c r="A88">
        <v>4</v>
      </c>
      <c r="B88">
        <v>4</v>
      </c>
      <c r="C88" t="str">
        <f>VLOOKUP(B88,Roster!$A$3:$B$12,2,FALSE())</f>
        <v>Player 4</v>
      </c>
      <c r="D88" t="s">
        <v>28</v>
      </c>
      <c r="E88">
        <v>10</v>
      </c>
      <c r="F88" t="str">
        <f>VLOOKUP(E88,Roster!$A$3:$B$12,2,FALSE())</f>
        <v>Player 10</v>
      </c>
    </row>
    <row r="89" spans="1:6" ht="15" customHeight="1" x14ac:dyDescent="0.25">
      <c r="A89">
        <v>5</v>
      </c>
      <c r="B89">
        <v>5</v>
      </c>
      <c r="C89" t="str">
        <f>VLOOKUP(B89,Roster!$A$3:$B$12,2,FALSE())</f>
        <v>Player 5</v>
      </c>
      <c r="D89" t="s">
        <v>28</v>
      </c>
      <c r="E89">
        <v>6</v>
      </c>
      <c r="F89" t="str">
        <f>VLOOKUP(E89,Roster!$A$3:$B$12,2,FALSE())</f>
        <v>Player 6</v>
      </c>
    </row>
    <row r="91" spans="1:6" ht="15" customHeight="1" x14ac:dyDescent="0.25">
      <c r="A91" s="8" t="s">
        <v>40</v>
      </c>
    </row>
    <row r="92" spans="1:6" ht="15" customHeight="1" x14ac:dyDescent="0.25">
      <c r="A92" s="6" t="s">
        <v>25</v>
      </c>
      <c r="B92" s="6" t="s">
        <v>26</v>
      </c>
      <c r="C92" s="6" t="s">
        <v>27</v>
      </c>
      <c r="D92" s="6" t="s">
        <v>28</v>
      </c>
      <c r="E92" s="6" t="s">
        <v>26</v>
      </c>
      <c r="F92" s="6" t="s">
        <v>27</v>
      </c>
    </row>
    <row r="93" spans="1:6" ht="15" customHeight="1" x14ac:dyDescent="0.25">
      <c r="A93">
        <v>1</v>
      </c>
      <c r="B93">
        <v>8</v>
      </c>
      <c r="C93" t="str">
        <f>VLOOKUP(B93,Roster!$A$3:$B$12,2,FALSE())</f>
        <v>Player 8</v>
      </c>
      <c r="D93" t="s">
        <v>28</v>
      </c>
      <c r="E93">
        <v>1</v>
      </c>
      <c r="F93" t="str">
        <f>VLOOKUP(E93,Roster!$A$3:$B$12,2,FALSE())</f>
        <v>Player 1</v>
      </c>
    </row>
    <row r="94" spans="1:6" ht="15" customHeight="1" x14ac:dyDescent="0.25">
      <c r="A94">
        <v>2</v>
      </c>
      <c r="B94">
        <v>9</v>
      </c>
      <c r="C94" t="str">
        <f>VLOOKUP(B94,Roster!$A$3:$B$12,2,FALSE())</f>
        <v>Player 9</v>
      </c>
      <c r="D94" t="s">
        <v>28</v>
      </c>
      <c r="E94">
        <v>2</v>
      </c>
      <c r="F94" t="str">
        <f>VLOOKUP(E94,Roster!$A$3:$B$12,2,FALSE())</f>
        <v>Player 2</v>
      </c>
    </row>
    <row r="95" spans="1:6" ht="15" customHeight="1" x14ac:dyDescent="0.25">
      <c r="A95">
        <v>3</v>
      </c>
      <c r="B95">
        <v>10</v>
      </c>
      <c r="C95" t="str">
        <f>VLOOKUP(B95,Roster!$A$3:$B$12,2,FALSE())</f>
        <v>Player 10</v>
      </c>
      <c r="D95" t="s">
        <v>28</v>
      </c>
      <c r="E95">
        <v>3</v>
      </c>
      <c r="F95" t="str">
        <f>VLOOKUP(E95,Roster!$A$3:$B$12,2,FALSE())</f>
        <v>Player 3</v>
      </c>
    </row>
    <row r="96" spans="1:6" ht="15" customHeight="1" x14ac:dyDescent="0.25">
      <c r="A96">
        <v>4</v>
      </c>
      <c r="B96">
        <v>6</v>
      </c>
      <c r="C96" t="str">
        <f>VLOOKUP(B96,Roster!$A$3:$B$12,2,FALSE())</f>
        <v>Player 6</v>
      </c>
      <c r="D96" t="s">
        <v>28</v>
      </c>
      <c r="E96">
        <v>4</v>
      </c>
      <c r="F96" t="str">
        <f>VLOOKUP(E96,Roster!$A$3:$B$12,2,FALSE())</f>
        <v>Player 4</v>
      </c>
    </row>
    <row r="97" spans="1:6" ht="15" customHeight="1" x14ac:dyDescent="0.25">
      <c r="A97">
        <v>5</v>
      </c>
      <c r="B97">
        <v>7</v>
      </c>
      <c r="C97" t="str">
        <f>VLOOKUP(B97,Roster!$A$3:$B$12,2,FALSE())</f>
        <v>Player 7</v>
      </c>
      <c r="D97" t="s">
        <v>28</v>
      </c>
      <c r="E97">
        <v>5</v>
      </c>
      <c r="F97" t="str">
        <f>VLOOKUP(E97,Roster!$A$3:$B$12,2,FALSE())</f>
        <v>Player 5</v>
      </c>
    </row>
    <row r="99" spans="1:6" ht="17.25" customHeight="1" x14ac:dyDescent="0.25">
      <c r="A99" s="4" t="s">
        <v>41</v>
      </c>
      <c r="B99" s="4"/>
      <c r="C99" s="4"/>
      <c r="D99" s="4"/>
      <c r="E99" s="4"/>
      <c r="F99" s="4"/>
    </row>
    <row r="100" spans="1:6" ht="15" customHeight="1" x14ac:dyDescent="0.25">
      <c r="A100" s="8" t="s">
        <v>42</v>
      </c>
    </row>
    <row r="101" spans="1:6" ht="15" customHeight="1" x14ac:dyDescent="0.25">
      <c r="A101" s="6" t="s">
        <v>25</v>
      </c>
      <c r="B101" s="6" t="s">
        <v>26</v>
      </c>
      <c r="C101" s="6" t="s">
        <v>27</v>
      </c>
      <c r="D101" s="6" t="s">
        <v>28</v>
      </c>
      <c r="E101" s="6" t="s">
        <v>26</v>
      </c>
      <c r="F101" s="6" t="s">
        <v>27</v>
      </c>
    </row>
    <row r="102" spans="1:6" ht="15" customHeight="1" x14ac:dyDescent="0.25">
      <c r="A102">
        <v>1</v>
      </c>
      <c r="B102">
        <v>1</v>
      </c>
      <c r="C102" t="str">
        <f>VLOOKUP(B102,Roster!$A$3:$B$12,2,FALSE())</f>
        <v>Player 1</v>
      </c>
      <c r="D102" t="s">
        <v>28</v>
      </c>
      <c r="E102">
        <v>4</v>
      </c>
      <c r="F102" t="str">
        <f>VLOOKUP(E102,Roster!$A$3:$B$12,2,FALSE())</f>
        <v>Player 4</v>
      </c>
    </row>
    <row r="103" spans="1:6" ht="15" customHeight="1" x14ac:dyDescent="0.25">
      <c r="A103">
        <v>2</v>
      </c>
      <c r="B103">
        <v>2</v>
      </c>
      <c r="C103" t="str">
        <f>VLOOKUP(B103,Roster!$A$3:$B$12,2,FALSE())</f>
        <v>Player 2</v>
      </c>
      <c r="D103" t="s">
        <v>28</v>
      </c>
      <c r="E103">
        <v>3</v>
      </c>
      <c r="F103" t="str">
        <f>VLOOKUP(E103,Roster!$A$3:$B$12,2,FALSE())</f>
        <v>Player 3</v>
      </c>
    </row>
    <row r="104" spans="1:6" ht="15" customHeight="1" x14ac:dyDescent="0.25">
      <c r="A104">
        <v>3</v>
      </c>
      <c r="B104">
        <v>6</v>
      </c>
      <c r="C104" t="str">
        <f>VLOOKUP(B104,Roster!$A$3:$B$12,2,FALSE())</f>
        <v>Player 6</v>
      </c>
      <c r="D104" t="s">
        <v>28</v>
      </c>
      <c r="E104">
        <v>9</v>
      </c>
      <c r="F104" t="str">
        <f>VLOOKUP(E104,Roster!$A$3:$B$12,2,FALSE())</f>
        <v>Player 9</v>
      </c>
    </row>
    <row r="105" spans="1:6" ht="15" customHeight="1" x14ac:dyDescent="0.25">
      <c r="A105">
        <v>4</v>
      </c>
      <c r="B105">
        <v>7</v>
      </c>
      <c r="C105" t="str">
        <f>VLOOKUP(B105,Roster!$A$3:$B$12,2,FALSE())</f>
        <v>Player 7</v>
      </c>
      <c r="D105" t="s">
        <v>28</v>
      </c>
      <c r="E105">
        <v>8</v>
      </c>
      <c r="F105" t="str">
        <f>VLOOKUP(E105,Roster!$A$3:$B$12,2,FALSE())</f>
        <v>Player 8</v>
      </c>
    </row>
    <row r="106" spans="1:6" ht="15" customHeight="1" x14ac:dyDescent="0.25">
      <c r="A106">
        <v>5</v>
      </c>
      <c r="B106">
        <v>5</v>
      </c>
      <c r="C106" t="str">
        <f>VLOOKUP(B106,Roster!$A$3:$B$12,2,FALSE())</f>
        <v>Player 5</v>
      </c>
      <c r="D106" t="s">
        <v>28</v>
      </c>
      <c r="E106">
        <v>10</v>
      </c>
      <c r="F106" t="str">
        <f>VLOOKUP(E106,Roster!$A$3:$B$12,2,FALSE())</f>
        <v>Player 10</v>
      </c>
    </row>
    <row r="108" spans="1:6" ht="15" customHeight="1" x14ac:dyDescent="0.25">
      <c r="A108" s="8" t="s">
        <v>43</v>
      </c>
    </row>
    <row r="109" spans="1:6" ht="15" customHeight="1" x14ac:dyDescent="0.25">
      <c r="A109" s="6" t="s">
        <v>25</v>
      </c>
      <c r="B109" s="6" t="s">
        <v>26</v>
      </c>
      <c r="C109" s="6" t="s">
        <v>27</v>
      </c>
      <c r="D109" s="6" t="s">
        <v>28</v>
      </c>
      <c r="E109" s="6" t="s">
        <v>26</v>
      </c>
      <c r="F109" s="6" t="s">
        <v>27</v>
      </c>
    </row>
    <row r="110" spans="1:6" ht="15" customHeight="1" x14ac:dyDescent="0.25">
      <c r="A110">
        <v>1</v>
      </c>
      <c r="B110">
        <v>5</v>
      </c>
      <c r="C110" t="str">
        <f>VLOOKUP(B110,Roster!$A$3:$B$12,2,FALSE())</f>
        <v>Player 5</v>
      </c>
      <c r="D110" t="s">
        <v>28</v>
      </c>
      <c r="E110">
        <v>3</v>
      </c>
      <c r="F110" t="str">
        <f>VLOOKUP(E110,Roster!$A$3:$B$12,2,FALSE())</f>
        <v>Player 3</v>
      </c>
    </row>
    <row r="111" spans="1:6" ht="15" customHeight="1" x14ac:dyDescent="0.25">
      <c r="A111">
        <v>2</v>
      </c>
      <c r="B111">
        <v>1</v>
      </c>
      <c r="C111" t="str">
        <f>VLOOKUP(B111,Roster!$A$3:$B$12,2,FALSE())</f>
        <v>Player 1</v>
      </c>
      <c r="D111" t="s">
        <v>28</v>
      </c>
      <c r="E111">
        <v>2</v>
      </c>
      <c r="F111" t="str">
        <f>VLOOKUP(E111,Roster!$A$3:$B$12,2,FALSE())</f>
        <v>Player 2</v>
      </c>
    </row>
    <row r="112" spans="1:6" ht="15" customHeight="1" x14ac:dyDescent="0.25">
      <c r="A112">
        <v>3</v>
      </c>
      <c r="B112">
        <v>10</v>
      </c>
      <c r="C112" t="str">
        <f>VLOOKUP(B112,Roster!$A$3:$B$12,2,FALSE())</f>
        <v>Player 10</v>
      </c>
      <c r="D112" t="s">
        <v>28</v>
      </c>
      <c r="E112">
        <v>8</v>
      </c>
      <c r="F112" t="str">
        <f>VLOOKUP(E112,Roster!$A$3:$B$12,2,FALSE())</f>
        <v>Player 8</v>
      </c>
    </row>
    <row r="113" spans="1:6" ht="15" customHeight="1" x14ac:dyDescent="0.25">
      <c r="A113">
        <v>4</v>
      </c>
      <c r="B113">
        <v>6</v>
      </c>
      <c r="C113" t="str">
        <f>VLOOKUP(B113,Roster!$A$3:$B$12,2,FALSE())</f>
        <v>Player 6</v>
      </c>
      <c r="D113" t="s">
        <v>28</v>
      </c>
      <c r="E113">
        <v>7</v>
      </c>
      <c r="F113" t="str">
        <f>VLOOKUP(E113,Roster!$A$3:$B$12,2,FALSE())</f>
        <v>Player 7</v>
      </c>
    </row>
    <row r="114" spans="1:6" ht="15" customHeight="1" x14ac:dyDescent="0.25">
      <c r="A114">
        <v>5</v>
      </c>
      <c r="B114">
        <v>4</v>
      </c>
      <c r="C114" t="str">
        <f>VLOOKUP(B114,Roster!$A$3:$B$12,2,FALSE())</f>
        <v>Player 4</v>
      </c>
      <c r="D114" t="s">
        <v>28</v>
      </c>
      <c r="E114">
        <v>9</v>
      </c>
      <c r="F114" t="str">
        <f>VLOOKUP(E114,Roster!$A$3:$B$12,2,FALSE())</f>
        <v>Player 9</v>
      </c>
    </row>
    <row r="116" spans="1:6" ht="15" customHeight="1" x14ac:dyDescent="0.25">
      <c r="A116" s="8" t="s">
        <v>44</v>
      </c>
    </row>
    <row r="117" spans="1:6" ht="15" customHeight="1" x14ac:dyDescent="0.25">
      <c r="A117" s="6" t="s">
        <v>25</v>
      </c>
      <c r="B117" s="6" t="s">
        <v>26</v>
      </c>
      <c r="C117" s="6" t="s">
        <v>27</v>
      </c>
      <c r="D117" s="6" t="s">
        <v>28</v>
      </c>
      <c r="E117" s="6" t="s">
        <v>26</v>
      </c>
      <c r="F117" s="6" t="s">
        <v>27</v>
      </c>
    </row>
    <row r="118" spans="1:6" ht="15" customHeight="1" x14ac:dyDescent="0.25">
      <c r="A118">
        <v>1</v>
      </c>
      <c r="B118">
        <v>4</v>
      </c>
      <c r="C118" t="str">
        <f>VLOOKUP(B118,Roster!$A$3:$B$12,2,FALSE())</f>
        <v>Player 4</v>
      </c>
      <c r="D118" t="s">
        <v>28</v>
      </c>
      <c r="E118">
        <v>2</v>
      </c>
      <c r="F118" t="str">
        <f>VLOOKUP(E118,Roster!$A$3:$B$12,2,FALSE())</f>
        <v>Player 2</v>
      </c>
    </row>
    <row r="119" spans="1:6" ht="15" customHeight="1" x14ac:dyDescent="0.25">
      <c r="A119">
        <v>2</v>
      </c>
      <c r="B119">
        <v>5</v>
      </c>
      <c r="C119" t="str">
        <f>VLOOKUP(B119,Roster!$A$3:$B$12,2,FALSE())</f>
        <v>Player 5</v>
      </c>
      <c r="D119" t="s">
        <v>28</v>
      </c>
      <c r="E119">
        <v>1</v>
      </c>
      <c r="F119" t="str">
        <f>VLOOKUP(E119,Roster!$A$3:$B$12,2,FALSE())</f>
        <v>Player 1</v>
      </c>
    </row>
    <row r="120" spans="1:6" ht="15" customHeight="1" x14ac:dyDescent="0.25">
      <c r="A120">
        <v>3</v>
      </c>
      <c r="B120">
        <v>9</v>
      </c>
      <c r="C120" t="str">
        <f>VLOOKUP(B120,Roster!$A$3:$B$12,2,FALSE())</f>
        <v>Player 9</v>
      </c>
      <c r="D120" t="s">
        <v>28</v>
      </c>
      <c r="E120">
        <v>7</v>
      </c>
      <c r="F120" t="str">
        <f>VLOOKUP(E120,Roster!$A$3:$B$12,2,FALSE())</f>
        <v>Player 7</v>
      </c>
    </row>
    <row r="121" spans="1:6" ht="15" customHeight="1" x14ac:dyDescent="0.25">
      <c r="A121">
        <v>4</v>
      </c>
      <c r="B121">
        <v>10</v>
      </c>
      <c r="C121" t="str">
        <f>VLOOKUP(B121,Roster!$A$3:$B$12,2,FALSE())</f>
        <v>Player 10</v>
      </c>
      <c r="D121" t="s">
        <v>28</v>
      </c>
      <c r="E121">
        <v>6</v>
      </c>
      <c r="F121" t="str">
        <f>VLOOKUP(E121,Roster!$A$3:$B$12,2,FALSE())</f>
        <v>Player 6</v>
      </c>
    </row>
    <row r="122" spans="1:6" ht="15" customHeight="1" x14ac:dyDescent="0.25">
      <c r="A122">
        <v>5</v>
      </c>
      <c r="B122">
        <v>3</v>
      </c>
      <c r="C122" t="str">
        <f>VLOOKUP(B122,Roster!$A$3:$B$12,2,FALSE())</f>
        <v>Player 3</v>
      </c>
      <c r="D122" t="s">
        <v>28</v>
      </c>
      <c r="E122">
        <v>8</v>
      </c>
      <c r="F122" t="str">
        <f>VLOOKUP(E122,Roster!$A$3:$B$12,2,FALSE())</f>
        <v>Player 8</v>
      </c>
    </row>
    <row r="124" spans="1:6" ht="15" customHeight="1" x14ac:dyDescent="0.25">
      <c r="A124" s="8" t="s">
        <v>45</v>
      </c>
    </row>
    <row r="125" spans="1:6" ht="15" customHeight="1" x14ac:dyDescent="0.25">
      <c r="A125" s="6" t="s">
        <v>25</v>
      </c>
      <c r="B125" s="6" t="s">
        <v>26</v>
      </c>
      <c r="C125" s="6" t="s">
        <v>27</v>
      </c>
      <c r="D125" s="6" t="s">
        <v>28</v>
      </c>
      <c r="E125" s="6" t="s">
        <v>26</v>
      </c>
      <c r="F125" s="6" t="s">
        <v>27</v>
      </c>
    </row>
    <row r="126" spans="1:6" ht="15" customHeight="1" x14ac:dyDescent="0.25">
      <c r="A126">
        <v>1</v>
      </c>
      <c r="B126">
        <v>3</v>
      </c>
      <c r="C126" t="str">
        <f>VLOOKUP(B126,Roster!$A$3:$B$12,2,FALSE())</f>
        <v>Player 3</v>
      </c>
      <c r="D126" t="s">
        <v>28</v>
      </c>
      <c r="E126">
        <v>1</v>
      </c>
      <c r="F126" t="str">
        <f>VLOOKUP(E126,Roster!$A$3:$B$12,2,FALSE())</f>
        <v>Player 1</v>
      </c>
    </row>
    <row r="127" spans="1:6" ht="15" customHeight="1" x14ac:dyDescent="0.25">
      <c r="A127">
        <v>2</v>
      </c>
      <c r="B127">
        <v>4</v>
      </c>
      <c r="C127" t="str">
        <f>VLOOKUP(B127,Roster!$A$3:$B$12,2,FALSE())</f>
        <v>Player 4</v>
      </c>
      <c r="D127" t="s">
        <v>28</v>
      </c>
      <c r="E127">
        <v>5</v>
      </c>
      <c r="F127" t="str">
        <f>VLOOKUP(E127,Roster!$A$3:$B$12,2,FALSE())</f>
        <v>Player 5</v>
      </c>
    </row>
    <row r="128" spans="1:6" ht="15" customHeight="1" x14ac:dyDescent="0.25">
      <c r="A128">
        <v>3</v>
      </c>
      <c r="B128">
        <v>8</v>
      </c>
      <c r="C128" t="str">
        <f>VLOOKUP(B128,Roster!$A$3:$B$12,2,FALSE())</f>
        <v>Player 8</v>
      </c>
      <c r="D128" t="s">
        <v>28</v>
      </c>
      <c r="E128">
        <v>6</v>
      </c>
      <c r="F128" t="str">
        <f>VLOOKUP(E128,Roster!$A$3:$B$12,2,FALSE())</f>
        <v>Player 6</v>
      </c>
    </row>
    <row r="129" spans="1:6" ht="15" customHeight="1" x14ac:dyDescent="0.25">
      <c r="A129">
        <v>4</v>
      </c>
      <c r="B129">
        <v>9</v>
      </c>
      <c r="C129" t="str">
        <f>VLOOKUP(B129,Roster!$A$3:$B$12,2,FALSE())</f>
        <v>Player 9</v>
      </c>
      <c r="D129" t="s">
        <v>28</v>
      </c>
      <c r="E129">
        <v>10</v>
      </c>
      <c r="F129" t="str">
        <f>VLOOKUP(E129,Roster!$A$3:$B$12,2,FALSE())</f>
        <v>Player 10</v>
      </c>
    </row>
    <row r="130" spans="1:6" ht="15" customHeight="1" x14ac:dyDescent="0.25">
      <c r="A130">
        <v>5</v>
      </c>
      <c r="B130">
        <v>2</v>
      </c>
      <c r="C130" t="str">
        <f>VLOOKUP(B130,Roster!$A$3:$B$12,2,FALSE())</f>
        <v>Player 2</v>
      </c>
      <c r="D130" t="s">
        <v>28</v>
      </c>
      <c r="E130">
        <v>7</v>
      </c>
      <c r="F130" t="str">
        <f>VLOOKUP(E130,Roster!$A$3:$B$12,2,FALSE())</f>
        <v>Player 7</v>
      </c>
    </row>
    <row r="132" spans="1:6" ht="15" customHeight="1" x14ac:dyDescent="0.25">
      <c r="A132" s="8" t="s">
        <v>46</v>
      </c>
    </row>
    <row r="133" spans="1:6" ht="15" customHeight="1" x14ac:dyDescent="0.25">
      <c r="A133" s="6" t="s">
        <v>25</v>
      </c>
      <c r="B133" s="6" t="s">
        <v>26</v>
      </c>
      <c r="C133" s="6" t="s">
        <v>27</v>
      </c>
      <c r="D133" s="6" t="s">
        <v>28</v>
      </c>
      <c r="E133" s="6" t="s">
        <v>26</v>
      </c>
      <c r="F133" s="6" t="s">
        <v>27</v>
      </c>
    </row>
    <row r="134" spans="1:6" ht="15" customHeight="1" x14ac:dyDescent="0.25">
      <c r="A134">
        <v>1</v>
      </c>
      <c r="B134">
        <v>2</v>
      </c>
      <c r="C134" t="str">
        <f>VLOOKUP(B134,Roster!$A$3:$B$12,2,FALSE())</f>
        <v>Player 2</v>
      </c>
      <c r="D134" t="s">
        <v>28</v>
      </c>
      <c r="E134">
        <v>5</v>
      </c>
      <c r="F134" t="str">
        <f>VLOOKUP(E134,Roster!$A$3:$B$12,2,FALSE())</f>
        <v>Player 5</v>
      </c>
    </row>
    <row r="135" spans="1:6" ht="15" customHeight="1" x14ac:dyDescent="0.25">
      <c r="A135">
        <v>2</v>
      </c>
      <c r="B135">
        <v>3</v>
      </c>
      <c r="C135" t="str">
        <f>VLOOKUP(B135,Roster!$A$3:$B$12,2,FALSE())</f>
        <v>Player 3</v>
      </c>
      <c r="D135" t="s">
        <v>28</v>
      </c>
      <c r="E135">
        <v>4</v>
      </c>
      <c r="F135" t="str">
        <f>VLOOKUP(E135,Roster!$A$3:$B$12,2,FALSE())</f>
        <v>Player 4</v>
      </c>
    </row>
    <row r="136" spans="1:6" ht="15" customHeight="1" x14ac:dyDescent="0.25">
      <c r="A136">
        <v>3</v>
      </c>
      <c r="B136">
        <v>7</v>
      </c>
      <c r="C136" t="str">
        <f>VLOOKUP(B136,Roster!$A$3:$B$12,2,FALSE())</f>
        <v>Player 7</v>
      </c>
      <c r="D136" t="s">
        <v>28</v>
      </c>
      <c r="E136">
        <v>10</v>
      </c>
      <c r="F136" t="str">
        <f>VLOOKUP(E136,Roster!$A$3:$B$12,2,FALSE())</f>
        <v>Player 10</v>
      </c>
    </row>
    <row r="137" spans="1:6" ht="15" customHeight="1" x14ac:dyDescent="0.25">
      <c r="A137">
        <v>4</v>
      </c>
      <c r="B137">
        <v>8</v>
      </c>
      <c r="C137" t="str">
        <f>VLOOKUP(B137,Roster!$A$3:$B$12,2,FALSE())</f>
        <v>Player 8</v>
      </c>
      <c r="D137" t="s">
        <v>28</v>
      </c>
      <c r="E137">
        <v>9</v>
      </c>
      <c r="F137" t="str">
        <f>VLOOKUP(E137,Roster!$A$3:$B$12,2,FALSE())</f>
        <v>Player 9</v>
      </c>
    </row>
    <row r="138" spans="1:6" ht="15" customHeight="1" x14ac:dyDescent="0.25">
      <c r="A138">
        <v>5</v>
      </c>
      <c r="B138">
        <v>1</v>
      </c>
      <c r="C138" t="str">
        <f>VLOOKUP(B138,Roster!$A$3:$B$12,2,FALSE())</f>
        <v>Player 1</v>
      </c>
      <c r="D138" t="s">
        <v>28</v>
      </c>
      <c r="E138">
        <v>6</v>
      </c>
      <c r="F138" t="str">
        <f>VLOOKUP(E138,Roster!$A$3:$B$12,2,FALSE())</f>
        <v>Player 6</v>
      </c>
    </row>
    <row r="140" spans="1:6" ht="15" customHeight="1" x14ac:dyDescent="0.25">
      <c r="A140" s="8" t="s">
        <v>47</v>
      </c>
    </row>
    <row r="141" spans="1:6" ht="15" customHeight="1" x14ac:dyDescent="0.25">
      <c r="A141" s="6" t="s">
        <v>25</v>
      </c>
      <c r="B141" s="6" t="s">
        <v>26</v>
      </c>
      <c r="C141" s="6" t="s">
        <v>27</v>
      </c>
      <c r="D141" s="6" t="s">
        <v>28</v>
      </c>
      <c r="E141" s="6" t="s">
        <v>26</v>
      </c>
      <c r="F141" s="6" t="s">
        <v>27</v>
      </c>
    </row>
    <row r="142" spans="1:6" ht="15" customHeight="1" x14ac:dyDescent="0.25">
      <c r="A142">
        <v>1</v>
      </c>
      <c r="B142">
        <v>1</v>
      </c>
      <c r="C142" t="str">
        <f>VLOOKUP(B142,Roster!$A$3:$B$12,2,FALSE())</f>
        <v>Player 1</v>
      </c>
      <c r="D142" t="s">
        <v>28</v>
      </c>
      <c r="E142">
        <v>4</v>
      </c>
      <c r="F142" t="str">
        <f>VLOOKUP(E142,Roster!$A$3:$B$12,2,FALSE())</f>
        <v>Player 4</v>
      </c>
    </row>
    <row r="143" spans="1:6" ht="15" customHeight="1" x14ac:dyDescent="0.25">
      <c r="A143">
        <v>2</v>
      </c>
      <c r="B143">
        <v>2</v>
      </c>
      <c r="C143" t="str">
        <f>VLOOKUP(B143,Roster!$A$3:$B$12,2,FALSE())</f>
        <v>Player 2</v>
      </c>
      <c r="D143" t="s">
        <v>28</v>
      </c>
      <c r="E143">
        <v>3</v>
      </c>
      <c r="F143" t="str">
        <f>VLOOKUP(E143,Roster!$A$3:$B$12,2,FALSE())</f>
        <v>Player 3</v>
      </c>
    </row>
    <row r="144" spans="1:6" ht="15" customHeight="1" x14ac:dyDescent="0.25">
      <c r="A144">
        <v>3</v>
      </c>
      <c r="B144">
        <v>6</v>
      </c>
      <c r="C144" t="str">
        <f>VLOOKUP(B144,Roster!$A$3:$B$12,2,FALSE())</f>
        <v>Player 6</v>
      </c>
      <c r="D144" t="s">
        <v>28</v>
      </c>
      <c r="E144">
        <v>9</v>
      </c>
      <c r="F144" t="str">
        <f>VLOOKUP(E144,Roster!$A$3:$B$12,2,FALSE())</f>
        <v>Player 9</v>
      </c>
    </row>
    <row r="145" spans="1:6" ht="15" customHeight="1" x14ac:dyDescent="0.25">
      <c r="A145">
        <v>4</v>
      </c>
      <c r="B145">
        <v>7</v>
      </c>
      <c r="C145" t="str">
        <f>VLOOKUP(B145,Roster!$A$3:$B$12,2,FALSE())</f>
        <v>Player 7</v>
      </c>
      <c r="D145" t="s">
        <v>28</v>
      </c>
      <c r="E145">
        <v>8</v>
      </c>
      <c r="F145" t="str">
        <f>VLOOKUP(E145,Roster!$A$3:$B$12,2,FALSE())</f>
        <v>Player 8</v>
      </c>
    </row>
    <row r="146" spans="1:6" ht="15" customHeight="1" x14ac:dyDescent="0.25">
      <c r="A146">
        <v>5</v>
      </c>
      <c r="B146">
        <v>5</v>
      </c>
      <c r="C146" t="str">
        <f>VLOOKUP(B146,Roster!$A$3:$B$12,2,FALSE())</f>
        <v>Player 5</v>
      </c>
      <c r="D146" t="s">
        <v>28</v>
      </c>
      <c r="E146">
        <v>10</v>
      </c>
      <c r="F146" t="str">
        <f>VLOOKUP(E146,Roster!$A$3:$B$12,2,FALSE())</f>
        <v>Player 10</v>
      </c>
    </row>
  </sheetData>
  <mergeCells count="3">
    <mergeCell ref="A1:F1"/>
    <mergeCell ref="A50:F50"/>
    <mergeCell ref="A99:F9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48"/>
  <sheetViews>
    <sheetView zoomScaleNormal="100" workbookViewId="0"/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48</v>
      </c>
    </row>
    <row r="2" spans="1:10" ht="15" customHeight="1" x14ac:dyDescent="0.25">
      <c r="A2" t="s">
        <v>49</v>
      </c>
      <c r="B2" t="s">
        <v>50</v>
      </c>
      <c r="C2" t="s">
        <v>51</v>
      </c>
      <c r="D2" t="s">
        <v>52</v>
      </c>
      <c r="E2" t="s">
        <v>53</v>
      </c>
      <c r="F2" t="s">
        <v>54</v>
      </c>
      <c r="G2" t="s">
        <v>55</v>
      </c>
      <c r="H2" t="s">
        <v>56</v>
      </c>
      <c r="I2" t="s">
        <v>57</v>
      </c>
      <c r="J2" t="s">
        <v>58</v>
      </c>
    </row>
    <row r="3" spans="1:10" ht="15" customHeight="1" x14ac:dyDescent="0.25">
      <c r="A3">
        <v>1</v>
      </c>
      <c r="B3" t="s">
        <v>59</v>
      </c>
      <c r="C3" t="s">
        <v>60</v>
      </c>
      <c r="D3" t="s">
        <v>61</v>
      </c>
      <c r="F3" t="s">
        <v>62</v>
      </c>
      <c r="I3" t="str">
        <f t="shared" ref="I3:I18" si="0">IF(OR(E3="",G3=""),"",IF(E3&gt;G3,D3,IF(G3&gt;E3,F3,"TIE")))</f>
        <v/>
      </c>
      <c r="J3" t="str">
        <f t="shared" ref="J3:J18" si="1">IF(OR(E3="",G3="",H3=""),"",IF(E3+H3&gt;G3,D3,IF(E3+H3&lt;G3,F3,"PUSH")))</f>
        <v/>
      </c>
    </row>
    <row r="4" spans="1:10" ht="15" customHeight="1" x14ac:dyDescent="0.25">
      <c r="A4">
        <v>1</v>
      </c>
      <c r="B4" t="s">
        <v>63</v>
      </c>
      <c r="C4" t="s">
        <v>64</v>
      </c>
      <c r="D4" t="s">
        <v>65</v>
      </c>
      <c r="F4" t="s">
        <v>66</v>
      </c>
      <c r="I4" t="str">
        <f t="shared" si="0"/>
        <v/>
      </c>
      <c r="J4" t="str">
        <f t="shared" si="1"/>
        <v/>
      </c>
    </row>
    <row r="5" spans="1:10" ht="15" customHeight="1" x14ac:dyDescent="0.25">
      <c r="A5">
        <v>1</v>
      </c>
      <c r="B5" t="s">
        <v>67</v>
      </c>
      <c r="C5" t="s">
        <v>68</v>
      </c>
      <c r="D5" t="s">
        <v>69</v>
      </c>
      <c r="F5" t="s">
        <v>70</v>
      </c>
      <c r="I5" t="str">
        <f t="shared" si="0"/>
        <v/>
      </c>
      <c r="J5" t="str">
        <f t="shared" si="1"/>
        <v/>
      </c>
    </row>
    <row r="6" spans="1:10" ht="15" customHeight="1" x14ac:dyDescent="0.25">
      <c r="A6">
        <v>1</v>
      </c>
      <c r="B6" t="s">
        <v>67</v>
      </c>
      <c r="C6" t="s">
        <v>68</v>
      </c>
      <c r="D6" t="s">
        <v>71</v>
      </c>
      <c r="F6" t="s">
        <v>72</v>
      </c>
      <c r="I6" t="str">
        <f t="shared" si="0"/>
        <v/>
      </c>
      <c r="J6" t="str">
        <f t="shared" si="1"/>
        <v/>
      </c>
    </row>
    <row r="7" spans="1:10" ht="15" customHeight="1" x14ac:dyDescent="0.25">
      <c r="A7">
        <v>1</v>
      </c>
      <c r="B7" t="s">
        <v>67</v>
      </c>
      <c r="C7" t="s">
        <v>68</v>
      </c>
      <c r="D7" t="s">
        <v>73</v>
      </c>
      <c r="F7" t="s">
        <v>74</v>
      </c>
      <c r="I7" t="str">
        <f t="shared" si="0"/>
        <v/>
      </c>
      <c r="J7" t="str">
        <f t="shared" si="1"/>
        <v/>
      </c>
    </row>
    <row r="8" spans="1:10" ht="15" customHeight="1" x14ac:dyDescent="0.25">
      <c r="A8">
        <v>1</v>
      </c>
      <c r="B8" t="s">
        <v>67</v>
      </c>
      <c r="C8" t="s">
        <v>68</v>
      </c>
      <c r="D8" t="s">
        <v>75</v>
      </c>
      <c r="F8" t="s">
        <v>76</v>
      </c>
      <c r="I8" t="str">
        <f t="shared" si="0"/>
        <v/>
      </c>
      <c r="J8" t="str">
        <f t="shared" si="1"/>
        <v/>
      </c>
    </row>
    <row r="9" spans="1:10" ht="15" customHeight="1" x14ac:dyDescent="0.25">
      <c r="A9">
        <v>1</v>
      </c>
      <c r="B9" t="s">
        <v>67</v>
      </c>
      <c r="C9" t="s">
        <v>68</v>
      </c>
      <c r="D9" t="s">
        <v>77</v>
      </c>
      <c r="F9" t="s">
        <v>78</v>
      </c>
      <c r="I9" t="str">
        <f t="shared" si="0"/>
        <v/>
      </c>
      <c r="J9" t="str">
        <f t="shared" si="1"/>
        <v/>
      </c>
    </row>
    <row r="10" spans="1:10" ht="15" customHeight="1" x14ac:dyDescent="0.25">
      <c r="A10">
        <v>1</v>
      </c>
      <c r="B10" t="s">
        <v>67</v>
      </c>
      <c r="C10" t="s">
        <v>68</v>
      </c>
      <c r="D10" t="s">
        <v>79</v>
      </c>
      <c r="F10" t="s">
        <v>80</v>
      </c>
      <c r="I10" t="str">
        <f t="shared" si="0"/>
        <v/>
      </c>
      <c r="J10" t="str">
        <f t="shared" si="1"/>
        <v/>
      </c>
    </row>
    <row r="11" spans="1:10" ht="15" customHeight="1" x14ac:dyDescent="0.25">
      <c r="A11">
        <v>1</v>
      </c>
      <c r="B11" t="s">
        <v>67</v>
      </c>
      <c r="C11" t="s">
        <v>68</v>
      </c>
      <c r="D11" t="s">
        <v>81</v>
      </c>
      <c r="F11" t="s">
        <v>82</v>
      </c>
      <c r="I11" t="str">
        <f t="shared" si="0"/>
        <v/>
      </c>
      <c r="J11" t="str">
        <f t="shared" si="1"/>
        <v/>
      </c>
    </row>
    <row r="12" spans="1:10" ht="15" customHeight="1" x14ac:dyDescent="0.25">
      <c r="A12">
        <v>1</v>
      </c>
      <c r="B12" t="s">
        <v>67</v>
      </c>
      <c r="C12" t="s">
        <v>68</v>
      </c>
      <c r="D12" t="s">
        <v>83</v>
      </c>
      <c r="F12" t="s">
        <v>84</v>
      </c>
      <c r="I12" t="str">
        <f t="shared" si="0"/>
        <v/>
      </c>
      <c r="J12" t="str">
        <f t="shared" si="1"/>
        <v/>
      </c>
    </row>
    <row r="13" spans="1:10" ht="15" customHeight="1" x14ac:dyDescent="0.25">
      <c r="A13">
        <v>1</v>
      </c>
      <c r="B13" t="s">
        <v>67</v>
      </c>
      <c r="C13" t="s">
        <v>85</v>
      </c>
      <c r="D13" t="s">
        <v>86</v>
      </c>
      <c r="F13" t="s">
        <v>87</v>
      </c>
      <c r="I13" t="str">
        <f t="shared" si="0"/>
        <v/>
      </c>
      <c r="J13" t="str">
        <f t="shared" si="1"/>
        <v/>
      </c>
    </row>
    <row r="14" spans="1:10" ht="15" customHeight="1" x14ac:dyDescent="0.25">
      <c r="A14">
        <v>1</v>
      </c>
      <c r="B14" t="s">
        <v>67</v>
      </c>
      <c r="C14" t="s">
        <v>85</v>
      </c>
      <c r="D14" t="s">
        <v>88</v>
      </c>
      <c r="F14" t="s">
        <v>89</v>
      </c>
      <c r="I14" t="str">
        <f t="shared" si="0"/>
        <v/>
      </c>
      <c r="J14" t="str">
        <f t="shared" si="1"/>
        <v/>
      </c>
    </row>
    <row r="15" spans="1:10" ht="15" customHeight="1" x14ac:dyDescent="0.25">
      <c r="A15">
        <v>1</v>
      </c>
      <c r="B15" t="s">
        <v>67</v>
      </c>
      <c r="C15" t="s">
        <v>85</v>
      </c>
      <c r="D15" t="s">
        <v>90</v>
      </c>
      <c r="F15" t="s">
        <v>91</v>
      </c>
      <c r="I15" t="str">
        <f t="shared" si="0"/>
        <v/>
      </c>
      <c r="J15" t="str">
        <f t="shared" si="1"/>
        <v/>
      </c>
    </row>
    <row r="16" spans="1:10" ht="15" customHeight="1" x14ac:dyDescent="0.25">
      <c r="A16">
        <v>1</v>
      </c>
      <c r="B16" t="s">
        <v>67</v>
      </c>
      <c r="C16" t="s">
        <v>85</v>
      </c>
      <c r="D16" t="s">
        <v>92</v>
      </c>
      <c r="F16" t="s">
        <v>93</v>
      </c>
      <c r="I16" t="str">
        <f t="shared" si="0"/>
        <v/>
      </c>
      <c r="J16" t="str">
        <f t="shared" si="1"/>
        <v/>
      </c>
    </row>
    <row r="17" spans="1:10" ht="15" customHeight="1" x14ac:dyDescent="0.25">
      <c r="A17">
        <v>1</v>
      </c>
      <c r="B17" t="s">
        <v>67</v>
      </c>
      <c r="C17" t="s">
        <v>60</v>
      </c>
      <c r="D17" t="s">
        <v>94</v>
      </c>
      <c r="F17" t="s">
        <v>95</v>
      </c>
      <c r="I17" t="str">
        <f t="shared" si="0"/>
        <v/>
      </c>
      <c r="J17" t="str">
        <f t="shared" si="1"/>
        <v/>
      </c>
    </row>
    <row r="18" spans="1:10" ht="15" customHeight="1" x14ac:dyDescent="0.25">
      <c r="A18">
        <v>1</v>
      </c>
      <c r="B18" t="s">
        <v>96</v>
      </c>
      <c r="C18" t="s">
        <v>97</v>
      </c>
      <c r="D18" t="s">
        <v>98</v>
      </c>
      <c r="F18" t="s">
        <v>99</v>
      </c>
      <c r="I18" t="str">
        <f t="shared" si="0"/>
        <v/>
      </c>
      <c r="J18" t="str">
        <f t="shared" si="1"/>
        <v/>
      </c>
    </row>
    <row r="20" spans="1:10" ht="15" customHeight="1" x14ac:dyDescent="0.25">
      <c r="A20" t="s">
        <v>100</v>
      </c>
    </row>
    <row r="21" spans="1:10" ht="15" customHeight="1" x14ac:dyDescent="0.25">
      <c r="A21" t="s">
        <v>49</v>
      </c>
      <c r="B21" t="s">
        <v>50</v>
      </c>
      <c r="C21" t="s">
        <v>51</v>
      </c>
      <c r="D21" t="s">
        <v>52</v>
      </c>
      <c r="E21" t="s">
        <v>53</v>
      </c>
      <c r="F21" t="s">
        <v>54</v>
      </c>
      <c r="G21" t="s">
        <v>55</v>
      </c>
      <c r="H21" t="s">
        <v>56</v>
      </c>
      <c r="I21" t="s">
        <v>57</v>
      </c>
      <c r="J21" t="s">
        <v>58</v>
      </c>
    </row>
    <row r="22" spans="1:10" ht="15" customHeight="1" x14ac:dyDescent="0.25">
      <c r="A22">
        <v>2</v>
      </c>
      <c r="B22" t="s">
        <v>101</v>
      </c>
      <c r="C22" t="s">
        <v>97</v>
      </c>
      <c r="D22" t="s">
        <v>74</v>
      </c>
      <c r="F22" t="s">
        <v>75</v>
      </c>
      <c r="I22" t="str">
        <f t="shared" ref="I22:I37" si="2">IF(OR(E22="",G22=""),"",IF(E22&gt;G22,D22,IF(G22&gt;E22,F22,"TIE")))</f>
        <v/>
      </c>
      <c r="J22" t="str">
        <f t="shared" ref="J22:J37" si="3">IF(OR(E22="",G22="",H22=""),"",IF(E22+H22&gt;G22,D22,IF(E22+H22&lt;G22,F22,"PUSH")))</f>
        <v/>
      </c>
    </row>
    <row r="23" spans="1:10" ht="15" customHeight="1" x14ac:dyDescent="0.25">
      <c r="A23">
        <v>2</v>
      </c>
      <c r="B23" t="s">
        <v>102</v>
      </c>
      <c r="C23" t="s">
        <v>68</v>
      </c>
      <c r="D23" t="s">
        <v>70</v>
      </c>
      <c r="F23" t="s">
        <v>81</v>
      </c>
      <c r="I23" t="str">
        <f t="shared" si="2"/>
        <v/>
      </c>
      <c r="J23" t="str">
        <f t="shared" si="3"/>
        <v/>
      </c>
    </row>
    <row r="24" spans="1:10" ht="15" customHeight="1" x14ac:dyDescent="0.25">
      <c r="A24">
        <v>2</v>
      </c>
      <c r="B24" t="s">
        <v>102</v>
      </c>
      <c r="C24" t="s">
        <v>68</v>
      </c>
      <c r="D24" t="s">
        <v>73</v>
      </c>
      <c r="F24" t="s">
        <v>77</v>
      </c>
      <c r="I24" t="str">
        <f t="shared" si="2"/>
        <v/>
      </c>
      <c r="J24" t="str">
        <f t="shared" si="3"/>
        <v/>
      </c>
    </row>
    <row r="25" spans="1:10" ht="15" customHeight="1" x14ac:dyDescent="0.25">
      <c r="A25">
        <v>2</v>
      </c>
      <c r="B25" t="s">
        <v>102</v>
      </c>
      <c r="C25" t="s">
        <v>68</v>
      </c>
      <c r="D25" t="s">
        <v>91</v>
      </c>
      <c r="F25" t="s">
        <v>69</v>
      </c>
      <c r="I25" t="str">
        <f t="shared" si="2"/>
        <v/>
      </c>
      <c r="J25" t="str">
        <f t="shared" si="3"/>
        <v/>
      </c>
    </row>
    <row r="26" spans="1:10" ht="15" customHeight="1" x14ac:dyDescent="0.25">
      <c r="A26">
        <v>2</v>
      </c>
      <c r="B26" t="s">
        <v>102</v>
      </c>
      <c r="C26" t="s">
        <v>68</v>
      </c>
      <c r="D26" t="s">
        <v>72</v>
      </c>
      <c r="F26" t="s">
        <v>76</v>
      </c>
      <c r="I26" t="str">
        <f t="shared" si="2"/>
        <v/>
      </c>
      <c r="J26" t="str">
        <f t="shared" si="3"/>
        <v/>
      </c>
    </row>
    <row r="27" spans="1:10" ht="15" customHeight="1" x14ac:dyDescent="0.25">
      <c r="A27">
        <v>2</v>
      </c>
      <c r="B27" t="s">
        <v>102</v>
      </c>
      <c r="C27" t="s">
        <v>68</v>
      </c>
      <c r="D27" t="s">
        <v>82</v>
      </c>
      <c r="F27" t="s">
        <v>61</v>
      </c>
      <c r="I27" t="str">
        <f t="shared" si="2"/>
        <v/>
      </c>
      <c r="J27" t="str">
        <f t="shared" si="3"/>
        <v/>
      </c>
    </row>
    <row r="28" spans="1:10" ht="15" customHeight="1" x14ac:dyDescent="0.25">
      <c r="A28">
        <v>2</v>
      </c>
      <c r="B28" t="s">
        <v>102</v>
      </c>
      <c r="C28" t="s">
        <v>68</v>
      </c>
      <c r="D28" t="s">
        <v>90</v>
      </c>
      <c r="F28" t="s">
        <v>83</v>
      </c>
      <c r="I28" t="str">
        <f t="shared" si="2"/>
        <v/>
      </c>
      <c r="J28" t="str">
        <f t="shared" si="3"/>
        <v/>
      </c>
    </row>
    <row r="29" spans="1:10" ht="15" customHeight="1" x14ac:dyDescent="0.25">
      <c r="A29">
        <v>2</v>
      </c>
      <c r="B29" t="s">
        <v>102</v>
      </c>
      <c r="C29" t="s">
        <v>68</v>
      </c>
      <c r="D29" t="s">
        <v>79</v>
      </c>
      <c r="F29" t="s">
        <v>71</v>
      </c>
      <c r="I29" t="str">
        <f t="shared" si="2"/>
        <v/>
      </c>
      <c r="J29" t="str">
        <f t="shared" si="3"/>
        <v/>
      </c>
    </row>
    <row r="30" spans="1:10" ht="15" customHeight="1" x14ac:dyDescent="0.25">
      <c r="A30">
        <v>2</v>
      </c>
      <c r="B30" t="s">
        <v>102</v>
      </c>
      <c r="C30" t="s">
        <v>68</v>
      </c>
      <c r="D30" t="s">
        <v>93</v>
      </c>
      <c r="F30" t="s">
        <v>84</v>
      </c>
      <c r="I30" t="str">
        <f t="shared" si="2"/>
        <v/>
      </c>
      <c r="J30" t="str">
        <f t="shared" si="3"/>
        <v/>
      </c>
    </row>
    <row r="31" spans="1:10" ht="15" customHeight="1" x14ac:dyDescent="0.25">
      <c r="A31">
        <v>2</v>
      </c>
      <c r="B31" t="s">
        <v>102</v>
      </c>
      <c r="C31" t="s">
        <v>103</v>
      </c>
      <c r="D31" t="s">
        <v>80</v>
      </c>
      <c r="F31" t="s">
        <v>98</v>
      </c>
      <c r="I31" t="str">
        <f t="shared" si="2"/>
        <v/>
      </c>
      <c r="J31" t="str">
        <f t="shared" si="3"/>
        <v/>
      </c>
    </row>
    <row r="32" spans="1:10" ht="15" customHeight="1" x14ac:dyDescent="0.25">
      <c r="A32">
        <v>2</v>
      </c>
      <c r="B32" t="s">
        <v>102</v>
      </c>
      <c r="C32" t="s">
        <v>103</v>
      </c>
      <c r="D32" t="s">
        <v>89</v>
      </c>
      <c r="F32" t="s">
        <v>87</v>
      </c>
      <c r="I32" t="str">
        <f t="shared" si="2"/>
        <v/>
      </c>
      <c r="J32" t="str">
        <f t="shared" si="3"/>
        <v/>
      </c>
    </row>
    <row r="33" spans="1:10" ht="15" customHeight="1" x14ac:dyDescent="0.25">
      <c r="A33">
        <v>2</v>
      </c>
      <c r="B33" t="s">
        <v>102</v>
      </c>
      <c r="C33" t="s">
        <v>85</v>
      </c>
      <c r="D33" t="s">
        <v>62</v>
      </c>
      <c r="F33" t="s">
        <v>86</v>
      </c>
      <c r="I33" t="str">
        <f t="shared" si="2"/>
        <v/>
      </c>
      <c r="J33" t="str">
        <f t="shared" si="3"/>
        <v/>
      </c>
    </row>
    <row r="34" spans="1:10" ht="15" customHeight="1" x14ac:dyDescent="0.25">
      <c r="A34">
        <v>2</v>
      </c>
      <c r="B34" t="s">
        <v>102</v>
      </c>
      <c r="C34" t="s">
        <v>85</v>
      </c>
      <c r="D34" t="s">
        <v>92</v>
      </c>
      <c r="F34" t="s">
        <v>94</v>
      </c>
      <c r="I34" t="str">
        <f t="shared" si="2"/>
        <v/>
      </c>
      <c r="J34" t="str">
        <f t="shared" si="3"/>
        <v/>
      </c>
    </row>
    <row r="35" spans="1:10" ht="15" customHeight="1" x14ac:dyDescent="0.25">
      <c r="A35">
        <v>2</v>
      </c>
      <c r="B35" t="s">
        <v>102</v>
      </c>
      <c r="C35" t="s">
        <v>85</v>
      </c>
      <c r="D35" t="s">
        <v>88</v>
      </c>
      <c r="F35" t="s">
        <v>65</v>
      </c>
      <c r="I35" t="str">
        <f t="shared" si="2"/>
        <v/>
      </c>
      <c r="J35" t="str">
        <f t="shared" si="3"/>
        <v/>
      </c>
    </row>
    <row r="36" spans="1:10" ht="15" customHeight="1" x14ac:dyDescent="0.25">
      <c r="A36">
        <v>2</v>
      </c>
      <c r="B36" t="s">
        <v>102</v>
      </c>
      <c r="C36" t="s">
        <v>60</v>
      </c>
      <c r="D36" t="s">
        <v>78</v>
      </c>
      <c r="F36" t="s">
        <v>99</v>
      </c>
      <c r="I36" t="str">
        <f t="shared" si="2"/>
        <v/>
      </c>
      <c r="J36" t="str">
        <f t="shared" si="3"/>
        <v/>
      </c>
    </row>
    <row r="37" spans="1:10" ht="15" customHeight="1" x14ac:dyDescent="0.25">
      <c r="A37">
        <v>2</v>
      </c>
      <c r="B37" t="s">
        <v>104</v>
      </c>
      <c r="C37" t="s">
        <v>97</v>
      </c>
      <c r="D37" t="s">
        <v>95</v>
      </c>
      <c r="F37" t="s">
        <v>66</v>
      </c>
      <c r="I37" t="str">
        <f t="shared" si="2"/>
        <v/>
      </c>
      <c r="J37" t="str">
        <f t="shared" si="3"/>
        <v/>
      </c>
    </row>
    <row r="39" spans="1:10" ht="15" customHeight="1" x14ac:dyDescent="0.25">
      <c r="A39" t="s">
        <v>105</v>
      </c>
    </row>
    <row r="40" spans="1:10" ht="15" customHeight="1" x14ac:dyDescent="0.25">
      <c r="A40" t="s">
        <v>49</v>
      </c>
      <c r="B40" t="s">
        <v>50</v>
      </c>
      <c r="C40" t="s">
        <v>51</v>
      </c>
      <c r="D40" t="s">
        <v>52</v>
      </c>
      <c r="E40" t="s">
        <v>53</v>
      </c>
      <c r="F40" t="s">
        <v>54</v>
      </c>
      <c r="G40" t="s">
        <v>55</v>
      </c>
      <c r="H40" t="s">
        <v>56</v>
      </c>
      <c r="I40" t="s">
        <v>57</v>
      </c>
      <c r="J40" t="s">
        <v>58</v>
      </c>
    </row>
    <row r="41" spans="1:10" ht="15" customHeight="1" x14ac:dyDescent="0.25">
      <c r="A41">
        <v>3</v>
      </c>
      <c r="B41" t="s">
        <v>106</v>
      </c>
      <c r="C41" t="s">
        <v>97</v>
      </c>
      <c r="D41" t="s">
        <v>81</v>
      </c>
      <c r="F41" t="s">
        <v>90</v>
      </c>
      <c r="I41" t="str">
        <f t="shared" ref="I41:I56" si="4">IF(OR(E41="",G41=""),"",IF(E41&gt;G41,D41,IF(G41&gt;E41,F41,"TIE")))</f>
        <v/>
      </c>
      <c r="J41" t="str">
        <f t="shared" ref="J41:J56" si="5">IF(OR(E41="",G41="",H41=""),"",IF(E41+H41&gt;G41,D41,IF(E41+H41&lt;G41,F41,"PUSH")))</f>
        <v/>
      </c>
    </row>
    <row r="42" spans="1:10" ht="15" customHeight="1" x14ac:dyDescent="0.25">
      <c r="A42">
        <v>3</v>
      </c>
      <c r="B42" t="s">
        <v>107</v>
      </c>
      <c r="C42" t="s">
        <v>68</v>
      </c>
      <c r="D42" t="s">
        <v>87</v>
      </c>
      <c r="F42" t="s">
        <v>75</v>
      </c>
      <c r="I42" t="str">
        <f t="shared" si="4"/>
        <v/>
      </c>
      <c r="J42" t="str">
        <f t="shared" si="5"/>
        <v/>
      </c>
    </row>
    <row r="43" spans="1:10" ht="15" customHeight="1" x14ac:dyDescent="0.25">
      <c r="A43">
        <v>3</v>
      </c>
      <c r="B43" t="s">
        <v>107</v>
      </c>
      <c r="C43" t="s">
        <v>68</v>
      </c>
      <c r="D43" t="s">
        <v>70</v>
      </c>
      <c r="F43" t="s">
        <v>79</v>
      </c>
      <c r="I43" t="str">
        <f t="shared" si="4"/>
        <v/>
      </c>
      <c r="J43" t="str">
        <f t="shared" si="5"/>
        <v/>
      </c>
    </row>
    <row r="44" spans="1:10" ht="15" customHeight="1" x14ac:dyDescent="0.25">
      <c r="A44">
        <v>3</v>
      </c>
      <c r="B44" t="s">
        <v>107</v>
      </c>
      <c r="C44" t="s">
        <v>68</v>
      </c>
      <c r="D44" t="s">
        <v>83</v>
      </c>
      <c r="F44" t="s">
        <v>74</v>
      </c>
      <c r="I44" t="str">
        <f t="shared" si="4"/>
        <v/>
      </c>
      <c r="J44" t="str">
        <f t="shared" si="5"/>
        <v/>
      </c>
    </row>
    <row r="45" spans="1:10" ht="15" customHeight="1" x14ac:dyDescent="0.25">
      <c r="A45">
        <v>3</v>
      </c>
      <c r="B45" t="s">
        <v>107</v>
      </c>
      <c r="C45" t="s">
        <v>68</v>
      </c>
      <c r="D45" t="s">
        <v>76</v>
      </c>
      <c r="F45" t="s">
        <v>78</v>
      </c>
      <c r="I45" t="str">
        <f t="shared" si="4"/>
        <v/>
      </c>
      <c r="J45" t="str">
        <f t="shared" si="5"/>
        <v/>
      </c>
    </row>
    <row r="46" spans="1:10" ht="15" customHeight="1" x14ac:dyDescent="0.25">
      <c r="A46">
        <v>3</v>
      </c>
      <c r="B46" t="s">
        <v>107</v>
      </c>
      <c r="C46" t="s">
        <v>68</v>
      </c>
      <c r="D46" t="s">
        <v>99</v>
      </c>
      <c r="F46" t="s">
        <v>88</v>
      </c>
      <c r="I46" t="str">
        <f t="shared" si="4"/>
        <v/>
      </c>
      <c r="J46" t="str">
        <f t="shared" si="5"/>
        <v/>
      </c>
    </row>
    <row r="47" spans="1:10" ht="15" customHeight="1" x14ac:dyDescent="0.25">
      <c r="A47">
        <v>3</v>
      </c>
      <c r="B47" t="s">
        <v>107</v>
      </c>
      <c r="C47" t="s">
        <v>68</v>
      </c>
      <c r="D47" t="s">
        <v>84</v>
      </c>
      <c r="F47" t="s">
        <v>95</v>
      </c>
      <c r="I47" t="str">
        <f t="shared" si="4"/>
        <v/>
      </c>
      <c r="J47" t="str">
        <f t="shared" si="5"/>
        <v/>
      </c>
    </row>
    <row r="48" spans="1:10" ht="15" customHeight="1" x14ac:dyDescent="0.25">
      <c r="A48">
        <v>3</v>
      </c>
      <c r="B48" t="s">
        <v>107</v>
      </c>
      <c r="C48" t="s">
        <v>68</v>
      </c>
      <c r="D48" t="s">
        <v>72</v>
      </c>
      <c r="F48" t="s">
        <v>82</v>
      </c>
      <c r="I48" t="str">
        <f t="shared" si="4"/>
        <v/>
      </c>
      <c r="J48" t="str">
        <f t="shared" si="5"/>
        <v/>
      </c>
    </row>
    <row r="49" spans="1:10" ht="15" customHeight="1" x14ac:dyDescent="0.25">
      <c r="A49">
        <v>3</v>
      </c>
      <c r="B49" t="s">
        <v>107</v>
      </c>
      <c r="C49" t="s">
        <v>68</v>
      </c>
      <c r="D49" t="s">
        <v>62</v>
      </c>
      <c r="F49" t="s">
        <v>92</v>
      </c>
      <c r="I49" t="str">
        <f t="shared" si="4"/>
        <v/>
      </c>
      <c r="J49" t="str">
        <f t="shared" si="5"/>
        <v/>
      </c>
    </row>
    <row r="50" spans="1:10" ht="15" customHeight="1" x14ac:dyDescent="0.25">
      <c r="A50">
        <v>3</v>
      </c>
      <c r="B50" t="s">
        <v>107</v>
      </c>
      <c r="C50" t="s">
        <v>68</v>
      </c>
      <c r="D50" t="s">
        <v>61</v>
      </c>
      <c r="F50" t="s">
        <v>80</v>
      </c>
      <c r="I50" t="str">
        <f t="shared" si="4"/>
        <v/>
      </c>
      <c r="J50" t="str">
        <f t="shared" si="5"/>
        <v/>
      </c>
    </row>
    <row r="51" spans="1:10" ht="15" customHeight="1" x14ac:dyDescent="0.25">
      <c r="A51">
        <v>3</v>
      </c>
      <c r="B51" t="s">
        <v>107</v>
      </c>
      <c r="C51" t="s">
        <v>103</v>
      </c>
      <c r="D51" t="s">
        <v>86</v>
      </c>
      <c r="F51" t="s">
        <v>65</v>
      </c>
      <c r="I51" t="str">
        <f t="shared" si="4"/>
        <v/>
      </c>
      <c r="J51" t="str">
        <f t="shared" si="5"/>
        <v/>
      </c>
    </row>
    <row r="52" spans="1:10" ht="15" customHeight="1" x14ac:dyDescent="0.25">
      <c r="A52">
        <v>3</v>
      </c>
      <c r="B52" t="s">
        <v>107</v>
      </c>
      <c r="C52" t="s">
        <v>103</v>
      </c>
      <c r="D52" t="s">
        <v>91</v>
      </c>
      <c r="F52" t="s">
        <v>71</v>
      </c>
      <c r="I52" t="str">
        <f t="shared" si="4"/>
        <v/>
      </c>
      <c r="J52" t="str">
        <f t="shared" si="5"/>
        <v/>
      </c>
    </row>
    <row r="53" spans="1:10" ht="15" customHeight="1" x14ac:dyDescent="0.25">
      <c r="A53">
        <v>3</v>
      </c>
      <c r="B53" t="s">
        <v>107</v>
      </c>
      <c r="C53" t="s">
        <v>85</v>
      </c>
      <c r="D53" t="s">
        <v>77</v>
      </c>
      <c r="F53" t="s">
        <v>94</v>
      </c>
      <c r="I53" t="str">
        <f t="shared" si="4"/>
        <v/>
      </c>
      <c r="J53" t="str">
        <f t="shared" si="5"/>
        <v/>
      </c>
    </row>
    <row r="54" spans="1:10" ht="15" customHeight="1" x14ac:dyDescent="0.25">
      <c r="A54">
        <v>3</v>
      </c>
      <c r="B54" t="s">
        <v>107</v>
      </c>
      <c r="C54" t="s">
        <v>85</v>
      </c>
      <c r="D54" t="s">
        <v>89</v>
      </c>
      <c r="F54" t="s">
        <v>73</v>
      </c>
      <c r="I54" t="str">
        <f t="shared" si="4"/>
        <v/>
      </c>
      <c r="J54" t="str">
        <f t="shared" si="5"/>
        <v/>
      </c>
    </row>
    <row r="55" spans="1:10" ht="15" customHeight="1" x14ac:dyDescent="0.25">
      <c r="A55">
        <v>3</v>
      </c>
      <c r="B55" t="s">
        <v>107</v>
      </c>
      <c r="C55" t="s">
        <v>60</v>
      </c>
      <c r="D55" t="s">
        <v>66</v>
      </c>
      <c r="F55" t="s">
        <v>98</v>
      </c>
      <c r="I55" t="str">
        <f t="shared" si="4"/>
        <v/>
      </c>
      <c r="J55" t="str">
        <f t="shared" si="5"/>
        <v/>
      </c>
    </row>
    <row r="56" spans="1:10" ht="15" customHeight="1" x14ac:dyDescent="0.25">
      <c r="A56">
        <v>3</v>
      </c>
      <c r="B56" t="s">
        <v>108</v>
      </c>
      <c r="C56" t="s">
        <v>97</v>
      </c>
      <c r="D56" t="s">
        <v>93</v>
      </c>
      <c r="F56" t="s">
        <v>69</v>
      </c>
      <c r="I56" t="str">
        <f t="shared" si="4"/>
        <v/>
      </c>
      <c r="J56" t="str">
        <f t="shared" si="5"/>
        <v/>
      </c>
    </row>
    <row r="58" spans="1:10" ht="15" customHeight="1" x14ac:dyDescent="0.25">
      <c r="A58" t="s">
        <v>109</v>
      </c>
    </row>
    <row r="59" spans="1:10" ht="15" customHeight="1" x14ac:dyDescent="0.25">
      <c r="A59" t="s">
        <v>49</v>
      </c>
      <c r="B59" t="s">
        <v>50</v>
      </c>
      <c r="C59" t="s">
        <v>51</v>
      </c>
      <c r="D59" t="s">
        <v>52</v>
      </c>
      <c r="E59" t="s">
        <v>53</v>
      </c>
      <c r="F59" t="s">
        <v>54</v>
      </c>
      <c r="G59" t="s">
        <v>55</v>
      </c>
      <c r="H59" t="s">
        <v>56</v>
      </c>
      <c r="I59" t="s">
        <v>57</v>
      </c>
      <c r="J59" t="s">
        <v>58</v>
      </c>
    </row>
    <row r="60" spans="1:10" ht="15" customHeight="1" x14ac:dyDescent="0.25">
      <c r="A60">
        <v>4</v>
      </c>
      <c r="B60" t="s">
        <v>110</v>
      </c>
      <c r="C60" t="s">
        <v>97</v>
      </c>
      <c r="D60" t="s">
        <v>82</v>
      </c>
      <c r="F60" t="s">
        <v>79</v>
      </c>
      <c r="I60" t="str">
        <f t="shared" ref="I60:I75" si="6">IF(OR(E60="",G60=""),"",IF(E60&gt;G60,D60,IF(G60&gt;E60,F60,"TIE")))</f>
        <v/>
      </c>
      <c r="J60" t="str">
        <f t="shared" ref="J60:J75" si="7">IF(OR(E60="",G60="",H60=""),"",IF(E60+H60&gt;G60,D60,IF(E60+H60&lt;G60,F60,"PUSH")))</f>
        <v/>
      </c>
    </row>
    <row r="61" spans="1:10" ht="15" customHeight="1" x14ac:dyDescent="0.25">
      <c r="A61">
        <v>4</v>
      </c>
      <c r="B61" t="s">
        <v>111</v>
      </c>
      <c r="C61" t="s">
        <v>112</v>
      </c>
      <c r="D61" t="s">
        <v>78</v>
      </c>
      <c r="F61" t="s">
        <v>92</v>
      </c>
      <c r="I61" t="str">
        <f t="shared" si="6"/>
        <v/>
      </c>
      <c r="J61" t="str">
        <f t="shared" si="7"/>
        <v/>
      </c>
    </row>
    <row r="62" spans="1:10" ht="15" customHeight="1" x14ac:dyDescent="0.25">
      <c r="A62">
        <v>4</v>
      </c>
      <c r="B62" t="s">
        <v>111</v>
      </c>
      <c r="C62" t="s">
        <v>68</v>
      </c>
      <c r="D62" t="s">
        <v>61</v>
      </c>
      <c r="F62" t="s">
        <v>75</v>
      </c>
      <c r="I62" t="str">
        <f t="shared" si="6"/>
        <v/>
      </c>
      <c r="J62" t="str">
        <f t="shared" si="7"/>
        <v/>
      </c>
    </row>
    <row r="63" spans="1:10" ht="15" customHeight="1" x14ac:dyDescent="0.25">
      <c r="A63">
        <v>4</v>
      </c>
      <c r="B63" t="s">
        <v>111</v>
      </c>
      <c r="C63" t="s">
        <v>68</v>
      </c>
      <c r="D63" t="s">
        <v>83</v>
      </c>
      <c r="F63" t="s">
        <v>69</v>
      </c>
      <c r="I63" t="str">
        <f t="shared" si="6"/>
        <v/>
      </c>
      <c r="J63" t="str">
        <f t="shared" si="7"/>
        <v/>
      </c>
    </row>
    <row r="64" spans="1:10" ht="15" customHeight="1" x14ac:dyDescent="0.25">
      <c r="A64">
        <v>4</v>
      </c>
      <c r="B64" t="s">
        <v>111</v>
      </c>
      <c r="C64" t="s">
        <v>68</v>
      </c>
      <c r="D64" t="s">
        <v>80</v>
      </c>
      <c r="F64" t="s">
        <v>72</v>
      </c>
      <c r="I64" t="str">
        <f t="shared" si="6"/>
        <v/>
      </c>
      <c r="J64" t="str">
        <f t="shared" si="7"/>
        <v/>
      </c>
    </row>
    <row r="65" spans="1:10" ht="15" customHeight="1" x14ac:dyDescent="0.25">
      <c r="A65">
        <v>4</v>
      </c>
      <c r="B65" t="s">
        <v>111</v>
      </c>
      <c r="C65" t="s">
        <v>68</v>
      </c>
      <c r="D65" t="s">
        <v>86</v>
      </c>
      <c r="F65" t="s">
        <v>95</v>
      </c>
      <c r="I65" t="str">
        <f t="shared" si="6"/>
        <v/>
      </c>
      <c r="J65" t="str">
        <f t="shared" si="7"/>
        <v/>
      </c>
    </row>
    <row r="66" spans="1:10" ht="15" customHeight="1" x14ac:dyDescent="0.25">
      <c r="A66">
        <v>4</v>
      </c>
      <c r="B66" t="s">
        <v>111</v>
      </c>
      <c r="C66" t="s">
        <v>68</v>
      </c>
      <c r="D66" t="s">
        <v>66</v>
      </c>
      <c r="F66" t="s">
        <v>93</v>
      </c>
      <c r="I66" t="str">
        <f t="shared" si="6"/>
        <v/>
      </c>
      <c r="J66" t="str">
        <f t="shared" si="7"/>
        <v/>
      </c>
    </row>
    <row r="67" spans="1:10" ht="15" customHeight="1" x14ac:dyDescent="0.25">
      <c r="A67">
        <v>4</v>
      </c>
      <c r="B67" t="s">
        <v>111</v>
      </c>
      <c r="C67" t="s">
        <v>68</v>
      </c>
      <c r="D67" t="s">
        <v>90</v>
      </c>
      <c r="F67" t="s">
        <v>71</v>
      </c>
      <c r="I67" t="str">
        <f t="shared" si="6"/>
        <v/>
      </c>
      <c r="J67" t="str">
        <f t="shared" si="7"/>
        <v/>
      </c>
    </row>
    <row r="68" spans="1:10" ht="15" customHeight="1" x14ac:dyDescent="0.25">
      <c r="A68">
        <v>4</v>
      </c>
      <c r="B68" t="s">
        <v>111</v>
      </c>
      <c r="C68" t="s">
        <v>68</v>
      </c>
      <c r="D68" t="s">
        <v>84</v>
      </c>
      <c r="F68" t="s">
        <v>77</v>
      </c>
      <c r="I68" t="str">
        <f t="shared" si="6"/>
        <v/>
      </c>
      <c r="J68" t="str">
        <f t="shared" si="7"/>
        <v/>
      </c>
    </row>
    <row r="69" spans="1:10" ht="15" customHeight="1" x14ac:dyDescent="0.25">
      <c r="A69">
        <v>4</v>
      </c>
      <c r="B69" t="s">
        <v>111</v>
      </c>
      <c r="C69" t="s">
        <v>68</v>
      </c>
      <c r="D69" t="s">
        <v>94</v>
      </c>
      <c r="F69" t="s">
        <v>76</v>
      </c>
      <c r="I69" t="str">
        <f t="shared" si="6"/>
        <v/>
      </c>
      <c r="J69" t="str">
        <f t="shared" si="7"/>
        <v/>
      </c>
    </row>
    <row r="70" spans="1:10" ht="15" customHeight="1" x14ac:dyDescent="0.25">
      <c r="A70">
        <v>4</v>
      </c>
      <c r="B70" t="s">
        <v>111</v>
      </c>
      <c r="C70" t="s">
        <v>103</v>
      </c>
      <c r="D70" t="s">
        <v>88</v>
      </c>
      <c r="F70" t="s">
        <v>91</v>
      </c>
      <c r="I70" t="str">
        <f t="shared" si="6"/>
        <v/>
      </c>
      <c r="J70" t="str">
        <f t="shared" si="7"/>
        <v/>
      </c>
    </row>
    <row r="71" spans="1:10" ht="15" customHeight="1" x14ac:dyDescent="0.25">
      <c r="A71">
        <v>4</v>
      </c>
      <c r="B71" t="s">
        <v>111</v>
      </c>
      <c r="C71" t="s">
        <v>85</v>
      </c>
      <c r="D71" t="s">
        <v>99</v>
      </c>
      <c r="F71" t="s">
        <v>89</v>
      </c>
      <c r="I71" t="str">
        <f t="shared" si="6"/>
        <v/>
      </c>
      <c r="J71" t="str">
        <f t="shared" si="7"/>
        <v/>
      </c>
    </row>
    <row r="72" spans="1:10" ht="15" customHeight="1" x14ac:dyDescent="0.25">
      <c r="A72">
        <v>4</v>
      </c>
      <c r="B72" t="s">
        <v>111</v>
      </c>
      <c r="C72" t="s">
        <v>85</v>
      </c>
      <c r="D72" t="s">
        <v>98</v>
      </c>
      <c r="F72" t="s">
        <v>65</v>
      </c>
      <c r="I72" t="str">
        <f t="shared" si="6"/>
        <v/>
      </c>
      <c r="J72" t="str">
        <f t="shared" si="7"/>
        <v/>
      </c>
    </row>
    <row r="73" spans="1:10" ht="15" customHeight="1" x14ac:dyDescent="0.25">
      <c r="A73">
        <v>4</v>
      </c>
      <c r="B73" t="s">
        <v>111</v>
      </c>
      <c r="C73" t="s">
        <v>85</v>
      </c>
      <c r="D73" t="s">
        <v>87</v>
      </c>
      <c r="F73" t="s">
        <v>62</v>
      </c>
      <c r="I73" t="str">
        <f t="shared" si="6"/>
        <v/>
      </c>
      <c r="J73" t="str">
        <f t="shared" si="7"/>
        <v/>
      </c>
    </row>
    <row r="74" spans="1:10" ht="15" customHeight="1" x14ac:dyDescent="0.25">
      <c r="A74">
        <v>4</v>
      </c>
      <c r="B74" t="s">
        <v>111</v>
      </c>
      <c r="C74" t="s">
        <v>60</v>
      </c>
      <c r="D74" t="s">
        <v>74</v>
      </c>
      <c r="F74" t="s">
        <v>70</v>
      </c>
      <c r="I74" t="str">
        <f t="shared" si="6"/>
        <v/>
      </c>
      <c r="J74" t="str">
        <f t="shared" si="7"/>
        <v/>
      </c>
    </row>
    <row r="75" spans="1:10" ht="15" customHeight="1" x14ac:dyDescent="0.25">
      <c r="A75">
        <v>4</v>
      </c>
      <c r="B75" t="s">
        <v>113</v>
      </c>
      <c r="C75" t="s">
        <v>97</v>
      </c>
      <c r="D75" t="s">
        <v>81</v>
      </c>
      <c r="F75" t="s">
        <v>73</v>
      </c>
      <c r="I75" t="str">
        <f t="shared" si="6"/>
        <v/>
      </c>
      <c r="J75" t="str">
        <f t="shared" si="7"/>
        <v/>
      </c>
    </row>
    <row r="77" spans="1:10" ht="15" customHeight="1" x14ac:dyDescent="0.25">
      <c r="A77" t="s">
        <v>114</v>
      </c>
    </row>
    <row r="78" spans="1:10" ht="15" customHeight="1" x14ac:dyDescent="0.25">
      <c r="A78" t="s">
        <v>49</v>
      </c>
      <c r="B78" t="s">
        <v>50</v>
      </c>
      <c r="C78" t="s">
        <v>51</v>
      </c>
      <c r="D78" t="s">
        <v>52</v>
      </c>
      <c r="E78" t="s">
        <v>53</v>
      </c>
      <c r="F78" t="s">
        <v>54</v>
      </c>
      <c r="G78" t="s">
        <v>55</v>
      </c>
      <c r="H78" t="s">
        <v>56</v>
      </c>
      <c r="I78" t="s">
        <v>57</v>
      </c>
      <c r="J78" t="s">
        <v>58</v>
      </c>
    </row>
    <row r="79" spans="1:10" ht="15" customHeight="1" x14ac:dyDescent="0.25">
      <c r="A79">
        <v>5</v>
      </c>
      <c r="B79" t="s">
        <v>115</v>
      </c>
      <c r="C79" t="s">
        <v>97</v>
      </c>
      <c r="D79" t="s">
        <v>71</v>
      </c>
      <c r="F79" t="s">
        <v>94</v>
      </c>
      <c r="I79" t="str">
        <f t="shared" ref="I79:I93" si="8">IF(OR(E79="",G79=""),"",IF(E79&gt;G79,D79,IF(G79&gt;E79,F79,"TIE")))</f>
        <v/>
      </c>
      <c r="J79" t="str">
        <f t="shared" ref="J79:J93" si="9">IF(OR(E79="",G79="",H79=""),"",IF(E79+H79&gt;G79,D79,IF(E79+H79&lt;G79,F79,"PUSH")))</f>
        <v/>
      </c>
    </row>
    <row r="80" spans="1:10" ht="15" customHeight="1" x14ac:dyDescent="0.25">
      <c r="A80">
        <v>5</v>
      </c>
      <c r="B80" t="s">
        <v>116</v>
      </c>
      <c r="C80" t="s">
        <v>112</v>
      </c>
      <c r="D80" t="s">
        <v>93</v>
      </c>
      <c r="F80" t="s">
        <v>80</v>
      </c>
      <c r="I80" t="str">
        <f t="shared" si="8"/>
        <v/>
      </c>
      <c r="J80" t="str">
        <f t="shared" si="9"/>
        <v/>
      </c>
    </row>
    <row r="81" spans="1:10" ht="15" customHeight="1" x14ac:dyDescent="0.25">
      <c r="A81">
        <v>5</v>
      </c>
      <c r="B81" t="s">
        <v>116</v>
      </c>
      <c r="C81" t="s">
        <v>68</v>
      </c>
      <c r="D81" t="s">
        <v>76</v>
      </c>
      <c r="F81" t="s">
        <v>84</v>
      </c>
      <c r="I81" t="str">
        <f t="shared" si="8"/>
        <v/>
      </c>
      <c r="J81" t="str">
        <f t="shared" si="9"/>
        <v/>
      </c>
    </row>
    <row r="82" spans="1:10" ht="15" customHeight="1" x14ac:dyDescent="0.25">
      <c r="A82">
        <v>5</v>
      </c>
      <c r="B82" t="s">
        <v>116</v>
      </c>
      <c r="C82" t="s">
        <v>68</v>
      </c>
      <c r="D82" t="s">
        <v>72</v>
      </c>
      <c r="F82" t="s">
        <v>88</v>
      </c>
      <c r="I82" t="str">
        <f t="shared" si="8"/>
        <v/>
      </c>
      <c r="J82" t="str">
        <f t="shared" si="9"/>
        <v/>
      </c>
    </row>
    <row r="83" spans="1:10" ht="15" customHeight="1" x14ac:dyDescent="0.25">
      <c r="A83">
        <v>5</v>
      </c>
      <c r="B83" t="s">
        <v>116</v>
      </c>
      <c r="C83" t="s">
        <v>68</v>
      </c>
      <c r="D83" t="s">
        <v>89</v>
      </c>
      <c r="F83" t="s">
        <v>61</v>
      </c>
      <c r="I83" t="str">
        <f t="shared" si="8"/>
        <v/>
      </c>
      <c r="J83" t="str">
        <f t="shared" si="9"/>
        <v/>
      </c>
    </row>
    <row r="84" spans="1:10" ht="15" customHeight="1" x14ac:dyDescent="0.25">
      <c r="A84">
        <v>5</v>
      </c>
      <c r="B84" t="s">
        <v>116</v>
      </c>
      <c r="C84" t="s">
        <v>68</v>
      </c>
      <c r="D84" t="s">
        <v>91</v>
      </c>
      <c r="F84" t="s">
        <v>73</v>
      </c>
      <c r="I84" t="str">
        <f t="shared" si="8"/>
        <v/>
      </c>
      <c r="J84" t="str">
        <f t="shared" si="9"/>
        <v/>
      </c>
    </row>
    <row r="85" spans="1:10" ht="15" customHeight="1" x14ac:dyDescent="0.25">
      <c r="A85">
        <v>5</v>
      </c>
      <c r="B85" t="s">
        <v>116</v>
      </c>
      <c r="C85" t="s">
        <v>68</v>
      </c>
      <c r="D85" t="s">
        <v>79</v>
      </c>
      <c r="F85" t="s">
        <v>83</v>
      </c>
      <c r="I85" t="str">
        <f t="shared" si="8"/>
        <v/>
      </c>
      <c r="J85" t="str">
        <f t="shared" si="9"/>
        <v/>
      </c>
    </row>
    <row r="86" spans="1:10" ht="15" customHeight="1" x14ac:dyDescent="0.25">
      <c r="A86">
        <v>5</v>
      </c>
      <c r="B86" t="s">
        <v>116</v>
      </c>
      <c r="C86" t="s">
        <v>68</v>
      </c>
      <c r="D86" t="s">
        <v>78</v>
      </c>
      <c r="F86" t="s">
        <v>82</v>
      </c>
      <c r="I86" t="str">
        <f t="shared" si="8"/>
        <v/>
      </c>
      <c r="J86" t="str">
        <f t="shared" si="9"/>
        <v/>
      </c>
    </row>
    <row r="87" spans="1:10" ht="15" customHeight="1" x14ac:dyDescent="0.25">
      <c r="A87">
        <v>5</v>
      </c>
      <c r="B87" t="s">
        <v>116</v>
      </c>
      <c r="C87" t="s">
        <v>68</v>
      </c>
      <c r="D87" t="s">
        <v>95</v>
      </c>
      <c r="F87" t="s">
        <v>92</v>
      </c>
      <c r="I87" t="str">
        <f t="shared" si="8"/>
        <v/>
      </c>
      <c r="J87" t="str">
        <f t="shared" si="9"/>
        <v/>
      </c>
    </row>
    <row r="88" spans="1:10" ht="15" customHeight="1" x14ac:dyDescent="0.25">
      <c r="A88">
        <v>5</v>
      </c>
      <c r="B88" t="s">
        <v>116</v>
      </c>
      <c r="C88" t="s">
        <v>103</v>
      </c>
      <c r="D88" t="s">
        <v>98</v>
      </c>
      <c r="F88" t="s">
        <v>87</v>
      </c>
      <c r="I88" t="str">
        <f t="shared" si="8"/>
        <v/>
      </c>
      <c r="J88" t="str">
        <f t="shared" si="9"/>
        <v/>
      </c>
    </row>
    <row r="89" spans="1:10" ht="15" customHeight="1" x14ac:dyDescent="0.25">
      <c r="A89">
        <v>5</v>
      </c>
      <c r="B89" t="s">
        <v>116</v>
      </c>
      <c r="C89" t="s">
        <v>85</v>
      </c>
      <c r="D89" t="s">
        <v>69</v>
      </c>
      <c r="F89" t="s">
        <v>90</v>
      </c>
      <c r="I89" t="str">
        <f t="shared" si="8"/>
        <v/>
      </c>
      <c r="J89" t="str">
        <f t="shared" si="9"/>
        <v/>
      </c>
    </row>
    <row r="90" spans="1:10" ht="15" customHeight="1" x14ac:dyDescent="0.25">
      <c r="A90">
        <v>5</v>
      </c>
      <c r="B90" t="s">
        <v>116</v>
      </c>
      <c r="C90" t="s">
        <v>85</v>
      </c>
      <c r="D90" t="s">
        <v>74</v>
      </c>
      <c r="F90" t="s">
        <v>86</v>
      </c>
      <c r="I90" t="str">
        <f t="shared" si="8"/>
        <v/>
      </c>
      <c r="J90" t="str">
        <f t="shared" si="9"/>
        <v/>
      </c>
    </row>
    <row r="91" spans="1:10" ht="15" customHeight="1" x14ac:dyDescent="0.25">
      <c r="A91">
        <v>5</v>
      </c>
      <c r="B91" t="s">
        <v>116</v>
      </c>
      <c r="C91" t="s">
        <v>85</v>
      </c>
      <c r="D91" t="s">
        <v>65</v>
      </c>
      <c r="F91" t="s">
        <v>62</v>
      </c>
      <c r="I91" t="str">
        <f t="shared" si="8"/>
        <v/>
      </c>
      <c r="J91" t="str">
        <f t="shared" si="9"/>
        <v/>
      </c>
    </row>
    <row r="92" spans="1:10" ht="15" customHeight="1" x14ac:dyDescent="0.25">
      <c r="A92">
        <v>5</v>
      </c>
      <c r="B92" t="s">
        <v>116</v>
      </c>
      <c r="C92" t="s">
        <v>60</v>
      </c>
      <c r="D92" t="s">
        <v>77</v>
      </c>
      <c r="F92" t="s">
        <v>81</v>
      </c>
      <c r="I92" t="str">
        <f t="shared" si="8"/>
        <v/>
      </c>
      <c r="J92" t="str">
        <f t="shared" si="9"/>
        <v/>
      </c>
    </row>
    <row r="93" spans="1:10" ht="15" customHeight="1" x14ac:dyDescent="0.25">
      <c r="A93">
        <v>5</v>
      </c>
      <c r="B93" t="s">
        <v>117</v>
      </c>
      <c r="C93" t="s">
        <v>97</v>
      </c>
      <c r="D93" t="s">
        <v>75</v>
      </c>
      <c r="F93" t="s">
        <v>66</v>
      </c>
      <c r="I93" t="str">
        <f t="shared" si="8"/>
        <v/>
      </c>
      <c r="J93" t="str">
        <f t="shared" si="9"/>
        <v/>
      </c>
    </row>
    <row r="95" spans="1:10" ht="15" customHeight="1" x14ac:dyDescent="0.25">
      <c r="A95" t="s">
        <v>118</v>
      </c>
    </row>
    <row r="96" spans="1:10" ht="15" customHeight="1" x14ac:dyDescent="0.25">
      <c r="A96" t="s">
        <v>49</v>
      </c>
      <c r="B96" t="s">
        <v>50</v>
      </c>
      <c r="C96" t="s">
        <v>51</v>
      </c>
      <c r="D96" t="s">
        <v>52</v>
      </c>
      <c r="E96" t="s">
        <v>53</v>
      </c>
      <c r="F96" t="s">
        <v>54</v>
      </c>
      <c r="G96" t="s">
        <v>55</v>
      </c>
      <c r="H96" t="s">
        <v>56</v>
      </c>
      <c r="I96" t="s">
        <v>57</v>
      </c>
      <c r="J96" t="s">
        <v>58</v>
      </c>
    </row>
    <row r="97" spans="1:10" ht="15" customHeight="1" x14ac:dyDescent="0.25">
      <c r="A97">
        <v>6</v>
      </c>
      <c r="B97" t="s">
        <v>119</v>
      </c>
      <c r="C97" t="s">
        <v>97</v>
      </c>
      <c r="D97" t="s">
        <v>62</v>
      </c>
      <c r="F97" t="s">
        <v>98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120</v>
      </c>
      <c r="C98" t="s">
        <v>112</v>
      </c>
      <c r="D98" t="s">
        <v>76</v>
      </c>
      <c r="F98" t="s">
        <v>80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120</v>
      </c>
      <c r="C99" t="s">
        <v>68</v>
      </c>
      <c r="D99" t="s">
        <v>69</v>
      </c>
      <c r="F99" t="s">
        <v>81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120</v>
      </c>
      <c r="C100" t="s">
        <v>68</v>
      </c>
      <c r="D100" t="s">
        <v>77</v>
      </c>
      <c r="F100" t="s">
        <v>79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120</v>
      </c>
      <c r="C101" t="s">
        <v>68</v>
      </c>
      <c r="D101" t="s">
        <v>84</v>
      </c>
      <c r="F101" t="s">
        <v>78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120</v>
      </c>
      <c r="C102" t="s">
        <v>68</v>
      </c>
      <c r="D102" t="s">
        <v>83</v>
      </c>
      <c r="F102" t="s">
        <v>61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120</v>
      </c>
      <c r="C103" t="s">
        <v>68</v>
      </c>
      <c r="D103" t="s">
        <v>73</v>
      </c>
      <c r="F103" t="s">
        <v>95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120</v>
      </c>
      <c r="C104" t="s">
        <v>68</v>
      </c>
      <c r="D104" t="s">
        <v>70</v>
      </c>
      <c r="F104" t="s">
        <v>93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120</v>
      </c>
      <c r="C105" t="s">
        <v>68</v>
      </c>
      <c r="D105" t="s">
        <v>82</v>
      </c>
      <c r="F105" t="s">
        <v>71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120</v>
      </c>
      <c r="C106" t="s">
        <v>103</v>
      </c>
      <c r="D106" t="s">
        <v>86</v>
      </c>
      <c r="F106" t="s">
        <v>87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120</v>
      </c>
      <c r="C107" t="s">
        <v>85</v>
      </c>
      <c r="D107" t="s">
        <v>66</v>
      </c>
      <c r="F107" t="s">
        <v>99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120</v>
      </c>
      <c r="C108" t="s">
        <v>85</v>
      </c>
      <c r="D108" t="s">
        <v>75</v>
      </c>
      <c r="F108" t="s">
        <v>89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120</v>
      </c>
      <c r="C109" t="s">
        <v>60</v>
      </c>
      <c r="D109" t="s">
        <v>94</v>
      </c>
      <c r="F109" t="s">
        <v>90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121</v>
      </c>
      <c r="C110" t="s">
        <v>97</v>
      </c>
      <c r="D110" t="s">
        <v>92</v>
      </c>
      <c r="F110" t="s">
        <v>65</v>
      </c>
      <c r="I110" t="str">
        <f t="shared" si="10"/>
        <v/>
      </c>
      <c r="J110" t="str">
        <f t="shared" si="11"/>
        <v/>
      </c>
    </row>
    <row r="112" spans="1:10" ht="15" customHeight="1" x14ac:dyDescent="0.25">
      <c r="A112" t="s">
        <v>122</v>
      </c>
    </row>
    <row r="113" spans="1:10" ht="15" customHeight="1" x14ac:dyDescent="0.25">
      <c r="A113" t="s">
        <v>49</v>
      </c>
      <c r="B113" t="s">
        <v>50</v>
      </c>
      <c r="C113" t="s">
        <v>51</v>
      </c>
      <c r="D113" t="s">
        <v>52</v>
      </c>
      <c r="E113" t="s">
        <v>53</v>
      </c>
      <c r="F113" t="s">
        <v>54</v>
      </c>
      <c r="G113" t="s">
        <v>55</v>
      </c>
      <c r="H113" t="s">
        <v>56</v>
      </c>
      <c r="I113" t="s">
        <v>57</v>
      </c>
      <c r="J113" t="s">
        <v>58</v>
      </c>
    </row>
    <row r="114" spans="1:10" ht="15" customHeight="1" x14ac:dyDescent="0.25">
      <c r="A114">
        <v>7</v>
      </c>
      <c r="B114" t="s">
        <v>123</v>
      </c>
      <c r="C114" t="s">
        <v>97</v>
      </c>
      <c r="D114" t="s">
        <v>61</v>
      </c>
      <c r="F114" t="s">
        <v>69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124</v>
      </c>
      <c r="C115" t="s">
        <v>112</v>
      </c>
      <c r="D115" t="s">
        <v>82</v>
      </c>
      <c r="F115" t="s">
        <v>73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124</v>
      </c>
      <c r="C116" t="s">
        <v>68</v>
      </c>
      <c r="D116" t="s">
        <v>65</v>
      </c>
      <c r="F116" t="s">
        <v>81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124</v>
      </c>
      <c r="C117" t="s">
        <v>68</v>
      </c>
      <c r="D117" t="s">
        <v>79</v>
      </c>
      <c r="F117" t="s">
        <v>84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124</v>
      </c>
      <c r="C118" t="s">
        <v>68</v>
      </c>
      <c r="D118" t="s">
        <v>78</v>
      </c>
      <c r="F118" t="s">
        <v>91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124</v>
      </c>
      <c r="C119" t="s">
        <v>68</v>
      </c>
      <c r="D119" t="s">
        <v>88</v>
      </c>
      <c r="F119" t="s">
        <v>83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124</v>
      </c>
      <c r="C120" t="s">
        <v>68</v>
      </c>
      <c r="D120" t="s">
        <v>71</v>
      </c>
      <c r="F120" t="s">
        <v>70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124</v>
      </c>
      <c r="C121" t="s">
        <v>68</v>
      </c>
      <c r="D121" t="s">
        <v>72</v>
      </c>
      <c r="F121" t="s">
        <v>77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124</v>
      </c>
      <c r="C122" t="s">
        <v>68</v>
      </c>
      <c r="D122" t="s">
        <v>95</v>
      </c>
      <c r="F122" t="s">
        <v>76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124</v>
      </c>
      <c r="C123" t="s">
        <v>103</v>
      </c>
      <c r="D123" t="s">
        <v>98</v>
      </c>
      <c r="F123" t="s">
        <v>86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124</v>
      </c>
      <c r="C124" t="s">
        <v>85</v>
      </c>
      <c r="D124" t="s">
        <v>90</v>
      </c>
      <c r="F124" t="s">
        <v>74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124</v>
      </c>
      <c r="C125" t="s">
        <v>85</v>
      </c>
      <c r="D125" t="s">
        <v>66</v>
      </c>
      <c r="F125" t="s">
        <v>89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124</v>
      </c>
      <c r="C126" t="s">
        <v>60</v>
      </c>
      <c r="D126" t="s">
        <v>99</v>
      </c>
      <c r="F126" t="s">
        <v>62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125</v>
      </c>
      <c r="C127" t="s">
        <v>97</v>
      </c>
      <c r="D127" t="s">
        <v>94</v>
      </c>
      <c r="F127" t="s">
        <v>93</v>
      </c>
      <c r="I127" t="str">
        <f t="shared" si="12"/>
        <v/>
      </c>
      <c r="J127" t="str">
        <f t="shared" si="13"/>
        <v/>
      </c>
    </row>
    <row r="129" spans="1:10" ht="15" customHeight="1" x14ac:dyDescent="0.25">
      <c r="A129" t="s">
        <v>126</v>
      </c>
    </row>
    <row r="130" spans="1:10" ht="15" customHeight="1" x14ac:dyDescent="0.25">
      <c r="A130" t="s">
        <v>49</v>
      </c>
      <c r="B130" t="s">
        <v>50</v>
      </c>
      <c r="C130" t="s">
        <v>51</v>
      </c>
      <c r="D130" t="s">
        <v>52</v>
      </c>
      <c r="E130" t="s">
        <v>53</v>
      </c>
      <c r="F130" t="s">
        <v>54</v>
      </c>
      <c r="G130" t="s">
        <v>55</v>
      </c>
      <c r="H130" t="s">
        <v>56</v>
      </c>
      <c r="I130" t="s">
        <v>57</v>
      </c>
      <c r="J130" t="s">
        <v>58</v>
      </c>
    </row>
    <row r="131" spans="1:10" ht="15" customHeight="1" x14ac:dyDescent="0.25">
      <c r="A131">
        <v>8</v>
      </c>
      <c r="B131" t="s">
        <v>127</v>
      </c>
      <c r="C131" t="s">
        <v>97</v>
      </c>
      <c r="D131" t="s">
        <v>70</v>
      </c>
      <c r="F131" t="s">
        <v>90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128</v>
      </c>
      <c r="C132" t="s">
        <v>68</v>
      </c>
      <c r="D132" t="s">
        <v>77</v>
      </c>
      <c r="F132" t="s">
        <v>75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128</v>
      </c>
      <c r="C133" t="s">
        <v>68</v>
      </c>
      <c r="D133" t="s">
        <v>84</v>
      </c>
      <c r="F133" t="s">
        <v>72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128</v>
      </c>
      <c r="C134" t="s">
        <v>68</v>
      </c>
      <c r="D134" t="s">
        <v>86</v>
      </c>
      <c r="F134" t="s">
        <v>94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128</v>
      </c>
      <c r="C135" t="s">
        <v>68</v>
      </c>
      <c r="D135" t="s">
        <v>91</v>
      </c>
      <c r="F135" t="s">
        <v>74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128</v>
      </c>
      <c r="C136" t="s">
        <v>68</v>
      </c>
      <c r="D136" t="s">
        <v>89</v>
      </c>
      <c r="F136" t="s">
        <v>83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128</v>
      </c>
      <c r="C137" t="s">
        <v>68</v>
      </c>
      <c r="D137" t="s">
        <v>79</v>
      </c>
      <c r="F137" t="s">
        <v>82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128</v>
      </c>
      <c r="C138" t="s">
        <v>68</v>
      </c>
      <c r="D138" t="s">
        <v>81</v>
      </c>
      <c r="F138" t="s">
        <v>71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128</v>
      </c>
      <c r="C139" t="s">
        <v>68</v>
      </c>
      <c r="D139" t="s">
        <v>78</v>
      </c>
      <c r="F139" t="s">
        <v>80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128</v>
      </c>
      <c r="C140" t="s">
        <v>103</v>
      </c>
      <c r="D140" t="s">
        <v>66</v>
      </c>
      <c r="F140" t="s">
        <v>87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128</v>
      </c>
      <c r="C141" t="s">
        <v>85</v>
      </c>
      <c r="D141" t="s">
        <v>99</v>
      </c>
      <c r="F141" t="s">
        <v>98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128</v>
      </c>
      <c r="C142" t="s">
        <v>85</v>
      </c>
      <c r="D142" t="s">
        <v>61</v>
      </c>
      <c r="F142" t="s">
        <v>88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128</v>
      </c>
      <c r="C143" t="s">
        <v>60</v>
      </c>
      <c r="D143" t="s">
        <v>93</v>
      </c>
      <c r="F143" t="s">
        <v>92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129</v>
      </c>
      <c r="C144" t="s">
        <v>97</v>
      </c>
      <c r="D144" t="s">
        <v>69</v>
      </c>
      <c r="F144" t="s">
        <v>62</v>
      </c>
      <c r="I144" t="str">
        <f t="shared" si="14"/>
        <v/>
      </c>
      <c r="J144" t="str">
        <f t="shared" si="15"/>
        <v/>
      </c>
    </row>
    <row r="146" spans="1:10" ht="15" customHeight="1" x14ac:dyDescent="0.25">
      <c r="A146" t="s">
        <v>130</v>
      </c>
    </row>
    <row r="147" spans="1:10" ht="15" customHeight="1" x14ac:dyDescent="0.25">
      <c r="A147" t="s">
        <v>49</v>
      </c>
      <c r="B147" t="s">
        <v>50</v>
      </c>
      <c r="C147" t="s">
        <v>51</v>
      </c>
      <c r="D147" t="s">
        <v>52</v>
      </c>
      <c r="E147" t="s">
        <v>53</v>
      </c>
      <c r="F147" t="s">
        <v>54</v>
      </c>
      <c r="G147" t="s">
        <v>55</v>
      </c>
      <c r="H147" t="s">
        <v>56</v>
      </c>
      <c r="I147" t="s">
        <v>57</v>
      </c>
      <c r="J147" t="s">
        <v>58</v>
      </c>
    </row>
    <row r="148" spans="1:10" ht="15" customHeight="1" x14ac:dyDescent="0.25">
      <c r="A148">
        <v>9</v>
      </c>
      <c r="B148" t="s">
        <v>131</v>
      </c>
      <c r="C148" t="s">
        <v>97</v>
      </c>
      <c r="D148" t="s">
        <v>80</v>
      </c>
      <c r="F148" t="s">
        <v>77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132</v>
      </c>
      <c r="C149" t="s">
        <v>112</v>
      </c>
      <c r="D149" t="s">
        <v>72</v>
      </c>
      <c r="F149" t="s">
        <v>81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132</v>
      </c>
      <c r="C150" t="s">
        <v>68</v>
      </c>
      <c r="D150" t="s">
        <v>94</v>
      </c>
      <c r="F150" t="s">
        <v>78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132</v>
      </c>
      <c r="C151" t="s">
        <v>68</v>
      </c>
      <c r="D151" t="s">
        <v>83</v>
      </c>
      <c r="F151" t="s">
        <v>99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132</v>
      </c>
      <c r="C152" t="s">
        <v>68</v>
      </c>
      <c r="D152" t="s">
        <v>74</v>
      </c>
      <c r="F152" t="s">
        <v>88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132</v>
      </c>
      <c r="C153" t="s">
        <v>68</v>
      </c>
      <c r="D153" t="s">
        <v>79</v>
      </c>
      <c r="F153" t="s">
        <v>73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132</v>
      </c>
      <c r="C154" t="s">
        <v>68</v>
      </c>
      <c r="D154" t="s">
        <v>95</v>
      </c>
      <c r="F154" t="s">
        <v>93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132</v>
      </c>
      <c r="C155" t="s">
        <v>68</v>
      </c>
      <c r="D155" t="s">
        <v>66</v>
      </c>
      <c r="F155" t="s">
        <v>92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132</v>
      </c>
      <c r="C156" t="s">
        <v>68</v>
      </c>
      <c r="D156" t="s">
        <v>98</v>
      </c>
      <c r="F156" t="s">
        <v>70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132</v>
      </c>
      <c r="C157" t="s">
        <v>103</v>
      </c>
      <c r="D157" t="s">
        <v>76</v>
      </c>
      <c r="F157" t="s">
        <v>87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132</v>
      </c>
      <c r="C158" t="s">
        <v>103</v>
      </c>
      <c r="D158" t="s">
        <v>89</v>
      </c>
      <c r="F158" t="s">
        <v>65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132</v>
      </c>
      <c r="C159" t="s">
        <v>85</v>
      </c>
      <c r="D159" t="s">
        <v>90</v>
      </c>
      <c r="F159" t="s">
        <v>61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132</v>
      </c>
      <c r="C160" t="s">
        <v>85</v>
      </c>
      <c r="D160" t="s">
        <v>86</v>
      </c>
      <c r="F160" t="s">
        <v>62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132</v>
      </c>
      <c r="C161" t="s">
        <v>60</v>
      </c>
      <c r="D161" t="s">
        <v>71</v>
      </c>
      <c r="F161" t="s">
        <v>69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133</v>
      </c>
      <c r="C162" t="s">
        <v>97</v>
      </c>
      <c r="D162" t="s">
        <v>75</v>
      </c>
      <c r="F162" t="s">
        <v>91</v>
      </c>
      <c r="I162" t="str">
        <f t="shared" si="16"/>
        <v/>
      </c>
      <c r="J162" t="str">
        <f t="shared" si="17"/>
        <v/>
      </c>
    </row>
    <row r="164" spans="1:10" ht="15" customHeight="1" x14ac:dyDescent="0.25">
      <c r="A164" t="s">
        <v>134</v>
      </c>
    </row>
    <row r="165" spans="1:10" ht="15" customHeight="1" x14ac:dyDescent="0.25">
      <c r="A165" t="s">
        <v>49</v>
      </c>
      <c r="B165" t="s">
        <v>50</v>
      </c>
      <c r="C165" t="s">
        <v>51</v>
      </c>
      <c r="D165" t="s">
        <v>52</v>
      </c>
      <c r="E165" t="s">
        <v>53</v>
      </c>
      <c r="F165" t="s">
        <v>54</v>
      </c>
      <c r="G165" t="s">
        <v>55</v>
      </c>
      <c r="H165" t="s">
        <v>56</v>
      </c>
      <c r="I165" t="s">
        <v>57</v>
      </c>
      <c r="J165" t="s">
        <v>58</v>
      </c>
    </row>
    <row r="166" spans="1:10" ht="15" customHeight="1" x14ac:dyDescent="0.25">
      <c r="A166">
        <v>10</v>
      </c>
      <c r="B166" t="s">
        <v>135</v>
      </c>
      <c r="C166" t="s">
        <v>97</v>
      </c>
      <c r="D166" t="s">
        <v>92</v>
      </c>
      <c r="F166" t="s">
        <v>95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136</v>
      </c>
      <c r="C167" t="s">
        <v>112</v>
      </c>
      <c r="D167" t="s">
        <v>61</v>
      </c>
      <c r="F167" t="s">
        <v>74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136</v>
      </c>
      <c r="C168" t="s">
        <v>68</v>
      </c>
      <c r="D168" t="s">
        <v>99</v>
      </c>
      <c r="F168" t="s">
        <v>81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136</v>
      </c>
      <c r="C169" t="s">
        <v>68</v>
      </c>
      <c r="D169" t="s">
        <v>76</v>
      </c>
      <c r="F169" t="s">
        <v>79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136</v>
      </c>
      <c r="C170" t="s">
        <v>68</v>
      </c>
      <c r="D170" t="s">
        <v>91</v>
      </c>
      <c r="F170" t="s">
        <v>90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136</v>
      </c>
      <c r="C171" t="s">
        <v>68</v>
      </c>
      <c r="D171" t="s">
        <v>80</v>
      </c>
      <c r="F171" t="s">
        <v>84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136</v>
      </c>
      <c r="C172" t="s">
        <v>68</v>
      </c>
      <c r="D172" t="s">
        <v>88</v>
      </c>
      <c r="F172" t="s">
        <v>78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136</v>
      </c>
      <c r="C173" t="s">
        <v>68</v>
      </c>
      <c r="D173" t="s">
        <v>70</v>
      </c>
      <c r="F173" t="s">
        <v>73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136</v>
      </c>
      <c r="C174" t="s">
        <v>68</v>
      </c>
      <c r="D174" t="s">
        <v>75</v>
      </c>
      <c r="F174" t="s">
        <v>83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136</v>
      </c>
      <c r="C175" t="s">
        <v>103</v>
      </c>
      <c r="D175" t="s">
        <v>62</v>
      </c>
      <c r="F175" t="s">
        <v>89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136</v>
      </c>
      <c r="C176" t="s">
        <v>103</v>
      </c>
      <c r="D176" t="s">
        <v>66</v>
      </c>
      <c r="F176" t="s">
        <v>86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136</v>
      </c>
      <c r="C177" t="s">
        <v>85</v>
      </c>
      <c r="D177" t="s">
        <v>65</v>
      </c>
      <c r="F177" t="s">
        <v>94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136</v>
      </c>
      <c r="C178" t="s">
        <v>60</v>
      </c>
      <c r="D178" t="s">
        <v>82</v>
      </c>
      <c r="F178" t="s">
        <v>72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137</v>
      </c>
      <c r="C179" t="s">
        <v>97</v>
      </c>
      <c r="D179" t="s">
        <v>87</v>
      </c>
      <c r="F179" t="s">
        <v>77</v>
      </c>
      <c r="I179" t="str">
        <f t="shared" si="18"/>
        <v/>
      </c>
      <c r="J179" t="str">
        <f t="shared" si="19"/>
        <v/>
      </c>
    </row>
    <row r="181" spans="1:10" ht="15" customHeight="1" x14ac:dyDescent="0.25">
      <c r="A181" t="s">
        <v>138</v>
      </c>
    </row>
    <row r="182" spans="1:10" ht="15" customHeight="1" x14ac:dyDescent="0.25">
      <c r="A182" t="s">
        <v>49</v>
      </c>
      <c r="B182" t="s">
        <v>50</v>
      </c>
      <c r="C182" t="s">
        <v>51</v>
      </c>
      <c r="D182" t="s">
        <v>52</v>
      </c>
      <c r="E182" t="s">
        <v>53</v>
      </c>
      <c r="F182" t="s">
        <v>54</v>
      </c>
      <c r="G182" t="s">
        <v>55</v>
      </c>
      <c r="H182" t="s">
        <v>56</v>
      </c>
      <c r="I182" t="s">
        <v>57</v>
      </c>
      <c r="J182" t="s">
        <v>58</v>
      </c>
    </row>
    <row r="183" spans="1:10" ht="15" customHeight="1" x14ac:dyDescent="0.25">
      <c r="A183">
        <v>11</v>
      </c>
      <c r="B183" t="s">
        <v>139</v>
      </c>
      <c r="C183" t="s">
        <v>97</v>
      </c>
      <c r="D183" t="s">
        <v>78</v>
      </c>
      <c r="F183" t="s">
        <v>76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140</v>
      </c>
      <c r="C184" t="s">
        <v>68</v>
      </c>
      <c r="D184" t="s">
        <v>88</v>
      </c>
      <c r="F184" t="s">
        <v>75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140</v>
      </c>
      <c r="C185" t="s">
        <v>68</v>
      </c>
      <c r="D185" t="s">
        <v>73</v>
      </c>
      <c r="F185" t="s">
        <v>69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140</v>
      </c>
      <c r="C186" t="s">
        <v>68</v>
      </c>
      <c r="D186" t="s">
        <v>84</v>
      </c>
      <c r="F186" t="s">
        <v>94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140</v>
      </c>
      <c r="C187" t="s">
        <v>68</v>
      </c>
      <c r="D187" t="s">
        <v>71</v>
      </c>
      <c r="F187" t="s">
        <v>74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140</v>
      </c>
      <c r="C188" t="s">
        <v>68</v>
      </c>
      <c r="D188" t="s">
        <v>86</v>
      </c>
      <c r="F188" t="s">
        <v>99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140</v>
      </c>
      <c r="C189" t="s">
        <v>68</v>
      </c>
      <c r="D189" t="s">
        <v>80</v>
      </c>
      <c r="F189" t="s">
        <v>95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140</v>
      </c>
      <c r="C190" t="s">
        <v>68</v>
      </c>
      <c r="D190" t="s">
        <v>77</v>
      </c>
      <c r="F190" t="s">
        <v>70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140</v>
      </c>
      <c r="C191" t="s">
        <v>103</v>
      </c>
      <c r="D191" t="s">
        <v>83</v>
      </c>
      <c r="F191" t="s">
        <v>87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140</v>
      </c>
      <c r="C192" t="s">
        <v>85</v>
      </c>
      <c r="D192" t="s">
        <v>89</v>
      </c>
      <c r="F192" t="s">
        <v>98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140</v>
      </c>
      <c r="C193" t="s">
        <v>85</v>
      </c>
      <c r="D193" t="s">
        <v>82</v>
      </c>
      <c r="F193" t="s">
        <v>93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140</v>
      </c>
      <c r="C194" t="s">
        <v>60</v>
      </c>
      <c r="D194" t="s">
        <v>91</v>
      </c>
      <c r="F194" t="s">
        <v>65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141</v>
      </c>
      <c r="C195" t="s">
        <v>97</v>
      </c>
      <c r="D195" t="s">
        <v>72</v>
      </c>
      <c r="F195" t="s">
        <v>92</v>
      </c>
      <c r="I195" t="str">
        <f t="shared" si="20"/>
        <v/>
      </c>
      <c r="J195" t="str">
        <f t="shared" si="21"/>
        <v/>
      </c>
    </row>
    <row r="197" spans="1:10" ht="15" customHeight="1" x14ac:dyDescent="0.25">
      <c r="A197" t="s">
        <v>142</v>
      </c>
    </row>
    <row r="198" spans="1:10" ht="15" customHeight="1" x14ac:dyDescent="0.25">
      <c r="A198" t="s">
        <v>49</v>
      </c>
      <c r="B198" t="s">
        <v>50</v>
      </c>
      <c r="C198" t="s">
        <v>51</v>
      </c>
      <c r="D198" t="s">
        <v>52</v>
      </c>
      <c r="E198" t="s">
        <v>53</v>
      </c>
      <c r="F198" t="s">
        <v>54</v>
      </c>
      <c r="G198" t="s">
        <v>55</v>
      </c>
      <c r="H198" t="s">
        <v>56</v>
      </c>
      <c r="I198" t="s">
        <v>57</v>
      </c>
      <c r="J198" t="s">
        <v>58</v>
      </c>
    </row>
    <row r="199" spans="1:10" ht="15" customHeight="1" x14ac:dyDescent="0.25">
      <c r="A199">
        <v>12</v>
      </c>
      <c r="B199" t="s">
        <v>143</v>
      </c>
      <c r="C199" t="s">
        <v>144</v>
      </c>
      <c r="D199" t="s">
        <v>90</v>
      </c>
      <c r="F199" t="s">
        <v>66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145</v>
      </c>
      <c r="C200" t="s">
        <v>68</v>
      </c>
      <c r="D200" t="s">
        <v>69</v>
      </c>
      <c r="F200" t="s">
        <v>74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145</v>
      </c>
      <c r="C201" t="s">
        <v>146</v>
      </c>
      <c r="D201" t="s">
        <v>93</v>
      </c>
      <c r="F201" t="s">
        <v>94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145</v>
      </c>
      <c r="C202" t="s">
        <v>60</v>
      </c>
      <c r="D202" t="s">
        <v>99</v>
      </c>
      <c r="F202" t="s">
        <v>75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147</v>
      </c>
      <c r="C203" t="s">
        <v>148</v>
      </c>
      <c r="D203" t="s">
        <v>98</v>
      </c>
      <c r="F203" t="s">
        <v>82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149</v>
      </c>
      <c r="C204" t="s">
        <v>68</v>
      </c>
      <c r="D204" t="s">
        <v>73</v>
      </c>
      <c r="F204" t="s">
        <v>72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149</v>
      </c>
      <c r="C205" t="s">
        <v>68</v>
      </c>
      <c r="D205" t="s">
        <v>89</v>
      </c>
      <c r="F205" t="s">
        <v>79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149</v>
      </c>
      <c r="C206" t="s">
        <v>68</v>
      </c>
      <c r="D206" t="s">
        <v>95</v>
      </c>
      <c r="F206" t="s">
        <v>78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149</v>
      </c>
      <c r="C207" t="s">
        <v>68</v>
      </c>
      <c r="D207" t="s">
        <v>83</v>
      </c>
      <c r="F207" t="s">
        <v>88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149</v>
      </c>
      <c r="C208" t="s">
        <v>68</v>
      </c>
      <c r="D208" t="s">
        <v>81</v>
      </c>
      <c r="F208" t="s">
        <v>91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149</v>
      </c>
      <c r="C209" t="s">
        <v>68</v>
      </c>
      <c r="D209" t="s">
        <v>77</v>
      </c>
      <c r="F209" t="s">
        <v>76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149</v>
      </c>
      <c r="C210" t="s">
        <v>103</v>
      </c>
      <c r="D210" t="s">
        <v>84</v>
      </c>
      <c r="F210" t="s">
        <v>80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149</v>
      </c>
      <c r="C211" t="s">
        <v>85</v>
      </c>
      <c r="D211" t="s">
        <v>92</v>
      </c>
      <c r="F211" t="s">
        <v>86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149</v>
      </c>
      <c r="C212" t="s">
        <v>85</v>
      </c>
      <c r="D212" t="s">
        <v>62</v>
      </c>
      <c r="F212" t="s">
        <v>65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149</v>
      </c>
      <c r="C213" t="s">
        <v>60</v>
      </c>
      <c r="D213" t="s">
        <v>61</v>
      </c>
      <c r="F213" t="s">
        <v>87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150</v>
      </c>
      <c r="C214" t="s">
        <v>97</v>
      </c>
      <c r="D214" t="s">
        <v>70</v>
      </c>
      <c r="F214" t="s">
        <v>71</v>
      </c>
      <c r="I214" t="str">
        <f t="shared" si="22"/>
        <v/>
      </c>
      <c r="J214" t="str">
        <f t="shared" si="23"/>
        <v/>
      </c>
    </row>
    <row r="216" spans="1:10" ht="15" customHeight="1" x14ac:dyDescent="0.25">
      <c r="A216" t="s">
        <v>151</v>
      </c>
    </row>
    <row r="217" spans="1:10" ht="15" customHeight="1" x14ac:dyDescent="0.25">
      <c r="A217" t="s">
        <v>49</v>
      </c>
      <c r="B217" t="s">
        <v>50</v>
      </c>
      <c r="C217" t="s">
        <v>51</v>
      </c>
      <c r="D217" t="s">
        <v>52</v>
      </c>
      <c r="E217" t="s">
        <v>53</v>
      </c>
      <c r="F217" t="s">
        <v>54</v>
      </c>
      <c r="G217" t="s">
        <v>55</v>
      </c>
      <c r="H217" t="s">
        <v>56</v>
      </c>
      <c r="I217" t="s">
        <v>57</v>
      </c>
      <c r="J217" t="s">
        <v>58</v>
      </c>
    </row>
    <row r="218" spans="1:10" ht="15" customHeight="1" x14ac:dyDescent="0.25">
      <c r="A218">
        <v>13</v>
      </c>
      <c r="B218" t="s">
        <v>152</v>
      </c>
      <c r="C218" t="s">
        <v>97</v>
      </c>
      <c r="D218" t="s">
        <v>99</v>
      </c>
      <c r="F218" t="s">
        <v>87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153</v>
      </c>
      <c r="C219" t="s">
        <v>68</v>
      </c>
      <c r="D219" t="s">
        <v>74</v>
      </c>
      <c r="F219" t="s">
        <v>81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153</v>
      </c>
      <c r="C220" t="s">
        <v>68</v>
      </c>
      <c r="D220" t="s">
        <v>80</v>
      </c>
      <c r="F220" t="s">
        <v>69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153</v>
      </c>
      <c r="C221" t="s">
        <v>68</v>
      </c>
      <c r="D221" t="s">
        <v>72</v>
      </c>
      <c r="F221" t="s">
        <v>79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153</v>
      </c>
      <c r="C222" t="s">
        <v>68</v>
      </c>
      <c r="D222" t="s">
        <v>92</v>
      </c>
      <c r="F222" t="s">
        <v>84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153</v>
      </c>
      <c r="C223" t="s">
        <v>68</v>
      </c>
      <c r="D223" t="s">
        <v>90</v>
      </c>
      <c r="F223" t="s">
        <v>73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153</v>
      </c>
      <c r="C224" t="s">
        <v>68</v>
      </c>
      <c r="D224" t="s">
        <v>65</v>
      </c>
      <c r="F224" t="s">
        <v>95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153</v>
      </c>
      <c r="C225" t="s">
        <v>68</v>
      </c>
      <c r="D225" t="s">
        <v>66</v>
      </c>
      <c r="F225" t="s">
        <v>71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153</v>
      </c>
      <c r="C226" t="s">
        <v>103</v>
      </c>
      <c r="D226" t="s">
        <v>88</v>
      </c>
      <c r="F226" t="s">
        <v>98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153</v>
      </c>
      <c r="C227" t="s">
        <v>103</v>
      </c>
      <c r="D227" t="s">
        <v>93</v>
      </c>
      <c r="F227" t="s">
        <v>86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153</v>
      </c>
      <c r="C228" t="s">
        <v>85</v>
      </c>
      <c r="D228" t="s">
        <v>70</v>
      </c>
      <c r="F228" t="s">
        <v>91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153</v>
      </c>
      <c r="C229" t="s">
        <v>85</v>
      </c>
      <c r="D229" t="s">
        <v>75</v>
      </c>
      <c r="F229" t="s">
        <v>61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153</v>
      </c>
      <c r="C230" t="s">
        <v>60</v>
      </c>
      <c r="D230" t="s">
        <v>76</v>
      </c>
      <c r="F230" t="s">
        <v>82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154</v>
      </c>
      <c r="C231" t="s">
        <v>97</v>
      </c>
      <c r="D231" t="s">
        <v>94</v>
      </c>
      <c r="F231" t="s">
        <v>62</v>
      </c>
      <c r="I231" t="str">
        <f t="shared" si="24"/>
        <v/>
      </c>
      <c r="J231" t="str">
        <f t="shared" si="25"/>
        <v/>
      </c>
    </row>
    <row r="233" spans="1:10" ht="15" customHeight="1" x14ac:dyDescent="0.25">
      <c r="A233" t="s">
        <v>155</v>
      </c>
    </row>
    <row r="234" spans="1:10" ht="15" customHeight="1" x14ac:dyDescent="0.25">
      <c r="A234" t="s">
        <v>49</v>
      </c>
      <c r="B234" t="s">
        <v>50</v>
      </c>
      <c r="C234" t="s">
        <v>51</v>
      </c>
      <c r="D234" t="s">
        <v>52</v>
      </c>
      <c r="E234" t="s">
        <v>53</v>
      </c>
      <c r="F234" t="s">
        <v>54</v>
      </c>
      <c r="G234" t="s">
        <v>55</v>
      </c>
      <c r="H234" t="s">
        <v>56</v>
      </c>
      <c r="I234" t="s">
        <v>57</v>
      </c>
      <c r="J234" t="s">
        <v>58</v>
      </c>
    </row>
    <row r="235" spans="1:10" ht="15" customHeight="1" x14ac:dyDescent="0.25">
      <c r="A235">
        <v>14</v>
      </c>
      <c r="B235" t="s">
        <v>156</v>
      </c>
      <c r="C235" t="s">
        <v>97</v>
      </c>
      <c r="D235" t="s">
        <v>91</v>
      </c>
      <c r="F235" t="s">
        <v>61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157</v>
      </c>
      <c r="C236" t="s">
        <v>68</v>
      </c>
      <c r="D236" t="s">
        <v>81</v>
      </c>
      <c r="F236" t="s">
        <v>79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157</v>
      </c>
      <c r="C237" t="s">
        <v>68</v>
      </c>
      <c r="D237" t="s">
        <v>84</v>
      </c>
      <c r="F237" t="s">
        <v>74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157</v>
      </c>
      <c r="C238" t="s">
        <v>68</v>
      </c>
      <c r="D238" t="s">
        <v>69</v>
      </c>
      <c r="F238" t="s">
        <v>88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157</v>
      </c>
      <c r="C239" t="s">
        <v>68</v>
      </c>
      <c r="D239" t="s">
        <v>98</v>
      </c>
      <c r="F239" t="s">
        <v>83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157</v>
      </c>
      <c r="C240" t="s">
        <v>68</v>
      </c>
      <c r="D240" t="s">
        <v>78</v>
      </c>
      <c r="F240" t="s">
        <v>93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157</v>
      </c>
      <c r="C241" t="s">
        <v>68</v>
      </c>
      <c r="D241" t="s">
        <v>76</v>
      </c>
      <c r="F241" t="s">
        <v>92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157</v>
      </c>
      <c r="C242" t="s">
        <v>68</v>
      </c>
      <c r="D242" t="s">
        <v>73</v>
      </c>
      <c r="F242" t="s">
        <v>70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157</v>
      </c>
      <c r="C243" t="s">
        <v>68</v>
      </c>
      <c r="D243" t="s">
        <v>71</v>
      </c>
      <c r="F243" t="s">
        <v>77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157</v>
      </c>
      <c r="C244" t="s">
        <v>103</v>
      </c>
      <c r="D244" t="s">
        <v>87</v>
      </c>
      <c r="F244" t="s">
        <v>89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157</v>
      </c>
      <c r="C245" t="s">
        <v>85</v>
      </c>
      <c r="D245" t="s">
        <v>99</v>
      </c>
      <c r="F245" t="s">
        <v>72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157</v>
      </c>
      <c r="C246" t="s">
        <v>85</v>
      </c>
      <c r="D246" t="s">
        <v>66</v>
      </c>
      <c r="F246" t="s">
        <v>65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157</v>
      </c>
      <c r="C247" t="s">
        <v>85</v>
      </c>
      <c r="D247" t="s">
        <v>95</v>
      </c>
      <c r="F247" t="s">
        <v>62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157</v>
      </c>
      <c r="C248" t="s">
        <v>60</v>
      </c>
      <c r="D248" t="s">
        <v>75</v>
      </c>
      <c r="F248" t="s">
        <v>90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158</v>
      </c>
      <c r="C249" t="s">
        <v>97</v>
      </c>
      <c r="D249" t="s">
        <v>82</v>
      </c>
      <c r="F249" t="s">
        <v>80</v>
      </c>
      <c r="I249" t="str">
        <f t="shared" si="26"/>
        <v/>
      </c>
      <c r="J249" t="str">
        <f t="shared" si="27"/>
        <v/>
      </c>
    </row>
    <row r="251" spans="1:10" ht="15" customHeight="1" x14ac:dyDescent="0.25">
      <c r="A251" t="s">
        <v>159</v>
      </c>
    </row>
    <row r="252" spans="1:10" ht="15" customHeight="1" x14ac:dyDescent="0.25">
      <c r="A252" t="s">
        <v>49</v>
      </c>
      <c r="B252" t="s">
        <v>50</v>
      </c>
      <c r="C252" t="s">
        <v>51</v>
      </c>
      <c r="D252" t="s">
        <v>52</v>
      </c>
      <c r="E252" t="s">
        <v>53</v>
      </c>
      <c r="F252" t="s">
        <v>54</v>
      </c>
      <c r="G252" t="s">
        <v>55</v>
      </c>
      <c r="H252" t="s">
        <v>56</v>
      </c>
      <c r="I252" t="s">
        <v>57</v>
      </c>
      <c r="J252" t="s">
        <v>58</v>
      </c>
    </row>
    <row r="253" spans="1:10" ht="15" customHeight="1" x14ac:dyDescent="0.25">
      <c r="A253">
        <v>15</v>
      </c>
      <c r="B253" t="s">
        <v>160</v>
      </c>
      <c r="C253" t="s">
        <v>97</v>
      </c>
      <c r="D253" t="s">
        <v>65</v>
      </c>
      <c r="F253" t="s">
        <v>87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161</v>
      </c>
      <c r="C254" t="s">
        <v>162</v>
      </c>
      <c r="D254" t="s">
        <v>62</v>
      </c>
      <c r="F254" t="s">
        <v>93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161</v>
      </c>
      <c r="C255" t="s">
        <v>60</v>
      </c>
      <c r="D255" t="s">
        <v>69</v>
      </c>
      <c r="F255" t="s">
        <v>75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163</v>
      </c>
      <c r="C256" t="s">
        <v>68</v>
      </c>
      <c r="D256" t="s">
        <v>88</v>
      </c>
      <c r="F256" t="s">
        <v>90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163</v>
      </c>
      <c r="C257" t="s">
        <v>68</v>
      </c>
      <c r="D257" t="s">
        <v>78</v>
      </c>
      <c r="F257" t="s">
        <v>84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163</v>
      </c>
      <c r="C258" t="s">
        <v>68</v>
      </c>
      <c r="D258" t="s">
        <v>79</v>
      </c>
      <c r="F258" t="s">
        <v>95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163</v>
      </c>
      <c r="C259" t="s">
        <v>68</v>
      </c>
      <c r="D259" t="s">
        <v>77</v>
      </c>
      <c r="F259" t="s">
        <v>82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163</v>
      </c>
      <c r="C260" t="s">
        <v>68</v>
      </c>
      <c r="D260" t="s">
        <v>73</v>
      </c>
      <c r="F260" t="s">
        <v>71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163</v>
      </c>
      <c r="C261" t="s">
        <v>68</v>
      </c>
      <c r="D261" t="s">
        <v>81</v>
      </c>
      <c r="F261" t="s">
        <v>92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163</v>
      </c>
      <c r="C262" t="s">
        <v>68</v>
      </c>
      <c r="D262" t="s">
        <v>72</v>
      </c>
      <c r="F262" t="s">
        <v>70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163</v>
      </c>
      <c r="C263" t="s">
        <v>68</v>
      </c>
      <c r="D263" t="s">
        <v>80</v>
      </c>
      <c r="F263" t="s">
        <v>76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163</v>
      </c>
      <c r="C264" t="s">
        <v>103</v>
      </c>
      <c r="D264" t="s">
        <v>83</v>
      </c>
      <c r="F264" t="s">
        <v>86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163</v>
      </c>
      <c r="C265" t="s">
        <v>85</v>
      </c>
      <c r="D265" t="s">
        <v>98</v>
      </c>
      <c r="F265" t="s">
        <v>89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163</v>
      </c>
      <c r="C266" t="s">
        <v>85</v>
      </c>
      <c r="D266" t="s">
        <v>94</v>
      </c>
      <c r="F266" t="s">
        <v>66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163</v>
      </c>
      <c r="C267" t="s">
        <v>60</v>
      </c>
      <c r="D267" t="s">
        <v>74</v>
      </c>
      <c r="F267" t="s">
        <v>91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164</v>
      </c>
      <c r="C268" t="s">
        <v>97</v>
      </c>
      <c r="D268" t="s">
        <v>61</v>
      </c>
      <c r="F268" t="s">
        <v>99</v>
      </c>
      <c r="I268" t="str">
        <f t="shared" si="28"/>
        <v/>
      </c>
      <c r="J268" t="str">
        <f t="shared" si="29"/>
        <v/>
      </c>
    </row>
    <row r="270" spans="1:10" ht="15" customHeight="1" x14ac:dyDescent="0.25">
      <c r="A270" t="s">
        <v>165</v>
      </c>
    </row>
    <row r="271" spans="1:10" ht="15" customHeight="1" x14ac:dyDescent="0.25">
      <c r="A271" t="s">
        <v>49</v>
      </c>
      <c r="B271" t="s">
        <v>50</v>
      </c>
      <c r="C271" t="s">
        <v>51</v>
      </c>
      <c r="D271" t="s">
        <v>52</v>
      </c>
      <c r="E271" t="s">
        <v>53</v>
      </c>
      <c r="F271" t="s">
        <v>54</v>
      </c>
      <c r="G271" t="s">
        <v>55</v>
      </c>
      <c r="H271" t="s">
        <v>56</v>
      </c>
      <c r="I271" t="s">
        <v>57</v>
      </c>
      <c r="J271" t="s">
        <v>58</v>
      </c>
    </row>
    <row r="272" spans="1:10" ht="15" customHeight="1" x14ac:dyDescent="0.25">
      <c r="A272">
        <v>16</v>
      </c>
      <c r="B272" t="s">
        <v>166</v>
      </c>
      <c r="C272" t="s">
        <v>97</v>
      </c>
      <c r="D272" t="s">
        <v>76</v>
      </c>
      <c r="F272" t="s">
        <v>93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167</v>
      </c>
      <c r="C273" t="s">
        <v>68</v>
      </c>
      <c r="D273" t="s">
        <v>90</v>
      </c>
      <c r="F273" t="s">
        <v>69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167</v>
      </c>
      <c r="C274" t="s">
        <v>146</v>
      </c>
      <c r="D274" t="s">
        <v>75</v>
      </c>
      <c r="F274" t="s">
        <v>98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167</v>
      </c>
      <c r="C275" t="s">
        <v>97</v>
      </c>
      <c r="D275" t="s">
        <v>66</v>
      </c>
      <c r="F275" t="s">
        <v>62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168</v>
      </c>
      <c r="C276" t="s">
        <v>68</v>
      </c>
      <c r="D276" t="s">
        <v>87</v>
      </c>
      <c r="F276" t="s">
        <v>88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168</v>
      </c>
      <c r="C277" t="s">
        <v>68</v>
      </c>
      <c r="D277" t="s">
        <v>86</v>
      </c>
      <c r="F277" t="s">
        <v>73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168</v>
      </c>
      <c r="C278" t="s">
        <v>68</v>
      </c>
      <c r="D278" t="s">
        <v>61</v>
      </c>
      <c r="F278" t="s">
        <v>83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168</v>
      </c>
      <c r="C279" t="s">
        <v>68</v>
      </c>
      <c r="D279" t="s">
        <v>79</v>
      </c>
      <c r="F279" t="s">
        <v>77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168</v>
      </c>
      <c r="C280" t="s">
        <v>103</v>
      </c>
      <c r="D280" t="s">
        <v>84</v>
      </c>
      <c r="F280" t="s">
        <v>89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168</v>
      </c>
      <c r="C281" t="s">
        <v>85</v>
      </c>
      <c r="D281" t="s">
        <v>65</v>
      </c>
      <c r="F281" t="s">
        <v>99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168</v>
      </c>
      <c r="C282" t="s">
        <v>60</v>
      </c>
      <c r="D282" t="s">
        <v>80</v>
      </c>
      <c r="F282" t="s">
        <v>94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169</v>
      </c>
      <c r="C283" t="s">
        <v>97</v>
      </c>
      <c r="D283" t="s">
        <v>95</v>
      </c>
      <c r="F283" t="s">
        <v>74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170</v>
      </c>
      <c r="C284" t="s">
        <v>170</v>
      </c>
      <c r="D284" t="s">
        <v>71</v>
      </c>
      <c r="F284" t="s">
        <v>81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170</v>
      </c>
      <c r="C285" t="s">
        <v>170</v>
      </c>
      <c r="D285" t="s">
        <v>72</v>
      </c>
      <c r="F285" t="s">
        <v>78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170</v>
      </c>
      <c r="C286" t="s">
        <v>170</v>
      </c>
      <c r="D286" t="s">
        <v>92</v>
      </c>
      <c r="F286" t="s">
        <v>91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170</v>
      </c>
      <c r="C287" t="s">
        <v>170</v>
      </c>
      <c r="D287" t="s">
        <v>70</v>
      </c>
      <c r="F287" t="s">
        <v>82</v>
      </c>
      <c r="I287" t="str">
        <f t="shared" si="30"/>
        <v/>
      </c>
      <c r="J287" t="str">
        <f t="shared" si="31"/>
        <v/>
      </c>
    </row>
    <row r="289" spans="1:10" ht="15" customHeight="1" x14ac:dyDescent="0.25">
      <c r="A289" t="s">
        <v>171</v>
      </c>
    </row>
    <row r="290" spans="1:10" ht="15" customHeight="1" x14ac:dyDescent="0.25">
      <c r="A290" t="s">
        <v>49</v>
      </c>
      <c r="B290" t="s">
        <v>50</v>
      </c>
      <c r="C290" t="s">
        <v>51</v>
      </c>
      <c r="D290" t="s">
        <v>52</v>
      </c>
      <c r="E290" t="s">
        <v>53</v>
      </c>
      <c r="F290" t="s">
        <v>54</v>
      </c>
      <c r="G290" t="s">
        <v>55</v>
      </c>
      <c r="H290" t="s">
        <v>56</v>
      </c>
      <c r="I290" t="s">
        <v>57</v>
      </c>
      <c r="J290" t="s">
        <v>58</v>
      </c>
    </row>
    <row r="291" spans="1:10" ht="15" customHeight="1" x14ac:dyDescent="0.25">
      <c r="A291">
        <v>17</v>
      </c>
      <c r="B291" t="s">
        <v>172</v>
      </c>
      <c r="C291" t="s">
        <v>97</v>
      </c>
      <c r="D291" t="s">
        <v>77</v>
      </c>
      <c r="F291" t="s">
        <v>72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173</v>
      </c>
      <c r="C292" t="s">
        <v>68</v>
      </c>
      <c r="D292" t="s">
        <v>73</v>
      </c>
      <c r="F292" t="s">
        <v>81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173</v>
      </c>
      <c r="C293" t="s">
        <v>68</v>
      </c>
      <c r="D293" t="s">
        <v>78</v>
      </c>
      <c r="F293" t="s">
        <v>79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173</v>
      </c>
      <c r="C294" t="s">
        <v>68</v>
      </c>
      <c r="D294" t="s">
        <v>95</v>
      </c>
      <c r="F294" t="s">
        <v>94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173</v>
      </c>
      <c r="C295" t="s">
        <v>68</v>
      </c>
      <c r="D295" t="s">
        <v>82</v>
      </c>
      <c r="F295" t="s">
        <v>84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173</v>
      </c>
      <c r="C296" t="s">
        <v>68</v>
      </c>
      <c r="D296" t="s">
        <v>75</v>
      </c>
      <c r="F296" t="s">
        <v>88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173</v>
      </c>
      <c r="C297" t="s">
        <v>68</v>
      </c>
      <c r="D297" t="s">
        <v>91</v>
      </c>
      <c r="F297" t="s">
        <v>83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173</v>
      </c>
      <c r="C298" t="s">
        <v>68</v>
      </c>
      <c r="D298" t="s">
        <v>62</v>
      </c>
      <c r="F298" t="s">
        <v>70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173</v>
      </c>
      <c r="C299" t="s">
        <v>103</v>
      </c>
      <c r="D299" t="s">
        <v>89</v>
      </c>
      <c r="F299" t="s">
        <v>86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173</v>
      </c>
      <c r="C300" t="s">
        <v>85</v>
      </c>
      <c r="D300" t="s">
        <v>74</v>
      </c>
      <c r="F300" t="s">
        <v>69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173</v>
      </c>
      <c r="C301" t="s">
        <v>60</v>
      </c>
      <c r="D301" t="s">
        <v>93</v>
      </c>
      <c r="F301" t="s">
        <v>65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174</v>
      </c>
      <c r="C302" t="s">
        <v>97</v>
      </c>
      <c r="D302" t="s">
        <v>76</v>
      </c>
      <c r="F302" t="s">
        <v>90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170</v>
      </c>
      <c r="C303" t="s">
        <v>170</v>
      </c>
      <c r="D303" t="s">
        <v>98</v>
      </c>
      <c r="F303" t="s">
        <v>61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170</v>
      </c>
      <c r="C304" t="s">
        <v>170</v>
      </c>
      <c r="D304" t="s">
        <v>99</v>
      </c>
      <c r="F304" t="s">
        <v>87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170</v>
      </c>
      <c r="C305" t="s">
        <v>170</v>
      </c>
      <c r="D305" t="s">
        <v>66</v>
      </c>
      <c r="F305" t="s">
        <v>71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170</v>
      </c>
      <c r="C306" t="s">
        <v>170</v>
      </c>
      <c r="D306" t="s">
        <v>92</v>
      </c>
      <c r="F306" t="s">
        <v>80</v>
      </c>
      <c r="I306" t="str">
        <f t="shared" si="32"/>
        <v/>
      </c>
      <c r="J306" t="str">
        <f t="shared" si="33"/>
        <v/>
      </c>
    </row>
    <row r="308" spans="1:10" ht="15" customHeight="1" x14ac:dyDescent="0.25">
      <c r="A308" t="s">
        <v>175</v>
      </c>
    </row>
    <row r="309" spans="1:10" ht="15" customHeight="1" x14ac:dyDescent="0.25">
      <c r="A309" t="s">
        <v>49</v>
      </c>
      <c r="B309" t="s">
        <v>50</v>
      </c>
      <c r="C309" t="s">
        <v>51</v>
      </c>
      <c r="D309" t="s">
        <v>52</v>
      </c>
      <c r="E309" t="s">
        <v>53</v>
      </c>
      <c r="F309" t="s">
        <v>54</v>
      </c>
      <c r="G309" t="s">
        <v>55</v>
      </c>
      <c r="H309" t="s">
        <v>56</v>
      </c>
      <c r="I309" t="s">
        <v>57</v>
      </c>
      <c r="J309" t="s">
        <v>58</v>
      </c>
    </row>
    <row r="310" spans="1:10" ht="15" customHeight="1" x14ac:dyDescent="0.25">
      <c r="A310">
        <v>18</v>
      </c>
      <c r="B310" t="s">
        <v>170</v>
      </c>
      <c r="C310" t="s">
        <v>170</v>
      </c>
      <c r="D310" t="s">
        <v>83</v>
      </c>
      <c r="F310" t="s">
        <v>75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170</v>
      </c>
      <c r="C311" t="s">
        <v>170</v>
      </c>
      <c r="D311" t="s">
        <v>79</v>
      </c>
      <c r="F311" t="s">
        <v>72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170</v>
      </c>
      <c r="C312" t="s">
        <v>170</v>
      </c>
      <c r="D312" t="s">
        <v>66</v>
      </c>
      <c r="F312" t="s">
        <v>98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170</v>
      </c>
      <c r="C313" t="s">
        <v>170</v>
      </c>
      <c r="D313" t="s">
        <v>74</v>
      </c>
      <c r="F313" t="s">
        <v>90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170</v>
      </c>
      <c r="C314" t="s">
        <v>170</v>
      </c>
      <c r="D314" t="s">
        <v>80</v>
      </c>
      <c r="F314" t="s">
        <v>78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170</v>
      </c>
      <c r="C315" t="s">
        <v>170</v>
      </c>
      <c r="D315" t="s">
        <v>89</v>
      </c>
      <c r="F315" t="s">
        <v>99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170</v>
      </c>
      <c r="C316" t="s">
        <v>170</v>
      </c>
      <c r="D316" t="s">
        <v>62</v>
      </c>
      <c r="F316" t="s">
        <v>87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170</v>
      </c>
      <c r="C317" t="s">
        <v>170</v>
      </c>
      <c r="D317" t="s">
        <v>69</v>
      </c>
      <c r="F317" t="s">
        <v>91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170</v>
      </c>
      <c r="C318" t="s">
        <v>170</v>
      </c>
      <c r="D318" t="s">
        <v>88</v>
      </c>
      <c r="F318" t="s">
        <v>61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170</v>
      </c>
      <c r="C319" t="s">
        <v>170</v>
      </c>
      <c r="D319" t="s">
        <v>71</v>
      </c>
      <c r="F319" t="s">
        <v>73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170</v>
      </c>
      <c r="C320" t="s">
        <v>170</v>
      </c>
      <c r="D320" t="s">
        <v>93</v>
      </c>
      <c r="F320" t="s">
        <v>95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170</v>
      </c>
      <c r="C321" t="s">
        <v>170</v>
      </c>
      <c r="D321" t="s">
        <v>65</v>
      </c>
      <c r="F321" t="s">
        <v>86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170</v>
      </c>
      <c r="C322" t="s">
        <v>170</v>
      </c>
      <c r="D322" t="s">
        <v>94</v>
      </c>
      <c r="F322" t="s">
        <v>92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170</v>
      </c>
      <c r="C323" t="s">
        <v>170</v>
      </c>
      <c r="D323" t="s">
        <v>81</v>
      </c>
      <c r="F323" t="s">
        <v>70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170</v>
      </c>
      <c r="C324" t="s">
        <v>170</v>
      </c>
      <c r="D324" t="s">
        <v>82</v>
      </c>
      <c r="F324" t="s">
        <v>77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170</v>
      </c>
      <c r="C325" t="s">
        <v>170</v>
      </c>
      <c r="D325" t="s">
        <v>84</v>
      </c>
      <c r="F325" t="s">
        <v>76</v>
      </c>
      <c r="I325" t="str">
        <f t="shared" si="34"/>
        <v/>
      </c>
      <c r="J325" t="str">
        <f t="shared" si="35"/>
        <v/>
      </c>
    </row>
    <row r="327" spans="1:10" ht="15" customHeight="1" x14ac:dyDescent="0.25">
      <c r="A327" t="s">
        <v>176</v>
      </c>
    </row>
    <row r="328" spans="1:10" ht="15" customHeight="1" x14ac:dyDescent="0.25">
      <c r="A328" t="s">
        <v>49</v>
      </c>
      <c r="B328" t="s">
        <v>50</v>
      </c>
      <c r="C328" t="s">
        <v>51</v>
      </c>
      <c r="D328" t="s">
        <v>52</v>
      </c>
      <c r="E328" t="s">
        <v>53</v>
      </c>
      <c r="F328" t="s">
        <v>54</v>
      </c>
      <c r="G328" t="s">
        <v>55</v>
      </c>
      <c r="H328" t="s">
        <v>56</v>
      </c>
      <c r="I328" t="s">
        <v>57</v>
      </c>
      <c r="J328" t="s">
        <v>58</v>
      </c>
    </row>
    <row r="329" spans="1:10" ht="15" customHeight="1" x14ac:dyDescent="0.25">
      <c r="A329">
        <v>19</v>
      </c>
      <c r="B329" t="s">
        <v>170</v>
      </c>
      <c r="C329" t="s">
        <v>170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170</v>
      </c>
      <c r="C330" t="s">
        <v>170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170</v>
      </c>
      <c r="C331" t="s">
        <v>170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170</v>
      </c>
      <c r="C332" t="s">
        <v>170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177</v>
      </c>
    </row>
    <row r="335" spans="1:10" ht="15" customHeight="1" x14ac:dyDescent="0.25">
      <c r="A335" t="s">
        <v>49</v>
      </c>
      <c r="B335" t="s">
        <v>50</v>
      </c>
      <c r="C335" t="s">
        <v>51</v>
      </c>
      <c r="D335" t="s">
        <v>52</v>
      </c>
      <c r="E335" t="s">
        <v>53</v>
      </c>
      <c r="F335" t="s">
        <v>54</v>
      </c>
      <c r="G335" t="s">
        <v>55</v>
      </c>
      <c r="H335" t="s">
        <v>56</v>
      </c>
      <c r="I335" t="s">
        <v>57</v>
      </c>
      <c r="J335" t="s">
        <v>58</v>
      </c>
    </row>
    <row r="336" spans="1:10" ht="15" customHeight="1" x14ac:dyDescent="0.25">
      <c r="A336">
        <v>20</v>
      </c>
      <c r="B336" t="s">
        <v>170</v>
      </c>
      <c r="C336" t="s">
        <v>170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170</v>
      </c>
      <c r="C337" t="s">
        <v>170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170</v>
      </c>
      <c r="C338" t="s">
        <v>170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170</v>
      </c>
      <c r="C339" t="s">
        <v>170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178</v>
      </c>
    </row>
    <row r="342" spans="1:10" ht="15" customHeight="1" x14ac:dyDescent="0.25">
      <c r="A342" t="s">
        <v>49</v>
      </c>
      <c r="B342" t="s">
        <v>50</v>
      </c>
      <c r="C342" t="s">
        <v>51</v>
      </c>
      <c r="D342" t="s">
        <v>52</v>
      </c>
      <c r="E342" t="s">
        <v>53</v>
      </c>
      <c r="F342" t="s">
        <v>54</v>
      </c>
      <c r="G342" t="s">
        <v>55</v>
      </c>
      <c r="H342" t="s">
        <v>56</v>
      </c>
      <c r="I342" t="s">
        <v>57</v>
      </c>
      <c r="J342" t="s">
        <v>58</v>
      </c>
    </row>
    <row r="343" spans="1:10" ht="15" customHeight="1" x14ac:dyDescent="0.25">
      <c r="A343">
        <v>21</v>
      </c>
      <c r="B343" t="s">
        <v>170</v>
      </c>
      <c r="C343" t="s">
        <v>170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170</v>
      </c>
      <c r="C344" t="s">
        <v>170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179</v>
      </c>
    </row>
    <row r="347" spans="1:10" ht="15" customHeight="1" x14ac:dyDescent="0.25">
      <c r="A347" t="s">
        <v>49</v>
      </c>
      <c r="B347" t="s">
        <v>50</v>
      </c>
      <c r="C347" t="s">
        <v>51</v>
      </c>
      <c r="D347" t="s">
        <v>52</v>
      </c>
      <c r="E347" t="s">
        <v>53</v>
      </c>
      <c r="F347" t="s">
        <v>54</v>
      </c>
      <c r="G347" t="s">
        <v>55</v>
      </c>
      <c r="H347" t="s">
        <v>56</v>
      </c>
      <c r="I347" t="s">
        <v>57</v>
      </c>
      <c r="J347" t="s">
        <v>58</v>
      </c>
    </row>
    <row r="348" spans="1:10" ht="15" customHeight="1" x14ac:dyDescent="0.25">
      <c r="A348">
        <v>22</v>
      </c>
      <c r="B348" t="s">
        <v>170</v>
      </c>
      <c r="C348" t="s">
        <v>170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80"/>
  <sheetViews>
    <sheetView zoomScaleNormal="100" workbookViewId="0">
      <selection activeCell="O12" sqref="O12"/>
    </sheetView>
  </sheetViews>
  <sheetFormatPr defaultColWidth="8.7109375" defaultRowHeight="15" x14ac:dyDescent="0.25"/>
  <cols>
    <col min="1" max="1" width="10" customWidth="1"/>
    <col min="2" max="2" width="16" customWidth="1"/>
    <col min="3" max="4" width="14" customWidth="1"/>
    <col min="5" max="6" width="12" customWidth="1"/>
    <col min="7" max="8" width="10" customWidth="1"/>
    <col min="9" max="9" width="12" customWidth="1"/>
  </cols>
  <sheetData>
    <row r="1" spans="1:9" ht="17.25" customHeight="1" x14ac:dyDescent="0.25">
      <c r="A1" s="4" t="s">
        <v>180</v>
      </c>
      <c r="B1" s="4"/>
      <c r="C1" s="4"/>
      <c r="D1" s="4"/>
      <c r="E1" s="4"/>
      <c r="F1" s="4"/>
      <c r="G1" s="4"/>
      <c r="H1" s="4"/>
      <c r="I1" s="4"/>
    </row>
    <row r="2" spans="1:9" ht="15" customHeight="1" x14ac:dyDescent="0.25">
      <c r="A2" s="9" t="s">
        <v>181</v>
      </c>
    </row>
    <row r="4" spans="1:9" ht="15" customHeight="1" x14ac:dyDescent="0.25">
      <c r="A4" s="12" t="s">
        <v>48</v>
      </c>
    </row>
    <row r="5" spans="1:9" ht="15" customHeight="1" x14ac:dyDescent="0.25">
      <c r="A5" s="6" t="s">
        <v>1</v>
      </c>
      <c r="B5" s="6" t="s">
        <v>2</v>
      </c>
      <c r="C5" s="6" t="s">
        <v>182</v>
      </c>
      <c r="D5" s="6" t="s">
        <v>183</v>
      </c>
      <c r="E5" s="6" t="s">
        <v>184</v>
      </c>
      <c r="F5" s="6" t="s">
        <v>185</v>
      </c>
      <c r="G5" s="6" t="s">
        <v>186</v>
      </c>
      <c r="H5" s="6" t="s">
        <v>187</v>
      </c>
      <c r="I5" s="6" t="s">
        <v>188</v>
      </c>
    </row>
    <row r="6" spans="1:9" ht="15" customHeight="1" x14ac:dyDescent="0.25">
      <c r="A6">
        <v>1</v>
      </c>
      <c r="B6" t="str">
        <f>Roster!B3</f>
        <v>Player 1</v>
      </c>
      <c r="C6" s="7">
        <v>5</v>
      </c>
      <c r="D6">
        <v>6</v>
      </c>
      <c r="E6">
        <f>IFERROR(INDEX(C$6:C$15,MATCH(6,A$6:A$15,0)),0)</f>
        <v>0</v>
      </c>
      <c r="F6" t="str">
        <f t="shared" ref="F6:F15" si="0">IF(C6=0,"-",IF(C6&gt;E6,"W",IF(C6&lt;E6,"L","T")))</f>
        <v>W</v>
      </c>
      <c r="G6">
        <f t="shared" ref="G6:G15" si="1">IF(F6="W",6,IF(F6="T",3,0))</f>
        <v>6</v>
      </c>
      <c r="H6">
        <f t="shared" ref="H6:H15" si="2">IF(C6="",0,C6)</f>
        <v>5</v>
      </c>
      <c r="I6">
        <f t="shared" ref="I6:I15" si="3">G6+H6</f>
        <v>11</v>
      </c>
    </row>
    <row r="7" spans="1:9" ht="15" customHeight="1" x14ac:dyDescent="0.25">
      <c r="A7">
        <v>2</v>
      </c>
      <c r="B7" t="str">
        <f>Roster!B4</f>
        <v>Player 2</v>
      </c>
      <c r="C7" s="7"/>
      <c r="D7">
        <v>7</v>
      </c>
      <c r="E7">
        <f>IFERROR(INDEX(C$6:C$15,MATCH(7,A$6:A$15,0)),0)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Player 3</v>
      </c>
      <c r="C8" s="7"/>
      <c r="D8">
        <v>8</v>
      </c>
      <c r="E8">
        <f>IFERROR(INDEX(C$6:C$15,MATCH(8,A$6:A$15,0)),0)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Player 4</v>
      </c>
      <c r="C9" s="7"/>
      <c r="D9">
        <v>9</v>
      </c>
      <c r="E9">
        <f>IFERROR(INDEX(C$6:C$15,MATCH(9,A$6:A$15,0)),0)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Player 5</v>
      </c>
      <c r="C10" s="7"/>
      <c r="D10">
        <v>10</v>
      </c>
      <c r="E10">
        <f>IFERROR(INDEX(C$6:C$15,MATCH(10,A$6:A$15,0)),0)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Player 6</v>
      </c>
      <c r="C11" s="7"/>
      <c r="D11">
        <v>1</v>
      </c>
      <c r="E11">
        <f>IFERROR(INDEX(C$6:C$15,MATCH(1,A$6:A$15,0)),0)</f>
        <v>5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Player 7</v>
      </c>
      <c r="C12" s="7"/>
      <c r="D12">
        <v>2</v>
      </c>
      <c r="E12">
        <f>IFERROR(INDEX(C$6:C$15,MATCH(2,A$6:A$15,0)),0)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Player 8</v>
      </c>
      <c r="C13" s="7"/>
      <c r="D13">
        <v>3</v>
      </c>
      <c r="E13">
        <f>IFERROR(INDEX(C$6:C$15,MATCH(3,A$6:A$15,0)),0)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Player 9</v>
      </c>
      <c r="C14" s="7"/>
      <c r="D14">
        <v>4</v>
      </c>
      <c r="E14">
        <f>IFERROR(INDEX(C$6:C$15,MATCH(4,A$6:A$15,0)),0)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Player 10</v>
      </c>
      <c r="C15" s="7"/>
      <c r="D15">
        <v>5</v>
      </c>
      <c r="E15">
        <f>IFERROR(INDEX(C$6:C$15,MATCH(5,A$6:A$15,0)),0)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7" spans="1:9" ht="15" customHeight="1" x14ac:dyDescent="0.25">
      <c r="A17" s="12" t="s">
        <v>100</v>
      </c>
    </row>
    <row r="18" spans="1:9" ht="15" customHeight="1" x14ac:dyDescent="0.25">
      <c r="A18" s="6" t="s">
        <v>1</v>
      </c>
      <c r="B18" s="6" t="s">
        <v>2</v>
      </c>
      <c r="C18" s="6" t="s">
        <v>182</v>
      </c>
      <c r="D18" s="6" t="s">
        <v>183</v>
      </c>
      <c r="E18" s="6" t="s">
        <v>184</v>
      </c>
      <c r="F18" s="6" t="s">
        <v>185</v>
      </c>
      <c r="G18" s="6" t="s">
        <v>186</v>
      </c>
      <c r="H18" s="6" t="s">
        <v>187</v>
      </c>
      <c r="I18" s="6" t="s">
        <v>188</v>
      </c>
    </row>
    <row r="19" spans="1:9" ht="15" customHeight="1" x14ac:dyDescent="0.25">
      <c r="A19">
        <v>1</v>
      </c>
      <c r="B19" t="str">
        <f>Roster!B3</f>
        <v>Player 1</v>
      </c>
      <c r="C19" s="7"/>
      <c r="D19">
        <v>7</v>
      </c>
      <c r="E19">
        <f>IFERROR(INDEX(C$19:C$28,MATCH(7,A$19:A$28,0)),0)</f>
        <v>0</v>
      </c>
      <c r="F19" t="str">
        <f t="shared" ref="F19:F28" si="4">IF(C19=0,"-",IF(C19&gt;E19,"W",IF(C19&lt;E19,"L","T")))</f>
        <v>-</v>
      </c>
      <c r="G19">
        <f t="shared" ref="G19:G28" si="5">IF(F19="W",6,IF(F19="T",3,0))</f>
        <v>0</v>
      </c>
      <c r="H19">
        <f t="shared" ref="H19:H28" si="6">IF(C19="",0,C19)</f>
        <v>0</v>
      </c>
      <c r="I19">
        <f t="shared" ref="I19:I28" si="7">G19+H19</f>
        <v>0</v>
      </c>
    </row>
    <row r="20" spans="1:9" ht="15" customHeight="1" x14ac:dyDescent="0.25">
      <c r="A20">
        <v>2</v>
      </c>
      <c r="B20" t="str">
        <f>Roster!B4</f>
        <v>Player 2</v>
      </c>
      <c r="C20" s="7"/>
      <c r="D20">
        <v>8</v>
      </c>
      <c r="E20">
        <f>IFERROR(INDEX(C$19:C$28,MATCH(8,A$19:A$28,0)),0)</f>
        <v>0</v>
      </c>
      <c r="F20" t="str">
        <f t="shared" si="4"/>
        <v>-</v>
      </c>
      <c r="G20">
        <f t="shared" si="5"/>
        <v>0</v>
      </c>
      <c r="H20">
        <f t="shared" si="6"/>
        <v>0</v>
      </c>
      <c r="I20">
        <f t="shared" si="7"/>
        <v>0</v>
      </c>
    </row>
    <row r="21" spans="1:9" ht="15" customHeight="1" x14ac:dyDescent="0.25">
      <c r="A21">
        <v>3</v>
      </c>
      <c r="B21" t="str">
        <f>Roster!B5</f>
        <v>Player 3</v>
      </c>
      <c r="C21" s="7"/>
      <c r="D21">
        <v>9</v>
      </c>
      <c r="E21">
        <f>IFERROR(INDEX(C$19:C$28,MATCH(9,A$19:A$28,0)),0)</f>
        <v>0</v>
      </c>
      <c r="F21" t="str">
        <f t="shared" si="4"/>
        <v>-</v>
      </c>
      <c r="G21">
        <f t="shared" si="5"/>
        <v>0</v>
      </c>
      <c r="H21">
        <f t="shared" si="6"/>
        <v>0</v>
      </c>
      <c r="I21">
        <f t="shared" si="7"/>
        <v>0</v>
      </c>
    </row>
    <row r="22" spans="1:9" ht="15" customHeight="1" x14ac:dyDescent="0.25">
      <c r="A22">
        <v>4</v>
      </c>
      <c r="B22" t="str">
        <f>Roster!B6</f>
        <v>Player 4</v>
      </c>
      <c r="C22" s="7"/>
      <c r="D22">
        <v>10</v>
      </c>
      <c r="E22">
        <f>IFERROR(INDEX(C$19:C$28,MATCH(10,A$19:A$28,0)),0)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5</v>
      </c>
      <c r="B23" t="str">
        <f>Roster!B7</f>
        <v>Player 5</v>
      </c>
      <c r="C23" s="7"/>
      <c r="D23">
        <v>6</v>
      </c>
      <c r="E23">
        <f>IFERROR(INDEX(C$19:C$28,MATCH(6,A$19:A$28,0)),0)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6</v>
      </c>
      <c r="B24" t="str">
        <f>Roster!B8</f>
        <v>Player 6</v>
      </c>
      <c r="C24" s="7"/>
      <c r="D24">
        <v>5</v>
      </c>
      <c r="E24">
        <f>IFERROR(INDEX(C$19:C$28,MATCH(5,A$19:A$28,0)),0)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7</v>
      </c>
      <c r="B25" t="str">
        <f>Roster!B9</f>
        <v>Player 7</v>
      </c>
      <c r="C25" s="7"/>
      <c r="D25">
        <v>1</v>
      </c>
      <c r="E25">
        <f>IFERROR(INDEX(C$19:C$28,MATCH(1,A$19:A$28,0)),0)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8</v>
      </c>
      <c r="B26" t="str">
        <f>Roster!B10</f>
        <v>Player 8</v>
      </c>
      <c r="C26" s="7"/>
      <c r="D26">
        <v>2</v>
      </c>
      <c r="E26">
        <f>IFERROR(INDEX(C$19:C$28,MATCH(2,A$19:A$28,0)),0)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9</v>
      </c>
      <c r="B27" t="str">
        <f>Roster!B11</f>
        <v>Player 9</v>
      </c>
      <c r="C27" s="7"/>
      <c r="D27">
        <v>3</v>
      </c>
      <c r="E27">
        <f>IFERROR(INDEX(C$19:C$28,MATCH(3,A$19:A$28,0)),0)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10</v>
      </c>
      <c r="B28" t="str">
        <f>Roster!B12</f>
        <v>Player 10</v>
      </c>
      <c r="C28" s="7"/>
      <c r="D28">
        <v>4</v>
      </c>
      <c r="E28">
        <f>IFERROR(INDEX(C$19:C$28,MATCH(4,A$19:A$28,0)),0)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30" spans="1:9" ht="15" customHeight="1" x14ac:dyDescent="0.25">
      <c r="A30" s="12" t="s">
        <v>105</v>
      </c>
    </row>
    <row r="31" spans="1:9" ht="15" customHeight="1" x14ac:dyDescent="0.25">
      <c r="A31" s="6" t="s">
        <v>1</v>
      </c>
      <c r="B31" s="6" t="s">
        <v>2</v>
      </c>
      <c r="C31" s="6" t="s">
        <v>182</v>
      </c>
      <c r="D31" s="6" t="s">
        <v>183</v>
      </c>
      <c r="E31" s="6" t="s">
        <v>184</v>
      </c>
      <c r="F31" s="6" t="s">
        <v>185</v>
      </c>
      <c r="G31" s="6" t="s">
        <v>186</v>
      </c>
      <c r="H31" s="6" t="s">
        <v>187</v>
      </c>
      <c r="I31" s="6" t="s">
        <v>188</v>
      </c>
    </row>
    <row r="32" spans="1:9" ht="15" customHeight="1" x14ac:dyDescent="0.25">
      <c r="A32">
        <v>1</v>
      </c>
      <c r="B32" t="str">
        <f>Roster!B3</f>
        <v>Player 1</v>
      </c>
      <c r="C32" s="7"/>
      <c r="D32">
        <v>8</v>
      </c>
      <c r="E32">
        <f>IFERROR(INDEX(C$32:C$41,MATCH(8,A$32:A$41,0)),0)</f>
        <v>0</v>
      </c>
      <c r="F32" t="str">
        <f t="shared" ref="F32:F41" si="8">IF(C32=0,"-",IF(C32&gt;E32,"W",IF(C32&lt;E32,"L","T")))</f>
        <v>-</v>
      </c>
      <c r="G32">
        <f t="shared" ref="G32:G41" si="9">IF(F32="W",6,IF(F32="T",3,0))</f>
        <v>0</v>
      </c>
      <c r="H32">
        <f t="shared" ref="H32:H41" si="10">IF(C32="",0,C32)</f>
        <v>0</v>
      </c>
      <c r="I32">
        <f t="shared" ref="I32:I41" si="11">G32+H32</f>
        <v>0</v>
      </c>
    </row>
    <row r="33" spans="1:9" ht="15" customHeight="1" x14ac:dyDescent="0.25">
      <c r="A33">
        <v>2</v>
      </c>
      <c r="B33" t="str">
        <f>Roster!B4</f>
        <v>Player 2</v>
      </c>
      <c r="C33" s="7"/>
      <c r="D33">
        <v>9</v>
      </c>
      <c r="E33">
        <f>IFERROR(INDEX(C$32:C$41,MATCH(9,A$32:A$41,0)),0)</f>
        <v>0</v>
      </c>
      <c r="F33" t="str">
        <f t="shared" si="8"/>
        <v>-</v>
      </c>
      <c r="G33">
        <f t="shared" si="9"/>
        <v>0</v>
      </c>
      <c r="H33">
        <f t="shared" si="10"/>
        <v>0</v>
      </c>
      <c r="I33">
        <f t="shared" si="11"/>
        <v>0</v>
      </c>
    </row>
    <row r="34" spans="1:9" ht="15" customHeight="1" x14ac:dyDescent="0.25">
      <c r="A34">
        <v>3</v>
      </c>
      <c r="B34" t="str">
        <f>Roster!B5</f>
        <v>Player 3</v>
      </c>
      <c r="C34" s="7"/>
      <c r="D34">
        <v>10</v>
      </c>
      <c r="E34">
        <f>IFERROR(INDEX(C$32:C$41,MATCH(10,A$32:A$41,0)),0)</f>
        <v>0</v>
      </c>
      <c r="F34" t="str">
        <f t="shared" si="8"/>
        <v>-</v>
      </c>
      <c r="G34">
        <f t="shared" si="9"/>
        <v>0</v>
      </c>
      <c r="H34">
        <f t="shared" si="10"/>
        <v>0</v>
      </c>
      <c r="I34">
        <f t="shared" si="11"/>
        <v>0</v>
      </c>
    </row>
    <row r="35" spans="1:9" ht="15" customHeight="1" x14ac:dyDescent="0.25">
      <c r="A35">
        <v>4</v>
      </c>
      <c r="B35" t="str">
        <f>Roster!B6</f>
        <v>Player 4</v>
      </c>
      <c r="C35" s="7"/>
      <c r="D35">
        <v>6</v>
      </c>
      <c r="E35">
        <f>IFERROR(INDEX(C$32:C$41,MATCH(6,A$32:A$41,0)),0)</f>
        <v>0</v>
      </c>
      <c r="F35" t="str">
        <f t="shared" si="8"/>
        <v>-</v>
      </c>
      <c r="G35">
        <f t="shared" si="9"/>
        <v>0</v>
      </c>
      <c r="H35">
        <f t="shared" si="10"/>
        <v>0</v>
      </c>
      <c r="I35">
        <f t="shared" si="11"/>
        <v>0</v>
      </c>
    </row>
    <row r="36" spans="1:9" ht="15" customHeight="1" x14ac:dyDescent="0.25">
      <c r="A36">
        <v>5</v>
      </c>
      <c r="B36" t="str">
        <f>Roster!B7</f>
        <v>Player 5</v>
      </c>
      <c r="C36" s="7"/>
      <c r="D36">
        <v>7</v>
      </c>
      <c r="E36">
        <f>IFERROR(INDEX(C$32:C$41,MATCH(7,A$32:A$41,0)),0)</f>
        <v>0</v>
      </c>
      <c r="F36" t="str">
        <f t="shared" si="8"/>
        <v>-</v>
      </c>
      <c r="G36">
        <f t="shared" si="9"/>
        <v>0</v>
      </c>
      <c r="H36">
        <f t="shared" si="10"/>
        <v>0</v>
      </c>
      <c r="I36">
        <f t="shared" si="11"/>
        <v>0</v>
      </c>
    </row>
    <row r="37" spans="1:9" ht="15" customHeight="1" x14ac:dyDescent="0.25">
      <c r="A37">
        <v>6</v>
      </c>
      <c r="B37" t="str">
        <f>Roster!B8</f>
        <v>Player 6</v>
      </c>
      <c r="C37" s="7"/>
      <c r="D37">
        <v>4</v>
      </c>
      <c r="E37">
        <f>IFERROR(INDEX(C$32:C$41,MATCH(4,A$32:A$41,0)),0)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7</v>
      </c>
      <c r="B38" t="str">
        <f>Roster!B9</f>
        <v>Player 7</v>
      </c>
      <c r="C38" s="7"/>
      <c r="D38">
        <v>5</v>
      </c>
      <c r="E38">
        <f>IFERROR(INDEX(C$32:C$41,MATCH(5,A$32:A$41,0)),0)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8</v>
      </c>
      <c r="B39" t="str">
        <f>Roster!B10</f>
        <v>Player 8</v>
      </c>
      <c r="C39" s="7"/>
      <c r="D39">
        <v>1</v>
      </c>
      <c r="E39">
        <f>IFERROR(INDEX(C$32:C$41,MATCH(1,A$32:A$41,0)),0)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9</v>
      </c>
      <c r="B40" t="str">
        <f>Roster!B11</f>
        <v>Player 9</v>
      </c>
      <c r="C40" s="7"/>
      <c r="D40">
        <v>2</v>
      </c>
      <c r="E40">
        <f>IFERROR(INDEX(C$32:C$41,MATCH(2,A$32:A$41,0)),0)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10</v>
      </c>
      <c r="B41" t="str">
        <f>Roster!B12</f>
        <v>Player 10</v>
      </c>
      <c r="C41" s="7"/>
      <c r="D41">
        <v>3</v>
      </c>
      <c r="E41">
        <f>IFERROR(INDEX(C$32:C$41,MATCH(3,A$32:A$41,0)),0)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3" spans="1:9" ht="15" customHeight="1" x14ac:dyDescent="0.25">
      <c r="A43" s="12" t="s">
        <v>109</v>
      </c>
    </row>
    <row r="44" spans="1:9" ht="15" customHeight="1" x14ac:dyDescent="0.25">
      <c r="A44" s="6" t="s">
        <v>1</v>
      </c>
      <c r="B44" s="6" t="s">
        <v>2</v>
      </c>
      <c r="C44" s="6" t="s">
        <v>182</v>
      </c>
      <c r="D44" s="6" t="s">
        <v>183</v>
      </c>
      <c r="E44" s="6" t="s">
        <v>184</v>
      </c>
      <c r="F44" s="6" t="s">
        <v>185</v>
      </c>
      <c r="G44" s="6" t="s">
        <v>186</v>
      </c>
      <c r="H44" s="6" t="s">
        <v>187</v>
      </c>
      <c r="I44" s="6" t="s">
        <v>188</v>
      </c>
    </row>
    <row r="45" spans="1:9" ht="15" customHeight="1" x14ac:dyDescent="0.25">
      <c r="A45">
        <v>1</v>
      </c>
      <c r="B45" t="str">
        <f>Roster!B3</f>
        <v>Player 1</v>
      </c>
      <c r="C45" s="7"/>
      <c r="D45">
        <v>9</v>
      </c>
      <c r="E45">
        <f>IFERROR(INDEX(C$45:C$54,MATCH(9,A$45:A$54,0)),0)</f>
        <v>0</v>
      </c>
      <c r="F45" t="str">
        <f t="shared" ref="F45:F54" si="12">IF(C45=0,"-",IF(C45&gt;E45,"W",IF(C45&lt;E45,"L","T")))</f>
        <v>-</v>
      </c>
      <c r="G45">
        <f t="shared" ref="G45:G54" si="13">IF(F45="W",6,IF(F45="T",3,0))</f>
        <v>0</v>
      </c>
      <c r="H45">
        <f t="shared" ref="H45:H54" si="14">IF(C45="",0,C45)</f>
        <v>0</v>
      </c>
      <c r="I45">
        <f t="shared" ref="I45:I54" si="15">G45+H45</f>
        <v>0</v>
      </c>
    </row>
    <row r="46" spans="1:9" ht="15" customHeight="1" x14ac:dyDescent="0.25">
      <c r="A46">
        <v>2</v>
      </c>
      <c r="B46" t="str">
        <f>Roster!B4</f>
        <v>Player 2</v>
      </c>
      <c r="C46" s="7"/>
      <c r="D46">
        <v>10</v>
      </c>
      <c r="E46">
        <f>IFERROR(INDEX(C$45:C$54,MATCH(10,A$45:A$54,0)),0)</f>
        <v>0</v>
      </c>
      <c r="F46" t="str">
        <f t="shared" si="12"/>
        <v>-</v>
      </c>
      <c r="G46">
        <f t="shared" si="13"/>
        <v>0</v>
      </c>
      <c r="H46">
        <f t="shared" si="14"/>
        <v>0</v>
      </c>
      <c r="I46">
        <f t="shared" si="15"/>
        <v>0</v>
      </c>
    </row>
    <row r="47" spans="1:9" ht="15" customHeight="1" x14ac:dyDescent="0.25">
      <c r="A47">
        <v>3</v>
      </c>
      <c r="B47" t="str">
        <f>Roster!B5</f>
        <v>Player 3</v>
      </c>
      <c r="C47" s="7"/>
      <c r="D47">
        <v>6</v>
      </c>
      <c r="E47">
        <f>IFERROR(INDEX(C$45:C$54,MATCH(6,A$45:A$54,0)),0)</f>
        <v>0</v>
      </c>
      <c r="F47" t="str">
        <f t="shared" si="12"/>
        <v>-</v>
      </c>
      <c r="G47">
        <f t="shared" si="13"/>
        <v>0</v>
      </c>
      <c r="H47">
        <f t="shared" si="14"/>
        <v>0</v>
      </c>
      <c r="I47">
        <f t="shared" si="15"/>
        <v>0</v>
      </c>
    </row>
    <row r="48" spans="1:9" ht="15" customHeight="1" x14ac:dyDescent="0.25">
      <c r="A48">
        <v>4</v>
      </c>
      <c r="B48" t="str">
        <f>Roster!B6</f>
        <v>Player 4</v>
      </c>
      <c r="C48" s="7"/>
      <c r="D48">
        <v>7</v>
      </c>
      <c r="E48">
        <f>IFERROR(INDEX(C$45:C$54,MATCH(7,A$45:A$54,0)),0)</f>
        <v>0</v>
      </c>
      <c r="F48" t="str">
        <f t="shared" si="12"/>
        <v>-</v>
      </c>
      <c r="G48">
        <f t="shared" si="13"/>
        <v>0</v>
      </c>
      <c r="H48">
        <f t="shared" si="14"/>
        <v>0</v>
      </c>
      <c r="I48">
        <f t="shared" si="15"/>
        <v>0</v>
      </c>
    </row>
    <row r="49" spans="1:9" ht="15" customHeight="1" x14ac:dyDescent="0.25">
      <c r="A49">
        <v>5</v>
      </c>
      <c r="B49" t="str">
        <f>Roster!B7</f>
        <v>Player 5</v>
      </c>
      <c r="C49" s="7"/>
      <c r="D49">
        <v>8</v>
      </c>
      <c r="E49">
        <f>IFERROR(INDEX(C$45:C$54,MATCH(8,A$45:A$54,0)),0)</f>
        <v>0</v>
      </c>
      <c r="F49" t="str">
        <f t="shared" si="12"/>
        <v>-</v>
      </c>
      <c r="G49">
        <f t="shared" si="13"/>
        <v>0</v>
      </c>
      <c r="H49">
        <f t="shared" si="14"/>
        <v>0</v>
      </c>
      <c r="I49">
        <f t="shared" si="15"/>
        <v>0</v>
      </c>
    </row>
    <row r="50" spans="1:9" ht="15" customHeight="1" x14ac:dyDescent="0.25">
      <c r="A50">
        <v>6</v>
      </c>
      <c r="B50" t="str">
        <f>Roster!B8</f>
        <v>Player 6</v>
      </c>
      <c r="C50" s="7"/>
      <c r="D50">
        <v>3</v>
      </c>
      <c r="E50">
        <f>IFERROR(INDEX(C$45:C$54,MATCH(3,A$45:A$54,0)),0)</f>
        <v>0</v>
      </c>
      <c r="F50" t="str">
        <f t="shared" si="12"/>
        <v>-</v>
      </c>
      <c r="G50">
        <f t="shared" si="13"/>
        <v>0</v>
      </c>
      <c r="H50">
        <f t="shared" si="14"/>
        <v>0</v>
      </c>
      <c r="I50">
        <f t="shared" si="15"/>
        <v>0</v>
      </c>
    </row>
    <row r="51" spans="1:9" ht="15" customHeight="1" x14ac:dyDescent="0.25">
      <c r="A51">
        <v>7</v>
      </c>
      <c r="B51" t="str">
        <f>Roster!B9</f>
        <v>Player 7</v>
      </c>
      <c r="C51" s="7"/>
      <c r="D51">
        <v>4</v>
      </c>
      <c r="E51">
        <f>IFERROR(INDEX(C$45:C$54,MATCH(4,A$45:A$54,0)),0)</f>
        <v>0</v>
      </c>
      <c r="F51" t="str">
        <f t="shared" si="12"/>
        <v>-</v>
      </c>
      <c r="G51">
        <f t="shared" si="13"/>
        <v>0</v>
      </c>
      <c r="H51">
        <f t="shared" si="14"/>
        <v>0</v>
      </c>
      <c r="I51">
        <f t="shared" si="15"/>
        <v>0</v>
      </c>
    </row>
    <row r="52" spans="1:9" ht="15" customHeight="1" x14ac:dyDescent="0.25">
      <c r="A52">
        <v>8</v>
      </c>
      <c r="B52" t="str">
        <f>Roster!B10</f>
        <v>Player 8</v>
      </c>
      <c r="C52" s="7"/>
      <c r="D52">
        <v>5</v>
      </c>
      <c r="E52">
        <f>IFERROR(INDEX(C$45:C$54,MATCH(5,A$45:A$54,0)),0)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9</v>
      </c>
      <c r="B53" t="str">
        <f>Roster!B11</f>
        <v>Player 9</v>
      </c>
      <c r="C53" s="7"/>
      <c r="D53">
        <v>1</v>
      </c>
      <c r="E53">
        <f>IFERROR(INDEX(C$45:C$54,MATCH(1,A$45:A$54,0)),0)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10</v>
      </c>
      <c r="B54" t="str">
        <f>Roster!B12</f>
        <v>Player 10</v>
      </c>
      <c r="C54" s="7"/>
      <c r="D54">
        <v>2</v>
      </c>
      <c r="E54">
        <f>IFERROR(INDEX(C$45:C$54,MATCH(2,A$45:A$54,0)),0)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6" spans="1:9" ht="15" customHeight="1" x14ac:dyDescent="0.25">
      <c r="A56" s="12" t="s">
        <v>114</v>
      </c>
    </row>
    <row r="57" spans="1:9" ht="15" customHeight="1" x14ac:dyDescent="0.25">
      <c r="A57" s="6" t="s">
        <v>1</v>
      </c>
      <c r="B57" s="6" t="s">
        <v>2</v>
      </c>
      <c r="C57" s="6" t="s">
        <v>182</v>
      </c>
      <c r="D57" s="6" t="s">
        <v>183</v>
      </c>
      <c r="E57" s="6" t="s">
        <v>184</v>
      </c>
      <c r="F57" s="6" t="s">
        <v>185</v>
      </c>
      <c r="G57" s="6" t="s">
        <v>186</v>
      </c>
      <c r="H57" s="6" t="s">
        <v>187</v>
      </c>
      <c r="I57" s="6" t="s">
        <v>188</v>
      </c>
    </row>
    <row r="58" spans="1:9" ht="15" customHeight="1" x14ac:dyDescent="0.25">
      <c r="A58">
        <v>1</v>
      </c>
      <c r="B58" t="str">
        <f>Roster!B3</f>
        <v>Player 1</v>
      </c>
      <c r="C58" s="7"/>
      <c r="D58">
        <v>10</v>
      </c>
      <c r="E58">
        <f>IFERROR(INDEX(C$58:C$67,MATCH(10,A$58:A$67,0)),0)</f>
        <v>0</v>
      </c>
      <c r="F58" t="str">
        <f t="shared" ref="F58:F67" si="16">IF(C58=0,"-",IF(C58&gt;E58,"W",IF(C58&lt;E58,"L","T")))</f>
        <v>-</v>
      </c>
      <c r="G58">
        <f t="shared" ref="G58:G67" si="17">IF(F58="W",6,IF(F58="T",3,0))</f>
        <v>0</v>
      </c>
      <c r="H58">
        <f t="shared" ref="H58:H67" si="18">IF(C58="",0,C58)</f>
        <v>0</v>
      </c>
      <c r="I58">
        <f t="shared" ref="I58:I67" si="19">G58+H58</f>
        <v>0</v>
      </c>
    </row>
    <row r="59" spans="1:9" ht="15" customHeight="1" x14ac:dyDescent="0.25">
      <c r="A59">
        <v>2</v>
      </c>
      <c r="B59" t="str">
        <f>Roster!B4</f>
        <v>Player 2</v>
      </c>
      <c r="C59" s="7"/>
      <c r="D59">
        <v>6</v>
      </c>
      <c r="E59">
        <f>IFERROR(INDEX(C$58:C$67,MATCH(6,A$58:A$67,0)),0)</f>
        <v>0</v>
      </c>
      <c r="F59" t="str">
        <f t="shared" si="16"/>
        <v>-</v>
      </c>
      <c r="G59">
        <f t="shared" si="17"/>
        <v>0</v>
      </c>
      <c r="H59">
        <f t="shared" si="18"/>
        <v>0</v>
      </c>
      <c r="I59">
        <f t="shared" si="19"/>
        <v>0</v>
      </c>
    </row>
    <row r="60" spans="1:9" ht="15" customHeight="1" x14ac:dyDescent="0.25">
      <c r="A60">
        <v>3</v>
      </c>
      <c r="B60" t="str">
        <f>Roster!B5</f>
        <v>Player 3</v>
      </c>
      <c r="C60" s="7"/>
      <c r="D60">
        <v>7</v>
      </c>
      <c r="E60">
        <f>IFERROR(INDEX(C$58:C$67,MATCH(7,A$58:A$67,0)),0)</f>
        <v>0</v>
      </c>
      <c r="F60" t="str">
        <f t="shared" si="16"/>
        <v>-</v>
      </c>
      <c r="G60">
        <f t="shared" si="17"/>
        <v>0</v>
      </c>
      <c r="H60">
        <f t="shared" si="18"/>
        <v>0</v>
      </c>
      <c r="I60">
        <f t="shared" si="19"/>
        <v>0</v>
      </c>
    </row>
    <row r="61" spans="1:9" ht="15" customHeight="1" x14ac:dyDescent="0.25">
      <c r="A61">
        <v>4</v>
      </c>
      <c r="B61" t="str">
        <f>Roster!B6</f>
        <v>Player 4</v>
      </c>
      <c r="C61" s="7"/>
      <c r="D61">
        <v>8</v>
      </c>
      <c r="E61">
        <f>IFERROR(INDEX(C$58:C$67,MATCH(8,A$58:A$67,0)),0)</f>
        <v>0</v>
      </c>
      <c r="F61" t="str">
        <f t="shared" si="16"/>
        <v>-</v>
      </c>
      <c r="G61">
        <f t="shared" si="17"/>
        <v>0</v>
      </c>
      <c r="H61">
        <f t="shared" si="18"/>
        <v>0</v>
      </c>
      <c r="I61">
        <f t="shared" si="19"/>
        <v>0</v>
      </c>
    </row>
    <row r="62" spans="1:9" ht="15" customHeight="1" x14ac:dyDescent="0.25">
      <c r="A62">
        <v>5</v>
      </c>
      <c r="B62" t="str">
        <f>Roster!B7</f>
        <v>Player 5</v>
      </c>
      <c r="C62" s="7"/>
      <c r="D62">
        <v>9</v>
      </c>
      <c r="E62">
        <f>IFERROR(INDEX(C$58:C$67,MATCH(9,A$58:A$67,0)),0)</f>
        <v>0</v>
      </c>
      <c r="F62" t="str">
        <f t="shared" si="16"/>
        <v>-</v>
      </c>
      <c r="G62">
        <f t="shared" si="17"/>
        <v>0</v>
      </c>
      <c r="H62">
        <f t="shared" si="18"/>
        <v>0</v>
      </c>
      <c r="I62">
        <f t="shared" si="19"/>
        <v>0</v>
      </c>
    </row>
    <row r="63" spans="1:9" ht="15" customHeight="1" x14ac:dyDescent="0.25">
      <c r="A63">
        <v>6</v>
      </c>
      <c r="B63" t="str">
        <f>Roster!B8</f>
        <v>Player 6</v>
      </c>
      <c r="C63" s="7"/>
      <c r="D63">
        <v>2</v>
      </c>
      <c r="E63">
        <f>IFERROR(INDEX(C$58:C$67,MATCH(2,A$58:A$67,0)),0)</f>
        <v>0</v>
      </c>
      <c r="F63" t="str">
        <f t="shared" si="16"/>
        <v>-</v>
      </c>
      <c r="G63">
        <f t="shared" si="17"/>
        <v>0</v>
      </c>
      <c r="H63">
        <f t="shared" si="18"/>
        <v>0</v>
      </c>
      <c r="I63">
        <f t="shared" si="19"/>
        <v>0</v>
      </c>
    </row>
    <row r="64" spans="1:9" ht="15" customHeight="1" x14ac:dyDescent="0.25">
      <c r="A64">
        <v>7</v>
      </c>
      <c r="B64" t="str">
        <f>Roster!B9</f>
        <v>Player 7</v>
      </c>
      <c r="C64" s="7"/>
      <c r="D64">
        <v>3</v>
      </c>
      <c r="E64">
        <f>IFERROR(INDEX(C$58:C$67,MATCH(3,A$58:A$67,0)),0)</f>
        <v>0</v>
      </c>
      <c r="F64" t="str">
        <f t="shared" si="16"/>
        <v>-</v>
      </c>
      <c r="G64">
        <f t="shared" si="17"/>
        <v>0</v>
      </c>
      <c r="H64">
        <f t="shared" si="18"/>
        <v>0</v>
      </c>
      <c r="I64">
        <f t="shared" si="19"/>
        <v>0</v>
      </c>
    </row>
    <row r="65" spans="1:9" ht="15" customHeight="1" x14ac:dyDescent="0.25">
      <c r="A65">
        <v>8</v>
      </c>
      <c r="B65" t="str">
        <f>Roster!B10</f>
        <v>Player 8</v>
      </c>
      <c r="C65" s="7"/>
      <c r="D65">
        <v>4</v>
      </c>
      <c r="E65">
        <f>IFERROR(INDEX(C$58:C$67,MATCH(4,A$58:A$67,0)),0)</f>
        <v>0</v>
      </c>
      <c r="F65" t="str">
        <f t="shared" si="16"/>
        <v>-</v>
      </c>
      <c r="G65">
        <f t="shared" si="17"/>
        <v>0</v>
      </c>
      <c r="H65">
        <f t="shared" si="18"/>
        <v>0</v>
      </c>
      <c r="I65">
        <f t="shared" si="19"/>
        <v>0</v>
      </c>
    </row>
    <row r="66" spans="1:9" ht="15" customHeight="1" x14ac:dyDescent="0.25">
      <c r="A66">
        <v>9</v>
      </c>
      <c r="B66" t="str">
        <f>Roster!B11</f>
        <v>Player 9</v>
      </c>
      <c r="C66" s="7"/>
      <c r="D66">
        <v>5</v>
      </c>
      <c r="E66">
        <f>IFERROR(INDEX(C$58:C$67,MATCH(5,A$58:A$67,0)),0)</f>
        <v>0</v>
      </c>
      <c r="F66" t="str">
        <f t="shared" si="16"/>
        <v>-</v>
      </c>
      <c r="G66">
        <f t="shared" si="17"/>
        <v>0</v>
      </c>
      <c r="H66">
        <f t="shared" si="18"/>
        <v>0</v>
      </c>
      <c r="I66">
        <f t="shared" si="19"/>
        <v>0</v>
      </c>
    </row>
    <row r="67" spans="1:9" ht="15" customHeight="1" x14ac:dyDescent="0.25">
      <c r="A67">
        <v>10</v>
      </c>
      <c r="B67" t="str">
        <f>Roster!B12</f>
        <v>Player 10</v>
      </c>
      <c r="C67" s="7"/>
      <c r="D67">
        <v>1</v>
      </c>
      <c r="E67">
        <f>IFERROR(INDEX(C$58:C$67,MATCH(1,A$58:A$67,0)),0)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9" spans="1:9" ht="15" customHeight="1" x14ac:dyDescent="0.25">
      <c r="A69" s="12" t="s">
        <v>118</v>
      </c>
    </row>
    <row r="70" spans="1:9" ht="15" customHeight="1" x14ac:dyDescent="0.25">
      <c r="A70" s="6" t="s">
        <v>1</v>
      </c>
      <c r="B70" s="6" t="s">
        <v>2</v>
      </c>
      <c r="C70" s="6" t="s">
        <v>182</v>
      </c>
      <c r="D70" s="6" t="s">
        <v>183</v>
      </c>
      <c r="E70" s="6" t="s">
        <v>184</v>
      </c>
      <c r="F70" s="6" t="s">
        <v>185</v>
      </c>
      <c r="G70" s="6" t="s">
        <v>186</v>
      </c>
      <c r="H70" s="6" t="s">
        <v>187</v>
      </c>
      <c r="I70" s="6" t="s">
        <v>188</v>
      </c>
    </row>
    <row r="71" spans="1:9" ht="15" customHeight="1" x14ac:dyDescent="0.25">
      <c r="A71">
        <v>1</v>
      </c>
      <c r="B71" t="str">
        <f>Roster!B3</f>
        <v>Player 1</v>
      </c>
      <c r="C71" s="7"/>
      <c r="D71">
        <v>6</v>
      </c>
      <c r="E71">
        <f>IFERROR(INDEX(C$71:C$80,MATCH(6,A$71:A$80,0)),0)</f>
        <v>0</v>
      </c>
      <c r="F71" t="str">
        <f t="shared" ref="F71:F80" si="20">IF(C71=0,"-",IF(C71&gt;E71,"W",IF(C71&lt;E71,"L","T")))</f>
        <v>-</v>
      </c>
      <c r="G71">
        <f t="shared" ref="G71:G80" si="21">IF(F71="W",6,IF(F71="T",3,0))</f>
        <v>0</v>
      </c>
      <c r="H71">
        <f t="shared" ref="H71:H80" si="22">IF(C71="",0,C71)</f>
        <v>0</v>
      </c>
      <c r="I71">
        <f t="shared" ref="I71:I80" si="23">G71+H71</f>
        <v>0</v>
      </c>
    </row>
    <row r="72" spans="1:9" ht="15" customHeight="1" x14ac:dyDescent="0.25">
      <c r="A72">
        <v>2</v>
      </c>
      <c r="B72" t="str">
        <f>Roster!B4</f>
        <v>Player 2</v>
      </c>
      <c r="C72" s="7"/>
      <c r="D72">
        <v>7</v>
      </c>
      <c r="E72">
        <f>IFERROR(INDEX(C$71:C$80,MATCH(7,A$71:A$80,0)),0)</f>
        <v>0</v>
      </c>
      <c r="F72" t="str">
        <f t="shared" si="20"/>
        <v>-</v>
      </c>
      <c r="G72">
        <f t="shared" si="21"/>
        <v>0</v>
      </c>
      <c r="H72">
        <f t="shared" si="22"/>
        <v>0</v>
      </c>
      <c r="I72">
        <f t="shared" si="23"/>
        <v>0</v>
      </c>
    </row>
    <row r="73" spans="1:9" ht="15" customHeight="1" x14ac:dyDescent="0.25">
      <c r="A73">
        <v>3</v>
      </c>
      <c r="B73" t="str">
        <f>Roster!B5</f>
        <v>Player 3</v>
      </c>
      <c r="C73" s="7"/>
      <c r="D73">
        <v>8</v>
      </c>
      <c r="E73">
        <f>IFERROR(INDEX(C$71:C$80,MATCH(8,A$71:A$80,0)),0)</f>
        <v>0</v>
      </c>
      <c r="F73" t="str">
        <f t="shared" si="20"/>
        <v>-</v>
      </c>
      <c r="G73">
        <f t="shared" si="21"/>
        <v>0</v>
      </c>
      <c r="H73">
        <f t="shared" si="22"/>
        <v>0</v>
      </c>
      <c r="I73">
        <f t="shared" si="23"/>
        <v>0</v>
      </c>
    </row>
    <row r="74" spans="1:9" ht="15" customHeight="1" x14ac:dyDescent="0.25">
      <c r="A74">
        <v>4</v>
      </c>
      <c r="B74" t="str">
        <f>Roster!B6</f>
        <v>Player 4</v>
      </c>
      <c r="C74" s="7"/>
      <c r="D74">
        <v>9</v>
      </c>
      <c r="E74">
        <f>IFERROR(INDEX(C$71:C$80,MATCH(9,A$71:A$80,0)),0)</f>
        <v>0</v>
      </c>
      <c r="F74" t="str">
        <f t="shared" si="20"/>
        <v>-</v>
      </c>
      <c r="G74">
        <f t="shared" si="21"/>
        <v>0</v>
      </c>
      <c r="H74">
        <f t="shared" si="22"/>
        <v>0</v>
      </c>
      <c r="I74">
        <f t="shared" si="23"/>
        <v>0</v>
      </c>
    </row>
    <row r="75" spans="1:9" ht="15" customHeight="1" x14ac:dyDescent="0.25">
      <c r="A75">
        <v>5</v>
      </c>
      <c r="B75" t="str">
        <f>Roster!B7</f>
        <v>Player 5</v>
      </c>
      <c r="C75" s="7"/>
      <c r="D75">
        <v>10</v>
      </c>
      <c r="E75">
        <f>IFERROR(INDEX(C$71:C$80,MATCH(10,A$71:A$80,0)),0)</f>
        <v>0</v>
      </c>
      <c r="F75" t="str">
        <f t="shared" si="20"/>
        <v>-</v>
      </c>
      <c r="G75">
        <f t="shared" si="21"/>
        <v>0</v>
      </c>
      <c r="H75">
        <f t="shared" si="22"/>
        <v>0</v>
      </c>
      <c r="I75">
        <f t="shared" si="23"/>
        <v>0</v>
      </c>
    </row>
    <row r="76" spans="1:9" ht="15" customHeight="1" x14ac:dyDescent="0.25">
      <c r="A76">
        <v>6</v>
      </c>
      <c r="B76" t="str">
        <f>Roster!B8</f>
        <v>Player 6</v>
      </c>
      <c r="C76" s="7"/>
      <c r="D76">
        <v>1</v>
      </c>
      <c r="E76">
        <f>IFERROR(INDEX(C$71:C$80,MATCH(1,A$71:A$80,0)),0)</f>
        <v>0</v>
      </c>
      <c r="F76" t="str">
        <f t="shared" si="20"/>
        <v>-</v>
      </c>
      <c r="G76">
        <f t="shared" si="21"/>
        <v>0</v>
      </c>
      <c r="H76">
        <f t="shared" si="22"/>
        <v>0</v>
      </c>
      <c r="I76">
        <f t="shared" si="23"/>
        <v>0</v>
      </c>
    </row>
    <row r="77" spans="1:9" ht="15" customHeight="1" x14ac:dyDescent="0.25">
      <c r="A77">
        <v>7</v>
      </c>
      <c r="B77" t="str">
        <f>Roster!B9</f>
        <v>Player 7</v>
      </c>
      <c r="C77" s="7"/>
      <c r="D77">
        <v>2</v>
      </c>
      <c r="E77">
        <f>IFERROR(INDEX(C$71:C$80,MATCH(2,A$71:A$80,0)),0)</f>
        <v>0</v>
      </c>
      <c r="F77" t="str">
        <f t="shared" si="20"/>
        <v>-</v>
      </c>
      <c r="G77">
        <f t="shared" si="21"/>
        <v>0</v>
      </c>
      <c r="H77">
        <f t="shared" si="22"/>
        <v>0</v>
      </c>
      <c r="I77">
        <f t="shared" si="23"/>
        <v>0</v>
      </c>
    </row>
    <row r="78" spans="1:9" ht="15" customHeight="1" x14ac:dyDescent="0.25">
      <c r="A78">
        <v>8</v>
      </c>
      <c r="B78" t="str">
        <f>Roster!B10</f>
        <v>Player 8</v>
      </c>
      <c r="C78" s="7"/>
      <c r="D78">
        <v>3</v>
      </c>
      <c r="E78">
        <f>IFERROR(INDEX(C$71:C$80,MATCH(3,A$71:A$80,0)),0)</f>
        <v>0</v>
      </c>
      <c r="F78" t="str">
        <f t="shared" si="20"/>
        <v>-</v>
      </c>
      <c r="G78">
        <f t="shared" si="21"/>
        <v>0</v>
      </c>
      <c r="H78">
        <f t="shared" si="22"/>
        <v>0</v>
      </c>
      <c r="I78">
        <f t="shared" si="23"/>
        <v>0</v>
      </c>
    </row>
    <row r="79" spans="1:9" ht="15" customHeight="1" x14ac:dyDescent="0.25">
      <c r="A79">
        <v>9</v>
      </c>
      <c r="B79" t="str">
        <f>Roster!B11</f>
        <v>Player 9</v>
      </c>
      <c r="C79" s="7"/>
      <c r="D79">
        <v>4</v>
      </c>
      <c r="E79">
        <f>IFERROR(INDEX(C$71:C$80,MATCH(4,A$71:A$80,0)),0)</f>
        <v>0</v>
      </c>
      <c r="F79" t="str">
        <f t="shared" si="20"/>
        <v>-</v>
      </c>
      <c r="G79">
        <f t="shared" si="21"/>
        <v>0</v>
      </c>
      <c r="H79">
        <f t="shared" si="22"/>
        <v>0</v>
      </c>
      <c r="I79">
        <f t="shared" si="23"/>
        <v>0</v>
      </c>
    </row>
    <row r="80" spans="1:9" ht="15" customHeight="1" x14ac:dyDescent="0.25">
      <c r="A80">
        <v>10</v>
      </c>
      <c r="B80" t="str">
        <f>Roster!B12</f>
        <v>Player 10</v>
      </c>
      <c r="C80" s="7"/>
      <c r="D80">
        <v>5</v>
      </c>
      <c r="E80">
        <f>IFERROR(INDEX(C$71:C$80,MATCH(5,A$71:A$80,0)),0)</f>
        <v>0</v>
      </c>
      <c r="F80" t="str">
        <f t="shared" si="20"/>
        <v>-</v>
      </c>
      <c r="G80">
        <f t="shared" si="21"/>
        <v>0</v>
      </c>
      <c r="H80">
        <f t="shared" si="22"/>
        <v>0</v>
      </c>
      <c r="I80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80"/>
  <sheetViews>
    <sheetView zoomScaleNormal="100" workbookViewId="0"/>
  </sheetViews>
  <sheetFormatPr defaultColWidth="8.7109375" defaultRowHeight="15" x14ac:dyDescent="0.25"/>
  <cols>
    <col min="1" max="1" width="10" customWidth="1"/>
    <col min="2" max="2" width="16" customWidth="1"/>
    <col min="3" max="4" width="14" customWidth="1"/>
    <col min="5" max="6" width="12" customWidth="1"/>
    <col min="7" max="8" width="10" customWidth="1"/>
    <col min="9" max="9" width="12" customWidth="1"/>
  </cols>
  <sheetData>
    <row r="1" spans="1:9" ht="17.25" customHeight="1" x14ac:dyDescent="0.25">
      <c r="A1" s="4" t="s">
        <v>189</v>
      </c>
      <c r="B1" s="4"/>
      <c r="C1" s="4"/>
      <c r="D1" s="4"/>
      <c r="E1" s="4"/>
      <c r="F1" s="4"/>
      <c r="G1" s="4"/>
      <c r="H1" s="4"/>
      <c r="I1" s="4"/>
    </row>
    <row r="2" spans="1:9" ht="15" customHeight="1" x14ac:dyDescent="0.25">
      <c r="A2" s="9" t="s">
        <v>190</v>
      </c>
    </row>
    <row r="4" spans="1:9" ht="15" customHeight="1" x14ac:dyDescent="0.25">
      <c r="A4" s="12" t="s">
        <v>122</v>
      </c>
    </row>
    <row r="5" spans="1:9" ht="15" customHeight="1" x14ac:dyDescent="0.25">
      <c r="A5" s="6" t="s">
        <v>1</v>
      </c>
      <c r="B5" s="6" t="s">
        <v>2</v>
      </c>
      <c r="C5" s="6" t="s">
        <v>191</v>
      </c>
      <c r="D5" s="6" t="s">
        <v>183</v>
      </c>
      <c r="E5" s="6" t="s">
        <v>192</v>
      </c>
      <c r="F5" s="6" t="s">
        <v>185</v>
      </c>
      <c r="G5" s="6" t="s">
        <v>186</v>
      </c>
      <c r="H5" s="6" t="s">
        <v>187</v>
      </c>
      <c r="I5" s="6" t="s">
        <v>188</v>
      </c>
    </row>
    <row r="6" spans="1:9" ht="15" customHeight="1" x14ac:dyDescent="0.25">
      <c r="A6">
        <v>1</v>
      </c>
      <c r="B6" t="str">
        <f>Roster!B3</f>
        <v>Player 1</v>
      </c>
      <c r="C6" s="7"/>
      <c r="D6">
        <v>8</v>
      </c>
      <c r="E6">
        <f>IFERROR(INDEX(C$6:C$15,MATCH(8,A$6:A$15,0)),0)</f>
        <v>0</v>
      </c>
      <c r="F6" t="str">
        <f t="shared" ref="F6:F15" si="0">IF(C6=0,"-",IF(C6&gt;E6,"W",IF(C6&lt;E6,"L","T")))</f>
        <v>-</v>
      </c>
      <c r="G6">
        <f t="shared" ref="G6:G15" si="1">IF(F6="W",10,IF(F6="T",5,0))</f>
        <v>0</v>
      </c>
      <c r="H6">
        <f t="shared" ref="H6:H15" si="2">IF(C6="",0,C6)</f>
        <v>0</v>
      </c>
      <c r="I6">
        <f t="shared" ref="I6:I15" si="3">G6+H6</f>
        <v>0</v>
      </c>
    </row>
    <row r="7" spans="1:9" ht="15" customHeight="1" x14ac:dyDescent="0.25">
      <c r="A7">
        <v>2</v>
      </c>
      <c r="B7" t="str">
        <f>Roster!B4</f>
        <v>Player 2</v>
      </c>
      <c r="C7" s="7"/>
      <c r="D7">
        <v>9</v>
      </c>
      <c r="E7">
        <f>IFERROR(INDEX(C$6:C$15,MATCH(9,A$6:A$15,0)),0)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Player 3</v>
      </c>
      <c r="C8" s="7"/>
      <c r="D8">
        <v>10</v>
      </c>
      <c r="E8">
        <f>IFERROR(INDEX(C$6:C$15,MATCH(10,A$6:A$15,0)),0)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Player 4</v>
      </c>
      <c r="C9" s="7"/>
      <c r="D9">
        <v>6</v>
      </c>
      <c r="E9">
        <f>IFERROR(INDEX(C$6:C$15,MATCH(6,A$6:A$15,0)),0)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Player 5</v>
      </c>
      <c r="C10" s="7"/>
      <c r="D10">
        <v>7</v>
      </c>
      <c r="E10">
        <f>IFERROR(INDEX(C$6:C$15,MATCH(7,A$6:A$15,0)),0)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Player 6</v>
      </c>
      <c r="C11" s="7"/>
      <c r="D11">
        <v>4</v>
      </c>
      <c r="E11">
        <f>IFERROR(INDEX(C$6:C$15,MATCH(4,A$6:A$15,0)),0)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Player 7</v>
      </c>
      <c r="C12" s="7"/>
      <c r="D12">
        <v>5</v>
      </c>
      <c r="E12">
        <f>IFERROR(INDEX(C$6:C$15,MATCH(5,A$6:A$15,0)),0)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Player 8</v>
      </c>
      <c r="C13" s="7"/>
      <c r="D13">
        <v>1</v>
      </c>
      <c r="E13">
        <f>IFERROR(INDEX(C$6:C$15,MATCH(1,A$6:A$15,0)),0)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Player 9</v>
      </c>
      <c r="C14" s="7"/>
      <c r="D14">
        <v>2</v>
      </c>
      <c r="E14">
        <f>IFERROR(INDEX(C$6:C$15,MATCH(2,A$6:A$15,0)),0)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Player 10</v>
      </c>
      <c r="C15" s="7"/>
      <c r="D15">
        <v>3</v>
      </c>
      <c r="E15">
        <f>IFERROR(INDEX(C$6:C$15,MATCH(3,A$6:A$15,0)),0)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7" spans="1:9" ht="15" customHeight="1" x14ac:dyDescent="0.25">
      <c r="A17" s="12" t="s">
        <v>126</v>
      </c>
    </row>
    <row r="18" spans="1:9" ht="15" customHeight="1" x14ac:dyDescent="0.25">
      <c r="A18" s="6" t="s">
        <v>1</v>
      </c>
      <c r="B18" s="6" t="s">
        <v>2</v>
      </c>
      <c r="C18" s="6" t="s">
        <v>191</v>
      </c>
      <c r="D18" s="6" t="s">
        <v>183</v>
      </c>
      <c r="E18" s="6" t="s">
        <v>192</v>
      </c>
      <c r="F18" s="6" t="s">
        <v>185</v>
      </c>
      <c r="G18" s="6" t="s">
        <v>186</v>
      </c>
      <c r="H18" s="6" t="s">
        <v>187</v>
      </c>
      <c r="I18" s="6" t="s">
        <v>188</v>
      </c>
    </row>
    <row r="19" spans="1:9" ht="15" customHeight="1" x14ac:dyDescent="0.25">
      <c r="A19">
        <v>1</v>
      </c>
      <c r="B19" t="str">
        <f>Roster!B3</f>
        <v>Player 1</v>
      </c>
      <c r="C19" s="7"/>
      <c r="D19">
        <v>9</v>
      </c>
      <c r="E19">
        <f>IFERROR(INDEX(C$19:C$28,MATCH(9,A$19:A$28,0)),0)</f>
        <v>0</v>
      </c>
      <c r="F19" t="str">
        <f t="shared" ref="F19:F28" si="4">IF(C19=0,"-",IF(C19&gt;E19,"W",IF(C19&lt;E19,"L","T")))</f>
        <v>-</v>
      </c>
      <c r="G19">
        <f t="shared" ref="G19:G28" si="5">IF(F19="W",10,IF(F19="T",5,0))</f>
        <v>0</v>
      </c>
      <c r="H19">
        <f t="shared" ref="H19:H28" si="6">IF(C19="",0,C19)</f>
        <v>0</v>
      </c>
      <c r="I19">
        <f t="shared" ref="I19:I28" si="7">G19+H19</f>
        <v>0</v>
      </c>
    </row>
    <row r="20" spans="1:9" ht="15" customHeight="1" x14ac:dyDescent="0.25">
      <c r="A20">
        <v>2</v>
      </c>
      <c r="B20" t="str">
        <f>Roster!B4</f>
        <v>Player 2</v>
      </c>
      <c r="C20" s="7"/>
      <c r="D20">
        <v>10</v>
      </c>
      <c r="E20">
        <f>IFERROR(INDEX(C$19:C$28,MATCH(10,A$19:A$28,0)),0)</f>
        <v>0</v>
      </c>
      <c r="F20" t="str">
        <f t="shared" si="4"/>
        <v>-</v>
      </c>
      <c r="G20">
        <f t="shared" si="5"/>
        <v>0</v>
      </c>
      <c r="H20">
        <f t="shared" si="6"/>
        <v>0</v>
      </c>
      <c r="I20">
        <f t="shared" si="7"/>
        <v>0</v>
      </c>
    </row>
    <row r="21" spans="1:9" ht="15" customHeight="1" x14ac:dyDescent="0.25">
      <c r="A21">
        <v>3</v>
      </c>
      <c r="B21" t="str">
        <f>Roster!B5</f>
        <v>Player 3</v>
      </c>
      <c r="C21" s="7"/>
      <c r="D21">
        <v>6</v>
      </c>
      <c r="E21">
        <f>IFERROR(INDEX(C$19:C$28,MATCH(6,A$19:A$28,0)),0)</f>
        <v>0</v>
      </c>
      <c r="F21" t="str">
        <f t="shared" si="4"/>
        <v>-</v>
      </c>
      <c r="G21">
        <f t="shared" si="5"/>
        <v>0</v>
      </c>
      <c r="H21">
        <f t="shared" si="6"/>
        <v>0</v>
      </c>
      <c r="I21">
        <f t="shared" si="7"/>
        <v>0</v>
      </c>
    </row>
    <row r="22" spans="1:9" ht="15" customHeight="1" x14ac:dyDescent="0.25">
      <c r="A22">
        <v>4</v>
      </c>
      <c r="B22" t="str">
        <f>Roster!B6</f>
        <v>Player 4</v>
      </c>
      <c r="C22" s="7"/>
      <c r="D22">
        <v>7</v>
      </c>
      <c r="E22">
        <f>IFERROR(INDEX(C$19:C$28,MATCH(7,A$19:A$28,0)),0)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5</v>
      </c>
      <c r="B23" t="str">
        <f>Roster!B7</f>
        <v>Player 5</v>
      </c>
      <c r="C23" s="7"/>
      <c r="D23">
        <v>8</v>
      </c>
      <c r="E23">
        <f>IFERROR(INDEX(C$19:C$28,MATCH(8,A$19:A$28,0)),0)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6</v>
      </c>
      <c r="B24" t="str">
        <f>Roster!B8</f>
        <v>Player 6</v>
      </c>
      <c r="C24" s="7"/>
      <c r="D24">
        <v>3</v>
      </c>
      <c r="E24">
        <f>IFERROR(INDEX(C$19:C$28,MATCH(3,A$19:A$28,0)),0)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7</v>
      </c>
      <c r="B25" t="str">
        <f>Roster!B9</f>
        <v>Player 7</v>
      </c>
      <c r="C25" s="7"/>
      <c r="D25">
        <v>4</v>
      </c>
      <c r="E25">
        <f>IFERROR(INDEX(C$19:C$28,MATCH(4,A$19:A$28,0)),0)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8</v>
      </c>
      <c r="B26" t="str">
        <f>Roster!B10</f>
        <v>Player 8</v>
      </c>
      <c r="C26" s="7"/>
      <c r="D26">
        <v>5</v>
      </c>
      <c r="E26">
        <f>IFERROR(INDEX(C$19:C$28,MATCH(5,A$19:A$28,0)),0)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9</v>
      </c>
      <c r="B27" t="str">
        <f>Roster!B11</f>
        <v>Player 9</v>
      </c>
      <c r="C27" s="7"/>
      <c r="D27">
        <v>1</v>
      </c>
      <c r="E27">
        <f>IFERROR(INDEX(C$19:C$28,MATCH(1,A$19:A$28,0)),0)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10</v>
      </c>
      <c r="B28" t="str">
        <f>Roster!B12</f>
        <v>Player 10</v>
      </c>
      <c r="C28" s="7"/>
      <c r="D28">
        <v>2</v>
      </c>
      <c r="E28">
        <f>IFERROR(INDEX(C$19:C$28,MATCH(2,A$19:A$28,0)),0)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30" spans="1:9" ht="15" customHeight="1" x14ac:dyDescent="0.25">
      <c r="A30" s="12" t="s">
        <v>130</v>
      </c>
    </row>
    <row r="31" spans="1:9" ht="15" customHeight="1" x14ac:dyDescent="0.25">
      <c r="A31" s="6" t="s">
        <v>1</v>
      </c>
      <c r="B31" s="6" t="s">
        <v>2</v>
      </c>
      <c r="C31" s="6" t="s">
        <v>191</v>
      </c>
      <c r="D31" s="6" t="s">
        <v>183</v>
      </c>
      <c r="E31" s="6" t="s">
        <v>192</v>
      </c>
      <c r="F31" s="6" t="s">
        <v>185</v>
      </c>
      <c r="G31" s="6" t="s">
        <v>186</v>
      </c>
      <c r="H31" s="6" t="s">
        <v>187</v>
      </c>
      <c r="I31" s="6" t="s">
        <v>188</v>
      </c>
    </row>
    <row r="32" spans="1:9" ht="15" customHeight="1" x14ac:dyDescent="0.25">
      <c r="A32">
        <v>1</v>
      </c>
      <c r="B32" t="str">
        <f>Roster!B3</f>
        <v>Player 1</v>
      </c>
      <c r="C32" s="7"/>
      <c r="D32">
        <v>10</v>
      </c>
      <c r="E32">
        <f>IFERROR(INDEX(C$32:C$41,MATCH(10,A$32:A$41,0)),0)</f>
        <v>0</v>
      </c>
      <c r="F32" t="str">
        <f t="shared" ref="F32:F41" si="8">IF(C32=0,"-",IF(C32&gt;E32,"W",IF(C32&lt;E32,"L","T")))</f>
        <v>-</v>
      </c>
      <c r="G32">
        <f t="shared" ref="G32:G41" si="9">IF(F32="W",10,IF(F32="T",5,0))</f>
        <v>0</v>
      </c>
      <c r="H32">
        <f t="shared" ref="H32:H41" si="10">IF(C32="",0,C32)</f>
        <v>0</v>
      </c>
      <c r="I32">
        <f t="shared" ref="I32:I41" si="11">G32+H32</f>
        <v>0</v>
      </c>
    </row>
    <row r="33" spans="1:9" ht="15" customHeight="1" x14ac:dyDescent="0.25">
      <c r="A33">
        <v>2</v>
      </c>
      <c r="B33" t="str">
        <f>Roster!B4</f>
        <v>Player 2</v>
      </c>
      <c r="C33" s="7"/>
      <c r="D33">
        <v>6</v>
      </c>
      <c r="E33">
        <f>IFERROR(INDEX(C$32:C$41,MATCH(6,A$32:A$41,0)),0)</f>
        <v>0</v>
      </c>
      <c r="F33" t="str">
        <f t="shared" si="8"/>
        <v>-</v>
      </c>
      <c r="G33">
        <f t="shared" si="9"/>
        <v>0</v>
      </c>
      <c r="H33">
        <f t="shared" si="10"/>
        <v>0</v>
      </c>
      <c r="I33">
        <f t="shared" si="11"/>
        <v>0</v>
      </c>
    </row>
    <row r="34" spans="1:9" ht="15" customHeight="1" x14ac:dyDescent="0.25">
      <c r="A34">
        <v>3</v>
      </c>
      <c r="B34" t="str">
        <f>Roster!B5</f>
        <v>Player 3</v>
      </c>
      <c r="C34" s="7"/>
      <c r="D34">
        <v>7</v>
      </c>
      <c r="E34">
        <f>IFERROR(INDEX(C$32:C$41,MATCH(7,A$32:A$41,0)),0)</f>
        <v>0</v>
      </c>
      <c r="F34" t="str">
        <f t="shared" si="8"/>
        <v>-</v>
      </c>
      <c r="G34">
        <f t="shared" si="9"/>
        <v>0</v>
      </c>
      <c r="H34">
        <f t="shared" si="10"/>
        <v>0</v>
      </c>
      <c r="I34">
        <f t="shared" si="11"/>
        <v>0</v>
      </c>
    </row>
    <row r="35" spans="1:9" ht="15" customHeight="1" x14ac:dyDescent="0.25">
      <c r="A35">
        <v>4</v>
      </c>
      <c r="B35" t="str">
        <f>Roster!B6</f>
        <v>Player 4</v>
      </c>
      <c r="C35" s="7"/>
      <c r="D35">
        <v>8</v>
      </c>
      <c r="E35">
        <f>IFERROR(INDEX(C$32:C$41,MATCH(8,A$32:A$41,0)),0)</f>
        <v>0</v>
      </c>
      <c r="F35" t="str">
        <f t="shared" si="8"/>
        <v>-</v>
      </c>
      <c r="G35">
        <f t="shared" si="9"/>
        <v>0</v>
      </c>
      <c r="H35">
        <f t="shared" si="10"/>
        <v>0</v>
      </c>
      <c r="I35">
        <f t="shared" si="11"/>
        <v>0</v>
      </c>
    </row>
    <row r="36" spans="1:9" ht="15" customHeight="1" x14ac:dyDescent="0.25">
      <c r="A36">
        <v>5</v>
      </c>
      <c r="B36" t="str">
        <f>Roster!B7</f>
        <v>Player 5</v>
      </c>
      <c r="C36" s="7"/>
      <c r="D36">
        <v>9</v>
      </c>
      <c r="E36">
        <f>IFERROR(INDEX(C$32:C$41,MATCH(9,A$32:A$41,0)),0)</f>
        <v>0</v>
      </c>
      <c r="F36" t="str">
        <f t="shared" si="8"/>
        <v>-</v>
      </c>
      <c r="G36">
        <f t="shared" si="9"/>
        <v>0</v>
      </c>
      <c r="H36">
        <f t="shared" si="10"/>
        <v>0</v>
      </c>
      <c r="I36">
        <f t="shared" si="11"/>
        <v>0</v>
      </c>
    </row>
    <row r="37" spans="1:9" ht="15" customHeight="1" x14ac:dyDescent="0.25">
      <c r="A37">
        <v>6</v>
      </c>
      <c r="B37" t="str">
        <f>Roster!B8</f>
        <v>Player 6</v>
      </c>
      <c r="C37" s="7"/>
      <c r="D37">
        <v>2</v>
      </c>
      <c r="E37">
        <f>IFERROR(INDEX(C$32:C$41,MATCH(2,A$32:A$41,0)),0)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7</v>
      </c>
      <c r="B38" t="str">
        <f>Roster!B9</f>
        <v>Player 7</v>
      </c>
      <c r="C38" s="7"/>
      <c r="D38">
        <v>3</v>
      </c>
      <c r="E38">
        <f>IFERROR(INDEX(C$32:C$41,MATCH(3,A$32:A$41,0)),0)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8</v>
      </c>
      <c r="B39" t="str">
        <f>Roster!B10</f>
        <v>Player 8</v>
      </c>
      <c r="C39" s="7"/>
      <c r="D39">
        <v>4</v>
      </c>
      <c r="E39">
        <f>IFERROR(INDEX(C$32:C$41,MATCH(4,A$32:A$41,0)),0)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9</v>
      </c>
      <c r="B40" t="str">
        <f>Roster!B11</f>
        <v>Player 9</v>
      </c>
      <c r="C40" s="7"/>
      <c r="D40">
        <v>5</v>
      </c>
      <c r="E40">
        <f>IFERROR(INDEX(C$32:C$41,MATCH(5,A$32:A$41,0)),0)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10</v>
      </c>
      <c r="B41" t="str">
        <f>Roster!B12</f>
        <v>Player 10</v>
      </c>
      <c r="C41" s="7"/>
      <c r="D41">
        <v>1</v>
      </c>
      <c r="E41">
        <f>IFERROR(INDEX(C$32:C$41,MATCH(1,A$32:A$41,0)),0)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3" spans="1:9" ht="15" customHeight="1" x14ac:dyDescent="0.25">
      <c r="A43" s="12" t="s">
        <v>134</v>
      </c>
    </row>
    <row r="44" spans="1:9" ht="15" customHeight="1" x14ac:dyDescent="0.25">
      <c r="A44" s="6" t="s">
        <v>1</v>
      </c>
      <c r="B44" s="6" t="s">
        <v>2</v>
      </c>
      <c r="C44" s="6" t="s">
        <v>191</v>
      </c>
      <c r="D44" s="6" t="s">
        <v>183</v>
      </c>
      <c r="E44" s="6" t="s">
        <v>192</v>
      </c>
      <c r="F44" s="6" t="s">
        <v>185</v>
      </c>
      <c r="G44" s="6" t="s">
        <v>186</v>
      </c>
      <c r="H44" s="6" t="s">
        <v>187</v>
      </c>
      <c r="I44" s="6" t="s">
        <v>188</v>
      </c>
    </row>
    <row r="45" spans="1:9" ht="15" customHeight="1" x14ac:dyDescent="0.25">
      <c r="A45">
        <v>1</v>
      </c>
      <c r="B45" t="str">
        <f>Roster!B3</f>
        <v>Player 1</v>
      </c>
      <c r="C45" s="7"/>
      <c r="D45">
        <v>6</v>
      </c>
      <c r="E45">
        <f>IFERROR(INDEX(C$45:C$54,MATCH(6,A$45:A$54,0)),0)</f>
        <v>0</v>
      </c>
      <c r="F45" t="str">
        <f t="shared" ref="F45:F54" si="12">IF(C45=0,"-",IF(C45&gt;E45,"W",IF(C45&lt;E45,"L","T")))</f>
        <v>-</v>
      </c>
      <c r="G45">
        <f t="shared" ref="G45:G54" si="13">IF(F45="W",10,IF(F45="T",5,0))</f>
        <v>0</v>
      </c>
      <c r="H45">
        <f t="shared" ref="H45:H54" si="14">IF(C45="",0,C45)</f>
        <v>0</v>
      </c>
      <c r="I45">
        <f t="shared" ref="I45:I54" si="15">G45+H45</f>
        <v>0</v>
      </c>
    </row>
    <row r="46" spans="1:9" ht="15" customHeight="1" x14ac:dyDescent="0.25">
      <c r="A46">
        <v>2</v>
      </c>
      <c r="B46" t="str">
        <f>Roster!B4</f>
        <v>Player 2</v>
      </c>
      <c r="C46" s="7"/>
      <c r="D46">
        <v>7</v>
      </c>
      <c r="E46">
        <f>IFERROR(INDEX(C$45:C$54,MATCH(7,A$45:A$54,0)),0)</f>
        <v>0</v>
      </c>
      <c r="F46" t="str">
        <f t="shared" si="12"/>
        <v>-</v>
      </c>
      <c r="G46">
        <f t="shared" si="13"/>
        <v>0</v>
      </c>
      <c r="H46">
        <f t="shared" si="14"/>
        <v>0</v>
      </c>
      <c r="I46">
        <f t="shared" si="15"/>
        <v>0</v>
      </c>
    </row>
    <row r="47" spans="1:9" ht="15" customHeight="1" x14ac:dyDescent="0.25">
      <c r="A47">
        <v>3</v>
      </c>
      <c r="B47" t="str">
        <f>Roster!B5</f>
        <v>Player 3</v>
      </c>
      <c r="C47" s="7"/>
      <c r="D47">
        <v>8</v>
      </c>
      <c r="E47">
        <f>IFERROR(INDEX(C$45:C$54,MATCH(8,A$45:A$54,0)),0)</f>
        <v>0</v>
      </c>
      <c r="F47" t="str">
        <f t="shared" si="12"/>
        <v>-</v>
      </c>
      <c r="G47">
        <f t="shared" si="13"/>
        <v>0</v>
      </c>
      <c r="H47">
        <f t="shared" si="14"/>
        <v>0</v>
      </c>
      <c r="I47">
        <f t="shared" si="15"/>
        <v>0</v>
      </c>
    </row>
    <row r="48" spans="1:9" ht="15" customHeight="1" x14ac:dyDescent="0.25">
      <c r="A48">
        <v>4</v>
      </c>
      <c r="B48" t="str">
        <f>Roster!B6</f>
        <v>Player 4</v>
      </c>
      <c r="C48" s="7"/>
      <c r="D48">
        <v>9</v>
      </c>
      <c r="E48">
        <f>IFERROR(INDEX(C$45:C$54,MATCH(9,A$45:A$54,0)),0)</f>
        <v>0</v>
      </c>
      <c r="F48" t="str">
        <f t="shared" si="12"/>
        <v>-</v>
      </c>
      <c r="G48">
        <f t="shared" si="13"/>
        <v>0</v>
      </c>
      <c r="H48">
        <f t="shared" si="14"/>
        <v>0</v>
      </c>
      <c r="I48">
        <f t="shared" si="15"/>
        <v>0</v>
      </c>
    </row>
    <row r="49" spans="1:9" ht="15" customHeight="1" x14ac:dyDescent="0.25">
      <c r="A49">
        <v>5</v>
      </c>
      <c r="B49" t="str">
        <f>Roster!B7</f>
        <v>Player 5</v>
      </c>
      <c r="C49" s="7"/>
      <c r="D49">
        <v>10</v>
      </c>
      <c r="E49">
        <f>IFERROR(INDEX(C$45:C$54,MATCH(10,A$45:A$54,0)),0)</f>
        <v>0</v>
      </c>
      <c r="F49" t="str">
        <f t="shared" si="12"/>
        <v>-</v>
      </c>
      <c r="G49">
        <f t="shared" si="13"/>
        <v>0</v>
      </c>
      <c r="H49">
        <f t="shared" si="14"/>
        <v>0</v>
      </c>
      <c r="I49">
        <f t="shared" si="15"/>
        <v>0</v>
      </c>
    </row>
    <row r="50" spans="1:9" ht="15" customHeight="1" x14ac:dyDescent="0.25">
      <c r="A50">
        <v>6</v>
      </c>
      <c r="B50" t="str">
        <f>Roster!B8</f>
        <v>Player 6</v>
      </c>
      <c r="C50" s="7"/>
      <c r="D50">
        <v>1</v>
      </c>
      <c r="E50">
        <f>IFERROR(INDEX(C$45:C$54,MATCH(1,A$45:A$54,0)),0)</f>
        <v>0</v>
      </c>
      <c r="F50" t="str">
        <f t="shared" si="12"/>
        <v>-</v>
      </c>
      <c r="G50">
        <f t="shared" si="13"/>
        <v>0</v>
      </c>
      <c r="H50">
        <f t="shared" si="14"/>
        <v>0</v>
      </c>
      <c r="I50">
        <f t="shared" si="15"/>
        <v>0</v>
      </c>
    </row>
    <row r="51" spans="1:9" ht="15" customHeight="1" x14ac:dyDescent="0.25">
      <c r="A51">
        <v>7</v>
      </c>
      <c r="B51" t="str">
        <f>Roster!B9</f>
        <v>Player 7</v>
      </c>
      <c r="C51" s="7"/>
      <c r="D51">
        <v>2</v>
      </c>
      <c r="E51">
        <f>IFERROR(INDEX(C$45:C$54,MATCH(2,A$45:A$54,0)),0)</f>
        <v>0</v>
      </c>
      <c r="F51" t="str">
        <f t="shared" si="12"/>
        <v>-</v>
      </c>
      <c r="G51">
        <f t="shared" si="13"/>
        <v>0</v>
      </c>
      <c r="H51">
        <f t="shared" si="14"/>
        <v>0</v>
      </c>
      <c r="I51">
        <f t="shared" si="15"/>
        <v>0</v>
      </c>
    </row>
    <row r="52" spans="1:9" ht="15" customHeight="1" x14ac:dyDescent="0.25">
      <c r="A52">
        <v>8</v>
      </c>
      <c r="B52" t="str">
        <f>Roster!B10</f>
        <v>Player 8</v>
      </c>
      <c r="C52" s="7"/>
      <c r="D52">
        <v>3</v>
      </c>
      <c r="E52">
        <f>IFERROR(INDEX(C$45:C$54,MATCH(3,A$45:A$54,0)),0)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9</v>
      </c>
      <c r="B53" t="str">
        <f>Roster!B11</f>
        <v>Player 9</v>
      </c>
      <c r="C53" s="7"/>
      <c r="D53">
        <v>4</v>
      </c>
      <c r="E53">
        <f>IFERROR(INDEX(C$45:C$54,MATCH(4,A$45:A$54,0)),0)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10</v>
      </c>
      <c r="B54" t="str">
        <f>Roster!B12</f>
        <v>Player 10</v>
      </c>
      <c r="C54" s="7"/>
      <c r="D54">
        <v>5</v>
      </c>
      <c r="E54">
        <f>IFERROR(INDEX(C$45:C$54,MATCH(5,A$45:A$54,0)),0)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6" spans="1:9" ht="15" customHeight="1" x14ac:dyDescent="0.25">
      <c r="A56" s="12" t="s">
        <v>138</v>
      </c>
    </row>
    <row r="57" spans="1:9" ht="15" customHeight="1" x14ac:dyDescent="0.25">
      <c r="A57" s="6" t="s">
        <v>1</v>
      </c>
      <c r="B57" s="6" t="s">
        <v>2</v>
      </c>
      <c r="C57" s="6" t="s">
        <v>191</v>
      </c>
      <c r="D57" s="6" t="s">
        <v>183</v>
      </c>
      <c r="E57" s="6" t="s">
        <v>192</v>
      </c>
      <c r="F57" s="6" t="s">
        <v>185</v>
      </c>
      <c r="G57" s="6" t="s">
        <v>186</v>
      </c>
      <c r="H57" s="6" t="s">
        <v>187</v>
      </c>
      <c r="I57" s="6" t="s">
        <v>188</v>
      </c>
    </row>
    <row r="58" spans="1:9" ht="15" customHeight="1" x14ac:dyDescent="0.25">
      <c r="A58">
        <v>1</v>
      </c>
      <c r="B58" t="str">
        <f>Roster!B3</f>
        <v>Player 1</v>
      </c>
      <c r="C58" s="7"/>
      <c r="D58">
        <v>7</v>
      </c>
      <c r="E58">
        <f>IFERROR(INDEX(C$58:C$67,MATCH(7,A$58:A$67,0)),0)</f>
        <v>0</v>
      </c>
      <c r="F58" t="str">
        <f t="shared" ref="F58:F67" si="16">IF(C58=0,"-",IF(C58&gt;E58,"W",IF(C58&lt;E58,"L","T")))</f>
        <v>-</v>
      </c>
      <c r="G58">
        <f t="shared" ref="G58:G67" si="17">IF(F58="W",10,IF(F58="T",5,0))</f>
        <v>0</v>
      </c>
      <c r="H58">
        <f t="shared" ref="H58:H67" si="18">IF(C58="",0,C58)</f>
        <v>0</v>
      </c>
      <c r="I58">
        <f t="shared" ref="I58:I67" si="19">G58+H58</f>
        <v>0</v>
      </c>
    </row>
    <row r="59" spans="1:9" ht="15" customHeight="1" x14ac:dyDescent="0.25">
      <c r="A59">
        <v>2</v>
      </c>
      <c r="B59" t="str">
        <f>Roster!B4</f>
        <v>Player 2</v>
      </c>
      <c r="C59" s="7"/>
      <c r="D59">
        <v>8</v>
      </c>
      <c r="E59">
        <f>IFERROR(INDEX(C$58:C$67,MATCH(8,A$58:A$67,0)),0)</f>
        <v>0</v>
      </c>
      <c r="F59" t="str">
        <f t="shared" si="16"/>
        <v>-</v>
      </c>
      <c r="G59">
        <f t="shared" si="17"/>
        <v>0</v>
      </c>
      <c r="H59">
        <f t="shared" si="18"/>
        <v>0</v>
      </c>
      <c r="I59">
        <f t="shared" si="19"/>
        <v>0</v>
      </c>
    </row>
    <row r="60" spans="1:9" ht="15" customHeight="1" x14ac:dyDescent="0.25">
      <c r="A60">
        <v>3</v>
      </c>
      <c r="B60" t="str">
        <f>Roster!B5</f>
        <v>Player 3</v>
      </c>
      <c r="C60" s="7"/>
      <c r="D60">
        <v>9</v>
      </c>
      <c r="E60">
        <f>IFERROR(INDEX(C$58:C$67,MATCH(9,A$58:A$67,0)),0)</f>
        <v>0</v>
      </c>
      <c r="F60" t="str">
        <f t="shared" si="16"/>
        <v>-</v>
      </c>
      <c r="G60">
        <f t="shared" si="17"/>
        <v>0</v>
      </c>
      <c r="H60">
        <f t="shared" si="18"/>
        <v>0</v>
      </c>
      <c r="I60">
        <f t="shared" si="19"/>
        <v>0</v>
      </c>
    </row>
    <row r="61" spans="1:9" ht="15" customHeight="1" x14ac:dyDescent="0.25">
      <c r="A61">
        <v>4</v>
      </c>
      <c r="B61" t="str">
        <f>Roster!B6</f>
        <v>Player 4</v>
      </c>
      <c r="C61" s="7"/>
      <c r="D61">
        <v>10</v>
      </c>
      <c r="E61">
        <f>IFERROR(INDEX(C$58:C$67,MATCH(10,A$58:A$67,0)),0)</f>
        <v>0</v>
      </c>
      <c r="F61" t="str">
        <f t="shared" si="16"/>
        <v>-</v>
      </c>
      <c r="G61">
        <f t="shared" si="17"/>
        <v>0</v>
      </c>
      <c r="H61">
        <f t="shared" si="18"/>
        <v>0</v>
      </c>
      <c r="I61">
        <f t="shared" si="19"/>
        <v>0</v>
      </c>
    </row>
    <row r="62" spans="1:9" ht="15" customHeight="1" x14ac:dyDescent="0.25">
      <c r="A62">
        <v>5</v>
      </c>
      <c r="B62" t="str">
        <f>Roster!B7</f>
        <v>Player 5</v>
      </c>
      <c r="C62" s="7"/>
      <c r="D62">
        <v>6</v>
      </c>
      <c r="E62">
        <f>IFERROR(INDEX(C$58:C$67,MATCH(6,A$58:A$67,0)),0)</f>
        <v>0</v>
      </c>
      <c r="F62" t="str">
        <f t="shared" si="16"/>
        <v>-</v>
      </c>
      <c r="G62">
        <f t="shared" si="17"/>
        <v>0</v>
      </c>
      <c r="H62">
        <f t="shared" si="18"/>
        <v>0</v>
      </c>
      <c r="I62">
        <f t="shared" si="19"/>
        <v>0</v>
      </c>
    </row>
    <row r="63" spans="1:9" ht="15" customHeight="1" x14ac:dyDescent="0.25">
      <c r="A63">
        <v>6</v>
      </c>
      <c r="B63" t="str">
        <f>Roster!B8</f>
        <v>Player 6</v>
      </c>
      <c r="C63" s="7"/>
      <c r="D63">
        <v>5</v>
      </c>
      <c r="E63">
        <f>IFERROR(INDEX(C$58:C$67,MATCH(5,A$58:A$67,0)),0)</f>
        <v>0</v>
      </c>
      <c r="F63" t="str">
        <f t="shared" si="16"/>
        <v>-</v>
      </c>
      <c r="G63">
        <f t="shared" si="17"/>
        <v>0</v>
      </c>
      <c r="H63">
        <f t="shared" si="18"/>
        <v>0</v>
      </c>
      <c r="I63">
        <f t="shared" si="19"/>
        <v>0</v>
      </c>
    </row>
    <row r="64" spans="1:9" ht="15" customHeight="1" x14ac:dyDescent="0.25">
      <c r="A64">
        <v>7</v>
      </c>
      <c r="B64" t="str">
        <f>Roster!B9</f>
        <v>Player 7</v>
      </c>
      <c r="C64" s="7"/>
      <c r="D64">
        <v>1</v>
      </c>
      <c r="E64">
        <f>IFERROR(INDEX(C$58:C$67,MATCH(1,A$58:A$67,0)),0)</f>
        <v>0</v>
      </c>
      <c r="F64" t="str">
        <f t="shared" si="16"/>
        <v>-</v>
      </c>
      <c r="G64">
        <f t="shared" si="17"/>
        <v>0</v>
      </c>
      <c r="H64">
        <f t="shared" si="18"/>
        <v>0</v>
      </c>
      <c r="I64">
        <f t="shared" si="19"/>
        <v>0</v>
      </c>
    </row>
    <row r="65" spans="1:9" ht="15" customHeight="1" x14ac:dyDescent="0.25">
      <c r="A65">
        <v>8</v>
      </c>
      <c r="B65" t="str">
        <f>Roster!B10</f>
        <v>Player 8</v>
      </c>
      <c r="C65" s="7"/>
      <c r="D65">
        <v>2</v>
      </c>
      <c r="E65">
        <f>IFERROR(INDEX(C$58:C$67,MATCH(2,A$58:A$67,0)),0)</f>
        <v>0</v>
      </c>
      <c r="F65" t="str">
        <f t="shared" si="16"/>
        <v>-</v>
      </c>
      <c r="G65">
        <f t="shared" si="17"/>
        <v>0</v>
      </c>
      <c r="H65">
        <f t="shared" si="18"/>
        <v>0</v>
      </c>
      <c r="I65">
        <f t="shared" si="19"/>
        <v>0</v>
      </c>
    </row>
    <row r="66" spans="1:9" ht="15" customHeight="1" x14ac:dyDescent="0.25">
      <c r="A66">
        <v>9</v>
      </c>
      <c r="B66" t="str">
        <f>Roster!B11</f>
        <v>Player 9</v>
      </c>
      <c r="C66" s="7"/>
      <c r="D66">
        <v>3</v>
      </c>
      <c r="E66">
        <f>IFERROR(INDEX(C$58:C$67,MATCH(3,A$58:A$67,0)),0)</f>
        <v>0</v>
      </c>
      <c r="F66" t="str">
        <f t="shared" si="16"/>
        <v>-</v>
      </c>
      <c r="G66">
        <f t="shared" si="17"/>
        <v>0</v>
      </c>
      <c r="H66">
        <f t="shared" si="18"/>
        <v>0</v>
      </c>
      <c r="I66">
        <f t="shared" si="19"/>
        <v>0</v>
      </c>
    </row>
    <row r="67" spans="1:9" ht="15" customHeight="1" x14ac:dyDescent="0.25">
      <c r="A67">
        <v>10</v>
      </c>
      <c r="B67" t="str">
        <f>Roster!B12</f>
        <v>Player 10</v>
      </c>
      <c r="C67" s="7"/>
      <c r="D67">
        <v>4</v>
      </c>
      <c r="E67">
        <f>IFERROR(INDEX(C$58:C$67,MATCH(4,A$58:A$67,0)),0)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9" spans="1:9" ht="15" customHeight="1" x14ac:dyDescent="0.25">
      <c r="A69" s="12" t="s">
        <v>142</v>
      </c>
    </row>
    <row r="70" spans="1:9" ht="15" customHeight="1" x14ac:dyDescent="0.25">
      <c r="A70" s="6" t="s">
        <v>1</v>
      </c>
      <c r="B70" s="6" t="s">
        <v>2</v>
      </c>
      <c r="C70" s="6" t="s">
        <v>191</v>
      </c>
      <c r="D70" s="6" t="s">
        <v>183</v>
      </c>
      <c r="E70" s="6" t="s">
        <v>192</v>
      </c>
      <c r="F70" s="6" t="s">
        <v>185</v>
      </c>
      <c r="G70" s="6" t="s">
        <v>186</v>
      </c>
      <c r="H70" s="6" t="s">
        <v>187</v>
      </c>
      <c r="I70" s="6" t="s">
        <v>188</v>
      </c>
    </row>
    <row r="71" spans="1:9" ht="15" customHeight="1" x14ac:dyDescent="0.25">
      <c r="A71">
        <v>1</v>
      </c>
      <c r="B71" t="str">
        <f>Roster!B3</f>
        <v>Player 1</v>
      </c>
      <c r="C71" s="7"/>
      <c r="D71">
        <v>8</v>
      </c>
      <c r="E71">
        <f>IFERROR(INDEX(C$71:C$80,MATCH(8,A$71:A$80,0)),0)</f>
        <v>0</v>
      </c>
      <c r="F71" t="str">
        <f t="shared" ref="F71:F80" si="20">IF(C71=0,"-",IF(C71&gt;E71,"W",IF(C71&lt;E71,"L","T")))</f>
        <v>-</v>
      </c>
      <c r="G71">
        <f t="shared" ref="G71:G80" si="21">IF(F71="W",10,IF(F71="T",5,0))</f>
        <v>0</v>
      </c>
      <c r="H71">
        <f t="shared" ref="H71:H80" si="22">IF(C71="",0,C71)</f>
        <v>0</v>
      </c>
      <c r="I71">
        <f t="shared" ref="I71:I80" si="23">G71+H71</f>
        <v>0</v>
      </c>
    </row>
    <row r="72" spans="1:9" ht="15" customHeight="1" x14ac:dyDescent="0.25">
      <c r="A72">
        <v>2</v>
      </c>
      <c r="B72" t="str">
        <f>Roster!B4</f>
        <v>Player 2</v>
      </c>
      <c r="C72" s="7"/>
      <c r="D72">
        <v>9</v>
      </c>
      <c r="E72">
        <f>IFERROR(INDEX(C$71:C$80,MATCH(9,A$71:A$80,0)),0)</f>
        <v>0</v>
      </c>
      <c r="F72" t="str">
        <f t="shared" si="20"/>
        <v>-</v>
      </c>
      <c r="G72">
        <f t="shared" si="21"/>
        <v>0</v>
      </c>
      <c r="H72">
        <f t="shared" si="22"/>
        <v>0</v>
      </c>
      <c r="I72">
        <f t="shared" si="23"/>
        <v>0</v>
      </c>
    </row>
    <row r="73" spans="1:9" ht="15" customHeight="1" x14ac:dyDescent="0.25">
      <c r="A73">
        <v>3</v>
      </c>
      <c r="B73" t="str">
        <f>Roster!B5</f>
        <v>Player 3</v>
      </c>
      <c r="C73" s="7"/>
      <c r="D73">
        <v>10</v>
      </c>
      <c r="E73">
        <f>IFERROR(INDEX(C$71:C$80,MATCH(10,A$71:A$80,0)),0)</f>
        <v>0</v>
      </c>
      <c r="F73" t="str">
        <f t="shared" si="20"/>
        <v>-</v>
      </c>
      <c r="G73">
        <f t="shared" si="21"/>
        <v>0</v>
      </c>
      <c r="H73">
        <f t="shared" si="22"/>
        <v>0</v>
      </c>
      <c r="I73">
        <f t="shared" si="23"/>
        <v>0</v>
      </c>
    </row>
    <row r="74" spans="1:9" ht="15" customHeight="1" x14ac:dyDescent="0.25">
      <c r="A74">
        <v>4</v>
      </c>
      <c r="B74" t="str">
        <f>Roster!B6</f>
        <v>Player 4</v>
      </c>
      <c r="C74" s="7"/>
      <c r="D74">
        <v>6</v>
      </c>
      <c r="E74">
        <f>IFERROR(INDEX(C$71:C$80,MATCH(6,A$71:A$80,0)),0)</f>
        <v>0</v>
      </c>
      <c r="F74" t="str">
        <f t="shared" si="20"/>
        <v>-</v>
      </c>
      <c r="G74">
        <f t="shared" si="21"/>
        <v>0</v>
      </c>
      <c r="H74">
        <f t="shared" si="22"/>
        <v>0</v>
      </c>
      <c r="I74">
        <f t="shared" si="23"/>
        <v>0</v>
      </c>
    </row>
    <row r="75" spans="1:9" ht="15" customHeight="1" x14ac:dyDescent="0.25">
      <c r="A75">
        <v>5</v>
      </c>
      <c r="B75" t="str">
        <f>Roster!B7</f>
        <v>Player 5</v>
      </c>
      <c r="C75" s="7"/>
      <c r="D75">
        <v>7</v>
      </c>
      <c r="E75">
        <f>IFERROR(INDEX(C$71:C$80,MATCH(7,A$71:A$80,0)),0)</f>
        <v>0</v>
      </c>
      <c r="F75" t="str">
        <f t="shared" si="20"/>
        <v>-</v>
      </c>
      <c r="G75">
        <f t="shared" si="21"/>
        <v>0</v>
      </c>
      <c r="H75">
        <f t="shared" si="22"/>
        <v>0</v>
      </c>
      <c r="I75">
        <f t="shared" si="23"/>
        <v>0</v>
      </c>
    </row>
    <row r="76" spans="1:9" ht="15" customHeight="1" x14ac:dyDescent="0.25">
      <c r="A76">
        <v>6</v>
      </c>
      <c r="B76" t="str">
        <f>Roster!B8</f>
        <v>Player 6</v>
      </c>
      <c r="C76" s="7"/>
      <c r="D76">
        <v>4</v>
      </c>
      <c r="E76">
        <f>IFERROR(INDEX(C$71:C$80,MATCH(4,A$71:A$80,0)),0)</f>
        <v>0</v>
      </c>
      <c r="F76" t="str">
        <f t="shared" si="20"/>
        <v>-</v>
      </c>
      <c r="G76">
        <f t="shared" si="21"/>
        <v>0</v>
      </c>
      <c r="H76">
        <f t="shared" si="22"/>
        <v>0</v>
      </c>
      <c r="I76">
        <f t="shared" si="23"/>
        <v>0</v>
      </c>
    </row>
    <row r="77" spans="1:9" ht="15" customHeight="1" x14ac:dyDescent="0.25">
      <c r="A77">
        <v>7</v>
      </c>
      <c r="B77" t="str">
        <f>Roster!B9</f>
        <v>Player 7</v>
      </c>
      <c r="C77" s="7"/>
      <c r="D77">
        <v>5</v>
      </c>
      <c r="E77">
        <f>IFERROR(INDEX(C$71:C$80,MATCH(5,A$71:A$80,0)),0)</f>
        <v>0</v>
      </c>
      <c r="F77" t="str">
        <f t="shared" si="20"/>
        <v>-</v>
      </c>
      <c r="G77">
        <f t="shared" si="21"/>
        <v>0</v>
      </c>
      <c r="H77">
        <f t="shared" si="22"/>
        <v>0</v>
      </c>
      <c r="I77">
        <f t="shared" si="23"/>
        <v>0</v>
      </c>
    </row>
    <row r="78" spans="1:9" ht="15" customHeight="1" x14ac:dyDescent="0.25">
      <c r="A78">
        <v>8</v>
      </c>
      <c r="B78" t="str">
        <f>Roster!B10</f>
        <v>Player 8</v>
      </c>
      <c r="C78" s="7"/>
      <c r="D78">
        <v>1</v>
      </c>
      <c r="E78">
        <f>IFERROR(INDEX(C$71:C$80,MATCH(1,A$71:A$80,0)),0)</f>
        <v>0</v>
      </c>
      <c r="F78" t="str">
        <f t="shared" si="20"/>
        <v>-</v>
      </c>
      <c r="G78">
        <f t="shared" si="21"/>
        <v>0</v>
      </c>
      <c r="H78">
        <f t="shared" si="22"/>
        <v>0</v>
      </c>
      <c r="I78">
        <f t="shared" si="23"/>
        <v>0</v>
      </c>
    </row>
    <row r="79" spans="1:9" ht="15" customHeight="1" x14ac:dyDescent="0.25">
      <c r="A79">
        <v>9</v>
      </c>
      <c r="B79" t="str">
        <f>Roster!B11</f>
        <v>Player 9</v>
      </c>
      <c r="C79" s="7"/>
      <c r="D79">
        <v>2</v>
      </c>
      <c r="E79">
        <f>IFERROR(INDEX(C$71:C$80,MATCH(2,A$71:A$80,0)),0)</f>
        <v>0</v>
      </c>
      <c r="F79" t="str">
        <f t="shared" si="20"/>
        <v>-</v>
      </c>
      <c r="G79">
        <f t="shared" si="21"/>
        <v>0</v>
      </c>
      <c r="H79">
        <f t="shared" si="22"/>
        <v>0</v>
      </c>
      <c r="I79">
        <f t="shared" si="23"/>
        <v>0</v>
      </c>
    </row>
    <row r="80" spans="1:9" ht="15" customHeight="1" x14ac:dyDescent="0.25">
      <c r="A80">
        <v>10</v>
      </c>
      <c r="B80" t="str">
        <f>Roster!B12</f>
        <v>Player 10</v>
      </c>
      <c r="C80" s="7"/>
      <c r="D80">
        <v>3</v>
      </c>
      <c r="E80">
        <f>IFERROR(INDEX(C$71:C$80,MATCH(3,A$71:A$80,0)),0)</f>
        <v>0</v>
      </c>
      <c r="F80" t="str">
        <f t="shared" si="20"/>
        <v>-</v>
      </c>
      <c r="G80">
        <f t="shared" si="21"/>
        <v>0</v>
      </c>
      <c r="H80">
        <f t="shared" si="22"/>
        <v>0</v>
      </c>
      <c r="I80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80"/>
  <sheetViews>
    <sheetView zoomScaleNormal="100" workbookViewId="0"/>
  </sheetViews>
  <sheetFormatPr defaultColWidth="8.7109375" defaultRowHeight="15" x14ac:dyDescent="0.25"/>
  <cols>
    <col min="1" max="1" width="10" customWidth="1"/>
    <col min="2" max="2" width="16" customWidth="1"/>
    <col min="3" max="4" width="14" customWidth="1"/>
    <col min="5" max="6" width="12" customWidth="1"/>
    <col min="7" max="8" width="10" customWidth="1"/>
    <col min="9" max="9" width="12" customWidth="1"/>
  </cols>
  <sheetData>
    <row r="1" spans="1:9" ht="17.25" customHeight="1" x14ac:dyDescent="0.25">
      <c r="A1" s="4" t="s">
        <v>193</v>
      </c>
      <c r="B1" s="4"/>
      <c r="C1" s="4"/>
      <c r="D1" s="4"/>
      <c r="E1" s="4"/>
      <c r="F1" s="4"/>
      <c r="G1" s="4"/>
      <c r="H1" s="4"/>
      <c r="I1" s="4"/>
    </row>
    <row r="2" spans="1:9" ht="15" customHeight="1" x14ac:dyDescent="0.25">
      <c r="A2" s="9" t="s">
        <v>194</v>
      </c>
    </row>
    <row r="4" spans="1:9" ht="15" customHeight="1" x14ac:dyDescent="0.25">
      <c r="A4" s="12" t="s">
        <v>151</v>
      </c>
    </row>
    <row r="5" spans="1:9" ht="15" customHeight="1" x14ac:dyDescent="0.25">
      <c r="A5" s="6" t="s">
        <v>1</v>
      </c>
      <c r="B5" s="6" t="s">
        <v>2</v>
      </c>
      <c r="C5" s="6" t="s">
        <v>182</v>
      </c>
      <c r="D5" s="6" t="s">
        <v>183</v>
      </c>
      <c r="E5" s="6" t="s">
        <v>184</v>
      </c>
      <c r="F5" s="6" t="s">
        <v>185</v>
      </c>
      <c r="G5" s="6" t="s">
        <v>195</v>
      </c>
      <c r="H5" s="6" t="s">
        <v>196</v>
      </c>
      <c r="I5" s="6" t="s">
        <v>197</v>
      </c>
    </row>
    <row r="6" spans="1:9" ht="15" customHeight="1" x14ac:dyDescent="0.25">
      <c r="A6">
        <v>1</v>
      </c>
      <c r="B6" t="str">
        <f>Roster!B3</f>
        <v>Player 1</v>
      </c>
      <c r="C6" s="7"/>
      <c r="D6">
        <v>4</v>
      </c>
      <c r="E6">
        <f>IFERROR(INDEX(C$6:C$15,MATCH(4,A$6:A$15,0)),0)</f>
        <v>0</v>
      </c>
      <c r="F6" t="str">
        <f t="shared" ref="F6:F15" si="0">IF(C6=0,"-",IF(C6&gt;E6,"W",IF(C6&lt;E6,"L","T")))</f>
        <v>-</v>
      </c>
      <c r="G6">
        <f t="shared" ref="G6:G15" si="1">IF(F6="W",1,IF(F6="T",0.5,0))</f>
        <v>0</v>
      </c>
      <c r="H6">
        <f t="shared" ref="H6:H15" si="2">IF(F6="L",1,IF(F6="T",0.5,0))</f>
        <v>0</v>
      </c>
      <c r="I6">
        <f t="shared" ref="I6:I15" si="3">IF(C6="",0,C6)</f>
        <v>0</v>
      </c>
    </row>
    <row r="7" spans="1:9" ht="15" customHeight="1" x14ac:dyDescent="0.25">
      <c r="A7">
        <v>2</v>
      </c>
      <c r="B7" t="str">
        <f>Roster!B4</f>
        <v>Player 2</v>
      </c>
      <c r="C7" s="7"/>
      <c r="D7">
        <v>3</v>
      </c>
      <c r="E7">
        <f>IFERROR(INDEX(C$6:C$15,MATCH(3,A$6:A$15,0)),0)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Player 3</v>
      </c>
      <c r="C8" s="7"/>
      <c r="D8">
        <v>2</v>
      </c>
      <c r="E8">
        <f>IFERROR(INDEX(C$6:C$15,MATCH(2,A$6:A$15,0)),0)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Player 4</v>
      </c>
      <c r="C9" s="7"/>
      <c r="D9">
        <v>1</v>
      </c>
      <c r="E9">
        <f>IFERROR(INDEX(C$6:C$15,MATCH(1,A$6:A$15,0)),0)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Player 5</v>
      </c>
      <c r="C10" s="7"/>
      <c r="D10">
        <v>10</v>
      </c>
      <c r="E10">
        <f>IFERROR(INDEX(C$6:C$15,MATCH(10,A$6:A$15,0)),0)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Player 6</v>
      </c>
      <c r="C11" s="7"/>
      <c r="D11">
        <v>9</v>
      </c>
      <c r="E11">
        <f>IFERROR(INDEX(C$6:C$15,MATCH(9,A$6:A$15,0)),0)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Player 7</v>
      </c>
      <c r="C12" s="7"/>
      <c r="D12">
        <v>8</v>
      </c>
      <c r="E12">
        <f>IFERROR(INDEX(C$6:C$15,MATCH(8,A$6:A$15,0)),0)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Player 8</v>
      </c>
      <c r="C13" s="7"/>
      <c r="D13">
        <v>7</v>
      </c>
      <c r="E13">
        <f>IFERROR(INDEX(C$6:C$15,MATCH(7,A$6:A$15,0)),0)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Player 9</v>
      </c>
      <c r="C14" s="7"/>
      <c r="D14">
        <v>6</v>
      </c>
      <c r="E14">
        <f>IFERROR(INDEX(C$6:C$15,MATCH(6,A$6:A$15,0)),0)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Player 10</v>
      </c>
      <c r="C15" s="7"/>
      <c r="D15">
        <v>5</v>
      </c>
      <c r="E15">
        <f>IFERROR(INDEX(C$6:C$15,MATCH(5,A$6:A$15,0)),0)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7" spans="1:9" ht="15" customHeight="1" x14ac:dyDescent="0.25">
      <c r="A17" s="12" t="s">
        <v>155</v>
      </c>
    </row>
    <row r="18" spans="1:9" ht="15" customHeight="1" x14ac:dyDescent="0.25">
      <c r="A18" s="6" t="s">
        <v>1</v>
      </c>
      <c r="B18" s="6" t="s">
        <v>2</v>
      </c>
      <c r="C18" s="6" t="s">
        <v>182</v>
      </c>
      <c r="D18" s="6" t="s">
        <v>183</v>
      </c>
      <c r="E18" s="6" t="s">
        <v>184</v>
      </c>
      <c r="F18" s="6" t="s">
        <v>185</v>
      </c>
      <c r="G18" s="6" t="s">
        <v>195</v>
      </c>
      <c r="H18" s="6" t="s">
        <v>196</v>
      </c>
      <c r="I18" s="6" t="s">
        <v>197</v>
      </c>
    </row>
    <row r="19" spans="1:9" ht="15" customHeight="1" x14ac:dyDescent="0.25">
      <c r="A19">
        <v>1</v>
      </c>
      <c r="B19" t="str">
        <f>Roster!B3</f>
        <v>Player 1</v>
      </c>
      <c r="C19" s="7"/>
      <c r="D19">
        <v>2</v>
      </c>
      <c r="E19">
        <f>IFERROR(INDEX(C$19:C$28,MATCH(2,A$19:A$28,0)),0)</f>
        <v>0</v>
      </c>
      <c r="F19" t="str">
        <f t="shared" ref="F19:F28" si="4">IF(C19=0,"-",IF(C19&gt;E19,"W",IF(C19&lt;E19,"L","T")))</f>
        <v>-</v>
      </c>
      <c r="G19">
        <f t="shared" ref="G19:G28" si="5">IF(F19="W",1,IF(F19="T",0.5,0))</f>
        <v>0</v>
      </c>
      <c r="H19">
        <f t="shared" ref="H19:H28" si="6">IF(F19="L",1,IF(F19="T",0.5,0))</f>
        <v>0</v>
      </c>
      <c r="I19">
        <f t="shared" ref="I19:I28" si="7">IF(C19="",0,C19)</f>
        <v>0</v>
      </c>
    </row>
    <row r="20" spans="1:9" ht="15" customHeight="1" x14ac:dyDescent="0.25">
      <c r="A20">
        <v>2</v>
      </c>
      <c r="B20" t="str">
        <f>Roster!B4</f>
        <v>Player 2</v>
      </c>
      <c r="C20" s="7"/>
      <c r="D20">
        <v>1</v>
      </c>
      <c r="E20">
        <f>IFERROR(INDEX(C$19:C$28,MATCH(1,A$19:A$28,0)),0)</f>
        <v>0</v>
      </c>
      <c r="F20" t="str">
        <f t="shared" si="4"/>
        <v>-</v>
      </c>
      <c r="G20">
        <f t="shared" si="5"/>
        <v>0</v>
      </c>
      <c r="H20">
        <f t="shared" si="6"/>
        <v>0</v>
      </c>
      <c r="I20">
        <f t="shared" si="7"/>
        <v>0</v>
      </c>
    </row>
    <row r="21" spans="1:9" ht="15" customHeight="1" x14ac:dyDescent="0.25">
      <c r="A21">
        <v>3</v>
      </c>
      <c r="B21" t="str">
        <f>Roster!B5</f>
        <v>Player 3</v>
      </c>
      <c r="C21" s="7"/>
      <c r="D21">
        <v>5</v>
      </c>
      <c r="E21">
        <f>IFERROR(INDEX(C$19:C$28,MATCH(5,A$19:A$28,0)),0)</f>
        <v>0</v>
      </c>
      <c r="F21" t="str">
        <f t="shared" si="4"/>
        <v>-</v>
      </c>
      <c r="G21">
        <f t="shared" si="5"/>
        <v>0</v>
      </c>
      <c r="H21">
        <f t="shared" si="6"/>
        <v>0</v>
      </c>
      <c r="I21">
        <f t="shared" si="7"/>
        <v>0</v>
      </c>
    </row>
    <row r="22" spans="1:9" ht="15" customHeight="1" x14ac:dyDescent="0.25">
      <c r="A22">
        <v>4</v>
      </c>
      <c r="B22" t="str">
        <f>Roster!B6</f>
        <v>Player 4</v>
      </c>
      <c r="C22" s="7"/>
      <c r="D22">
        <v>9</v>
      </c>
      <c r="E22">
        <f>IFERROR(INDEX(C$19:C$28,MATCH(9,A$19:A$28,0)),0)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5</v>
      </c>
      <c r="B23" t="str">
        <f>Roster!B7</f>
        <v>Player 5</v>
      </c>
      <c r="C23" s="7"/>
      <c r="D23">
        <v>3</v>
      </c>
      <c r="E23">
        <f>IFERROR(INDEX(C$19:C$28,MATCH(3,A$19:A$28,0)),0)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6</v>
      </c>
      <c r="B24" t="str">
        <f>Roster!B8</f>
        <v>Player 6</v>
      </c>
      <c r="C24" s="7"/>
      <c r="D24">
        <v>7</v>
      </c>
      <c r="E24">
        <f>IFERROR(INDEX(C$19:C$28,MATCH(7,A$19:A$28,0)),0)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7</v>
      </c>
      <c r="B25" t="str">
        <f>Roster!B9</f>
        <v>Player 7</v>
      </c>
      <c r="C25" s="7"/>
      <c r="D25">
        <v>6</v>
      </c>
      <c r="E25">
        <f>IFERROR(INDEX(C$19:C$28,MATCH(6,A$19:A$28,0)),0)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8</v>
      </c>
      <c r="B26" t="str">
        <f>Roster!B10</f>
        <v>Player 8</v>
      </c>
      <c r="C26" s="7"/>
      <c r="D26">
        <v>10</v>
      </c>
      <c r="E26">
        <f>IFERROR(INDEX(C$19:C$28,MATCH(10,A$19:A$28,0)),0)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9</v>
      </c>
      <c r="B27" t="str">
        <f>Roster!B11</f>
        <v>Player 9</v>
      </c>
      <c r="C27" s="7"/>
      <c r="D27">
        <v>4</v>
      </c>
      <c r="E27">
        <f>IFERROR(INDEX(C$19:C$28,MATCH(4,A$19:A$28,0)),0)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10</v>
      </c>
      <c r="B28" t="str">
        <f>Roster!B12</f>
        <v>Player 10</v>
      </c>
      <c r="C28" s="7"/>
      <c r="D28">
        <v>8</v>
      </c>
      <c r="E28">
        <f>IFERROR(INDEX(C$19:C$28,MATCH(8,A$19:A$28,0)),0)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30" spans="1:9" ht="15" customHeight="1" x14ac:dyDescent="0.25">
      <c r="A30" s="12" t="s">
        <v>159</v>
      </c>
    </row>
    <row r="31" spans="1:9" ht="15" customHeight="1" x14ac:dyDescent="0.25">
      <c r="A31" s="6" t="s">
        <v>1</v>
      </c>
      <c r="B31" s="6" t="s">
        <v>2</v>
      </c>
      <c r="C31" s="6" t="s">
        <v>182</v>
      </c>
      <c r="D31" s="6" t="s">
        <v>183</v>
      </c>
      <c r="E31" s="6" t="s">
        <v>184</v>
      </c>
      <c r="F31" s="6" t="s">
        <v>185</v>
      </c>
      <c r="G31" s="6" t="s">
        <v>195</v>
      </c>
      <c r="H31" s="6" t="s">
        <v>196</v>
      </c>
      <c r="I31" s="6" t="s">
        <v>197</v>
      </c>
    </row>
    <row r="32" spans="1:9" ht="15" customHeight="1" x14ac:dyDescent="0.25">
      <c r="A32">
        <v>1</v>
      </c>
      <c r="B32" t="str">
        <f>Roster!B3</f>
        <v>Player 1</v>
      </c>
      <c r="C32" s="7"/>
      <c r="D32">
        <v>5</v>
      </c>
      <c r="E32">
        <f>IFERROR(INDEX(C$32:C$41,MATCH(5,A$32:A$41,0)),0)</f>
        <v>0</v>
      </c>
      <c r="F32" t="str">
        <f t="shared" ref="F32:F41" si="8">IF(C32=0,"-",IF(C32&gt;E32,"W",IF(C32&lt;E32,"L","T")))</f>
        <v>-</v>
      </c>
      <c r="G32">
        <f t="shared" ref="G32:G41" si="9">IF(F32="W",1,IF(F32="T",0.5,0))</f>
        <v>0</v>
      </c>
      <c r="H32">
        <f t="shared" ref="H32:H41" si="10">IF(F32="L",1,IF(F32="T",0.5,0))</f>
        <v>0</v>
      </c>
      <c r="I32">
        <f t="shared" ref="I32:I41" si="11">IF(C32="",0,C32)</f>
        <v>0</v>
      </c>
    </row>
    <row r="33" spans="1:9" ht="15" customHeight="1" x14ac:dyDescent="0.25">
      <c r="A33">
        <v>2</v>
      </c>
      <c r="B33" t="str">
        <f>Roster!B4</f>
        <v>Player 2</v>
      </c>
      <c r="C33" s="7"/>
      <c r="D33">
        <v>4</v>
      </c>
      <c r="E33">
        <f>IFERROR(INDEX(C$32:C$41,MATCH(4,A$32:A$41,0)),0)</f>
        <v>0</v>
      </c>
      <c r="F33" t="str">
        <f t="shared" si="8"/>
        <v>-</v>
      </c>
      <c r="G33">
        <f t="shared" si="9"/>
        <v>0</v>
      </c>
      <c r="H33">
        <f t="shared" si="10"/>
        <v>0</v>
      </c>
      <c r="I33">
        <f t="shared" si="11"/>
        <v>0</v>
      </c>
    </row>
    <row r="34" spans="1:9" ht="15" customHeight="1" x14ac:dyDescent="0.25">
      <c r="A34">
        <v>3</v>
      </c>
      <c r="B34" t="str">
        <f>Roster!B5</f>
        <v>Player 3</v>
      </c>
      <c r="C34" s="7"/>
      <c r="D34">
        <v>8</v>
      </c>
      <c r="E34">
        <f>IFERROR(INDEX(C$32:C$41,MATCH(8,A$32:A$41,0)),0)</f>
        <v>0</v>
      </c>
      <c r="F34" t="str">
        <f t="shared" si="8"/>
        <v>-</v>
      </c>
      <c r="G34">
        <f t="shared" si="9"/>
        <v>0</v>
      </c>
      <c r="H34">
        <f t="shared" si="10"/>
        <v>0</v>
      </c>
      <c r="I34">
        <f t="shared" si="11"/>
        <v>0</v>
      </c>
    </row>
    <row r="35" spans="1:9" ht="15" customHeight="1" x14ac:dyDescent="0.25">
      <c r="A35">
        <v>4</v>
      </c>
      <c r="B35" t="str">
        <f>Roster!B6</f>
        <v>Player 4</v>
      </c>
      <c r="C35" s="7"/>
      <c r="D35">
        <v>2</v>
      </c>
      <c r="E35">
        <f>IFERROR(INDEX(C$32:C$41,MATCH(2,A$32:A$41,0)),0)</f>
        <v>0</v>
      </c>
      <c r="F35" t="str">
        <f t="shared" si="8"/>
        <v>-</v>
      </c>
      <c r="G35">
        <f t="shared" si="9"/>
        <v>0</v>
      </c>
      <c r="H35">
        <f t="shared" si="10"/>
        <v>0</v>
      </c>
      <c r="I35">
        <f t="shared" si="11"/>
        <v>0</v>
      </c>
    </row>
    <row r="36" spans="1:9" ht="15" customHeight="1" x14ac:dyDescent="0.25">
      <c r="A36">
        <v>5</v>
      </c>
      <c r="B36" t="str">
        <f>Roster!B7</f>
        <v>Player 5</v>
      </c>
      <c r="C36" s="7"/>
      <c r="D36">
        <v>1</v>
      </c>
      <c r="E36">
        <f>IFERROR(INDEX(C$32:C$41,MATCH(1,A$32:A$41,0)),0)</f>
        <v>0</v>
      </c>
      <c r="F36" t="str">
        <f t="shared" si="8"/>
        <v>-</v>
      </c>
      <c r="G36">
        <f t="shared" si="9"/>
        <v>0</v>
      </c>
      <c r="H36">
        <f t="shared" si="10"/>
        <v>0</v>
      </c>
      <c r="I36">
        <f t="shared" si="11"/>
        <v>0</v>
      </c>
    </row>
    <row r="37" spans="1:9" ht="15" customHeight="1" x14ac:dyDescent="0.25">
      <c r="A37">
        <v>6</v>
      </c>
      <c r="B37" t="str">
        <f>Roster!B8</f>
        <v>Player 6</v>
      </c>
      <c r="C37" s="7"/>
      <c r="D37">
        <v>10</v>
      </c>
      <c r="E37">
        <f>IFERROR(INDEX(C$32:C$41,MATCH(10,A$32:A$41,0)),0)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7</v>
      </c>
      <c r="B38" t="str">
        <f>Roster!B9</f>
        <v>Player 7</v>
      </c>
      <c r="C38" s="7"/>
      <c r="D38">
        <v>9</v>
      </c>
      <c r="E38">
        <f>IFERROR(INDEX(C$32:C$41,MATCH(9,A$32:A$41,0)),0)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8</v>
      </c>
      <c r="B39" t="str">
        <f>Roster!B10</f>
        <v>Player 8</v>
      </c>
      <c r="C39" s="7"/>
      <c r="D39">
        <v>3</v>
      </c>
      <c r="E39">
        <f>IFERROR(INDEX(C$32:C$41,MATCH(3,A$32:A$41,0)),0)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9</v>
      </c>
      <c r="B40" t="str">
        <f>Roster!B11</f>
        <v>Player 9</v>
      </c>
      <c r="C40" s="7"/>
      <c r="D40">
        <v>7</v>
      </c>
      <c r="E40">
        <f>IFERROR(INDEX(C$32:C$41,MATCH(7,A$32:A$41,0)),0)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10</v>
      </c>
      <c r="B41" t="str">
        <f>Roster!B12</f>
        <v>Player 10</v>
      </c>
      <c r="C41" s="7"/>
      <c r="D41">
        <v>6</v>
      </c>
      <c r="E41">
        <f>IFERROR(INDEX(C$32:C$41,MATCH(6,A$32:A$41,0)),0)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3" spans="1:9" ht="15" customHeight="1" x14ac:dyDescent="0.25">
      <c r="A43" s="12" t="s">
        <v>165</v>
      </c>
    </row>
    <row r="44" spans="1:9" ht="15" customHeight="1" x14ac:dyDescent="0.25">
      <c r="A44" s="6" t="s">
        <v>1</v>
      </c>
      <c r="B44" s="6" t="s">
        <v>2</v>
      </c>
      <c r="C44" s="6" t="s">
        <v>182</v>
      </c>
      <c r="D44" s="6" t="s">
        <v>183</v>
      </c>
      <c r="E44" s="6" t="s">
        <v>184</v>
      </c>
      <c r="F44" s="6" t="s">
        <v>185</v>
      </c>
      <c r="G44" s="6" t="s">
        <v>195</v>
      </c>
      <c r="H44" s="6" t="s">
        <v>196</v>
      </c>
      <c r="I44" s="6" t="s">
        <v>197</v>
      </c>
    </row>
    <row r="45" spans="1:9" ht="15" customHeight="1" x14ac:dyDescent="0.25">
      <c r="A45">
        <v>1</v>
      </c>
      <c r="B45" t="str">
        <f>Roster!B3</f>
        <v>Player 1</v>
      </c>
      <c r="C45" s="7"/>
      <c r="D45">
        <v>3</v>
      </c>
      <c r="E45">
        <f>IFERROR(INDEX(C$45:C$54,MATCH(3,A$45:A$54,0)),0)</f>
        <v>0</v>
      </c>
      <c r="F45" t="str">
        <f t="shared" ref="F45:F54" si="12">IF(C45=0,"-",IF(C45&gt;E45,"W",IF(C45&lt;E45,"L","T")))</f>
        <v>-</v>
      </c>
      <c r="G45">
        <f t="shared" ref="G45:G54" si="13">IF(F45="W",1,IF(F45="T",0.5,0))</f>
        <v>0</v>
      </c>
      <c r="H45">
        <f t="shared" ref="H45:H54" si="14">IF(F45="L",1,IF(F45="T",0.5,0))</f>
        <v>0</v>
      </c>
      <c r="I45">
        <f t="shared" ref="I45:I54" si="15">IF(C45="",0,C45)</f>
        <v>0</v>
      </c>
    </row>
    <row r="46" spans="1:9" ht="15" customHeight="1" x14ac:dyDescent="0.25">
      <c r="A46">
        <v>2</v>
      </c>
      <c r="B46" t="str">
        <f>Roster!B4</f>
        <v>Player 2</v>
      </c>
      <c r="C46" s="7"/>
      <c r="D46">
        <v>7</v>
      </c>
      <c r="E46">
        <f>IFERROR(INDEX(C$45:C$54,MATCH(7,A$45:A$54,0)),0)</f>
        <v>0</v>
      </c>
      <c r="F46" t="str">
        <f t="shared" si="12"/>
        <v>-</v>
      </c>
      <c r="G46">
        <f t="shared" si="13"/>
        <v>0</v>
      </c>
      <c r="H46">
        <f t="shared" si="14"/>
        <v>0</v>
      </c>
      <c r="I46">
        <f t="shared" si="15"/>
        <v>0</v>
      </c>
    </row>
    <row r="47" spans="1:9" ht="15" customHeight="1" x14ac:dyDescent="0.25">
      <c r="A47">
        <v>3</v>
      </c>
      <c r="B47" t="str">
        <f>Roster!B5</f>
        <v>Player 3</v>
      </c>
      <c r="C47" s="7"/>
      <c r="D47">
        <v>1</v>
      </c>
      <c r="E47">
        <f>IFERROR(INDEX(C$45:C$54,MATCH(1,A$45:A$54,0)),0)</f>
        <v>0</v>
      </c>
      <c r="F47" t="str">
        <f t="shared" si="12"/>
        <v>-</v>
      </c>
      <c r="G47">
        <f t="shared" si="13"/>
        <v>0</v>
      </c>
      <c r="H47">
        <f t="shared" si="14"/>
        <v>0</v>
      </c>
      <c r="I47">
        <f t="shared" si="15"/>
        <v>0</v>
      </c>
    </row>
    <row r="48" spans="1:9" ht="15" customHeight="1" x14ac:dyDescent="0.25">
      <c r="A48">
        <v>4</v>
      </c>
      <c r="B48" t="str">
        <f>Roster!B6</f>
        <v>Player 4</v>
      </c>
      <c r="C48" s="7"/>
      <c r="D48">
        <v>5</v>
      </c>
      <c r="E48">
        <f>IFERROR(INDEX(C$45:C$54,MATCH(5,A$45:A$54,0)),0)</f>
        <v>0</v>
      </c>
      <c r="F48" t="str">
        <f t="shared" si="12"/>
        <v>-</v>
      </c>
      <c r="G48">
        <f t="shared" si="13"/>
        <v>0</v>
      </c>
      <c r="H48">
        <f t="shared" si="14"/>
        <v>0</v>
      </c>
      <c r="I48">
        <f t="shared" si="15"/>
        <v>0</v>
      </c>
    </row>
    <row r="49" spans="1:9" ht="15" customHeight="1" x14ac:dyDescent="0.25">
      <c r="A49">
        <v>5</v>
      </c>
      <c r="B49" t="str">
        <f>Roster!B7</f>
        <v>Player 5</v>
      </c>
      <c r="C49" s="7"/>
      <c r="D49">
        <v>4</v>
      </c>
      <c r="E49">
        <f>IFERROR(INDEX(C$45:C$54,MATCH(4,A$45:A$54,0)),0)</f>
        <v>0</v>
      </c>
      <c r="F49" t="str">
        <f t="shared" si="12"/>
        <v>-</v>
      </c>
      <c r="G49">
        <f t="shared" si="13"/>
        <v>0</v>
      </c>
      <c r="H49">
        <f t="shared" si="14"/>
        <v>0</v>
      </c>
      <c r="I49">
        <f t="shared" si="15"/>
        <v>0</v>
      </c>
    </row>
    <row r="50" spans="1:9" ht="15" customHeight="1" x14ac:dyDescent="0.25">
      <c r="A50">
        <v>6</v>
      </c>
      <c r="B50" t="str">
        <f>Roster!B8</f>
        <v>Player 6</v>
      </c>
      <c r="C50" s="7"/>
      <c r="D50">
        <v>8</v>
      </c>
      <c r="E50">
        <f>IFERROR(INDEX(C$45:C$54,MATCH(8,A$45:A$54,0)),0)</f>
        <v>0</v>
      </c>
      <c r="F50" t="str">
        <f t="shared" si="12"/>
        <v>-</v>
      </c>
      <c r="G50">
        <f t="shared" si="13"/>
        <v>0</v>
      </c>
      <c r="H50">
        <f t="shared" si="14"/>
        <v>0</v>
      </c>
      <c r="I50">
        <f t="shared" si="15"/>
        <v>0</v>
      </c>
    </row>
    <row r="51" spans="1:9" ht="15" customHeight="1" x14ac:dyDescent="0.25">
      <c r="A51">
        <v>7</v>
      </c>
      <c r="B51" t="str">
        <f>Roster!B9</f>
        <v>Player 7</v>
      </c>
      <c r="C51" s="7"/>
      <c r="D51">
        <v>2</v>
      </c>
      <c r="E51">
        <f>IFERROR(INDEX(C$45:C$54,MATCH(2,A$45:A$54,0)),0)</f>
        <v>0</v>
      </c>
      <c r="F51" t="str">
        <f t="shared" si="12"/>
        <v>-</v>
      </c>
      <c r="G51">
        <f t="shared" si="13"/>
        <v>0</v>
      </c>
      <c r="H51">
        <f t="shared" si="14"/>
        <v>0</v>
      </c>
      <c r="I51">
        <f t="shared" si="15"/>
        <v>0</v>
      </c>
    </row>
    <row r="52" spans="1:9" ht="15" customHeight="1" x14ac:dyDescent="0.25">
      <c r="A52">
        <v>8</v>
      </c>
      <c r="B52" t="str">
        <f>Roster!B10</f>
        <v>Player 8</v>
      </c>
      <c r="C52" s="7"/>
      <c r="D52">
        <v>6</v>
      </c>
      <c r="E52">
        <f>IFERROR(INDEX(C$45:C$54,MATCH(6,A$45:A$54,0)),0)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9</v>
      </c>
      <c r="B53" t="str">
        <f>Roster!B11</f>
        <v>Player 9</v>
      </c>
      <c r="C53" s="7"/>
      <c r="D53">
        <v>10</v>
      </c>
      <c r="E53">
        <f>IFERROR(INDEX(C$45:C$54,MATCH(10,A$45:A$54,0)),0)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10</v>
      </c>
      <c r="B54" t="str">
        <f>Roster!B12</f>
        <v>Player 10</v>
      </c>
      <c r="C54" s="7"/>
      <c r="D54">
        <v>9</v>
      </c>
      <c r="E54">
        <f>IFERROR(INDEX(C$45:C$54,MATCH(9,A$45:A$54,0)),0)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6" spans="1:9" ht="15" customHeight="1" x14ac:dyDescent="0.25">
      <c r="A56" s="12" t="s">
        <v>171</v>
      </c>
    </row>
    <row r="57" spans="1:9" ht="15" customHeight="1" x14ac:dyDescent="0.25">
      <c r="A57" s="6" t="s">
        <v>1</v>
      </c>
      <c r="B57" s="6" t="s">
        <v>2</v>
      </c>
      <c r="C57" s="6" t="s">
        <v>182</v>
      </c>
      <c r="D57" s="6" t="s">
        <v>183</v>
      </c>
      <c r="E57" s="6" t="s">
        <v>184</v>
      </c>
      <c r="F57" s="6" t="s">
        <v>185</v>
      </c>
      <c r="G57" s="6" t="s">
        <v>195</v>
      </c>
      <c r="H57" s="6" t="s">
        <v>196</v>
      </c>
      <c r="I57" s="6" t="s">
        <v>197</v>
      </c>
    </row>
    <row r="58" spans="1:9" ht="15" customHeight="1" x14ac:dyDescent="0.25">
      <c r="A58">
        <v>1</v>
      </c>
      <c r="B58" t="str">
        <f>Roster!B3</f>
        <v>Player 1</v>
      </c>
      <c r="C58" s="7"/>
      <c r="D58">
        <v>6</v>
      </c>
      <c r="E58">
        <f>IFERROR(INDEX(C$58:C$67,MATCH(6,A$58:A$67,0)),0)</f>
        <v>0</v>
      </c>
      <c r="F58" t="str">
        <f t="shared" ref="F58:F67" si="16">IF(C58=0,"-",IF(C58&gt;E58,"W",IF(C58&lt;E58,"L","T")))</f>
        <v>-</v>
      </c>
      <c r="G58">
        <f t="shared" ref="G58:G67" si="17">IF(F58="W",1,IF(F58="T",0.5,0))</f>
        <v>0</v>
      </c>
      <c r="H58">
        <f t="shared" ref="H58:H67" si="18">IF(F58="L",1,IF(F58="T",0.5,0))</f>
        <v>0</v>
      </c>
      <c r="I58">
        <f t="shared" ref="I58:I67" si="19">IF(C58="",0,C58)</f>
        <v>0</v>
      </c>
    </row>
    <row r="59" spans="1:9" ht="15" customHeight="1" x14ac:dyDescent="0.25">
      <c r="A59">
        <v>2</v>
      </c>
      <c r="B59" t="str">
        <f>Roster!B4</f>
        <v>Player 2</v>
      </c>
      <c r="C59" s="7"/>
      <c r="D59">
        <v>5</v>
      </c>
      <c r="E59">
        <f>IFERROR(INDEX(C$58:C$67,MATCH(5,A$58:A$67,0)),0)</f>
        <v>0</v>
      </c>
      <c r="F59" t="str">
        <f t="shared" si="16"/>
        <v>-</v>
      </c>
      <c r="G59">
        <f t="shared" si="17"/>
        <v>0</v>
      </c>
      <c r="H59">
        <f t="shared" si="18"/>
        <v>0</v>
      </c>
      <c r="I59">
        <f t="shared" si="19"/>
        <v>0</v>
      </c>
    </row>
    <row r="60" spans="1:9" ht="15" customHeight="1" x14ac:dyDescent="0.25">
      <c r="A60">
        <v>3</v>
      </c>
      <c r="B60" t="str">
        <f>Roster!B5</f>
        <v>Player 3</v>
      </c>
      <c r="C60" s="7"/>
      <c r="D60">
        <v>4</v>
      </c>
      <c r="E60">
        <f>IFERROR(INDEX(C$58:C$67,MATCH(4,A$58:A$67,0)),0)</f>
        <v>0</v>
      </c>
      <c r="F60" t="str">
        <f t="shared" si="16"/>
        <v>-</v>
      </c>
      <c r="G60">
        <f t="shared" si="17"/>
        <v>0</v>
      </c>
      <c r="H60">
        <f t="shared" si="18"/>
        <v>0</v>
      </c>
      <c r="I60">
        <f t="shared" si="19"/>
        <v>0</v>
      </c>
    </row>
    <row r="61" spans="1:9" ht="15" customHeight="1" x14ac:dyDescent="0.25">
      <c r="A61">
        <v>4</v>
      </c>
      <c r="B61" t="str">
        <f>Roster!B6</f>
        <v>Player 4</v>
      </c>
      <c r="C61" s="7"/>
      <c r="D61">
        <v>3</v>
      </c>
      <c r="E61">
        <f>IFERROR(INDEX(C$58:C$67,MATCH(3,A$58:A$67,0)),0)</f>
        <v>0</v>
      </c>
      <c r="F61" t="str">
        <f t="shared" si="16"/>
        <v>-</v>
      </c>
      <c r="G61">
        <f t="shared" si="17"/>
        <v>0</v>
      </c>
      <c r="H61">
        <f t="shared" si="18"/>
        <v>0</v>
      </c>
      <c r="I61">
        <f t="shared" si="19"/>
        <v>0</v>
      </c>
    </row>
    <row r="62" spans="1:9" ht="15" customHeight="1" x14ac:dyDescent="0.25">
      <c r="A62">
        <v>5</v>
      </c>
      <c r="B62" t="str">
        <f>Roster!B7</f>
        <v>Player 5</v>
      </c>
      <c r="C62" s="7"/>
      <c r="D62">
        <v>2</v>
      </c>
      <c r="E62">
        <f>IFERROR(INDEX(C$58:C$67,MATCH(2,A$58:A$67,0)),0)</f>
        <v>0</v>
      </c>
      <c r="F62" t="str">
        <f t="shared" si="16"/>
        <v>-</v>
      </c>
      <c r="G62">
        <f t="shared" si="17"/>
        <v>0</v>
      </c>
      <c r="H62">
        <f t="shared" si="18"/>
        <v>0</v>
      </c>
      <c r="I62">
        <f t="shared" si="19"/>
        <v>0</v>
      </c>
    </row>
    <row r="63" spans="1:9" ht="15" customHeight="1" x14ac:dyDescent="0.25">
      <c r="A63">
        <v>6</v>
      </c>
      <c r="B63" t="str">
        <f>Roster!B8</f>
        <v>Player 6</v>
      </c>
      <c r="C63" s="7"/>
      <c r="D63">
        <v>1</v>
      </c>
      <c r="E63">
        <f>IFERROR(INDEX(C$58:C$67,MATCH(1,A$58:A$67,0)),0)</f>
        <v>0</v>
      </c>
      <c r="F63" t="str">
        <f t="shared" si="16"/>
        <v>-</v>
      </c>
      <c r="G63">
        <f t="shared" si="17"/>
        <v>0</v>
      </c>
      <c r="H63">
        <f t="shared" si="18"/>
        <v>0</v>
      </c>
      <c r="I63">
        <f t="shared" si="19"/>
        <v>0</v>
      </c>
    </row>
    <row r="64" spans="1:9" ht="15" customHeight="1" x14ac:dyDescent="0.25">
      <c r="A64">
        <v>7</v>
      </c>
      <c r="B64" t="str">
        <f>Roster!B9</f>
        <v>Player 7</v>
      </c>
      <c r="C64" s="7"/>
      <c r="D64">
        <v>10</v>
      </c>
      <c r="E64">
        <f>IFERROR(INDEX(C$58:C$67,MATCH(10,A$58:A$67,0)),0)</f>
        <v>0</v>
      </c>
      <c r="F64" t="str">
        <f t="shared" si="16"/>
        <v>-</v>
      </c>
      <c r="G64">
        <f t="shared" si="17"/>
        <v>0</v>
      </c>
      <c r="H64">
        <f t="shared" si="18"/>
        <v>0</v>
      </c>
      <c r="I64">
        <f t="shared" si="19"/>
        <v>0</v>
      </c>
    </row>
    <row r="65" spans="1:9" ht="15" customHeight="1" x14ac:dyDescent="0.25">
      <c r="A65">
        <v>8</v>
      </c>
      <c r="B65" t="str">
        <f>Roster!B10</f>
        <v>Player 8</v>
      </c>
      <c r="C65" s="7"/>
      <c r="D65">
        <v>9</v>
      </c>
      <c r="E65">
        <f>IFERROR(INDEX(C$58:C$67,MATCH(9,A$58:A$67,0)),0)</f>
        <v>0</v>
      </c>
      <c r="F65" t="str">
        <f t="shared" si="16"/>
        <v>-</v>
      </c>
      <c r="G65">
        <f t="shared" si="17"/>
        <v>0</v>
      </c>
      <c r="H65">
        <f t="shared" si="18"/>
        <v>0</v>
      </c>
      <c r="I65">
        <f t="shared" si="19"/>
        <v>0</v>
      </c>
    </row>
    <row r="66" spans="1:9" ht="15" customHeight="1" x14ac:dyDescent="0.25">
      <c r="A66">
        <v>9</v>
      </c>
      <c r="B66" t="str">
        <f>Roster!B11</f>
        <v>Player 9</v>
      </c>
      <c r="C66" s="7"/>
      <c r="D66">
        <v>8</v>
      </c>
      <c r="E66">
        <f>IFERROR(INDEX(C$58:C$67,MATCH(8,A$58:A$67,0)),0)</f>
        <v>0</v>
      </c>
      <c r="F66" t="str">
        <f t="shared" si="16"/>
        <v>-</v>
      </c>
      <c r="G66">
        <f t="shared" si="17"/>
        <v>0</v>
      </c>
      <c r="H66">
        <f t="shared" si="18"/>
        <v>0</v>
      </c>
      <c r="I66">
        <f t="shared" si="19"/>
        <v>0</v>
      </c>
    </row>
    <row r="67" spans="1:9" ht="15" customHeight="1" x14ac:dyDescent="0.25">
      <c r="A67">
        <v>10</v>
      </c>
      <c r="B67" t="str">
        <f>Roster!B12</f>
        <v>Player 10</v>
      </c>
      <c r="C67" s="7"/>
      <c r="D67">
        <v>7</v>
      </c>
      <c r="E67">
        <f>IFERROR(INDEX(C$58:C$67,MATCH(7,A$58:A$67,0)),0)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9" spans="1:9" ht="15" customHeight="1" x14ac:dyDescent="0.25">
      <c r="A69" s="12" t="s">
        <v>175</v>
      </c>
    </row>
    <row r="70" spans="1:9" ht="15" customHeight="1" x14ac:dyDescent="0.25">
      <c r="A70" s="6" t="s">
        <v>1</v>
      </c>
      <c r="B70" s="6" t="s">
        <v>2</v>
      </c>
      <c r="C70" s="6" t="s">
        <v>182</v>
      </c>
      <c r="D70" s="6" t="s">
        <v>183</v>
      </c>
      <c r="E70" s="6" t="s">
        <v>184</v>
      </c>
      <c r="F70" s="6" t="s">
        <v>185</v>
      </c>
      <c r="G70" s="6" t="s">
        <v>195</v>
      </c>
      <c r="H70" s="6" t="s">
        <v>196</v>
      </c>
      <c r="I70" s="6" t="s">
        <v>197</v>
      </c>
    </row>
    <row r="71" spans="1:9" ht="15" customHeight="1" x14ac:dyDescent="0.25">
      <c r="A71">
        <v>1</v>
      </c>
      <c r="B71" t="str">
        <f>Roster!B3</f>
        <v>Player 1</v>
      </c>
      <c r="C71" s="7"/>
      <c r="D71">
        <v>4</v>
      </c>
      <c r="E71">
        <f>IFERROR(INDEX(C$71:C$80,MATCH(4,A$71:A$80,0)),0)</f>
        <v>0</v>
      </c>
      <c r="F71" t="str">
        <f t="shared" ref="F71:F80" si="20">IF(C71=0,"-",IF(C71&gt;E71,"W",IF(C71&lt;E71,"L","T")))</f>
        <v>-</v>
      </c>
      <c r="G71">
        <f t="shared" ref="G71:G80" si="21">IF(F71="W",1,IF(F71="T",0.5,0))</f>
        <v>0</v>
      </c>
      <c r="H71">
        <f t="shared" ref="H71:H80" si="22">IF(F71="L",1,IF(F71="T",0.5,0))</f>
        <v>0</v>
      </c>
      <c r="I71">
        <f t="shared" ref="I71:I80" si="23">IF(C71="",0,C71)</f>
        <v>0</v>
      </c>
    </row>
    <row r="72" spans="1:9" ht="15" customHeight="1" x14ac:dyDescent="0.25">
      <c r="A72">
        <v>2</v>
      </c>
      <c r="B72" t="str">
        <f>Roster!B4</f>
        <v>Player 2</v>
      </c>
      <c r="C72" s="7"/>
      <c r="D72">
        <v>3</v>
      </c>
      <c r="E72">
        <f>IFERROR(INDEX(C$71:C$80,MATCH(3,A$71:A$80,0)),0)</f>
        <v>0</v>
      </c>
      <c r="F72" t="str">
        <f t="shared" si="20"/>
        <v>-</v>
      </c>
      <c r="G72">
        <f t="shared" si="21"/>
        <v>0</v>
      </c>
      <c r="H72">
        <f t="shared" si="22"/>
        <v>0</v>
      </c>
      <c r="I72">
        <f t="shared" si="23"/>
        <v>0</v>
      </c>
    </row>
    <row r="73" spans="1:9" ht="15" customHeight="1" x14ac:dyDescent="0.25">
      <c r="A73">
        <v>3</v>
      </c>
      <c r="B73" t="str">
        <f>Roster!B5</f>
        <v>Player 3</v>
      </c>
      <c r="C73" s="7"/>
      <c r="D73">
        <v>2</v>
      </c>
      <c r="E73">
        <f>IFERROR(INDEX(C$71:C$80,MATCH(2,A$71:A$80,0)),0)</f>
        <v>0</v>
      </c>
      <c r="F73" t="str">
        <f t="shared" si="20"/>
        <v>-</v>
      </c>
      <c r="G73">
        <f t="shared" si="21"/>
        <v>0</v>
      </c>
      <c r="H73">
        <f t="shared" si="22"/>
        <v>0</v>
      </c>
      <c r="I73">
        <f t="shared" si="23"/>
        <v>0</v>
      </c>
    </row>
    <row r="74" spans="1:9" ht="15" customHeight="1" x14ac:dyDescent="0.25">
      <c r="A74">
        <v>4</v>
      </c>
      <c r="B74" t="str">
        <f>Roster!B6</f>
        <v>Player 4</v>
      </c>
      <c r="C74" s="7"/>
      <c r="D74">
        <v>1</v>
      </c>
      <c r="E74">
        <f>IFERROR(INDEX(C$71:C$80,MATCH(1,A$71:A$80,0)),0)</f>
        <v>0</v>
      </c>
      <c r="F74" t="str">
        <f t="shared" si="20"/>
        <v>-</v>
      </c>
      <c r="G74">
        <f t="shared" si="21"/>
        <v>0</v>
      </c>
      <c r="H74">
        <f t="shared" si="22"/>
        <v>0</v>
      </c>
      <c r="I74">
        <f t="shared" si="23"/>
        <v>0</v>
      </c>
    </row>
    <row r="75" spans="1:9" ht="15" customHeight="1" x14ac:dyDescent="0.25">
      <c r="A75">
        <v>5</v>
      </c>
      <c r="B75" t="str">
        <f>Roster!B7</f>
        <v>Player 5</v>
      </c>
      <c r="C75" s="7"/>
      <c r="D75">
        <v>10</v>
      </c>
      <c r="E75">
        <f>IFERROR(INDEX(C$71:C$80,MATCH(10,A$71:A$80,0)),0)</f>
        <v>0</v>
      </c>
      <c r="F75" t="str">
        <f t="shared" si="20"/>
        <v>-</v>
      </c>
      <c r="G75">
        <f t="shared" si="21"/>
        <v>0</v>
      </c>
      <c r="H75">
        <f t="shared" si="22"/>
        <v>0</v>
      </c>
      <c r="I75">
        <f t="shared" si="23"/>
        <v>0</v>
      </c>
    </row>
    <row r="76" spans="1:9" ht="15" customHeight="1" x14ac:dyDescent="0.25">
      <c r="A76">
        <v>6</v>
      </c>
      <c r="B76" t="str">
        <f>Roster!B8</f>
        <v>Player 6</v>
      </c>
      <c r="C76" s="7"/>
      <c r="D76">
        <v>9</v>
      </c>
      <c r="E76">
        <f>IFERROR(INDEX(C$71:C$80,MATCH(9,A$71:A$80,0)),0)</f>
        <v>0</v>
      </c>
      <c r="F76" t="str">
        <f t="shared" si="20"/>
        <v>-</v>
      </c>
      <c r="G76">
        <f t="shared" si="21"/>
        <v>0</v>
      </c>
      <c r="H76">
        <f t="shared" si="22"/>
        <v>0</v>
      </c>
      <c r="I76">
        <f t="shared" si="23"/>
        <v>0</v>
      </c>
    </row>
    <row r="77" spans="1:9" ht="15" customHeight="1" x14ac:dyDescent="0.25">
      <c r="A77">
        <v>7</v>
      </c>
      <c r="B77" t="str">
        <f>Roster!B9</f>
        <v>Player 7</v>
      </c>
      <c r="C77" s="7"/>
      <c r="D77">
        <v>8</v>
      </c>
      <c r="E77">
        <f>IFERROR(INDEX(C$71:C$80,MATCH(8,A$71:A$80,0)),0)</f>
        <v>0</v>
      </c>
      <c r="F77" t="str">
        <f t="shared" si="20"/>
        <v>-</v>
      </c>
      <c r="G77">
        <f t="shared" si="21"/>
        <v>0</v>
      </c>
      <c r="H77">
        <f t="shared" si="22"/>
        <v>0</v>
      </c>
      <c r="I77">
        <f t="shared" si="23"/>
        <v>0</v>
      </c>
    </row>
    <row r="78" spans="1:9" ht="15" customHeight="1" x14ac:dyDescent="0.25">
      <c r="A78">
        <v>8</v>
      </c>
      <c r="B78" t="str">
        <f>Roster!B10</f>
        <v>Player 8</v>
      </c>
      <c r="C78" s="7"/>
      <c r="D78">
        <v>7</v>
      </c>
      <c r="E78">
        <f>IFERROR(INDEX(C$71:C$80,MATCH(7,A$71:A$80,0)),0)</f>
        <v>0</v>
      </c>
      <c r="F78" t="str">
        <f t="shared" si="20"/>
        <v>-</v>
      </c>
      <c r="G78">
        <f t="shared" si="21"/>
        <v>0</v>
      </c>
      <c r="H78">
        <f t="shared" si="22"/>
        <v>0</v>
      </c>
      <c r="I78">
        <f t="shared" si="23"/>
        <v>0</v>
      </c>
    </row>
    <row r="79" spans="1:9" ht="15" customHeight="1" x14ac:dyDescent="0.25">
      <c r="A79">
        <v>9</v>
      </c>
      <c r="B79" t="str">
        <f>Roster!B11</f>
        <v>Player 9</v>
      </c>
      <c r="C79" s="7"/>
      <c r="D79">
        <v>6</v>
      </c>
      <c r="E79">
        <f>IFERROR(INDEX(C$71:C$80,MATCH(6,A$71:A$80,0)),0)</f>
        <v>0</v>
      </c>
      <c r="F79" t="str">
        <f t="shared" si="20"/>
        <v>-</v>
      </c>
      <c r="G79">
        <f t="shared" si="21"/>
        <v>0</v>
      </c>
      <c r="H79">
        <f t="shared" si="22"/>
        <v>0</v>
      </c>
      <c r="I79">
        <f t="shared" si="23"/>
        <v>0</v>
      </c>
    </row>
    <row r="80" spans="1:9" ht="15" customHeight="1" x14ac:dyDescent="0.25">
      <c r="A80">
        <v>10</v>
      </c>
      <c r="B80" t="str">
        <f>Roster!B12</f>
        <v>Player 10</v>
      </c>
      <c r="C80" s="7"/>
      <c r="D80">
        <v>5</v>
      </c>
      <c r="E80">
        <f>IFERROR(INDEX(C$71:C$80,MATCH(5,A$71:A$80,0)),0)</f>
        <v>0</v>
      </c>
      <c r="F80" t="str">
        <f t="shared" si="20"/>
        <v>-</v>
      </c>
      <c r="G80">
        <f t="shared" si="21"/>
        <v>0</v>
      </c>
      <c r="H80">
        <f t="shared" si="22"/>
        <v>0</v>
      </c>
      <c r="I80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57"/>
  <sheetViews>
    <sheetView tabSelected="1" topLeftCell="A21" zoomScaleNormal="100" workbookViewId="0">
      <selection sqref="A1:K1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4" t="s">
        <v>198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pans="1:11" ht="15" customHeight="1" x14ac:dyDescent="0.25">
      <c r="A2" s="6" t="s">
        <v>199</v>
      </c>
      <c r="B2" s="6" t="s">
        <v>200</v>
      </c>
      <c r="C2" s="6" t="s">
        <v>201</v>
      </c>
      <c r="D2" s="6" t="s">
        <v>202</v>
      </c>
      <c r="E2" s="6" t="s">
        <v>203</v>
      </c>
      <c r="F2" s="6" t="s">
        <v>204</v>
      </c>
      <c r="G2" s="6" t="s">
        <v>205</v>
      </c>
      <c r="H2" s="6" t="s">
        <v>206</v>
      </c>
      <c r="I2" s="6" t="s">
        <v>207</v>
      </c>
      <c r="J2" s="6" t="s">
        <v>208</v>
      </c>
      <c r="K2" s="6" t="s">
        <v>209</v>
      </c>
    </row>
    <row r="3" spans="1:11" ht="15" customHeight="1" x14ac:dyDescent="0.25">
      <c r="A3">
        <v>1</v>
      </c>
      <c r="B3" t="s">
        <v>18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ht="15" customHeight="1" x14ac:dyDescent="0.25">
      <c r="A4">
        <v>2</v>
      </c>
      <c r="B4" t="s">
        <v>17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ht="15" customHeight="1" x14ac:dyDescent="0.25">
      <c r="A5">
        <v>3</v>
      </c>
      <c r="B5" t="s">
        <v>16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ht="15" customHeight="1" x14ac:dyDescent="0.25">
      <c r="A6">
        <v>4</v>
      </c>
      <c r="B6" t="s">
        <v>15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ht="15" customHeight="1" x14ac:dyDescent="0.25">
      <c r="A7">
        <v>5</v>
      </c>
      <c r="B7" t="s">
        <v>12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ht="15" customHeight="1" x14ac:dyDescent="0.25">
      <c r="A8">
        <v>6</v>
      </c>
      <c r="B8" t="s">
        <v>11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 ht="15" customHeight="1" x14ac:dyDescent="0.25">
      <c r="A9">
        <v>7</v>
      </c>
      <c r="B9" t="s">
        <v>10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 ht="15" customHeight="1" x14ac:dyDescent="0.25">
      <c r="A10">
        <v>8</v>
      </c>
      <c r="B10" t="s">
        <v>9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ht="15" customHeight="1" x14ac:dyDescent="0.25">
      <c r="A11">
        <v>9</v>
      </c>
      <c r="B11" t="s">
        <v>8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ht="15" customHeight="1" x14ac:dyDescent="0.25">
      <c r="A12">
        <v>10</v>
      </c>
      <c r="B12" t="s">
        <v>5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4" spans="1:11" ht="17.25" customHeight="1" x14ac:dyDescent="0.25">
      <c r="A14" s="3" t="s">
        <v>210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ht="15" customHeight="1" x14ac:dyDescent="0.25">
      <c r="A15" s="6" t="s">
        <v>199</v>
      </c>
      <c r="B15" s="6" t="s">
        <v>200</v>
      </c>
      <c r="C15" s="6" t="s">
        <v>211</v>
      </c>
      <c r="D15" s="6" t="s">
        <v>212</v>
      </c>
      <c r="E15" s="6" t="s">
        <v>213</v>
      </c>
      <c r="F15" s="6" t="s">
        <v>214</v>
      </c>
      <c r="G15" s="6" t="s">
        <v>215</v>
      </c>
      <c r="H15" s="6" t="s">
        <v>216</v>
      </c>
      <c r="I15" s="6" t="s">
        <v>207</v>
      </c>
      <c r="J15" s="6" t="s">
        <v>208</v>
      </c>
      <c r="K15" s="6" t="s">
        <v>209</v>
      </c>
    </row>
    <row r="16" spans="1:11" ht="15" customHeight="1" x14ac:dyDescent="0.25">
      <c r="A16">
        <v>1</v>
      </c>
      <c r="B16" t="s">
        <v>18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ht="15" customHeight="1" x14ac:dyDescent="0.25">
      <c r="A17">
        <v>2</v>
      </c>
      <c r="B17" t="s">
        <v>17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ht="15" customHeight="1" x14ac:dyDescent="0.25">
      <c r="A18">
        <v>3</v>
      </c>
      <c r="B18" t="s">
        <v>16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ht="15" customHeight="1" x14ac:dyDescent="0.25">
      <c r="A19">
        <v>4</v>
      </c>
      <c r="B19" t="s">
        <v>15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ht="15" customHeight="1" x14ac:dyDescent="0.25">
      <c r="A20">
        <v>5</v>
      </c>
      <c r="B20" t="s">
        <v>12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ht="15" customHeight="1" x14ac:dyDescent="0.25">
      <c r="A21">
        <v>6</v>
      </c>
      <c r="B21" t="s">
        <v>11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 ht="15" customHeight="1" x14ac:dyDescent="0.25">
      <c r="A22">
        <v>7</v>
      </c>
      <c r="B22" t="s">
        <v>10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 ht="15" customHeight="1" x14ac:dyDescent="0.25">
      <c r="A23">
        <v>8</v>
      </c>
      <c r="B23" t="s">
        <v>9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ht="15" customHeight="1" x14ac:dyDescent="0.25">
      <c r="A24">
        <v>9</v>
      </c>
      <c r="B24" t="s">
        <v>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ht="15" customHeight="1" x14ac:dyDescent="0.25">
      <c r="A25">
        <v>10</v>
      </c>
      <c r="B25" t="s">
        <v>5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7" spans="1:11" ht="17.25" customHeight="1" x14ac:dyDescent="0.25">
      <c r="A27" s="2" t="s">
        <v>217</v>
      </c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ht="15" customHeight="1" x14ac:dyDescent="0.25">
      <c r="A28" s="13" t="s">
        <v>218</v>
      </c>
    </row>
    <row r="29" spans="1:11" ht="15" customHeight="1" x14ac:dyDescent="0.25">
      <c r="A29" s="6" t="s">
        <v>199</v>
      </c>
      <c r="B29" s="6" t="s">
        <v>200</v>
      </c>
      <c r="C29" s="6" t="s">
        <v>219</v>
      </c>
      <c r="D29" s="6" t="s">
        <v>220</v>
      </c>
      <c r="E29" s="6" t="s">
        <v>221</v>
      </c>
      <c r="F29" s="6" t="s">
        <v>222</v>
      </c>
      <c r="G29" s="6" t="s">
        <v>223</v>
      </c>
      <c r="H29" s="6" t="s">
        <v>224</v>
      </c>
      <c r="I29" s="6" t="s">
        <v>195</v>
      </c>
      <c r="J29" s="6" t="s">
        <v>196</v>
      </c>
      <c r="K29" s="6" t="s">
        <v>225</v>
      </c>
    </row>
    <row r="30" spans="1:11" ht="15" customHeight="1" x14ac:dyDescent="0.25">
      <c r="A30">
        <v>1</v>
      </c>
      <c r="B30" t="s">
        <v>5</v>
      </c>
      <c r="C30" t="s">
        <v>226</v>
      </c>
      <c r="D30" t="s">
        <v>226</v>
      </c>
      <c r="E30" t="s">
        <v>226</v>
      </c>
      <c r="F30" t="s">
        <v>226</v>
      </c>
      <c r="G30" t="s">
        <v>226</v>
      </c>
      <c r="H30" t="s">
        <v>226</v>
      </c>
      <c r="I30">
        <v>0</v>
      </c>
      <c r="J30">
        <v>0</v>
      </c>
      <c r="K30">
        <v>0</v>
      </c>
    </row>
    <row r="31" spans="1:11" ht="15" customHeight="1" x14ac:dyDescent="0.25">
      <c r="A31">
        <v>2</v>
      </c>
      <c r="B31" t="s">
        <v>8</v>
      </c>
      <c r="C31" t="s">
        <v>226</v>
      </c>
      <c r="D31" t="s">
        <v>226</v>
      </c>
      <c r="E31" t="s">
        <v>226</v>
      </c>
      <c r="F31" t="s">
        <v>226</v>
      </c>
      <c r="G31" t="s">
        <v>226</v>
      </c>
      <c r="H31" t="s">
        <v>226</v>
      </c>
      <c r="I31">
        <v>0</v>
      </c>
      <c r="J31">
        <v>0</v>
      </c>
      <c r="K31">
        <v>0</v>
      </c>
    </row>
    <row r="32" spans="1:11" ht="15" customHeight="1" x14ac:dyDescent="0.25">
      <c r="A32">
        <v>3</v>
      </c>
      <c r="B32" t="s">
        <v>9</v>
      </c>
      <c r="C32" t="s">
        <v>226</v>
      </c>
      <c r="D32" t="s">
        <v>226</v>
      </c>
      <c r="E32" t="s">
        <v>226</v>
      </c>
      <c r="F32" t="s">
        <v>226</v>
      </c>
      <c r="G32" t="s">
        <v>226</v>
      </c>
      <c r="H32" t="s">
        <v>226</v>
      </c>
      <c r="I32">
        <v>0</v>
      </c>
      <c r="J32">
        <v>0</v>
      </c>
      <c r="K32">
        <v>0</v>
      </c>
    </row>
    <row r="33" spans="1:11" ht="15" customHeight="1" x14ac:dyDescent="0.25">
      <c r="A33">
        <v>4</v>
      </c>
      <c r="B33" t="s">
        <v>10</v>
      </c>
      <c r="C33" t="s">
        <v>226</v>
      </c>
      <c r="D33" t="s">
        <v>226</v>
      </c>
      <c r="E33" t="s">
        <v>226</v>
      </c>
      <c r="F33" t="s">
        <v>226</v>
      </c>
      <c r="G33" t="s">
        <v>226</v>
      </c>
      <c r="H33" t="s">
        <v>226</v>
      </c>
      <c r="I33">
        <v>0</v>
      </c>
      <c r="J33">
        <v>0</v>
      </c>
      <c r="K33">
        <v>0</v>
      </c>
    </row>
    <row r="34" spans="1:11" ht="15" customHeight="1" x14ac:dyDescent="0.25">
      <c r="A34">
        <v>5</v>
      </c>
      <c r="B34" t="s">
        <v>11</v>
      </c>
      <c r="C34" t="s">
        <v>226</v>
      </c>
      <c r="D34" t="s">
        <v>226</v>
      </c>
      <c r="E34" t="s">
        <v>226</v>
      </c>
      <c r="F34" t="s">
        <v>226</v>
      </c>
      <c r="G34" t="s">
        <v>226</v>
      </c>
      <c r="H34" t="s">
        <v>226</v>
      </c>
      <c r="I34">
        <v>0</v>
      </c>
      <c r="J34">
        <v>0</v>
      </c>
      <c r="K34">
        <v>0</v>
      </c>
    </row>
    <row r="36" spans="1:11" ht="15" customHeight="1" x14ac:dyDescent="0.25">
      <c r="A36" s="13" t="s">
        <v>227</v>
      </c>
    </row>
    <row r="37" spans="1:11" ht="15" customHeight="1" x14ac:dyDescent="0.25">
      <c r="A37" s="6" t="s">
        <v>199</v>
      </c>
      <c r="B37" s="6" t="s">
        <v>200</v>
      </c>
      <c r="C37" s="6" t="s">
        <v>219</v>
      </c>
      <c r="D37" s="6" t="s">
        <v>220</v>
      </c>
      <c r="E37" s="6" t="s">
        <v>221</v>
      </c>
      <c r="F37" s="6" t="s">
        <v>222</v>
      </c>
      <c r="G37" s="6" t="s">
        <v>223</v>
      </c>
      <c r="H37" s="6" t="s">
        <v>224</v>
      </c>
      <c r="I37" s="6" t="s">
        <v>195</v>
      </c>
      <c r="J37" s="6" t="s">
        <v>196</v>
      </c>
      <c r="K37" s="6" t="s">
        <v>225</v>
      </c>
    </row>
    <row r="38" spans="1:11" ht="15" customHeight="1" x14ac:dyDescent="0.25">
      <c r="A38">
        <v>1</v>
      </c>
      <c r="B38" t="s">
        <v>12</v>
      </c>
      <c r="C38" t="s">
        <v>226</v>
      </c>
      <c r="D38" t="s">
        <v>226</v>
      </c>
      <c r="E38" t="s">
        <v>226</v>
      </c>
      <c r="F38" t="s">
        <v>226</v>
      </c>
      <c r="G38" t="s">
        <v>226</v>
      </c>
      <c r="H38" t="s">
        <v>226</v>
      </c>
      <c r="I38">
        <v>0</v>
      </c>
      <c r="J38">
        <v>0</v>
      </c>
      <c r="K38">
        <v>0</v>
      </c>
    </row>
    <row r="39" spans="1:11" ht="15" customHeight="1" x14ac:dyDescent="0.25">
      <c r="A39">
        <v>2</v>
      </c>
      <c r="B39" t="s">
        <v>15</v>
      </c>
      <c r="C39" t="s">
        <v>226</v>
      </c>
      <c r="D39" t="s">
        <v>226</v>
      </c>
      <c r="E39" t="s">
        <v>226</v>
      </c>
      <c r="F39" t="s">
        <v>226</v>
      </c>
      <c r="G39" t="s">
        <v>226</v>
      </c>
      <c r="H39" t="s">
        <v>226</v>
      </c>
      <c r="I39">
        <v>0</v>
      </c>
      <c r="J39">
        <v>0</v>
      </c>
      <c r="K39">
        <v>0</v>
      </c>
    </row>
    <row r="40" spans="1:11" ht="15" customHeight="1" x14ac:dyDescent="0.25">
      <c r="A40">
        <v>3</v>
      </c>
      <c r="B40" t="s">
        <v>16</v>
      </c>
      <c r="C40" t="s">
        <v>226</v>
      </c>
      <c r="D40" t="s">
        <v>226</v>
      </c>
      <c r="E40" t="s">
        <v>226</v>
      </c>
      <c r="F40" t="s">
        <v>226</v>
      </c>
      <c r="G40" t="s">
        <v>226</v>
      </c>
      <c r="H40" t="s">
        <v>226</v>
      </c>
      <c r="I40">
        <v>0</v>
      </c>
      <c r="J40">
        <v>0</v>
      </c>
      <c r="K40">
        <v>0</v>
      </c>
    </row>
    <row r="41" spans="1:11" ht="15" customHeight="1" x14ac:dyDescent="0.25">
      <c r="A41">
        <v>4</v>
      </c>
      <c r="B41" t="s">
        <v>17</v>
      </c>
      <c r="C41" t="s">
        <v>226</v>
      </c>
      <c r="D41" t="s">
        <v>226</v>
      </c>
      <c r="E41" t="s">
        <v>226</v>
      </c>
      <c r="F41" t="s">
        <v>226</v>
      </c>
      <c r="G41" t="s">
        <v>226</v>
      </c>
      <c r="H41" t="s">
        <v>226</v>
      </c>
      <c r="I41">
        <v>0</v>
      </c>
      <c r="J41">
        <v>0</v>
      </c>
      <c r="K41">
        <v>0</v>
      </c>
    </row>
    <row r="42" spans="1:11" ht="15" customHeight="1" x14ac:dyDescent="0.25">
      <c r="A42">
        <v>5</v>
      </c>
      <c r="B42" t="s">
        <v>18</v>
      </c>
      <c r="C42" t="s">
        <v>226</v>
      </c>
      <c r="D42" t="s">
        <v>226</v>
      </c>
      <c r="E42" t="s">
        <v>226</v>
      </c>
      <c r="F42" t="s">
        <v>226</v>
      </c>
      <c r="G42" t="s">
        <v>226</v>
      </c>
      <c r="H42" t="s">
        <v>226</v>
      </c>
      <c r="I42">
        <v>0</v>
      </c>
      <c r="J42">
        <v>0</v>
      </c>
      <c r="K42">
        <v>0</v>
      </c>
    </row>
    <row r="46" spans="1:11" ht="17.25" customHeight="1" x14ac:dyDescent="0.25">
      <c r="A46" s="1" t="s">
        <v>228</v>
      </c>
      <c r="B46" s="1"/>
      <c r="C46" s="1"/>
      <c r="D46" s="1"/>
      <c r="E46" s="1"/>
      <c r="F46" s="1"/>
      <c r="G46" s="1"/>
      <c r="H46" s="1"/>
    </row>
    <row r="47" spans="1:11" ht="15" customHeight="1" x14ac:dyDescent="0.25">
      <c r="A47" s="6" t="s">
        <v>199</v>
      </c>
      <c r="B47" s="6" t="s">
        <v>200</v>
      </c>
      <c r="C47" s="6" t="s">
        <v>229</v>
      </c>
      <c r="D47" s="6" t="s">
        <v>230</v>
      </c>
      <c r="E47" s="6" t="s">
        <v>231</v>
      </c>
      <c r="F47" s="6" t="s">
        <v>232</v>
      </c>
      <c r="G47" s="6" t="s">
        <v>233</v>
      </c>
      <c r="H47" s="6" t="s">
        <v>234</v>
      </c>
    </row>
    <row r="48" spans="1:11" ht="15" customHeight="1" x14ac:dyDescent="0.25">
      <c r="A48">
        <v>1</v>
      </c>
      <c r="B48" t="s">
        <v>18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 ht="15" customHeight="1" x14ac:dyDescent="0.25">
      <c r="A49">
        <v>2</v>
      </c>
      <c r="B49" t="s">
        <v>17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 ht="15" customHeight="1" x14ac:dyDescent="0.25">
      <c r="A50">
        <v>3</v>
      </c>
      <c r="B50" t="s">
        <v>16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 ht="15" customHeight="1" x14ac:dyDescent="0.25">
      <c r="A51">
        <v>4</v>
      </c>
      <c r="B51" t="s">
        <v>15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 ht="15" customHeight="1" x14ac:dyDescent="0.25">
      <c r="A52">
        <v>5</v>
      </c>
      <c r="B52" t="s">
        <v>12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 ht="15" customHeight="1" x14ac:dyDescent="0.25">
      <c r="A53">
        <v>6</v>
      </c>
      <c r="B53" t="s">
        <v>11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 ht="15" customHeight="1" x14ac:dyDescent="0.25">
      <c r="A54">
        <v>7</v>
      </c>
      <c r="B54" t="s">
        <v>10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 ht="15" customHeight="1" x14ac:dyDescent="0.25">
      <c r="A55">
        <v>8</v>
      </c>
      <c r="B55" t="s">
        <v>9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</row>
    <row r="56" spans="1:8" ht="15" customHeight="1" x14ac:dyDescent="0.25">
      <c r="A56">
        <v>9</v>
      </c>
      <c r="B56" t="s">
        <v>8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</row>
    <row r="57" spans="1:8" ht="15" customHeight="1" x14ac:dyDescent="0.25">
      <c r="A57">
        <v>10</v>
      </c>
      <c r="B57" t="s">
        <v>5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</row>
  </sheetData>
  <mergeCells count="4">
    <mergeCell ref="A1:K1"/>
    <mergeCell ref="A14:K14"/>
    <mergeCell ref="A27:K27"/>
    <mergeCell ref="A46:H46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6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6" ht="17.25" customHeight="1" x14ac:dyDescent="0.25">
      <c r="A1" s="11" t="s">
        <v>235</v>
      </c>
    </row>
    <row r="3" spans="1:6" ht="15" customHeight="1" x14ac:dyDescent="0.25">
      <c r="A3" s="14" t="s">
        <v>236</v>
      </c>
    </row>
    <row r="4" spans="1:6" ht="15" customHeight="1" x14ac:dyDescent="0.25">
      <c r="A4" s="6" t="s">
        <v>237</v>
      </c>
      <c r="B4" s="6" t="s">
        <v>238</v>
      </c>
      <c r="C4" s="6" t="s">
        <v>239</v>
      </c>
      <c r="D4" s="6" t="s">
        <v>240</v>
      </c>
      <c r="E4" s="6" t="s">
        <v>241</v>
      </c>
      <c r="F4" s="6" t="s">
        <v>242</v>
      </c>
    </row>
    <row r="5" spans="1:6" ht="15" customHeight="1" x14ac:dyDescent="0.25">
      <c r="A5" t="s">
        <v>243</v>
      </c>
      <c r="B5" t="s">
        <v>18</v>
      </c>
      <c r="C5" t="s">
        <v>244</v>
      </c>
      <c r="D5" t="s">
        <v>245</v>
      </c>
      <c r="E5" t="s">
        <v>18</v>
      </c>
      <c r="F5" t="s">
        <v>246</v>
      </c>
    </row>
    <row r="6" spans="1:6" ht="15" customHeight="1" x14ac:dyDescent="0.25">
      <c r="A6" t="s">
        <v>247</v>
      </c>
      <c r="B6" t="s">
        <v>18</v>
      </c>
      <c r="C6" t="s">
        <v>244</v>
      </c>
      <c r="D6" t="s">
        <v>248</v>
      </c>
      <c r="E6" t="s">
        <v>17</v>
      </c>
      <c r="F6" t="s">
        <v>249</v>
      </c>
    </row>
    <row r="7" spans="1:6" ht="15" customHeight="1" x14ac:dyDescent="0.25">
      <c r="A7" t="s">
        <v>250</v>
      </c>
      <c r="B7" t="s">
        <v>10</v>
      </c>
      <c r="C7" t="s">
        <v>251</v>
      </c>
      <c r="D7" t="s">
        <v>7</v>
      </c>
      <c r="E7" t="s">
        <v>10</v>
      </c>
      <c r="F7" t="s">
        <v>246</v>
      </c>
    </row>
    <row r="8" spans="1:6" ht="15" customHeight="1" x14ac:dyDescent="0.25">
      <c r="A8" t="s">
        <v>252</v>
      </c>
      <c r="B8" t="s">
        <v>16</v>
      </c>
      <c r="C8" t="s">
        <v>251</v>
      </c>
      <c r="D8" t="s">
        <v>14</v>
      </c>
      <c r="E8" t="s">
        <v>16</v>
      </c>
      <c r="F8" t="s">
        <v>246</v>
      </c>
    </row>
    <row r="10" spans="1:6" ht="15" customHeight="1" x14ac:dyDescent="0.25">
      <c r="A10" s="14" t="s">
        <v>253</v>
      </c>
    </row>
    <row r="11" spans="1:6" ht="15" customHeight="1" x14ac:dyDescent="0.25">
      <c r="A11" s="6" t="s">
        <v>237</v>
      </c>
      <c r="B11" s="6" t="s">
        <v>200</v>
      </c>
      <c r="C11" s="6" t="s">
        <v>254</v>
      </c>
      <c r="D11" s="6" t="s">
        <v>240</v>
      </c>
    </row>
    <row r="12" spans="1:6" ht="15" customHeight="1" x14ac:dyDescent="0.25">
      <c r="A12" t="s">
        <v>255</v>
      </c>
      <c r="B12" t="s">
        <v>15</v>
      </c>
      <c r="C12">
        <v>0</v>
      </c>
      <c r="D12" t="s">
        <v>256</v>
      </c>
    </row>
    <row r="13" spans="1:6" ht="15" customHeight="1" x14ac:dyDescent="0.25">
      <c r="A13" t="s">
        <v>257</v>
      </c>
      <c r="B13" t="s">
        <v>11</v>
      </c>
      <c r="C13">
        <v>0</v>
      </c>
      <c r="D13" t="s">
        <v>256</v>
      </c>
    </row>
    <row r="15" spans="1:6" ht="15" customHeight="1" x14ac:dyDescent="0.25">
      <c r="A15" s="14" t="s">
        <v>258</v>
      </c>
    </row>
    <row r="16" spans="1:6" ht="15" customHeight="1" x14ac:dyDescent="0.25">
      <c r="A16" s="6" t="s">
        <v>25</v>
      </c>
      <c r="B16" s="6" t="s">
        <v>200</v>
      </c>
      <c r="C16" s="6" t="s">
        <v>259</v>
      </c>
    </row>
    <row r="17" spans="1:6" ht="15" customHeight="1" x14ac:dyDescent="0.25">
      <c r="A17">
        <v>1</v>
      </c>
      <c r="B17" t="s">
        <v>18</v>
      </c>
      <c r="C17" t="s">
        <v>245</v>
      </c>
    </row>
    <row r="18" spans="1:6" ht="15" customHeight="1" x14ac:dyDescent="0.25">
      <c r="A18">
        <v>2</v>
      </c>
      <c r="B18" t="s">
        <v>17</v>
      </c>
      <c r="C18" t="s">
        <v>248</v>
      </c>
    </row>
    <row r="19" spans="1:6" ht="15" customHeight="1" x14ac:dyDescent="0.25">
      <c r="A19">
        <v>3</v>
      </c>
      <c r="B19" t="s">
        <v>10</v>
      </c>
      <c r="C19" t="s">
        <v>260</v>
      </c>
    </row>
    <row r="20" spans="1:6" ht="15" customHeight="1" x14ac:dyDescent="0.25">
      <c r="A20">
        <v>4</v>
      </c>
      <c r="B20" t="s">
        <v>16</v>
      </c>
      <c r="C20" t="s">
        <v>261</v>
      </c>
    </row>
    <row r="21" spans="1:6" ht="15" customHeight="1" x14ac:dyDescent="0.25">
      <c r="A21">
        <v>5</v>
      </c>
      <c r="B21" t="s">
        <v>15</v>
      </c>
      <c r="C21" t="s">
        <v>255</v>
      </c>
    </row>
    <row r="22" spans="1:6" ht="15" customHeight="1" x14ac:dyDescent="0.25">
      <c r="A22">
        <v>6</v>
      </c>
      <c r="B22" t="s">
        <v>11</v>
      </c>
      <c r="C22" t="s">
        <v>257</v>
      </c>
    </row>
    <row r="24" spans="1:6" ht="15" customHeight="1" x14ac:dyDescent="0.25">
      <c r="A24" s="14" t="s">
        <v>262</v>
      </c>
    </row>
    <row r="25" spans="1:6" ht="15" customHeight="1" x14ac:dyDescent="0.25">
      <c r="A25" s="6" t="s">
        <v>25</v>
      </c>
      <c r="B25" s="6" t="s">
        <v>200</v>
      </c>
      <c r="C25" s="6" t="s">
        <v>263</v>
      </c>
      <c r="D25" s="6" t="s">
        <v>264</v>
      </c>
      <c r="E25" s="6" t="s">
        <v>265</v>
      </c>
      <c r="F25" s="6" t="s">
        <v>266</v>
      </c>
    </row>
    <row r="26" spans="1:6" ht="15" customHeight="1" x14ac:dyDescent="0.25">
      <c r="A26">
        <v>1</v>
      </c>
      <c r="B26" t="s">
        <v>5</v>
      </c>
      <c r="C26">
        <v>0</v>
      </c>
      <c r="D26">
        <v>0</v>
      </c>
      <c r="E26">
        <v>0</v>
      </c>
      <c r="F26">
        <f t="shared" ref="F26:F35" si="0">C26+D26+E26</f>
        <v>0</v>
      </c>
    </row>
    <row r="27" spans="1:6" ht="15" customHeight="1" x14ac:dyDescent="0.25">
      <c r="A27">
        <v>2</v>
      </c>
      <c r="B27" t="s">
        <v>8</v>
      </c>
      <c r="C27">
        <v>0</v>
      </c>
      <c r="D27">
        <v>0</v>
      </c>
      <c r="E27">
        <v>0</v>
      </c>
      <c r="F27">
        <f t="shared" si="0"/>
        <v>0</v>
      </c>
    </row>
    <row r="28" spans="1:6" ht="15" customHeight="1" x14ac:dyDescent="0.25">
      <c r="A28">
        <v>3</v>
      </c>
      <c r="B28" t="s">
        <v>9</v>
      </c>
      <c r="C28">
        <v>0</v>
      </c>
      <c r="D28">
        <v>0</v>
      </c>
      <c r="E28">
        <v>0</v>
      </c>
      <c r="F28">
        <f t="shared" si="0"/>
        <v>0</v>
      </c>
    </row>
    <row r="29" spans="1:6" ht="15" customHeight="1" x14ac:dyDescent="0.25">
      <c r="A29">
        <v>4</v>
      </c>
      <c r="B29" t="s">
        <v>10</v>
      </c>
      <c r="C29">
        <v>0</v>
      </c>
      <c r="D29">
        <v>0</v>
      </c>
      <c r="E29">
        <v>0</v>
      </c>
      <c r="F29">
        <f t="shared" si="0"/>
        <v>0</v>
      </c>
    </row>
    <row r="30" spans="1:6" ht="15" customHeight="1" x14ac:dyDescent="0.25">
      <c r="A30">
        <v>5</v>
      </c>
      <c r="B30" t="s">
        <v>11</v>
      </c>
      <c r="C30">
        <v>0</v>
      </c>
      <c r="D30">
        <v>0</v>
      </c>
      <c r="E30">
        <v>0</v>
      </c>
      <c r="F30">
        <f t="shared" si="0"/>
        <v>0</v>
      </c>
    </row>
    <row r="31" spans="1:6" ht="15" customHeight="1" x14ac:dyDescent="0.25">
      <c r="A31">
        <v>6</v>
      </c>
      <c r="B31" t="s">
        <v>12</v>
      </c>
      <c r="C31">
        <v>0</v>
      </c>
      <c r="D31">
        <v>0</v>
      </c>
      <c r="E31">
        <v>0</v>
      </c>
      <c r="F31">
        <f t="shared" si="0"/>
        <v>0</v>
      </c>
    </row>
    <row r="32" spans="1:6" ht="15" customHeight="1" x14ac:dyDescent="0.25">
      <c r="A32">
        <v>7</v>
      </c>
      <c r="B32" t="s">
        <v>15</v>
      </c>
      <c r="C32">
        <v>0</v>
      </c>
      <c r="D32">
        <v>0</v>
      </c>
      <c r="E32">
        <v>0</v>
      </c>
      <c r="F32">
        <f t="shared" si="0"/>
        <v>0</v>
      </c>
    </row>
    <row r="33" spans="1:6" ht="15" customHeight="1" x14ac:dyDescent="0.25">
      <c r="A33">
        <v>8</v>
      </c>
      <c r="B33" t="s">
        <v>16</v>
      </c>
      <c r="C33">
        <v>0</v>
      </c>
      <c r="D33">
        <v>0</v>
      </c>
      <c r="E33">
        <v>0</v>
      </c>
      <c r="F33">
        <f t="shared" si="0"/>
        <v>0</v>
      </c>
    </row>
    <row r="34" spans="1:6" ht="15" customHeight="1" x14ac:dyDescent="0.25">
      <c r="A34">
        <v>9</v>
      </c>
      <c r="B34" t="s">
        <v>17</v>
      </c>
      <c r="C34">
        <v>0</v>
      </c>
      <c r="D34">
        <v>0</v>
      </c>
      <c r="E34">
        <v>0</v>
      </c>
      <c r="F34">
        <f t="shared" si="0"/>
        <v>0</v>
      </c>
    </row>
    <row r="35" spans="1:6" ht="15" customHeight="1" x14ac:dyDescent="0.25">
      <c r="A35">
        <v>10</v>
      </c>
      <c r="B35" t="s">
        <v>18</v>
      </c>
      <c r="C35">
        <v>0</v>
      </c>
      <c r="D35">
        <v>0</v>
      </c>
      <c r="E35">
        <v>0</v>
      </c>
      <c r="F35">
        <f t="shared" si="0"/>
        <v>0</v>
      </c>
    </row>
    <row r="36" spans="1:6" ht="15" customHeight="1" x14ac:dyDescent="0.25">
      <c r="A36" t="s">
        <v>267</v>
      </c>
      <c r="C36">
        <f>SUM(C26:C35)</f>
        <v>0</v>
      </c>
      <c r="D36">
        <f>SUM(D26:D35)</f>
        <v>0</v>
      </c>
      <c r="E36">
        <f>SUM(E26:E35)</f>
        <v>0</v>
      </c>
      <c r="F36">
        <f>SUM(F26:F35)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9"/>
  <sheetViews>
    <sheetView zoomScaleNormal="100" workbookViewId="0"/>
  </sheetViews>
  <sheetFormatPr defaultColWidth="8.7109375" defaultRowHeight="15" x14ac:dyDescent="0.25"/>
  <cols>
    <col min="1" max="1" width="6" customWidth="1"/>
    <col min="2" max="2" width="16" customWidth="1"/>
    <col min="3" max="3" width="14" customWidth="1"/>
    <col min="4" max="4" width="12" customWidth="1"/>
    <col min="5" max="5" width="14" customWidth="1"/>
    <col min="6" max="8" width="12" customWidth="1"/>
  </cols>
  <sheetData>
    <row r="1" spans="1:8" ht="17.25" customHeight="1" x14ac:dyDescent="0.25">
      <c r="A1" s="11" t="s">
        <v>268</v>
      </c>
    </row>
    <row r="2" spans="1:8" ht="15" customHeight="1" x14ac:dyDescent="0.25">
      <c r="A2" t="s">
        <v>269</v>
      </c>
    </row>
    <row r="4" spans="1:8" ht="15" customHeight="1" x14ac:dyDescent="0.25">
      <c r="A4" s="6" t="s">
        <v>25</v>
      </c>
      <c r="B4" s="6" t="s">
        <v>200</v>
      </c>
      <c r="C4" s="6" t="s">
        <v>191</v>
      </c>
      <c r="D4" s="6" t="s">
        <v>270</v>
      </c>
      <c r="E4" s="6" t="s">
        <v>271</v>
      </c>
      <c r="F4" s="6" t="s">
        <v>272</v>
      </c>
      <c r="G4" s="6" t="s">
        <v>273</v>
      </c>
      <c r="H4" s="6" t="s">
        <v>274</v>
      </c>
    </row>
    <row r="5" spans="1:8" ht="15" customHeight="1" x14ac:dyDescent="0.25">
      <c r="A5">
        <v>1</v>
      </c>
      <c r="B5" t="s">
        <v>18</v>
      </c>
      <c r="C5" s="7">
        <v>0</v>
      </c>
      <c r="D5">
        <f>C5+0.001</f>
        <v>1E-3</v>
      </c>
      <c r="E5" s="7">
        <v>0</v>
      </c>
      <c r="F5" s="7">
        <v>0</v>
      </c>
      <c r="G5" s="7">
        <v>0</v>
      </c>
      <c r="H5">
        <f t="shared" ref="H5:H10" si="0">C5*10000000+D5</f>
        <v>1E-3</v>
      </c>
    </row>
    <row r="6" spans="1:8" ht="15" customHeight="1" x14ac:dyDescent="0.25">
      <c r="A6">
        <v>2</v>
      </c>
      <c r="B6" t="s">
        <v>17</v>
      </c>
      <c r="C6" s="7">
        <v>0</v>
      </c>
      <c r="D6">
        <f>C6+0.002</f>
        <v>2E-3</v>
      </c>
      <c r="E6" s="7">
        <v>0</v>
      </c>
      <c r="F6" s="7">
        <v>0</v>
      </c>
      <c r="G6" s="7">
        <v>0</v>
      </c>
      <c r="H6">
        <f t="shared" si="0"/>
        <v>2E-3</v>
      </c>
    </row>
    <row r="7" spans="1:8" ht="15" customHeight="1" x14ac:dyDescent="0.25">
      <c r="A7">
        <v>3</v>
      </c>
      <c r="B7" t="s">
        <v>10</v>
      </c>
      <c r="C7" s="7">
        <v>0</v>
      </c>
      <c r="D7">
        <f>C7+0.003</f>
        <v>3.0000000000000001E-3</v>
      </c>
      <c r="E7" s="7">
        <v>0</v>
      </c>
      <c r="F7" s="7">
        <v>0</v>
      </c>
      <c r="G7" s="7">
        <v>0</v>
      </c>
      <c r="H7">
        <f t="shared" si="0"/>
        <v>3.0000000000000001E-3</v>
      </c>
    </row>
    <row r="8" spans="1:8" ht="15" customHeight="1" x14ac:dyDescent="0.25">
      <c r="A8">
        <v>4</v>
      </c>
      <c r="B8" t="s">
        <v>16</v>
      </c>
      <c r="C8" s="7">
        <v>0</v>
      </c>
      <c r="D8">
        <f>C8+0.004</f>
        <v>4.0000000000000001E-3</v>
      </c>
      <c r="E8" s="7">
        <v>0</v>
      </c>
      <c r="F8" s="7">
        <v>0</v>
      </c>
      <c r="G8" s="7">
        <v>0</v>
      </c>
      <c r="H8">
        <f t="shared" si="0"/>
        <v>4.0000000000000001E-3</v>
      </c>
    </row>
    <row r="9" spans="1:8" ht="15" customHeight="1" x14ac:dyDescent="0.25">
      <c r="A9">
        <v>5</v>
      </c>
      <c r="B9" t="s">
        <v>15</v>
      </c>
      <c r="C9" s="7">
        <v>0</v>
      </c>
      <c r="D9">
        <f>C9+0.005</f>
        <v>5.0000000000000001E-3</v>
      </c>
      <c r="E9" s="7">
        <v>0</v>
      </c>
      <c r="F9" s="7">
        <v>0</v>
      </c>
      <c r="G9" s="7">
        <v>0</v>
      </c>
      <c r="H9">
        <f t="shared" si="0"/>
        <v>5.0000000000000001E-3</v>
      </c>
    </row>
    <row r="10" spans="1:8" ht="15" customHeight="1" x14ac:dyDescent="0.25">
      <c r="A10">
        <v>6</v>
      </c>
      <c r="B10" t="s">
        <v>11</v>
      </c>
      <c r="C10" s="7">
        <v>0</v>
      </c>
      <c r="D10">
        <f>C10+0.006</f>
        <v>6.0000000000000001E-3</v>
      </c>
      <c r="E10" s="7">
        <v>0</v>
      </c>
      <c r="F10" s="7">
        <v>0</v>
      </c>
      <c r="G10" s="7">
        <v>0</v>
      </c>
      <c r="H10">
        <f t="shared" si="0"/>
        <v>6.0000000000000001E-3</v>
      </c>
    </row>
    <row r="12" spans="1:8" ht="15" customHeight="1" x14ac:dyDescent="0.25">
      <c r="A12" s="14" t="s">
        <v>275</v>
      </c>
    </row>
    <row r="13" spans="1:8" ht="15" customHeight="1" x14ac:dyDescent="0.25">
      <c r="A13" s="6" t="s">
        <v>199</v>
      </c>
      <c r="B13" s="6" t="s">
        <v>200</v>
      </c>
      <c r="C13" s="6" t="s">
        <v>191</v>
      </c>
      <c r="D13" s="6"/>
      <c r="E13" s="6" t="s">
        <v>242</v>
      </c>
    </row>
    <row r="14" spans="1:8" ht="15" customHeight="1" x14ac:dyDescent="0.25">
      <c r="A14">
        <v>1</v>
      </c>
      <c r="B14" t="s">
        <v>18</v>
      </c>
      <c r="C14">
        <v>0</v>
      </c>
      <c r="E14" t="s">
        <v>276</v>
      </c>
    </row>
    <row r="15" spans="1:8" ht="15" customHeight="1" x14ac:dyDescent="0.25">
      <c r="A15">
        <v>2</v>
      </c>
      <c r="B15" t="s">
        <v>17</v>
      </c>
      <c r="C15">
        <v>0</v>
      </c>
      <c r="E15" t="s">
        <v>276</v>
      </c>
    </row>
    <row r="16" spans="1:8" ht="15" customHeight="1" x14ac:dyDescent="0.25">
      <c r="A16">
        <v>3</v>
      </c>
      <c r="B16" t="s">
        <v>16</v>
      </c>
      <c r="C16">
        <v>0</v>
      </c>
      <c r="E16" t="s">
        <v>276</v>
      </c>
    </row>
    <row r="17" spans="1:5" ht="15" customHeight="1" x14ac:dyDescent="0.25">
      <c r="A17">
        <v>4</v>
      </c>
      <c r="B17" t="s">
        <v>15</v>
      </c>
      <c r="C17">
        <v>0</v>
      </c>
      <c r="E17" t="s">
        <v>276</v>
      </c>
    </row>
    <row r="18" spans="1:5" ht="15" customHeight="1" x14ac:dyDescent="0.25">
      <c r="A18">
        <v>5</v>
      </c>
      <c r="B18" t="s">
        <v>12</v>
      </c>
      <c r="C18">
        <v>0</v>
      </c>
      <c r="E18" t="s">
        <v>277</v>
      </c>
    </row>
    <row r="19" spans="1:5" ht="15" customHeight="1" x14ac:dyDescent="0.25">
      <c r="A19">
        <v>6</v>
      </c>
      <c r="B19" t="s">
        <v>11</v>
      </c>
      <c r="C19">
        <v>0</v>
      </c>
      <c r="E19" t="s">
        <v>277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1" t="s">
        <v>278</v>
      </c>
    </row>
    <row r="2" spans="1:11" ht="15" customHeight="1" x14ac:dyDescent="0.25">
      <c r="A2" t="s">
        <v>279</v>
      </c>
    </row>
    <row r="4" spans="1:11" ht="15" customHeight="1" x14ac:dyDescent="0.25">
      <c r="A4" s="14" t="s">
        <v>280</v>
      </c>
    </row>
    <row r="5" spans="1:11" ht="15" customHeight="1" x14ac:dyDescent="0.25">
      <c r="A5" s="6" t="s">
        <v>200</v>
      </c>
      <c r="B5" s="6" t="s">
        <v>281</v>
      </c>
      <c r="C5" s="6" t="s">
        <v>282</v>
      </c>
      <c r="D5" s="6" t="s">
        <v>283</v>
      </c>
      <c r="E5" s="6" t="s">
        <v>284</v>
      </c>
      <c r="F5" s="6" t="s">
        <v>285</v>
      </c>
      <c r="G5" s="6" t="s">
        <v>286</v>
      </c>
      <c r="H5" s="6" t="s">
        <v>287</v>
      </c>
      <c r="I5" s="6" t="s">
        <v>288</v>
      </c>
      <c r="J5" s="6"/>
      <c r="K5" s="6" t="s">
        <v>289</v>
      </c>
    </row>
    <row r="6" spans="1:11" ht="15" customHeight="1" x14ac:dyDescent="0.25">
      <c r="A6" t="s">
        <v>18</v>
      </c>
      <c r="B6">
        <v>0</v>
      </c>
      <c r="C6" s="7">
        <v>0</v>
      </c>
      <c r="D6">
        <f>C6*2</f>
        <v>0</v>
      </c>
      <c r="E6" s="7">
        <v>0</v>
      </c>
      <c r="F6">
        <f>E6*4</f>
        <v>0</v>
      </c>
      <c r="G6" s="7">
        <v>0</v>
      </c>
      <c r="H6">
        <f>G6*8</f>
        <v>0</v>
      </c>
      <c r="I6">
        <f>B6+D6+F6+H6</f>
        <v>0</v>
      </c>
      <c r="J6">
        <f>I6*10000000+0.001</f>
        <v>1E-3</v>
      </c>
      <c r="K6" s="7">
        <v>0</v>
      </c>
    </row>
    <row r="7" spans="1:11" ht="15" customHeight="1" x14ac:dyDescent="0.25">
      <c r="A7" t="s">
        <v>17</v>
      </c>
      <c r="B7">
        <v>0</v>
      </c>
      <c r="C7" s="7">
        <v>0</v>
      </c>
      <c r="D7">
        <f>C7*2</f>
        <v>0</v>
      </c>
      <c r="E7" s="7">
        <v>0</v>
      </c>
      <c r="F7">
        <f>E7*4</f>
        <v>0</v>
      </c>
      <c r="G7" s="7">
        <v>0</v>
      </c>
      <c r="H7">
        <f>G7*8</f>
        <v>0</v>
      </c>
      <c r="I7">
        <f>B7+D7+F7+H7</f>
        <v>0</v>
      </c>
      <c r="J7">
        <f>I7*10000000+0.002</f>
        <v>2E-3</v>
      </c>
      <c r="K7" s="7">
        <v>0</v>
      </c>
    </row>
    <row r="8" spans="1:11" ht="15" customHeight="1" x14ac:dyDescent="0.25">
      <c r="A8" t="s">
        <v>16</v>
      </c>
      <c r="B8">
        <v>0</v>
      </c>
      <c r="C8" s="7">
        <v>0</v>
      </c>
      <c r="D8">
        <f>C8*2</f>
        <v>0</v>
      </c>
      <c r="E8" s="7">
        <v>0</v>
      </c>
      <c r="F8">
        <f>E8*4</f>
        <v>0</v>
      </c>
      <c r="G8" s="7">
        <v>0</v>
      </c>
      <c r="H8">
        <f>G8*8</f>
        <v>0</v>
      </c>
      <c r="I8">
        <f>B8+D8+F8+H8</f>
        <v>0</v>
      </c>
      <c r="J8">
        <f>I8*10000000+0.003</f>
        <v>3.0000000000000001E-3</v>
      </c>
      <c r="K8" s="7">
        <v>0</v>
      </c>
    </row>
    <row r="9" spans="1:11" ht="15" customHeight="1" x14ac:dyDescent="0.25">
      <c r="A9" t="s">
        <v>15</v>
      </c>
      <c r="B9">
        <v>0</v>
      </c>
      <c r="C9" s="7">
        <v>0</v>
      </c>
      <c r="D9">
        <f>C9*2</f>
        <v>0</v>
      </c>
      <c r="E9" s="7">
        <v>0</v>
      </c>
      <c r="F9">
        <f>E9*4</f>
        <v>0</v>
      </c>
      <c r="G9" s="7">
        <v>0</v>
      </c>
      <c r="H9">
        <f>G9*8</f>
        <v>0</v>
      </c>
      <c r="I9">
        <f>B9+D9+F9+H9</f>
        <v>0</v>
      </c>
      <c r="J9">
        <f>I9*10000000+0.004</f>
        <v>4.0000000000000001E-3</v>
      </c>
      <c r="K9" s="7">
        <v>0</v>
      </c>
    </row>
    <row r="11" spans="1:11" ht="15" customHeight="1" x14ac:dyDescent="0.25">
      <c r="A11" s="14" t="s">
        <v>290</v>
      </c>
    </row>
    <row r="12" spans="1:11" ht="15" customHeight="1" x14ac:dyDescent="0.25">
      <c r="A12" s="6" t="s">
        <v>291</v>
      </c>
      <c r="B12" s="6" t="s">
        <v>200</v>
      </c>
      <c r="C12" s="6" t="s">
        <v>281</v>
      </c>
      <c r="D12" s="6" t="s">
        <v>292</v>
      </c>
      <c r="E12" s="6" t="s">
        <v>293</v>
      </c>
      <c r="F12" s="6" t="s">
        <v>294</v>
      </c>
      <c r="G12" s="6" t="s">
        <v>295</v>
      </c>
      <c r="H12" s="6" t="s">
        <v>296</v>
      </c>
    </row>
    <row r="13" spans="1:11" ht="15" customHeight="1" x14ac:dyDescent="0.25">
      <c r="A13" t="s">
        <v>297</v>
      </c>
      <c r="B13" t="s">
        <v>18</v>
      </c>
      <c r="C13">
        <v>0</v>
      </c>
      <c r="D13">
        <v>0</v>
      </c>
      <c r="E13">
        <v>0</v>
      </c>
      <c r="F13">
        <v>0</v>
      </c>
      <c r="G13">
        <v>0</v>
      </c>
      <c r="H13" t="s">
        <v>298</v>
      </c>
    </row>
    <row r="14" spans="1:11" ht="15" customHeight="1" x14ac:dyDescent="0.25">
      <c r="A14" t="s">
        <v>299</v>
      </c>
      <c r="B14" t="s">
        <v>17</v>
      </c>
      <c r="C14">
        <v>0</v>
      </c>
      <c r="D14">
        <v>0</v>
      </c>
      <c r="E14">
        <v>0</v>
      </c>
      <c r="F14">
        <v>0</v>
      </c>
      <c r="G14">
        <v>0</v>
      </c>
      <c r="H14" t="s">
        <v>300</v>
      </c>
    </row>
    <row r="15" spans="1:11" ht="15" customHeight="1" x14ac:dyDescent="0.25">
      <c r="A15" t="s">
        <v>301</v>
      </c>
      <c r="B15" t="s">
        <v>16</v>
      </c>
      <c r="C15">
        <v>0</v>
      </c>
      <c r="D15">
        <v>0</v>
      </c>
      <c r="E15">
        <v>0</v>
      </c>
      <c r="F15">
        <v>0</v>
      </c>
      <c r="G15">
        <v>0</v>
      </c>
      <c r="H15" t="s">
        <v>244</v>
      </c>
    </row>
    <row r="16" spans="1:11" ht="15" customHeight="1" x14ac:dyDescent="0.25">
      <c r="A16" t="s">
        <v>302</v>
      </c>
      <c r="B16" t="s">
        <v>15</v>
      </c>
      <c r="C16">
        <v>0</v>
      </c>
      <c r="D16">
        <v>0</v>
      </c>
      <c r="E16">
        <v>0</v>
      </c>
      <c r="F16">
        <v>0</v>
      </c>
      <c r="G16">
        <v>0</v>
      </c>
      <c r="H16" t="s">
        <v>303</v>
      </c>
    </row>
    <row r="18" spans="1:4" ht="15" customHeight="1" x14ac:dyDescent="0.25">
      <c r="A18" s="15" t="s">
        <v>304</v>
      </c>
    </row>
    <row r="20" spans="1:4" ht="15" customHeight="1" x14ac:dyDescent="0.25">
      <c r="A20" s="14" t="s">
        <v>305</v>
      </c>
    </row>
    <row r="21" spans="1:4" ht="15" customHeight="1" x14ac:dyDescent="0.25">
      <c r="A21" s="6" t="s">
        <v>200</v>
      </c>
      <c r="B21" s="6" t="s">
        <v>306</v>
      </c>
      <c r="C21" s="6" t="s">
        <v>307</v>
      </c>
      <c r="D21" s="6" t="s">
        <v>308</v>
      </c>
    </row>
    <row r="22" spans="1:4" ht="15" customHeight="1" x14ac:dyDescent="0.25">
      <c r="A22" t="s">
        <v>18</v>
      </c>
      <c r="B22" s="7">
        <v>0</v>
      </c>
      <c r="C22" s="7">
        <v>0</v>
      </c>
      <c r="D22">
        <f>ABS(B22-C22)</f>
        <v>0</v>
      </c>
    </row>
    <row r="23" spans="1:4" ht="15" customHeight="1" x14ac:dyDescent="0.25">
      <c r="A23" t="s">
        <v>17</v>
      </c>
      <c r="B23" s="7">
        <v>0</v>
      </c>
      <c r="C23" s="7">
        <v>0</v>
      </c>
      <c r="D23">
        <f>ABS(B23-C23)</f>
        <v>0</v>
      </c>
    </row>
    <row r="24" spans="1:4" ht="15" customHeight="1" x14ac:dyDescent="0.25">
      <c r="A24" t="s">
        <v>16</v>
      </c>
      <c r="B24" s="7">
        <v>0</v>
      </c>
      <c r="C24" s="7">
        <v>0</v>
      </c>
      <c r="D24">
        <f>ABS(B24-C24)</f>
        <v>0</v>
      </c>
    </row>
    <row r="25" spans="1:4" ht="15" customHeight="1" x14ac:dyDescent="0.25">
      <c r="A25" t="s">
        <v>15</v>
      </c>
      <c r="B25" s="7">
        <v>0</v>
      </c>
      <c r="C25" s="7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F11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8" t="s">
        <v>26</v>
      </c>
      <c r="B1" s="8" t="s">
        <v>27</v>
      </c>
      <c r="C1" s="8" t="s">
        <v>309</v>
      </c>
      <c r="D1" s="8" t="s">
        <v>310</v>
      </c>
      <c r="E1" s="8" t="s">
        <v>311</v>
      </c>
      <c r="F1" s="8" t="s">
        <v>312</v>
      </c>
      <c r="G1" s="8" t="s">
        <v>313</v>
      </c>
      <c r="H1" s="8" t="s">
        <v>314</v>
      </c>
      <c r="I1" s="8" t="s">
        <v>315</v>
      </c>
      <c r="J1" s="8" t="s">
        <v>316</v>
      </c>
      <c r="K1" s="8" t="s">
        <v>317</v>
      </c>
      <c r="L1" s="8" t="s">
        <v>318</v>
      </c>
      <c r="M1" s="8" t="s">
        <v>319</v>
      </c>
      <c r="N1" s="8" t="s">
        <v>320</v>
      </c>
      <c r="O1" s="8" t="s">
        <v>321</v>
      </c>
      <c r="P1" s="8" t="s">
        <v>322</v>
      </c>
      <c r="Q1" s="8" t="s">
        <v>323</v>
      </c>
      <c r="R1" s="8" t="s">
        <v>324</v>
      </c>
      <c r="S1" s="8" t="s">
        <v>325</v>
      </c>
      <c r="T1" s="8" t="s">
        <v>326</v>
      </c>
      <c r="U1" s="8" t="s">
        <v>327</v>
      </c>
      <c r="V1" s="8" t="s">
        <v>328</v>
      </c>
      <c r="W1" s="8" t="s">
        <v>329</v>
      </c>
      <c r="X1" s="8" t="s">
        <v>330</v>
      </c>
      <c r="Y1" s="8" t="s">
        <v>331</v>
      </c>
      <c r="Z1" s="8" t="s">
        <v>332</v>
      </c>
      <c r="AA1" s="8" t="s">
        <v>333</v>
      </c>
      <c r="AB1" s="8" t="s">
        <v>334</v>
      </c>
      <c r="AC1" s="8" t="s">
        <v>335</v>
      </c>
      <c r="AD1" s="8" t="s">
        <v>336</v>
      </c>
      <c r="AE1" s="8" t="s">
        <v>337</v>
      </c>
      <c r="AF1" s="8" t="s">
        <v>338</v>
      </c>
    </row>
    <row r="2" spans="1:32" ht="15" customHeight="1" x14ac:dyDescent="0.25">
      <c r="A2">
        <v>1</v>
      </c>
      <c r="B2" t="str">
        <f>Roster!B3</f>
        <v>Player 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1E-4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1E-4</v>
      </c>
      <c r="U2" t="s">
        <v>226</v>
      </c>
      <c r="V2" t="s">
        <v>226</v>
      </c>
      <c r="W2" t="s">
        <v>226</v>
      </c>
      <c r="X2" t="s">
        <v>226</v>
      </c>
      <c r="Y2" t="s">
        <v>226</v>
      </c>
      <c r="Z2" t="s">
        <v>226</v>
      </c>
      <c r="AA2">
        <v>0</v>
      </c>
      <c r="AB2">
        <v>0</v>
      </c>
      <c r="AC2">
        <v>0</v>
      </c>
      <c r="AD2">
        <v>1E-4</v>
      </c>
      <c r="AE2">
        <v>0</v>
      </c>
      <c r="AF2">
        <v>1E-4</v>
      </c>
    </row>
    <row r="3" spans="1:32" ht="15" customHeight="1" x14ac:dyDescent="0.25">
      <c r="A3">
        <v>2</v>
      </c>
      <c r="B3" t="str">
        <f>Roster!B4</f>
        <v>Player 2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2.0000000000000001E-4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2.0000000000000001E-4</v>
      </c>
      <c r="U3" t="s">
        <v>226</v>
      </c>
      <c r="V3" t="s">
        <v>226</v>
      </c>
      <c r="W3" t="s">
        <v>226</v>
      </c>
      <c r="X3" t="s">
        <v>226</v>
      </c>
      <c r="Y3" t="s">
        <v>226</v>
      </c>
      <c r="Z3" t="s">
        <v>226</v>
      </c>
      <c r="AA3">
        <v>0</v>
      </c>
      <c r="AB3">
        <v>0</v>
      </c>
      <c r="AC3">
        <v>0</v>
      </c>
      <c r="AD3">
        <v>2.0000000000000001E-4</v>
      </c>
      <c r="AE3">
        <v>0</v>
      </c>
      <c r="AF3">
        <v>2.0000000000000001E-4</v>
      </c>
    </row>
    <row r="4" spans="1:32" ht="15" customHeight="1" x14ac:dyDescent="0.25">
      <c r="A4">
        <v>3</v>
      </c>
      <c r="B4" t="str">
        <f>Roster!B5</f>
        <v>Player 3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2.9999999999999997E-4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2.9999999999999997E-4</v>
      </c>
      <c r="U4" t="s">
        <v>226</v>
      </c>
      <c r="V4" t="s">
        <v>226</v>
      </c>
      <c r="W4" t="s">
        <v>226</v>
      </c>
      <c r="X4" t="s">
        <v>226</v>
      </c>
      <c r="Y4" t="s">
        <v>226</v>
      </c>
      <c r="Z4" t="s">
        <v>226</v>
      </c>
      <c r="AA4">
        <v>0</v>
      </c>
      <c r="AB4">
        <v>0</v>
      </c>
      <c r="AC4">
        <v>0</v>
      </c>
      <c r="AD4">
        <v>2.9999999999999997E-4</v>
      </c>
      <c r="AE4">
        <v>0</v>
      </c>
      <c r="AF4">
        <v>2.9999999999999997E-4</v>
      </c>
    </row>
    <row r="5" spans="1:32" ht="15" customHeight="1" x14ac:dyDescent="0.25">
      <c r="A5">
        <v>4</v>
      </c>
      <c r="B5" t="str">
        <f>Roster!B6</f>
        <v>Player 4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4.0000000000000002E-4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4.0000000000000002E-4</v>
      </c>
      <c r="U5" t="s">
        <v>226</v>
      </c>
      <c r="V5" t="s">
        <v>226</v>
      </c>
      <c r="W5" t="s">
        <v>226</v>
      </c>
      <c r="X5" t="s">
        <v>226</v>
      </c>
      <c r="Y5" t="s">
        <v>226</v>
      </c>
      <c r="Z5" t="s">
        <v>226</v>
      </c>
      <c r="AA5">
        <v>0</v>
      </c>
      <c r="AB5">
        <v>0</v>
      </c>
      <c r="AC5">
        <v>0</v>
      </c>
      <c r="AD5">
        <v>4.0000000000000002E-4</v>
      </c>
      <c r="AE5">
        <v>0</v>
      </c>
      <c r="AF5">
        <v>4.0000000000000002E-4</v>
      </c>
    </row>
    <row r="6" spans="1:32" ht="15" customHeight="1" x14ac:dyDescent="0.25">
      <c r="A6">
        <v>5</v>
      </c>
      <c r="B6" t="str">
        <f>Roster!B7</f>
        <v>Player 5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5.0000000000000001E-4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5.0000000000000001E-4</v>
      </c>
      <c r="U6" t="s">
        <v>226</v>
      </c>
      <c r="V6" t="s">
        <v>226</v>
      </c>
      <c r="W6" t="s">
        <v>226</v>
      </c>
      <c r="X6" t="s">
        <v>226</v>
      </c>
      <c r="Y6" t="s">
        <v>226</v>
      </c>
      <c r="Z6" t="s">
        <v>226</v>
      </c>
      <c r="AA6">
        <v>0</v>
      </c>
      <c r="AB6">
        <v>0</v>
      </c>
      <c r="AC6">
        <v>0</v>
      </c>
      <c r="AD6">
        <v>5.0000000000000001E-4</v>
      </c>
      <c r="AE6">
        <v>0</v>
      </c>
      <c r="AF6">
        <v>5.0000000000000001E-4</v>
      </c>
    </row>
    <row r="7" spans="1:32" ht="15" customHeight="1" x14ac:dyDescent="0.25">
      <c r="A7">
        <v>6</v>
      </c>
      <c r="B7" t="str">
        <f>Roster!B8</f>
        <v>Player 6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5.9999999999999995E-4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5.9999999999999995E-4</v>
      </c>
      <c r="U7" t="s">
        <v>226</v>
      </c>
      <c r="V7" t="s">
        <v>226</v>
      </c>
      <c r="W7" t="s">
        <v>226</v>
      </c>
      <c r="X7" t="s">
        <v>226</v>
      </c>
      <c r="Y7" t="s">
        <v>226</v>
      </c>
      <c r="Z7" t="s">
        <v>226</v>
      </c>
      <c r="AA7">
        <v>0</v>
      </c>
      <c r="AB7">
        <v>0</v>
      </c>
      <c r="AC7">
        <v>0</v>
      </c>
      <c r="AD7">
        <v>5.9999999999999995E-4</v>
      </c>
      <c r="AE7">
        <v>0</v>
      </c>
      <c r="AF7">
        <v>5.9999999999999995E-4</v>
      </c>
    </row>
    <row r="8" spans="1:32" ht="15" customHeight="1" x14ac:dyDescent="0.25">
      <c r="A8">
        <v>7</v>
      </c>
      <c r="B8" t="str">
        <f>Roster!B9</f>
        <v>Player 7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6.9999999999999999E-4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6.9999999999999999E-4</v>
      </c>
      <c r="U8" t="s">
        <v>226</v>
      </c>
      <c r="V8" t="s">
        <v>226</v>
      </c>
      <c r="W8" t="s">
        <v>226</v>
      </c>
      <c r="X8" t="s">
        <v>226</v>
      </c>
      <c r="Y8" t="s">
        <v>226</v>
      </c>
      <c r="Z8" t="s">
        <v>226</v>
      </c>
      <c r="AA8">
        <v>0</v>
      </c>
      <c r="AB8">
        <v>0</v>
      </c>
      <c r="AC8">
        <v>0</v>
      </c>
      <c r="AD8">
        <v>6.9999999999999999E-4</v>
      </c>
      <c r="AE8">
        <v>0</v>
      </c>
      <c r="AF8">
        <v>6.9999999999999999E-4</v>
      </c>
    </row>
    <row r="9" spans="1:32" ht="15" customHeight="1" x14ac:dyDescent="0.25">
      <c r="A9">
        <v>8</v>
      </c>
      <c r="B9" t="str">
        <f>Roster!B10</f>
        <v>Player 8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8.0000000000000004E-4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8.0000000000000004E-4</v>
      </c>
      <c r="U9" t="s">
        <v>226</v>
      </c>
      <c r="V9" t="s">
        <v>226</v>
      </c>
      <c r="W9" t="s">
        <v>226</v>
      </c>
      <c r="X9" t="s">
        <v>226</v>
      </c>
      <c r="Y9" t="s">
        <v>226</v>
      </c>
      <c r="Z9" t="s">
        <v>226</v>
      </c>
      <c r="AA9">
        <v>0</v>
      </c>
      <c r="AB9">
        <v>0</v>
      </c>
      <c r="AC9">
        <v>0</v>
      </c>
      <c r="AD9">
        <v>8.0000000000000004E-4</v>
      </c>
      <c r="AE9">
        <v>0</v>
      </c>
      <c r="AF9">
        <v>8.0000000000000004E-4</v>
      </c>
    </row>
    <row r="10" spans="1:32" ht="15" customHeight="1" x14ac:dyDescent="0.25">
      <c r="A10">
        <v>9</v>
      </c>
      <c r="B10" t="str">
        <f>Roster!B11</f>
        <v>Player 9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8.9999999999999998E-4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8.9999999999999998E-4</v>
      </c>
      <c r="U10" t="s">
        <v>226</v>
      </c>
      <c r="V10" t="s">
        <v>226</v>
      </c>
      <c r="W10" t="s">
        <v>226</v>
      </c>
      <c r="X10" t="s">
        <v>226</v>
      </c>
      <c r="Y10" t="s">
        <v>226</v>
      </c>
      <c r="Z10" t="s">
        <v>226</v>
      </c>
      <c r="AA10">
        <v>0</v>
      </c>
      <c r="AB10">
        <v>0</v>
      </c>
      <c r="AC10">
        <v>0</v>
      </c>
      <c r="AD10">
        <v>8.9999999999999998E-4</v>
      </c>
      <c r="AE10">
        <v>0</v>
      </c>
      <c r="AF10">
        <v>8.9999999999999998E-4</v>
      </c>
    </row>
    <row r="11" spans="1:32" ht="15" customHeight="1" x14ac:dyDescent="0.25">
      <c r="A11">
        <v>10</v>
      </c>
      <c r="B11" t="str">
        <f>Roster!B12</f>
        <v>Player 10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1E-3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1E-3</v>
      </c>
      <c r="U11" t="s">
        <v>226</v>
      </c>
      <c r="V11" t="s">
        <v>226</v>
      </c>
      <c r="W11" t="s">
        <v>226</v>
      </c>
      <c r="X11" t="s">
        <v>226</v>
      </c>
      <c r="Y11" t="s">
        <v>226</v>
      </c>
      <c r="Z11" t="s">
        <v>226</v>
      </c>
      <c r="AA11">
        <v>0</v>
      </c>
      <c r="AB11">
        <v>0</v>
      </c>
      <c r="AC11">
        <v>0</v>
      </c>
      <c r="AD11">
        <v>1E-3</v>
      </c>
      <c r="AE11">
        <v>0</v>
      </c>
      <c r="AF11">
        <v>1E-3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/>
  </sheetViews>
  <sheetFormatPr defaultColWidth="8.7109375" defaultRowHeight="15" x14ac:dyDescent="0.25"/>
  <cols>
    <col min="1" max="1" width="14" customWidth="1"/>
    <col min="2" max="2" width="24" customWidth="1"/>
    <col min="3" max="3" width="60" customWidth="1"/>
  </cols>
  <sheetData>
    <row r="1" spans="1:3" ht="17.25" customHeight="1" x14ac:dyDescent="0.25">
      <c r="A1" s="11" t="s">
        <v>339</v>
      </c>
    </row>
    <row r="3" spans="1:3" ht="15" customHeight="1" x14ac:dyDescent="0.25">
      <c r="A3" s="8" t="s">
        <v>340</v>
      </c>
    </row>
    <row r="4" spans="1:3" ht="15" customHeight="1" x14ac:dyDescent="0.25">
      <c r="A4" s="15" t="s">
        <v>341</v>
      </c>
    </row>
    <row r="6" spans="1:3" ht="15" customHeight="1" x14ac:dyDescent="0.25">
      <c r="A6" s="6" t="s">
        <v>342</v>
      </c>
      <c r="B6" s="6" t="s">
        <v>343</v>
      </c>
      <c r="C6" s="6" t="s">
        <v>344</v>
      </c>
    </row>
    <row r="7" spans="1:3" ht="15" customHeight="1" x14ac:dyDescent="0.25">
      <c r="C7" t="s">
        <v>345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Roster</vt:lpstr>
      <vt:lpstr>Schedule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  <vt:lpstr>Updates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2026-09-09T14:11:29Z</dcterms:created>
  <dcterms:modified xsi:type="dcterms:W3CDTF">2026-09-09T14:23:01Z</dcterms:modified>
  <dc:language>en-US</dc:language>
</cp:coreProperties>
</file>