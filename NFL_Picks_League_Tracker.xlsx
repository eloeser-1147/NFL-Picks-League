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Roster" sheetId="1" state="visible" r:id="rId3"/>
    <sheet name="Schedule" sheetId="2" state="hidden" r:id="rId4"/>
    <sheet name="Wk 1-6 Input" sheetId="3" state="visible" r:id="rId5"/>
    <sheet name="Wk 7-12 Input" sheetId="4" state="visible" r:id="rId6"/>
    <sheet name="Wk 13-18 Input" sheetId="5" state="visible" r:id="rId7"/>
    <sheet name="Standings" sheetId="6" state="visible" r:id="rId8"/>
    <sheet name="Playoff Picture" sheetId="7" state="visible" r:id="rId9"/>
    <sheet name="Playoff Wild Card" sheetId="8" state="visible" r:id="rId10"/>
    <sheet name="Playoff Finals" sheetId="9" state="visible" r:id="rId11"/>
    <sheet name="Helper" sheetId="10" state="visible" r:id="rId1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<sst xmlns="http://schemas.openxmlformats.org/spreadsheetml/2006/main" count="777" uniqueCount="264">
  <si>
    <t xml:space="preserve">NFL PICKS LEAGUE — ROSTER</t>
  </si>
  <si>
    <t xml:space="preserve">Player #</t>
  </si>
  <si>
    <t xml:space="preserve">Player Name</t>
  </si>
  <si>
    <t xml:space="preserve">Division</t>
  </si>
  <si>
    <t xml:space="preserve">Division Name</t>
  </si>
  <si>
    <t xml:space="preserve">Player 1</t>
  </si>
  <si>
    <t xml:space="preserve">A</t>
  </si>
  <si>
    <t xml:space="preserve">Division A</t>
  </si>
  <si>
    <t xml:space="preserve">Player 2</t>
  </si>
  <si>
    <t xml:space="preserve">Player 3</t>
  </si>
  <si>
    <t xml:space="preserve">Player 4</t>
  </si>
  <si>
    <t xml:space="preserve">Player 5</t>
  </si>
  <si>
    <t xml:space="preserve">B</t>
  </si>
  <si>
    <t xml:space="preserve">Division B</t>
  </si>
  <si>
    <t xml:space="preserve">Player 6</t>
  </si>
  <si>
    <t xml:space="preserve">Player 7</t>
  </si>
  <si>
    <t xml:space="preserve">Player 8</t>
  </si>
  <si>
    <t xml:space="preserve">Player 9</t>
  </si>
  <si>
    <t xml:space="preserve">C</t>
  </si>
  <si>
    <t xml:space="preserve">Division C</t>
  </si>
  <si>
    <t xml:space="preserve">Player 10</t>
  </si>
  <si>
    <t xml:space="preserve">Player 11</t>
  </si>
  <si>
    <t xml:space="preserve">Player 12</t>
  </si>
  <si>
    <t xml:space="preserve">Player 13</t>
  </si>
  <si>
    <t xml:space="preserve">D</t>
  </si>
  <si>
    <t xml:space="preserve">Division D</t>
  </si>
  <si>
    <t xml:space="preserve">Player 14</t>
  </si>
  <si>
    <t xml:space="preserve">Player 15</t>
  </si>
  <si>
    <t xml:space="preserve">Player 16</t>
  </si>
  <si>
    <t xml:space="preserve">CURRENT WEEK:</t>
  </si>
  <si>
    <t xml:space="preserve">Update this number each week (1-18)</t>
  </si>
  <si>
    <t xml:space="preserve">Division A: Players 1-4</t>
  </si>
  <si>
    <t xml:space="preserve">Division B: Players 5-8</t>
  </si>
  <si>
    <t xml:space="preserve">Division C: Players 9-12</t>
  </si>
  <si>
    <t xml:space="preserve">Division D: Players 13-16</t>
  </si>
  <si>
    <t xml:space="preserve">WEEKS 1-6 (Inter-Division)</t>
  </si>
  <si>
    <t xml:space="preserve">Week 1</t>
  </si>
  <si>
    <t xml:space="preserve">#</t>
  </si>
  <si>
    <t xml:space="preserve">P#</t>
  </si>
  <si>
    <t xml:space="preserve">Name</t>
  </si>
  <si>
    <t xml:space="preserve">vs</t>
  </si>
  <si>
    <t xml:space="preserve">Week 2</t>
  </si>
  <si>
    <t xml:space="preserve">Week 3</t>
  </si>
  <si>
    <t xml:space="preserve">Week 4</t>
  </si>
  <si>
    <t xml:space="preserve">Week 5</t>
  </si>
  <si>
    <t xml:space="preserve">Week 6</t>
  </si>
  <si>
    <t xml:space="preserve">WEEKS 7-12 (Inter-Division)</t>
  </si>
  <si>
    <t xml:space="preserve">Week 7</t>
  </si>
  <si>
    <t xml:space="preserve">Week 8</t>
  </si>
  <si>
    <t xml:space="preserve">Week 9</t>
  </si>
  <si>
    <t xml:space="preserve">Week 10</t>
  </si>
  <si>
    <t xml:space="preserve">Week 11</t>
  </si>
  <si>
    <t xml:space="preserve">Week 12</t>
  </si>
  <si>
    <t xml:space="preserve">WEEKS 13-18 (Division Play)</t>
  </si>
  <si>
    <t xml:space="preserve">Week 13</t>
  </si>
  <si>
    <t xml:space="preserve">Week 14</t>
  </si>
  <si>
    <t xml:space="preserve">Week 15</t>
  </si>
  <si>
    <t xml:space="preserve">Week 16</t>
  </si>
  <si>
    <t xml:space="preserve">Week 17</t>
  </si>
  <si>
    <t xml:space="preserve">Week 18</t>
  </si>
  <si>
    <t xml:space="preserve">WEEKS 1-6 — WEEKLY INPUT (Correct Picks &amp; H2H Results)</t>
  </si>
  <si>
    <t xml:space="preserve">Enter each player's correct picks for the week. H2H winner is auto-calculated from the schedule.</t>
  </si>
  <si>
    <t xml:space="preserve">WEEK 1</t>
  </si>
  <si>
    <t xml:space="preserve">Correct Picks</t>
  </si>
  <si>
    <t xml:space="preserve">H2H Opponent</t>
  </si>
  <si>
    <t xml:space="preserve">Opp Picks</t>
  </si>
  <si>
    <t xml:space="preserve">H2H Result</t>
  </si>
  <si>
    <t xml:space="preserve">H2H Pts</t>
  </si>
  <si>
    <t xml:space="preserve">Pick Pts</t>
  </si>
  <si>
    <t xml:space="preserve">Week Total</t>
  </si>
  <si>
    <t xml:space="preserve">WEEK 2</t>
  </si>
  <si>
    <t xml:space="preserve">WEEK 3</t>
  </si>
  <si>
    <t xml:space="preserve">WEEK 4</t>
  </si>
  <si>
    <t xml:space="preserve">WEEK 5</t>
  </si>
  <si>
    <t xml:space="preserve">WEEK 6</t>
  </si>
  <si>
    <t xml:space="preserve">WEEKS 7-12 — WEEKLY INPUT (Weighted Picks &amp; H2H Results)</t>
  </si>
  <si>
    <t xml:space="preserve">Enter each player's weighted points (sum of confidence values for correct picks). H2H auto-calculated.</t>
  </si>
  <si>
    <t xml:space="preserve">WEEK 7</t>
  </si>
  <si>
    <t xml:space="preserve">Weighted Pts</t>
  </si>
  <si>
    <t xml:space="preserve">Opp Wtd Pts</t>
  </si>
  <si>
    <t xml:space="preserve">WEEK 8</t>
  </si>
  <si>
    <t xml:space="preserve">WEEK 9</t>
  </si>
  <si>
    <t xml:space="preserve">WEEK 10</t>
  </si>
  <si>
    <t xml:space="preserve">WEEK 11</t>
  </si>
  <si>
    <t xml:space="preserve">WEEK 12</t>
  </si>
  <si>
    <t xml:space="preserve">WEEKS 13-18 — WEEKLY INPUT (Division Play)</t>
  </si>
  <si>
    <t xml:space="preserve">Enter correct picks per player. H2H: most correct picks wins. Tie = .5W/.5L each.</t>
  </si>
  <si>
    <t xml:space="preserve">WEEK 13</t>
  </si>
  <si>
    <t xml:space="preserve">Wins</t>
  </si>
  <si>
    <t xml:space="preserve">Losses</t>
  </si>
  <si>
    <t xml:space="preserve">Total Picks</t>
  </si>
  <si>
    <t xml:space="preserve">WEEK 14</t>
  </si>
  <si>
    <t xml:space="preserve">WEEK 15</t>
  </si>
  <si>
    <t xml:space="preserve">WEEK 16</t>
  </si>
  <si>
    <t xml:space="preserve">WEEK 17</t>
  </si>
  <si>
    <t xml:space="preserve">WEEK 18</t>
  </si>
  <si>
    <t xml:space="preserve">SEGMENT 1 — WEEKS 1-6  (H2H + Points  |  Max 22 pts/wk)</t>
  </si>
  <si>
    <t xml:space="preserve">Rank</t>
  </si>
  <si>
    <t xml:space="preserve">Player</t>
  </si>
  <si>
    <t xml:space="preserve">Wk 1</t>
  </si>
  <si>
    <t xml:space="preserve">Wk 2</t>
  </si>
  <si>
    <t xml:space="preserve">Wk 3</t>
  </si>
  <si>
    <t xml:space="preserve">Wk 4</t>
  </si>
  <si>
    <t xml:space="preserve">Wk 5</t>
  </si>
  <si>
    <t xml:space="preserve">Wk 6</t>
  </si>
  <si>
    <t xml:space="preserve">Total</t>
  </si>
  <si>
    <t xml:space="preserve">H2H W</t>
  </si>
  <si>
    <t xml:space="preserve">Best Wk</t>
  </si>
  <si>
    <t xml:space="preserve">SEGMENT 2 — WEEKS 7-12  (H2H + Weighted  |  Max 46 pts/wk)</t>
  </si>
  <si>
    <t xml:space="preserve">Wk 7</t>
  </si>
  <si>
    <t xml:space="preserve">Wk 8</t>
  </si>
  <si>
    <t xml:space="preserve">Wk 9</t>
  </si>
  <si>
    <t xml:space="preserve">Wk 10</t>
  </si>
  <si>
    <t xml:space="preserve">Wk 11</t>
  </si>
  <si>
    <t xml:space="preserve">Wk 12</t>
  </si>
  <si>
    <t xml:space="preserve">SEGMENT 3 — WEEKS 13-18  (Divisions  |  Record-Based)</t>
  </si>
  <si>
    <t xml:space="preserve">DIVISION A</t>
  </si>
  <si>
    <t xml:space="preserve">W13</t>
  </si>
  <si>
    <t xml:space="preserve">W14</t>
  </si>
  <si>
    <t xml:space="preserve">W15</t>
  </si>
  <si>
    <t xml:space="preserve">W16</t>
  </si>
  <si>
    <t xml:space="preserve">W17</t>
  </si>
  <si>
    <t xml:space="preserve">W18</t>
  </si>
  <si>
    <t xml:space="preserve">Picks</t>
  </si>
  <si>
    <t xml:space="preserve">Win%</t>
  </si>
  <si>
    <t xml:space="preserve">DIVISION B</t>
  </si>
  <si>
    <t xml:space="preserve">DIVISION C</t>
  </si>
  <si>
    <t xml:space="preserve">DIVISION D</t>
  </si>
  <si>
    <t xml:space="preserve">OVERALL STANDINGS &amp; PLAYOFF QUALIFICATION</t>
  </si>
  <si>
    <t xml:space="preserve">Seg 1 Pts</t>
  </si>
  <si>
    <t xml:space="preserve">Seg 2 Pts</t>
  </si>
  <si>
    <t xml:space="preserve">Seg 3 Picks</t>
  </si>
  <si>
    <t xml:space="preserve">Season Total</t>
  </si>
  <si>
    <t xml:space="preserve">Seg 1 Rank</t>
  </si>
  <si>
    <t xml:space="preserve">Seg 2 Rank</t>
  </si>
  <si>
    <t xml:space="preserve">PAYOUTS</t>
  </si>
  <si>
    <t xml:space="preserve">Weeks 1-6 Winner</t>
  </si>
  <si>
    <t xml:space="preserve">$25</t>
  </si>
  <si>
    <t xml:space="preserve">Weeks 7-12 Winner</t>
  </si>
  <si>
    <t xml:space="preserve">Division Winners (×4)</t>
  </si>
  <si>
    <t xml:space="preserve">$10 ea.</t>
  </si>
  <si>
    <t xml:space="preserve">Playoff 1st</t>
  </si>
  <si>
    <t xml:space="preserve">$200</t>
  </si>
  <si>
    <t xml:space="preserve">Playoff 2nd</t>
  </si>
  <si>
    <t xml:space="preserve">$75</t>
  </si>
  <si>
    <t xml:space="preserve">Playoff 3rd</t>
  </si>
  <si>
    <t xml:space="preserve">$35</t>
  </si>
  <si>
    <t xml:space="preserve">Total Pool</t>
  </si>
  <si>
    <t xml:space="preserve">$400</t>
  </si>
  <si>
    <t xml:space="preserve">PLAYOFF PICTURE</t>
  </si>
  <si>
    <t xml:space="preserve">AUTOMATIC QUALIFIERS — 6 SPOTS</t>
  </si>
  <si>
    <t xml:space="preserve">Spot</t>
  </si>
  <si>
    <t xml:space="preserve">Winner (Cash)</t>
  </si>
  <si>
    <t xml:space="preserve">Prize</t>
  </si>
  <si>
    <t xml:space="preserve">Source</t>
  </si>
  <si>
    <t xml:space="preserve">Playoff Qualifier</t>
  </si>
  <si>
    <t xml:space="preserve">Status</t>
  </si>
  <si>
    <t xml:space="preserve">Seg 1 Winner</t>
  </si>
  <si>
    <t xml:space="preserve">Weeks 1-6</t>
  </si>
  <si>
    <t xml:space="preserve">QUALIFIED</t>
  </si>
  <si>
    <t xml:space="preserve">Seg 2 Winner</t>
  </si>
  <si>
    <t xml:space="preserve">Weeks 7-12</t>
  </si>
  <si>
    <t xml:space="preserve">Div A Winner</t>
  </si>
  <si>
    <t xml:space="preserve">$10</t>
  </si>
  <si>
    <t xml:space="preserve">Div B Winner</t>
  </si>
  <si>
    <t xml:space="preserve">Div C Winner</t>
  </si>
  <si>
    <t xml:space="preserve">Div D Winner</t>
  </si>
  <si>
    <t xml:space="preserve">WILD CARD — TOP 2 SEASON PTS NOT ALREADY QUALIFIED</t>
  </si>
  <si>
    <t xml:space="preserve">Season Pts</t>
  </si>
  <si>
    <t xml:space="preserve">Wild Card 1</t>
  </si>
  <si>
    <t xml:space="preserve">Season Points</t>
  </si>
  <si>
    <t xml:space="preserve">Wild Card 2</t>
  </si>
  <si>
    <t xml:space="preserve">PLAYOFF FIELD — 8 PLAYERS</t>
  </si>
  <si>
    <t xml:space="preserve">Qualified Via</t>
  </si>
  <si>
    <t xml:space="preserve">Div A</t>
  </si>
  <si>
    <t xml:space="preserve">Div B</t>
  </si>
  <si>
    <t xml:space="preserve">Div C</t>
  </si>
  <si>
    <t xml:space="preserve">Div D</t>
  </si>
  <si>
    <t xml:space="preserve">EARNINGS TRACKER</t>
  </si>
  <si>
    <t xml:space="preserve">Segment $</t>
  </si>
  <si>
    <t xml:space="preserve">Division $</t>
  </si>
  <si>
    <t xml:space="preserve">Playoff $</t>
  </si>
  <si>
    <t xml:space="preserve">Total Earned</t>
  </si>
  <si>
    <t xml:space="preserve">TOTAL PAID</t>
  </si>
  <si>
    <t xml:space="preserve">WILD CARD ROUND — INPUT</t>
  </si>
  <si>
    <t xml:space="preserve">All 8 players pick all games against the spread, weighted 1-4 confidence. Enter total weighted points per player.</t>
  </si>
  <si>
    <t xml:space="preserve">Adj Score</t>
  </si>
  <si>
    <t xml:space="preserve">Weekly TB Rank</t>
  </si>
  <si>
    <t xml:space="preserve">AFC WC Pts</t>
  </si>
  <si>
    <t xml:space="preserve">NFC WC Pts</t>
  </si>
  <si>
    <t xml:space="preserve">Sort Score</t>
  </si>
  <si>
    <t xml:space="preserve">WILD CARD RESULTS — TOP 4 ADVANCE</t>
  </si>
  <si>
    <t xml:space="preserve">ADVANCE</t>
  </si>
  <si>
    <t xml:space="preserve">ELIMINATED</t>
  </si>
  <si>
    <t xml:space="preserve">Tiebreakers: 1) Weekly TB Rank (enter 1=best, lower=better)  2) AFC WC total points  3) NFC WC total points. Leave at 0 if no tie.</t>
  </si>
  <si>
    <t xml:space="preserve">PLAYOFF FINALS — INPUT &amp; RESULTS</t>
  </si>
  <si>
    <t xml:space="preserve">Top 4 from Wild Card. Points carry over. Divisional=2 pts/game, Championship=4 pts/game, Super Bowl=8 pts.</t>
  </si>
  <si>
    <t xml:space="preserve">ROUND-BY-ROUND INPUT</t>
  </si>
  <si>
    <t xml:space="preserve">WC Pts</t>
  </si>
  <si>
    <t xml:space="preserve">Div Correct</t>
  </si>
  <si>
    <t xml:space="preserve">Div Pts (×2)</t>
  </si>
  <si>
    <t xml:space="preserve">Champ Correct</t>
  </si>
  <si>
    <t xml:space="preserve">Champ Pts (×4)</t>
  </si>
  <si>
    <t xml:space="preserve">SB Correct</t>
  </si>
  <si>
    <t xml:space="preserve">SB Pts (×8)</t>
  </si>
  <si>
    <t xml:space="preserve">TOTAL</t>
  </si>
  <si>
    <t xml:space="preserve">SB TB Rank</t>
  </si>
  <si>
    <t xml:space="preserve">FG Diff</t>
  </si>
  <si>
    <t xml:space="preserve">FINAL STANDINGS &amp; PAYOUTS</t>
  </si>
  <si>
    <t xml:space="preserve">Place</t>
  </si>
  <si>
    <t xml:space="preserve">Div Pts</t>
  </si>
  <si>
    <t xml:space="preserve">Champ Pts</t>
  </si>
  <si>
    <t xml:space="preserve">SB Pts</t>
  </si>
  <si>
    <t xml:space="preserve">Total Pts</t>
  </si>
  <si>
    <t xml:space="preserve">Payout</t>
  </si>
  <si>
    <t xml:space="preserve">1st</t>
  </si>
  <si>
    <t xml:space="preserve">2nd</t>
  </si>
  <si>
    <t xml:space="preserve">3rd</t>
  </si>
  <si>
    <t xml:space="preserve">4th</t>
  </si>
  <si>
    <t xml:space="preserve">—</t>
  </si>
  <si>
    <t xml:space="preserve">Tiebreakers (manual if tied): 1) Weekly tiebreaker for the Super Bowl  2) Closest guess to the longest field goal made in the Super Bowl (see below)</t>
  </si>
  <si>
    <t xml:space="preserve">SUPER BOWL TIEBREAKER</t>
  </si>
  <si>
    <t xml:space="preserve">FG Guess (yds)</t>
  </si>
  <si>
    <t xml:space="preserve">Actual Longest FG</t>
  </si>
  <si>
    <t xml:space="preserve">Difference</t>
  </si>
  <si>
    <t xml:space="preserve">S1W1</t>
  </si>
  <si>
    <t xml:space="preserve">S1W2</t>
  </si>
  <si>
    <t xml:space="preserve">S1W3</t>
  </si>
  <si>
    <t xml:space="preserve">S1W4</t>
  </si>
  <si>
    <t xml:space="preserve">S1W5</t>
  </si>
  <si>
    <t xml:space="preserve">S1W6</t>
  </si>
  <si>
    <t xml:space="preserve">S1 Total</t>
  </si>
  <si>
    <t xml:space="preserve">S1 H2H W</t>
  </si>
  <si>
    <t xml:space="preserve">S1 Adj</t>
  </si>
  <si>
    <t xml:space="preserve">S2W1</t>
  </si>
  <si>
    <t xml:space="preserve">S2W2</t>
  </si>
  <si>
    <t xml:space="preserve">S2W3</t>
  </si>
  <si>
    <t xml:space="preserve">S2W4</t>
  </si>
  <si>
    <t xml:space="preserve">S2W5</t>
  </si>
  <si>
    <t xml:space="preserve">S2W6</t>
  </si>
  <si>
    <t xml:space="preserve">S2 Total</t>
  </si>
  <si>
    <t xml:space="preserve">S2 H2H W</t>
  </si>
  <si>
    <t xml:space="preserve">S2 Adj</t>
  </si>
  <si>
    <t xml:space="preserve">S3W1</t>
  </si>
  <si>
    <t xml:space="preserve">S3W2</t>
  </si>
  <si>
    <t xml:space="preserve">S3W3</t>
  </si>
  <si>
    <t xml:space="preserve">S3W4</t>
  </si>
  <si>
    <t xml:space="preserve">S3W5</t>
  </si>
  <si>
    <t xml:space="preserve">S3W6</t>
  </si>
  <si>
    <t xml:space="preserve">S3 Wins</t>
  </si>
  <si>
    <t xml:space="preserve">S3 Losses</t>
  </si>
  <si>
    <t xml:space="preserve">S3 Picks</t>
  </si>
  <si>
    <t xml:space="preserve">S3 Adj</t>
  </si>
  <si>
    <t xml:space="preserve">Season Tot</t>
  </si>
  <si>
    <t xml:space="preserve">Season Adj</t>
  </si>
  <si>
    <t xml:space="preserve">S1 BestWk</t>
  </si>
  <si>
    <t xml:space="preserve">S1 Comp</t>
  </si>
  <si>
    <t xml:space="preserve">S2 BestWk</t>
  </si>
  <si>
    <t xml:space="preserve">S2 Comp</t>
  </si>
  <si>
    <t xml:space="preserve">S3 BestWk</t>
  </si>
  <si>
    <t xml:space="preserve">S3 Comp</t>
  </si>
  <si>
    <t xml:space="preserve">Szn Comp</t>
  </si>
  <si>
    <t xml:space="preserve">Qualified?</t>
  </si>
  <si>
    <t xml:space="preserve">WC Adj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</si>
</sst>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"/>
    <numFmt numFmtId="166" formatCode="General"/>
    <numFmt numFmtId="167" formatCode="0.0%"/>
    <numFmt numFmtId="168" formatCode="\$#,##0"/>
  </numFmts>
  <fonts count="2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b val="true"/>
      <sz val="14"/>
      <color rgb="FF0000FF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9"/>
      <color rgb="FF000000"/>
      <name val="Arial"/>
      <family val="0"/>
      <charset val="1"/>
    </font>
    <font>
      <b val="true"/>
      <sz val="9"/>
      <name val="Arial"/>
      <family val="0"/>
      <charset val="1"/>
    </font>
    <font>
      <sz val="9"/>
      <color rgb="FF000000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9"/>
      <color rgb="FF2D6A4F"/>
      <name val="Arial"/>
      <family val="0"/>
      <charset val="1"/>
    </font>
    <font>
      <sz val="11"/>
      <name val="Cambria"/>
      <family val="0"/>
      <charset val="1"/>
    </font>
    <font>
      <b val="true"/>
      <sz val="10"/>
      <color rgb="FF1A1A2E"/>
      <name val="Arial"/>
      <family val="0"/>
      <charset val="1"/>
    </font>
    <font>
      <b val="true"/>
      <sz val="10"/>
      <color rgb="FF2D6A4F"/>
      <name val="Arial"/>
      <family val="0"/>
      <charset val="1"/>
    </font>
    <font>
      <b val="true"/>
      <sz val="11"/>
      <color rgb="FF2D6A4F"/>
      <name val="Arial"/>
      <family val="0"/>
      <charset val="1"/>
    </font>
    <font>
      <sz val="8"/>
      <color rgb="FF999999"/>
      <name val="Arial"/>
      <family val="0"/>
      <charset val="1"/>
    </font>
    <font>
      <b val="true"/>
      <sz val="10"/>
      <color rgb="FF9C0006"/>
      <name val="Arial"/>
      <family val="0"/>
      <charset val="1"/>
    </font>
    <font>
      <b val="true"/>
      <sz val="11"/>
      <name val="Arial"/>
      <family val="0"/>
      <charset val="1"/>
    </font>
    <font>
      <sz val="8"/>
      <color rgb="FFFFFFFF"/>
      <name val="Arial"/>
      <family val="0"/>
      <charset val="1"/>
    </font>
  </fonts>
  <fills count="23">
    <fill>
      <patternFill patternType="none"/>
    </fill>
    <fill>
      <patternFill patternType="gray125"/>
    </fill>
    <fill>
      <patternFill patternType="solid">
        <fgColor rgb="FF1A1A2E"/>
        <bgColor rgb="FF003300"/>
      </patternFill>
    </fill>
    <fill>
      <patternFill patternType="solid">
        <fgColor rgb="FFD6E4F0"/>
        <bgColor rgb="FFE8DAEF"/>
      </patternFill>
    </fill>
    <fill>
      <patternFill patternType="solid">
        <fgColor rgb="FFFFF3CD"/>
        <bgColor rgb="FFFFF8DC"/>
      </patternFill>
    </fill>
    <fill>
      <patternFill patternType="solid">
        <fgColor rgb="FF4472C4"/>
        <bgColor rgb="FF666666"/>
      </patternFill>
    </fill>
    <fill>
      <patternFill patternType="solid">
        <fgColor rgb="FFF2F2F2"/>
        <bgColor rgb="FFFFF8DC"/>
      </patternFill>
    </fill>
    <fill>
      <patternFill patternType="solid">
        <fgColor rgb="FFF0883E"/>
        <bgColor rgb="FFCD7F32"/>
      </patternFill>
    </fill>
    <fill>
      <patternFill patternType="solid">
        <fgColor rgb="FF2D6A4F"/>
        <bgColor rgb="FF4A4A4A"/>
      </patternFill>
    </fill>
    <fill>
      <patternFill patternType="solid">
        <fgColor rgb="FFE2EFDA"/>
        <bgColor rgb="FFF2F2F2"/>
      </patternFill>
    </fill>
    <fill>
      <patternFill patternType="solid">
        <fgColor rgb="FFFFD700"/>
        <bgColor rgb="FFFFFF00"/>
      </patternFill>
    </fill>
    <fill>
      <patternFill patternType="solid">
        <fgColor rgb="FFC0C0C0"/>
        <bgColor rgb="FFE8DAEF"/>
      </patternFill>
    </fill>
    <fill>
      <patternFill patternType="solid">
        <fgColor rgb="FFCD7F32"/>
        <bgColor rgb="FFD4772C"/>
      </patternFill>
    </fill>
    <fill>
      <patternFill patternType="solid">
        <fgColor rgb="FF4A4A4A"/>
        <bgColor rgb="FF666666"/>
      </patternFill>
    </fill>
    <fill>
      <patternFill patternType="solid">
        <fgColor rgb="FF8B5CF6"/>
        <bgColor rgb="FF4472C4"/>
      </patternFill>
    </fill>
    <fill>
      <patternFill patternType="solid">
        <fgColor rgb="FFE8DAEF"/>
        <bgColor rgb="FFD6E4F0"/>
      </patternFill>
    </fill>
    <fill>
      <patternFill patternType="solid">
        <fgColor rgb="FFD4772C"/>
        <bgColor rgb="FFCD7F32"/>
      </patternFill>
    </fill>
    <fill>
      <patternFill patternType="solid">
        <fgColor rgb="FFFDEBD0"/>
        <bgColor rgb="FFFFF3CD"/>
      </patternFill>
    </fill>
    <fill>
      <patternFill patternType="solid">
        <fgColor rgb="FFFFF8DC"/>
        <bgColor rgb="FFFFF3CD"/>
      </patternFill>
    </fill>
    <fill>
      <patternFill patternType="solid">
        <fgColor rgb="FFC6EFCE"/>
        <bgColor rgb="FFE2EFDA"/>
      </patternFill>
    </fill>
    <fill>
      <patternFill patternType="solid">
        <fgColor rgb="FF8B949E"/>
        <bgColor rgb="FF999999"/>
      </patternFill>
    </fill>
    <fill>
      <patternFill patternType="solid">
        <fgColor rgb="FF5A2D82"/>
        <bgColor rgb="FF4A4A4A"/>
      </patternFill>
    </fill>
    <fill>
      <patternFill patternType="solid">
        <fgColor rgb="FFFFC7CE"/>
        <bgColor rgb="FFE8DAE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9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11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1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1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1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1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1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1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1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1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1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1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1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3" fillId="2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8" fontId="21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21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2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9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4" fillId="21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1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23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4" fillId="2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5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6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25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5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5" fillId="11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5" fillId="1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1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2D6A4F"/>
      <rgbColor rgb="FFC0C0C0"/>
      <rgbColor rgb="FF8B949E"/>
      <rgbColor rgb="FF8B5CF6"/>
      <rgbColor rgb="FF993366"/>
      <rgbColor rgb="FFFFF8DC"/>
      <rgbColor rgb="FFE2EFDA"/>
      <rgbColor rgb="FF660066"/>
      <rgbColor rgb="FFF0883E"/>
      <rgbColor rgb="FF0066CC"/>
      <rgbColor rgb="FFE8DAE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6EFCE"/>
      <rgbColor rgb="FFFFF3CD"/>
      <rgbColor rgb="FFF2F2F2"/>
      <rgbColor rgb="FFFDEBD0"/>
      <rgbColor rgb="FFCC99FF"/>
      <rgbColor rgb="FFFFC7CE"/>
      <rgbColor rgb="FF4472C4"/>
      <rgbColor rgb="FF33CCCC"/>
      <rgbColor rgb="FF99CC00"/>
      <rgbColor rgb="FFFFD700"/>
      <rgbColor rgb="FFCD7F32"/>
      <rgbColor rgb="FFD4772C"/>
      <rgbColor rgb="FF666666"/>
      <rgbColor rgb="FF999999"/>
      <rgbColor rgb="FF003366"/>
      <rgbColor rgb="FF3FB950"/>
      <rgbColor rgb="FF003300"/>
      <rgbColor rgb="FF1A1A2E"/>
      <rgbColor rgb="FF993300"/>
      <rgbColor rgb="FF993366"/>
      <rgbColor rgb="FF5A2D82"/>
      <rgbColor rgb="FF4A4A4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A1A2E"/>
    <pageSetUpPr fitToPage="false"/>
  </sheetPr>
  <dimension ref="A1:D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H12" activeCellId="0" sqref="H12"/>
    </sheetView>
  </sheetViews>
  <sheetFormatPr defaultColWidth="8.71484375" defaultRowHeight="15" zeroHeight="false" outlineLevelRow="0" outlineLevelCol="0"/>
  <cols>
    <col collapsed="false" customWidth="true" hidden="false" outlineLevel="0" max="4" min="1" style="0" width="18"/>
  </cols>
  <sheetData>
    <row r="1" customFormat="false" ht="17.25" hidden="false" customHeight="true" outlineLevel="0" collapsed="false">
      <c r="A1" s="1" t="s">
        <v>0</v>
      </c>
      <c r="B1" s="1"/>
      <c r="C1" s="1"/>
      <c r="D1" s="1"/>
    </row>
    <row r="2" customFormat="false" ht="15" hidden="false" customHeight="true" outlineLevel="0" collapsed="false">
      <c r="A2" s="2" t="s">
        <v>1</v>
      </c>
      <c r="B2" s="2" t="s">
        <v>2</v>
      </c>
      <c r="C2" s="2" t="s">
        <v>3</v>
      </c>
      <c r="D2" s="2" t="s">
        <v>4</v>
      </c>
    </row>
    <row r="3" customFormat="false" ht="15" hidden="false" customHeight="true" outlineLevel="0" collapsed="false">
      <c r="A3" s="3" t="n">
        <v>1</v>
      </c>
      <c r="B3" s="4" t="s">
        <v>5</v>
      </c>
      <c r="C3" s="3" t="s">
        <v>6</v>
      </c>
      <c r="D3" s="3" t="s">
        <v>7</v>
      </c>
    </row>
    <row r="4" customFormat="false" ht="15" hidden="false" customHeight="true" outlineLevel="0" collapsed="false">
      <c r="A4" s="3" t="n">
        <v>2</v>
      </c>
      <c r="B4" s="4" t="s">
        <v>8</v>
      </c>
      <c r="C4" s="3" t="s">
        <v>6</v>
      </c>
      <c r="D4" s="3" t="s">
        <v>7</v>
      </c>
    </row>
    <row r="5" customFormat="false" ht="15" hidden="false" customHeight="true" outlineLevel="0" collapsed="false">
      <c r="A5" s="3" t="n">
        <v>3</v>
      </c>
      <c r="B5" s="4" t="s">
        <v>9</v>
      </c>
      <c r="C5" s="3" t="s">
        <v>6</v>
      </c>
      <c r="D5" s="3" t="s">
        <v>7</v>
      </c>
    </row>
    <row r="6" customFormat="false" ht="15" hidden="false" customHeight="true" outlineLevel="0" collapsed="false">
      <c r="A6" s="3" t="n">
        <v>4</v>
      </c>
      <c r="B6" s="4" t="s">
        <v>10</v>
      </c>
      <c r="C6" s="3" t="s">
        <v>6</v>
      </c>
      <c r="D6" s="3" t="s">
        <v>7</v>
      </c>
    </row>
    <row r="7" customFormat="false" ht="15" hidden="false" customHeight="true" outlineLevel="0" collapsed="false">
      <c r="A7" s="3" t="n">
        <v>5</v>
      </c>
      <c r="B7" s="4" t="s">
        <v>11</v>
      </c>
      <c r="C7" s="3" t="s">
        <v>12</v>
      </c>
      <c r="D7" s="3" t="s">
        <v>13</v>
      </c>
    </row>
    <row r="8" customFormat="false" ht="15" hidden="false" customHeight="true" outlineLevel="0" collapsed="false">
      <c r="A8" s="3" t="n">
        <v>6</v>
      </c>
      <c r="B8" s="4" t="s">
        <v>14</v>
      </c>
      <c r="C8" s="3" t="s">
        <v>12</v>
      </c>
      <c r="D8" s="3" t="s">
        <v>13</v>
      </c>
    </row>
    <row r="9" customFormat="false" ht="15" hidden="false" customHeight="true" outlineLevel="0" collapsed="false">
      <c r="A9" s="3" t="n">
        <v>7</v>
      </c>
      <c r="B9" s="4" t="s">
        <v>15</v>
      </c>
      <c r="C9" s="3" t="s">
        <v>12</v>
      </c>
      <c r="D9" s="3" t="s">
        <v>13</v>
      </c>
    </row>
    <row r="10" customFormat="false" ht="15" hidden="false" customHeight="true" outlineLevel="0" collapsed="false">
      <c r="A10" s="3" t="n">
        <v>8</v>
      </c>
      <c r="B10" s="4" t="s">
        <v>16</v>
      </c>
      <c r="C10" s="3" t="s">
        <v>12</v>
      </c>
      <c r="D10" s="3" t="s">
        <v>13</v>
      </c>
    </row>
    <row r="11" customFormat="false" ht="15" hidden="false" customHeight="true" outlineLevel="0" collapsed="false">
      <c r="A11" s="3" t="n">
        <v>9</v>
      </c>
      <c r="B11" s="4" t="s">
        <v>17</v>
      </c>
      <c r="C11" s="3" t="s">
        <v>18</v>
      </c>
      <c r="D11" s="3" t="s">
        <v>19</v>
      </c>
    </row>
    <row r="12" customFormat="false" ht="15" hidden="false" customHeight="true" outlineLevel="0" collapsed="false">
      <c r="A12" s="3" t="n">
        <v>10</v>
      </c>
      <c r="B12" s="4" t="s">
        <v>20</v>
      </c>
      <c r="C12" s="3" t="s">
        <v>18</v>
      </c>
      <c r="D12" s="3" t="s">
        <v>19</v>
      </c>
    </row>
    <row r="13" customFormat="false" ht="15" hidden="false" customHeight="true" outlineLevel="0" collapsed="false">
      <c r="A13" s="3" t="n">
        <v>11</v>
      </c>
      <c r="B13" s="4" t="s">
        <v>21</v>
      </c>
      <c r="C13" s="3" t="s">
        <v>18</v>
      </c>
      <c r="D13" s="3" t="s">
        <v>19</v>
      </c>
    </row>
    <row r="14" customFormat="false" ht="15" hidden="false" customHeight="true" outlineLevel="0" collapsed="false">
      <c r="A14" s="3" t="n">
        <v>12</v>
      </c>
      <c r="B14" s="4" t="s">
        <v>22</v>
      </c>
      <c r="C14" s="3" t="s">
        <v>18</v>
      </c>
      <c r="D14" s="3" t="s">
        <v>19</v>
      </c>
    </row>
    <row r="15" customFormat="false" ht="15" hidden="false" customHeight="true" outlineLevel="0" collapsed="false">
      <c r="A15" s="3" t="n">
        <v>13</v>
      </c>
      <c r="B15" s="4" t="s">
        <v>23</v>
      </c>
      <c r="C15" s="3" t="s">
        <v>24</v>
      </c>
      <c r="D15" s="3" t="s">
        <v>25</v>
      </c>
    </row>
    <row r="16" customFormat="false" ht="15" hidden="false" customHeight="true" outlineLevel="0" collapsed="false">
      <c r="A16" s="3" t="n">
        <v>14</v>
      </c>
      <c r="B16" s="4" t="s">
        <v>26</v>
      </c>
      <c r="C16" s="3" t="s">
        <v>24</v>
      </c>
      <c r="D16" s="3" t="s">
        <v>25</v>
      </c>
    </row>
    <row r="17" customFormat="false" ht="15" hidden="false" customHeight="true" outlineLevel="0" collapsed="false">
      <c r="A17" s="3" t="n">
        <v>15</v>
      </c>
      <c r="B17" s="4" t="s">
        <v>27</v>
      </c>
      <c r="C17" s="3" t="s">
        <v>24</v>
      </c>
      <c r="D17" s="3" t="s">
        <v>25</v>
      </c>
    </row>
    <row r="18" customFormat="false" ht="15" hidden="false" customHeight="true" outlineLevel="0" collapsed="false">
      <c r="A18" s="3" t="n">
        <v>16</v>
      </c>
      <c r="B18" s="4" t="s">
        <v>28</v>
      </c>
      <c r="C18" s="3" t="s">
        <v>24</v>
      </c>
      <c r="D18" s="3" t="s">
        <v>25</v>
      </c>
    </row>
    <row r="20" customFormat="false" ht="15" hidden="false" customHeight="true" outlineLevel="0" collapsed="false">
      <c r="A20" s="5" t="s">
        <v>29</v>
      </c>
      <c r="B20" s="6" t="n">
        <v>1</v>
      </c>
    </row>
    <row r="21" customFormat="false" ht="15" hidden="false" customHeight="true" outlineLevel="0" collapsed="false">
      <c r="A21" s="7" t="s">
        <v>30</v>
      </c>
    </row>
    <row r="23" customFormat="false" ht="15" hidden="false" customHeight="true" outlineLevel="0" collapsed="false">
      <c r="A23" s="8" t="s">
        <v>31</v>
      </c>
    </row>
    <row r="24" customFormat="false" ht="15" hidden="false" customHeight="true" outlineLevel="0" collapsed="false">
      <c r="A24" s="8" t="s">
        <v>32</v>
      </c>
    </row>
    <row r="25" customFormat="false" ht="15" hidden="false" customHeight="true" outlineLevel="0" collapsed="false">
      <c r="A25" s="8" t="s">
        <v>33</v>
      </c>
    </row>
    <row r="26" customFormat="false" ht="15" hidden="false" customHeight="true" outlineLevel="0" collapsed="false">
      <c r="A26" s="8" t="s">
        <v>34</v>
      </c>
    </row>
  </sheetData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472C4"/>
    <pageSetUpPr fitToPage="false"/>
  </sheetPr>
  <dimension ref="A1:F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zeroHeight="false" outlineLevelRow="0" outlineLevelCol="0"/>
  <cols>
    <col collapsed="false" customWidth="true" hidden="false" outlineLevel="0" max="6" min="1" style="0" width="16"/>
  </cols>
  <sheetData>
    <row r="1" customFormat="false" ht="17.25" hidden="false" customHeight="true" outlineLevel="0" collapsed="false">
      <c r="A1" s="9" t="s">
        <v>35</v>
      </c>
      <c r="B1" s="9"/>
      <c r="C1" s="9"/>
      <c r="D1" s="9"/>
      <c r="E1" s="9"/>
      <c r="F1" s="9"/>
    </row>
    <row r="2" customFormat="false" ht="15" hidden="false" customHeight="true" outlineLevel="0" collapsed="false">
      <c r="A2" s="10" t="s">
        <v>36</v>
      </c>
      <c r="B2" s="10"/>
      <c r="C2" s="10"/>
      <c r="D2" s="10"/>
      <c r="E2" s="10"/>
      <c r="F2" s="10"/>
    </row>
    <row r="3" customFormat="false" ht="15" hidden="false" customHeight="true" outlineLevel="0" collapsed="false">
      <c r="A3" s="11" t="s">
        <v>37</v>
      </c>
      <c r="B3" s="11" t="s">
        <v>38</v>
      </c>
      <c r="C3" s="11" t="s">
        <v>39</v>
      </c>
      <c r="D3" s="11" t="s">
        <v>40</v>
      </c>
      <c r="E3" s="11" t="s">
        <v>38</v>
      </c>
      <c r="F3" s="11" t="s">
        <v>39</v>
      </c>
    </row>
    <row r="4" customFormat="false" ht="15" hidden="false" customHeight="true" outlineLevel="0" collapsed="false">
      <c r="A4" s="12" t="n">
        <v>1</v>
      </c>
      <c r="B4" s="12" t="n">
        <v>1</v>
      </c>
      <c r="C4" s="12" t="str">
        <f aca="false">VLOOKUP(B4,Roster!$A$3:$B$18,2,FALSE())</f>
        <v>Player 1</v>
      </c>
      <c r="D4" s="13" t="s">
        <v>40</v>
      </c>
      <c r="E4" s="12" t="n">
        <v>5</v>
      </c>
      <c r="F4" s="12" t="str">
        <f aca="false">VLOOKUP(E4,Roster!$A$3:$B$18,2,FALSE())</f>
        <v>Player 5</v>
      </c>
    </row>
    <row r="5" customFormat="false" ht="15" hidden="false" customHeight="true" outlineLevel="0" collapsed="false">
      <c r="A5" s="12" t="n">
        <v>2</v>
      </c>
      <c r="B5" s="12" t="n">
        <v>2</v>
      </c>
      <c r="C5" s="12" t="str">
        <f aca="false">VLOOKUP(B5,Roster!$A$3:$B$18,2,FALSE())</f>
        <v>Player 2</v>
      </c>
      <c r="D5" s="13" t="s">
        <v>40</v>
      </c>
      <c r="E5" s="12" t="n">
        <v>6</v>
      </c>
      <c r="F5" s="12" t="str">
        <f aca="false">VLOOKUP(E5,Roster!$A$3:$B$18,2,FALSE())</f>
        <v>Player 6</v>
      </c>
    </row>
    <row r="6" customFormat="false" ht="15" hidden="false" customHeight="true" outlineLevel="0" collapsed="false">
      <c r="A6" s="12" t="n">
        <v>3</v>
      </c>
      <c r="B6" s="12" t="n">
        <v>3</v>
      </c>
      <c r="C6" s="12" t="str">
        <f aca="false">VLOOKUP(B6,Roster!$A$3:$B$18,2,FALSE())</f>
        <v>Player 3</v>
      </c>
      <c r="D6" s="13" t="s">
        <v>40</v>
      </c>
      <c r="E6" s="12" t="n">
        <v>7</v>
      </c>
      <c r="F6" s="12" t="str">
        <f aca="false">VLOOKUP(E6,Roster!$A$3:$B$18,2,FALSE())</f>
        <v>Player 7</v>
      </c>
    </row>
    <row r="7" customFormat="false" ht="15" hidden="false" customHeight="true" outlineLevel="0" collapsed="false">
      <c r="A7" s="12" t="n">
        <v>4</v>
      </c>
      <c r="B7" s="12" t="n">
        <v>4</v>
      </c>
      <c r="C7" s="12" t="str">
        <f aca="false">VLOOKUP(B7,Roster!$A$3:$B$18,2,FALSE())</f>
        <v>Player 4</v>
      </c>
      <c r="D7" s="13" t="s">
        <v>40</v>
      </c>
      <c r="E7" s="12" t="n">
        <v>8</v>
      </c>
      <c r="F7" s="12" t="str">
        <f aca="false">VLOOKUP(E7,Roster!$A$3:$B$18,2,FALSE())</f>
        <v>Player 8</v>
      </c>
    </row>
    <row r="8" customFormat="false" ht="15" hidden="false" customHeight="true" outlineLevel="0" collapsed="false">
      <c r="A8" s="12" t="n">
        <v>5</v>
      </c>
      <c r="B8" s="12" t="n">
        <v>9</v>
      </c>
      <c r="C8" s="12" t="str">
        <f aca="false">VLOOKUP(B8,Roster!$A$3:$B$18,2,FALSE())</f>
        <v>Player 9</v>
      </c>
      <c r="D8" s="13" t="s">
        <v>40</v>
      </c>
      <c r="E8" s="12" t="n">
        <v>13</v>
      </c>
      <c r="F8" s="12" t="str">
        <f aca="false">VLOOKUP(E8,Roster!$A$3:$B$18,2,FALSE())</f>
        <v>Player 13</v>
      </c>
    </row>
    <row r="9" customFormat="false" ht="15" hidden="false" customHeight="true" outlineLevel="0" collapsed="false">
      <c r="A9" s="12" t="n">
        <v>6</v>
      </c>
      <c r="B9" s="12" t="n">
        <v>10</v>
      </c>
      <c r="C9" s="12" t="str">
        <f aca="false">VLOOKUP(B9,Roster!$A$3:$B$18,2,FALSE())</f>
        <v>Player 10</v>
      </c>
      <c r="D9" s="13" t="s">
        <v>40</v>
      </c>
      <c r="E9" s="12" t="n">
        <v>14</v>
      </c>
      <c r="F9" s="12" t="str">
        <f aca="false">VLOOKUP(E9,Roster!$A$3:$B$18,2,FALSE())</f>
        <v>Player 14</v>
      </c>
    </row>
    <row r="10" customFormat="false" ht="15" hidden="false" customHeight="true" outlineLevel="0" collapsed="false">
      <c r="A10" s="12" t="n">
        <v>7</v>
      </c>
      <c r="B10" s="12" t="n">
        <v>11</v>
      </c>
      <c r="C10" s="12" t="str">
        <f aca="false">VLOOKUP(B10,Roster!$A$3:$B$18,2,FALSE())</f>
        <v>Player 11</v>
      </c>
      <c r="D10" s="13" t="s">
        <v>40</v>
      </c>
      <c r="E10" s="12" t="n">
        <v>15</v>
      </c>
      <c r="F10" s="12" t="str">
        <f aca="false">VLOOKUP(E10,Roster!$A$3:$B$18,2,FALSE())</f>
        <v>Player 15</v>
      </c>
    </row>
    <row r="11" customFormat="false" ht="15" hidden="false" customHeight="true" outlineLevel="0" collapsed="false">
      <c r="A11" s="12" t="n">
        <v>8</v>
      </c>
      <c r="B11" s="12" t="n">
        <v>12</v>
      </c>
      <c r="C11" s="12" t="str">
        <f aca="false">VLOOKUP(B11,Roster!$A$3:$B$18,2,FALSE())</f>
        <v>Player 12</v>
      </c>
      <c r="D11" s="13" t="s">
        <v>40</v>
      </c>
      <c r="E11" s="12" t="n">
        <v>16</v>
      </c>
      <c r="F11" s="12" t="str">
        <f aca="false">VLOOKUP(E11,Roster!$A$3:$B$18,2,FALSE())</f>
        <v>Player 16</v>
      </c>
    </row>
    <row r="13" customFormat="false" ht="15" hidden="false" customHeight="true" outlineLevel="0" collapsed="false">
      <c r="A13" s="10" t="s">
        <v>41</v>
      </c>
      <c r="B13" s="10"/>
      <c r="C13" s="10"/>
      <c r="D13" s="10"/>
      <c r="E13" s="10"/>
      <c r="F13" s="10"/>
    </row>
    <row r="14" customFormat="false" ht="15" hidden="false" customHeight="true" outlineLevel="0" collapsed="false">
      <c r="A14" s="11" t="s">
        <v>37</v>
      </c>
      <c r="B14" s="11" t="s">
        <v>38</v>
      </c>
      <c r="C14" s="11" t="s">
        <v>39</v>
      </c>
      <c r="D14" s="11" t="s">
        <v>40</v>
      </c>
      <c r="E14" s="11" t="s">
        <v>38</v>
      </c>
      <c r="F14" s="11" t="s">
        <v>39</v>
      </c>
    </row>
    <row r="15" customFormat="false" ht="15" hidden="false" customHeight="true" outlineLevel="0" collapsed="false">
      <c r="A15" s="12" t="n">
        <v>1</v>
      </c>
      <c r="B15" s="12" t="n">
        <v>1</v>
      </c>
      <c r="C15" s="12" t="str">
        <f aca="false">VLOOKUP(B15,Roster!$A$3:$B$18,2,FALSE())</f>
        <v>Player 1</v>
      </c>
      <c r="D15" s="13" t="s">
        <v>40</v>
      </c>
      <c r="E15" s="12" t="n">
        <v>6</v>
      </c>
      <c r="F15" s="12" t="str">
        <f aca="false">VLOOKUP(E15,Roster!$A$3:$B$18,2,FALSE())</f>
        <v>Player 6</v>
      </c>
    </row>
    <row r="16" customFormat="false" ht="15" hidden="false" customHeight="true" outlineLevel="0" collapsed="false">
      <c r="A16" s="12" t="n">
        <v>2</v>
      </c>
      <c r="B16" s="12" t="n">
        <v>2</v>
      </c>
      <c r="C16" s="12" t="str">
        <f aca="false">VLOOKUP(B16,Roster!$A$3:$B$18,2,FALSE())</f>
        <v>Player 2</v>
      </c>
      <c r="D16" s="13" t="s">
        <v>40</v>
      </c>
      <c r="E16" s="12" t="n">
        <v>5</v>
      </c>
      <c r="F16" s="12" t="str">
        <f aca="false">VLOOKUP(E16,Roster!$A$3:$B$18,2,FALSE())</f>
        <v>Player 5</v>
      </c>
    </row>
    <row r="17" customFormat="false" ht="15" hidden="false" customHeight="true" outlineLevel="0" collapsed="false">
      <c r="A17" s="12" t="n">
        <v>3</v>
      </c>
      <c r="B17" s="12" t="n">
        <v>3</v>
      </c>
      <c r="C17" s="12" t="str">
        <f aca="false">VLOOKUP(B17,Roster!$A$3:$B$18,2,FALSE())</f>
        <v>Player 3</v>
      </c>
      <c r="D17" s="13" t="s">
        <v>40</v>
      </c>
      <c r="E17" s="12" t="n">
        <v>8</v>
      </c>
      <c r="F17" s="12" t="str">
        <f aca="false">VLOOKUP(E17,Roster!$A$3:$B$18,2,FALSE())</f>
        <v>Player 8</v>
      </c>
    </row>
    <row r="18" customFormat="false" ht="15" hidden="false" customHeight="true" outlineLevel="0" collapsed="false">
      <c r="A18" s="12" t="n">
        <v>4</v>
      </c>
      <c r="B18" s="12" t="n">
        <v>4</v>
      </c>
      <c r="C18" s="12" t="str">
        <f aca="false">VLOOKUP(B18,Roster!$A$3:$B$18,2,FALSE())</f>
        <v>Player 4</v>
      </c>
      <c r="D18" s="13" t="s">
        <v>40</v>
      </c>
      <c r="E18" s="12" t="n">
        <v>7</v>
      </c>
      <c r="F18" s="12" t="str">
        <f aca="false">VLOOKUP(E18,Roster!$A$3:$B$18,2,FALSE())</f>
        <v>Player 7</v>
      </c>
    </row>
    <row r="19" customFormat="false" ht="15" hidden="false" customHeight="true" outlineLevel="0" collapsed="false">
      <c r="A19" s="12" t="n">
        <v>5</v>
      </c>
      <c r="B19" s="12" t="n">
        <v>9</v>
      </c>
      <c r="C19" s="12" t="str">
        <f aca="false">VLOOKUP(B19,Roster!$A$3:$B$18,2,FALSE())</f>
        <v>Player 9</v>
      </c>
      <c r="D19" s="13" t="s">
        <v>40</v>
      </c>
      <c r="E19" s="12" t="n">
        <v>14</v>
      </c>
      <c r="F19" s="12" t="str">
        <f aca="false">VLOOKUP(E19,Roster!$A$3:$B$18,2,FALSE())</f>
        <v>Player 14</v>
      </c>
    </row>
    <row r="20" customFormat="false" ht="15" hidden="false" customHeight="true" outlineLevel="0" collapsed="false">
      <c r="A20" s="12" t="n">
        <v>6</v>
      </c>
      <c r="B20" s="12" t="n">
        <v>10</v>
      </c>
      <c r="C20" s="12" t="str">
        <f aca="false">VLOOKUP(B20,Roster!$A$3:$B$18,2,FALSE())</f>
        <v>Player 10</v>
      </c>
      <c r="D20" s="13" t="s">
        <v>40</v>
      </c>
      <c r="E20" s="12" t="n">
        <v>13</v>
      </c>
      <c r="F20" s="12" t="str">
        <f aca="false">VLOOKUP(E20,Roster!$A$3:$B$18,2,FALSE())</f>
        <v>Player 13</v>
      </c>
    </row>
    <row r="21" customFormat="false" ht="15" hidden="false" customHeight="true" outlineLevel="0" collapsed="false">
      <c r="A21" s="12" t="n">
        <v>7</v>
      </c>
      <c r="B21" s="12" t="n">
        <v>11</v>
      </c>
      <c r="C21" s="12" t="str">
        <f aca="false">VLOOKUP(B21,Roster!$A$3:$B$18,2,FALSE())</f>
        <v>Player 11</v>
      </c>
      <c r="D21" s="13" t="s">
        <v>40</v>
      </c>
      <c r="E21" s="12" t="n">
        <v>16</v>
      </c>
      <c r="F21" s="12" t="str">
        <f aca="false">VLOOKUP(E21,Roster!$A$3:$B$18,2,FALSE())</f>
        <v>Player 16</v>
      </c>
    </row>
    <row r="22" customFormat="false" ht="15" hidden="false" customHeight="true" outlineLevel="0" collapsed="false">
      <c r="A22" s="12" t="n">
        <v>8</v>
      </c>
      <c r="B22" s="12" t="n">
        <v>12</v>
      </c>
      <c r="C22" s="12" t="str">
        <f aca="false">VLOOKUP(B22,Roster!$A$3:$B$18,2,FALSE())</f>
        <v>Player 12</v>
      </c>
      <c r="D22" s="13" t="s">
        <v>40</v>
      </c>
      <c r="E22" s="12" t="n">
        <v>15</v>
      </c>
      <c r="F22" s="12" t="str">
        <f aca="false">VLOOKUP(E22,Roster!$A$3:$B$18,2,FALSE())</f>
        <v>Player 15</v>
      </c>
    </row>
    <row r="24" customFormat="false" ht="15" hidden="false" customHeight="true" outlineLevel="0" collapsed="false">
      <c r="A24" s="10" t="s">
        <v>42</v>
      </c>
      <c r="B24" s="10"/>
      <c r="C24" s="10"/>
      <c r="D24" s="10"/>
      <c r="E24" s="10"/>
      <c r="F24" s="10"/>
    </row>
    <row r="25" customFormat="false" ht="15" hidden="false" customHeight="true" outlineLevel="0" collapsed="false">
      <c r="A25" s="11" t="s">
        <v>37</v>
      </c>
      <c r="B25" s="11" t="s">
        <v>38</v>
      </c>
      <c r="C25" s="11" t="s">
        <v>39</v>
      </c>
      <c r="D25" s="11" t="s">
        <v>40</v>
      </c>
      <c r="E25" s="11" t="s">
        <v>38</v>
      </c>
      <c r="F25" s="11" t="s">
        <v>39</v>
      </c>
    </row>
    <row r="26" customFormat="false" ht="15" hidden="false" customHeight="true" outlineLevel="0" collapsed="false">
      <c r="A26" s="12" t="n">
        <v>1</v>
      </c>
      <c r="B26" s="12" t="n">
        <v>1</v>
      </c>
      <c r="C26" s="12" t="str">
        <f aca="false">VLOOKUP(B26,Roster!$A$3:$B$18,2,FALSE())</f>
        <v>Player 1</v>
      </c>
      <c r="D26" s="13" t="s">
        <v>40</v>
      </c>
      <c r="E26" s="12" t="n">
        <v>7</v>
      </c>
      <c r="F26" s="12" t="str">
        <f aca="false">VLOOKUP(E26,Roster!$A$3:$B$18,2,FALSE())</f>
        <v>Player 7</v>
      </c>
    </row>
    <row r="27" customFormat="false" ht="15" hidden="false" customHeight="true" outlineLevel="0" collapsed="false">
      <c r="A27" s="12" t="n">
        <v>2</v>
      </c>
      <c r="B27" s="12" t="n">
        <v>2</v>
      </c>
      <c r="C27" s="12" t="str">
        <f aca="false">VLOOKUP(B27,Roster!$A$3:$B$18,2,FALSE())</f>
        <v>Player 2</v>
      </c>
      <c r="D27" s="13" t="s">
        <v>40</v>
      </c>
      <c r="E27" s="12" t="n">
        <v>8</v>
      </c>
      <c r="F27" s="12" t="str">
        <f aca="false">VLOOKUP(E27,Roster!$A$3:$B$18,2,FALSE())</f>
        <v>Player 8</v>
      </c>
    </row>
    <row r="28" customFormat="false" ht="15" hidden="false" customHeight="true" outlineLevel="0" collapsed="false">
      <c r="A28" s="12" t="n">
        <v>3</v>
      </c>
      <c r="B28" s="12" t="n">
        <v>3</v>
      </c>
      <c r="C28" s="12" t="str">
        <f aca="false">VLOOKUP(B28,Roster!$A$3:$B$18,2,FALSE())</f>
        <v>Player 3</v>
      </c>
      <c r="D28" s="13" t="s">
        <v>40</v>
      </c>
      <c r="E28" s="12" t="n">
        <v>5</v>
      </c>
      <c r="F28" s="12" t="str">
        <f aca="false">VLOOKUP(E28,Roster!$A$3:$B$18,2,FALSE())</f>
        <v>Player 5</v>
      </c>
    </row>
    <row r="29" customFormat="false" ht="15" hidden="false" customHeight="true" outlineLevel="0" collapsed="false">
      <c r="A29" s="12" t="n">
        <v>4</v>
      </c>
      <c r="B29" s="12" t="n">
        <v>4</v>
      </c>
      <c r="C29" s="12" t="str">
        <f aca="false">VLOOKUP(B29,Roster!$A$3:$B$18,2,FALSE())</f>
        <v>Player 4</v>
      </c>
      <c r="D29" s="13" t="s">
        <v>40</v>
      </c>
      <c r="E29" s="12" t="n">
        <v>6</v>
      </c>
      <c r="F29" s="12" t="str">
        <f aca="false">VLOOKUP(E29,Roster!$A$3:$B$18,2,FALSE())</f>
        <v>Player 6</v>
      </c>
    </row>
    <row r="30" customFormat="false" ht="15" hidden="false" customHeight="true" outlineLevel="0" collapsed="false">
      <c r="A30" s="12" t="n">
        <v>5</v>
      </c>
      <c r="B30" s="12" t="n">
        <v>9</v>
      </c>
      <c r="C30" s="12" t="str">
        <f aca="false">VLOOKUP(B30,Roster!$A$3:$B$18,2,FALSE())</f>
        <v>Player 9</v>
      </c>
      <c r="D30" s="13" t="s">
        <v>40</v>
      </c>
      <c r="E30" s="12" t="n">
        <v>15</v>
      </c>
      <c r="F30" s="12" t="str">
        <f aca="false">VLOOKUP(E30,Roster!$A$3:$B$18,2,FALSE())</f>
        <v>Player 15</v>
      </c>
    </row>
    <row r="31" customFormat="false" ht="15" hidden="false" customHeight="true" outlineLevel="0" collapsed="false">
      <c r="A31" s="12" t="n">
        <v>6</v>
      </c>
      <c r="B31" s="12" t="n">
        <v>10</v>
      </c>
      <c r="C31" s="12" t="str">
        <f aca="false">VLOOKUP(B31,Roster!$A$3:$B$18,2,FALSE())</f>
        <v>Player 10</v>
      </c>
      <c r="D31" s="13" t="s">
        <v>40</v>
      </c>
      <c r="E31" s="12" t="n">
        <v>16</v>
      </c>
      <c r="F31" s="12" t="str">
        <f aca="false">VLOOKUP(E31,Roster!$A$3:$B$18,2,FALSE())</f>
        <v>Player 16</v>
      </c>
    </row>
    <row r="32" customFormat="false" ht="15" hidden="false" customHeight="true" outlineLevel="0" collapsed="false">
      <c r="A32" s="12" t="n">
        <v>7</v>
      </c>
      <c r="B32" s="12" t="n">
        <v>11</v>
      </c>
      <c r="C32" s="12" t="str">
        <f aca="false">VLOOKUP(B32,Roster!$A$3:$B$18,2,FALSE())</f>
        <v>Player 11</v>
      </c>
      <c r="D32" s="13" t="s">
        <v>40</v>
      </c>
      <c r="E32" s="12" t="n">
        <v>13</v>
      </c>
      <c r="F32" s="12" t="str">
        <f aca="false">VLOOKUP(E32,Roster!$A$3:$B$18,2,FALSE())</f>
        <v>Player 13</v>
      </c>
    </row>
    <row r="33" customFormat="false" ht="15" hidden="false" customHeight="true" outlineLevel="0" collapsed="false">
      <c r="A33" s="12" t="n">
        <v>8</v>
      </c>
      <c r="B33" s="12" t="n">
        <v>12</v>
      </c>
      <c r="C33" s="12" t="str">
        <f aca="false">VLOOKUP(B33,Roster!$A$3:$B$18,2,FALSE())</f>
        <v>Player 12</v>
      </c>
      <c r="D33" s="13" t="s">
        <v>40</v>
      </c>
      <c r="E33" s="12" t="n">
        <v>14</v>
      </c>
      <c r="F33" s="12" t="str">
        <f aca="false">VLOOKUP(E33,Roster!$A$3:$B$18,2,FALSE())</f>
        <v>Player 14</v>
      </c>
    </row>
    <row r="35" customFormat="false" ht="15" hidden="false" customHeight="true" outlineLevel="0" collapsed="false">
      <c r="A35" s="10" t="s">
        <v>43</v>
      </c>
      <c r="B35" s="10"/>
      <c r="C35" s="10"/>
      <c r="D35" s="10"/>
      <c r="E35" s="10"/>
      <c r="F35" s="10"/>
    </row>
    <row r="36" customFormat="false" ht="15" hidden="false" customHeight="true" outlineLevel="0" collapsed="false">
      <c r="A36" s="11" t="s">
        <v>37</v>
      </c>
      <c r="B36" s="11" t="s">
        <v>38</v>
      </c>
      <c r="C36" s="11" t="s">
        <v>39</v>
      </c>
      <c r="D36" s="11" t="s">
        <v>40</v>
      </c>
      <c r="E36" s="11" t="s">
        <v>38</v>
      </c>
      <c r="F36" s="11" t="s">
        <v>39</v>
      </c>
    </row>
    <row r="37" customFormat="false" ht="15" hidden="false" customHeight="true" outlineLevel="0" collapsed="false">
      <c r="A37" s="12" t="n">
        <v>1</v>
      </c>
      <c r="B37" s="12" t="n">
        <v>1</v>
      </c>
      <c r="C37" s="12" t="str">
        <f aca="false">VLOOKUP(B37,Roster!$A$3:$B$18,2,FALSE())</f>
        <v>Player 1</v>
      </c>
      <c r="D37" s="13" t="s">
        <v>40</v>
      </c>
      <c r="E37" s="12" t="n">
        <v>8</v>
      </c>
      <c r="F37" s="12" t="str">
        <f aca="false">VLOOKUP(E37,Roster!$A$3:$B$18,2,FALSE())</f>
        <v>Player 8</v>
      </c>
    </row>
    <row r="38" customFormat="false" ht="15" hidden="false" customHeight="true" outlineLevel="0" collapsed="false">
      <c r="A38" s="12" t="n">
        <v>2</v>
      </c>
      <c r="B38" s="12" t="n">
        <v>2</v>
      </c>
      <c r="C38" s="12" t="str">
        <f aca="false">VLOOKUP(B38,Roster!$A$3:$B$18,2,FALSE())</f>
        <v>Player 2</v>
      </c>
      <c r="D38" s="13" t="s">
        <v>40</v>
      </c>
      <c r="E38" s="12" t="n">
        <v>7</v>
      </c>
      <c r="F38" s="12" t="str">
        <f aca="false">VLOOKUP(E38,Roster!$A$3:$B$18,2,FALSE())</f>
        <v>Player 7</v>
      </c>
    </row>
    <row r="39" customFormat="false" ht="15" hidden="false" customHeight="true" outlineLevel="0" collapsed="false">
      <c r="A39" s="12" t="n">
        <v>3</v>
      </c>
      <c r="B39" s="12" t="n">
        <v>3</v>
      </c>
      <c r="C39" s="12" t="str">
        <f aca="false">VLOOKUP(B39,Roster!$A$3:$B$18,2,FALSE())</f>
        <v>Player 3</v>
      </c>
      <c r="D39" s="13" t="s">
        <v>40</v>
      </c>
      <c r="E39" s="12" t="n">
        <v>6</v>
      </c>
      <c r="F39" s="12" t="str">
        <f aca="false">VLOOKUP(E39,Roster!$A$3:$B$18,2,FALSE())</f>
        <v>Player 6</v>
      </c>
    </row>
    <row r="40" customFormat="false" ht="15" hidden="false" customHeight="true" outlineLevel="0" collapsed="false">
      <c r="A40" s="12" t="n">
        <v>4</v>
      </c>
      <c r="B40" s="12" t="n">
        <v>4</v>
      </c>
      <c r="C40" s="12" t="str">
        <f aca="false">VLOOKUP(B40,Roster!$A$3:$B$18,2,FALSE())</f>
        <v>Player 4</v>
      </c>
      <c r="D40" s="13" t="s">
        <v>40</v>
      </c>
      <c r="E40" s="12" t="n">
        <v>5</v>
      </c>
      <c r="F40" s="12" t="str">
        <f aca="false">VLOOKUP(E40,Roster!$A$3:$B$18,2,FALSE())</f>
        <v>Player 5</v>
      </c>
    </row>
    <row r="41" customFormat="false" ht="15" hidden="false" customHeight="true" outlineLevel="0" collapsed="false">
      <c r="A41" s="12" t="n">
        <v>5</v>
      </c>
      <c r="B41" s="12" t="n">
        <v>9</v>
      </c>
      <c r="C41" s="12" t="str">
        <f aca="false">VLOOKUP(B41,Roster!$A$3:$B$18,2,FALSE())</f>
        <v>Player 9</v>
      </c>
      <c r="D41" s="13" t="s">
        <v>40</v>
      </c>
      <c r="E41" s="12" t="n">
        <v>16</v>
      </c>
      <c r="F41" s="12" t="str">
        <f aca="false">VLOOKUP(E41,Roster!$A$3:$B$18,2,FALSE())</f>
        <v>Player 16</v>
      </c>
    </row>
    <row r="42" customFormat="false" ht="15" hidden="false" customHeight="true" outlineLevel="0" collapsed="false">
      <c r="A42" s="12" t="n">
        <v>6</v>
      </c>
      <c r="B42" s="12" t="n">
        <v>10</v>
      </c>
      <c r="C42" s="12" t="str">
        <f aca="false">VLOOKUP(B42,Roster!$A$3:$B$18,2,FALSE())</f>
        <v>Player 10</v>
      </c>
      <c r="D42" s="13" t="s">
        <v>40</v>
      </c>
      <c r="E42" s="12" t="n">
        <v>15</v>
      </c>
      <c r="F42" s="12" t="str">
        <f aca="false">VLOOKUP(E42,Roster!$A$3:$B$18,2,FALSE())</f>
        <v>Player 15</v>
      </c>
    </row>
    <row r="43" customFormat="false" ht="15" hidden="false" customHeight="true" outlineLevel="0" collapsed="false">
      <c r="A43" s="12" t="n">
        <v>7</v>
      </c>
      <c r="B43" s="12" t="n">
        <v>11</v>
      </c>
      <c r="C43" s="12" t="str">
        <f aca="false">VLOOKUP(B43,Roster!$A$3:$B$18,2,FALSE())</f>
        <v>Player 11</v>
      </c>
      <c r="D43" s="13" t="s">
        <v>40</v>
      </c>
      <c r="E43" s="12" t="n">
        <v>14</v>
      </c>
      <c r="F43" s="12" t="str">
        <f aca="false">VLOOKUP(E43,Roster!$A$3:$B$18,2,FALSE())</f>
        <v>Player 14</v>
      </c>
    </row>
    <row r="44" customFormat="false" ht="15" hidden="false" customHeight="true" outlineLevel="0" collapsed="false">
      <c r="A44" s="12" t="n">
        <v>8</v>
      </c>
      <c r="B44" s="12" t="n">
        <v>12</v>
      </c>
      <c r="C44" s="12" t="str">
        <f aca="false">VLOOKUP(B44,Roster!$A$3:$B$18,2,FALSE())</f>
        <v>Player 12</v>
      </c>
      <c r="D44" s="13" t="s">
        <v>40</v>
      </c>
      <c r="E44" s="12" t="n">
        <v>13</v>
      </c>
      <c r="F44" s="12" t="str">
        <f aca="false">VLOOKUP(E44,Roster!$A$3:$B$18,2,FALSE())</f>
        <v>Player 13</v>
      </c>
    </row>
    <row r="46" customFormat="false" ht="15" hidden="false" customHeight="true" outlineLevel="0" collapsed="false">
      <c r="A46" s="10" t="s">
        <v>44</v>
      </c>
      <c r="B46" s="10"/>
      <c r="C46" s="10"/>
      <c r="D46" s="10"/>
      <c r="E46" s="10"/>
      <c r="F46" s="10"/>
    </row>
    <row r="47" customFormat="false" ht="15" hidden="false" customHeight="true" outlineLevel="0" collapsed="false">
      <c r="A47" s="11" t="s">
        <v>37</v>
      </c>
      <c r="B47" s="11" t="s">
        <v>38</v>
      </c>
      <c r="C47" s="11" t="s">
        <v>39</v>
      </c>
      <c r="D47" s="11" t="s">
        <v>40</v>
      </c>
      <c r="E47" s="11" t="s">
        <v>38</v>
      </c>
      <c r="F47" s="11" t="s">
        <v>39</v>
      </c>
    </row>
    <row r="48" customFormat="false" ht="15" hidden="false" customHeight="true" outlineLevel="0" collapsed="false">
      <c r="A48" s="12" t="n">
        <v>1</v>
      </c>
      <c r="B48" s="12" t="n">
        <v>1</v>
      </c>
      <c r="C48" s="12" t="str">
        <f aca="false">VLOOKUP(B48,Roster!$A$3:$B$18,2,FALSE())</f>
        <v>Player 1</v>
      </c>
      <c r="D48" s="13" t="s">
        <v>40</v>
      </c>
      <c r="E48" s="12" t="n">
        <v>9</v>
      </c>
      <c r="F48" s="12" t="str">
        <f aca="false">VLOOKUP(E48,Roster!$A$3:$B$18,2,FALSE())</f>
        <v>Player 9</v>
      </c>
    </row>
    <row r="49" customFormat="false" ht="15" hidden="false" customHeight="true" outlineLevel="0" collapsed="false">
      <c r="A49" s="12" t="n">
        <v>2</v>
      </c>
      <c r="B49" s="12" t="n">
        <v>2</v>
      </c>
      <c r="C49" s="12" t="str">
        <f aca="false">VLOOKUP(B49,Roster!$A$3:$B$18,2,FALSE())</f>
        <v>Player 2</v>
      </c>
      <c r="D49" s="13" t="s">
        <v>40</v>
      </c>
      <c r="E49" s="12" t="n">
        <v>10</v>
      </c>
      <c r="F49" s="12" t="str">
        <f aca="false">VLOOKUP(E49,Roster!$A$3:$B$18,2,FALSE())</f>
        <v>Player 10</v>
      </c>
    </row>
    <row r="50" customFormat="false" ht="15" hidden="false" customHeight="true" outlineLevel="0" collapsed="false">
      <c r="A50" s="12" t="n">
        <v>3</v>
      </c>
      <c r="B50" s="12" t="n">
        <v>3</v>
      </c>
      <c r="C50" s="12" t="str">
        <f aca="false">VLOOKUP(B50,Roster!$A$3:$B$18,2,FALSE())</f>
        <v>Player 3</v>
      </c>
      <c r="D50" s="13" t="s">
        <v>40</v>
      </c>
      <c r="E50" s="12" t="n">
        <v>11</v>
      </c>
      <c r="F50" s="12" t="str">
        <f aca="false">VLOOKUP(E50,Roster!$A$3:$B$18,2,FALSE())</f>
        <v>Player 11</v>
      </c>
    </row>
    <row r="51" customFormat="false" ht="15" hidden="false" customHeight="true" outlineLevel="0" collapsed="false">
      <c r="A51" s="12" t="n">
        <v>4</v>
      </c>
      <c r="B51" s="12" t="n">
        <v>4</v>
      </c>
      <c r="C51" s="12" t="str">
        <f aca="false">VLOOKUP(B51,Roster!$A$3:$B$18,2,FALSE())</f>
        <v>Player 4</v>
      </c>
      <c r="D51" s="13" t="s">
        <v>40</v>
      </c>
      <c r="E51" s="12" t="n">
        <v>12</v>
      </c>
      <c r="F51" s="12" t="str">
        <f aca="false">VLOOKUP(E51,Roster!$A$3:$B$18,2,FALSE())</f>
        <v>Player 12</v>
      </c>
    </row>
    <row r="52" customFormat="false" ht="15" hidden="false" customHeight="true" outlineLevel="0" collapsed="false">
      <c r="A52" s="12" t="n">
        <v>5</v>
      </c>
      <c r="B52" s="12" t="n">
        <v>5</v>
      </c>
      <c r="C52" s="12" t="str">
        <f aca="false">VLOOKUP(B52,Roster!$A$3:$B$18,2,FALSE())</f>
        <v>Player 5</v>
      </c>
      <c r="D52" s="13" t="s">
        <v>40</v>
      </c>
      <c r="E52" s="12" t="n">
        <v>13</v>
      </c>
      <c r="F52" s="12" t="str">
        <f aca="false">VLOOKUP(E52,Roster!$A$3:$B$18,2,FALSE())</f>
        <v>Player 13</v>
      </c>
    </row>
    <row r="53" customFormat="false" ht="15" hidden="false" customHeight="true" outlineLevel="0" collapsed="false">
      <c r="A53" s="12" t="n">
        <v>6</v>
      </c>
      <c r="B53" s="12" t="n">
        <v>6</v>
      </c>
      <c r="C53" s="12" t="str">
        <f aca="false">VLOOKUP(B53,Roster!$A$3:$B$18,2,FALSE())</f>
        <v>Player 6</v>
      </c>
      <c r="D53" s="13" t="s">
        <v>40</v>
      </c>
      <c r="E53" s="12" t="n">
        <v>14</v>
      </c>
      <c r="F53" s="12" t="str">
        <f aca="false">VLOOKUP(E53,Roster!$A$3:$B$18,2,FALSE())</f>
        <v>Player 14</v>
      </c>
    </row>
    <row r="54" customFormat="false" ht="15" hidden="false" customHeight="true" outlineLevel="0" collapsed="false">
      <c r="A54" s="12" t="n">
        <v>7</v>
      </c>
      <c r="B54" s="12" t="n">
        <v>7</v>
      </c>
      <c r="C54" s="12" t="str">
        <f aca="false">VLOOKUP(B54,Roster!$A$3:$B$18,2,FALSE())</f>
        <v>Player 7</v>
      </c>
      <c r="D54" s="13" t="s">
        <v>40</v>
      </c>
      <c r="E54" s="12" t="n">
        <v>15</v>
      </c>
      <c r="F54" s="12" t="str">
        <f aca="false">VLOOKUP(E54,Roster!$A$3:$B$18,2,FALSE())</f>
        <v>Player 15</v>
      </c>
    </row>
    <row r="55" customFormat="false" ht="15" hidden="false" customHeight="true" outlineLevel="0" collapsed="false">
      <c r="A55" s="12" t="n">
        <v>8</v>
      </c>
      <c r="B55" s="12" t="n">
        <v>8</v>
      </c>
      <c r="C55" s="12" t="str">
        <f aca="false">VLOOKUP(B55,Roster!$A$3:$B$18,2,FALSE())</f>
        <v>Player 8</v>
      </c>
      <c r="D55" s="13" t="s">
        <v>40</v>
      </c>
      <c r="E55" s="12" t="n">
        <v>16</v>
      </c>
      <c r="F55" s="12" t="str">
        <f aca="false">VLOOKUP(E55,Roster!$A$3:$B$18,2,FALSE())</f>
        <v>Player 16</v>
      </c>
    </row>
    <row r="57" customFormat="false" ht="15" hidden="false" customHeight="true" outlineLevel="0" collapsed="false">
      <c r="A57" s="10" t="s">
        <v>45</v>
      </c>
      <c r="B57" s="10"/>
      <c r="C57" s="10"/>
      <c r="D57" s="10"/>
      <c r="E57" s="10"/>
      <c r="F57" s="10"/>
    </row>
    <row r="58" customFormat="false" ht="15" hidden="false" customHeight="true" outlineLevel="0" collapsed="false">
      <c r="A58" s="11" t="s">
        <v>37</v>
      </c>
      <c r="B58" s="11" t="s">
        <v>38</v>
      </c>
      <c r="C58" s="11" t="s">
        <v>39</v>
      </c>
      <c r="D58" s="11" t="s">
        <v>40</v>
      </c>
      <c r="E58" s="11" t="s">
        <v>38</v>
      </c>
      <c r="F58" s="11" t="s">
        <v>39</v>
      </c>
    </row>
    <row r="59" customFormat="false" ht="15" hidden="false" customHeight="true" outlineLevel="0" collapsed="false">
      <c r="A59" s="12" t="n">
        <v>1</v>
      </c>
      <c r="B59" s="12" t="n">
        <v>1</v>
      </c>
      <c r="C59" s="12" t="str">
        <f aca="false">VLOOKUP(B59,Roster!$A$3:$B$18,2,FALSE())</f>
        <v>Player 1</v>
      </c>
      <c r="D59" s="13" t="s">
        <v>40</v>
      </c>
      <c r="E59" s="12" t="n">
        <v>10</v>
      </c>
      <c r="F59" s="12" t="str">
        <f aca="false">VLOOKUP(E59,Roster!$A$3:$B$18,2,FALSE())</f>
        <v>Player 10</v>
      </c>
    </row>
    <row r="60" customFormat="false" ht="15" hidden="false" customHeight="true" outlineLevel="0" collapsed="false">
      <c r="A60" s="12" t="n">
        <v>2</v>
      </c>
      <c r="B60" s="12" t="n">
        <v>2</v>
      </c>
      <c r="C60" s="12" t="str">
        <f aca="false">VLOOKUP(B60,Roster!$A$3:$B$18,2,FALSE())</f>
        <v>Player 2</v>
      </c>
      <c r="D60" s="13" t="s">
        <v>40</v>
      </c>
      <c r="E60" s="12" t="n">
        <v>9</v>
      </c>
      <c r="F60" s="12" t="str">
        <f aca="false">VLOOKUP(E60,Roster!$A$3:$B$18,2,FALSE())</f>
        <v>Player 9</v>
      </c>
    </row>
    <row r="61" customFormat="false" ht="15" hidden="false" customHeight="true" outlineLevel="0" collapsed="false">
      <c r="A61" s="12" t="n">
        <v>3</v>
      </c>
      <c r="B61" s="12" t="n">
        <v>3</v>
      </c>
      <c r="C61" s="12" t="str">
        <f aca="false">VLOOKUP(B61,Roster!$A$3:$B$18,2,FALSE())</f>
        <v>Player 3</v>
      </c>
      <c r="D61" s="13" t="s">
        <v>40</v>
      </c>
      <c r="E61" s="12" t="n">
        <v>12</v>
      </c>
      <c r="F61" s="12" t="str">
        <f aca="false">VLOOKUP(E61,Roster!$A$3:$B$18,2,FALSE())</f>
        <v>Player 12</v>
      </c>
    </row>
    <row r="62" customFormat="false" ht="15" hidden="false" customHeight="true" outlineLevel="0" collapsed="false">
      <c r="A62" s="12" t="n">
        <v>4</v>
      </c>
      <c r="B62" s="12" t="n">
        <v>4</v>
      </c>
      <c r="C62" s="12" t="str">
        <f aca="false">VLOOKUP(B62,Roster!$A$3:$B$18,2,FALSE())</f>
        <v>Player 4</v>
      </c>
      <c r="D62" s="13" t="s">
        <v>40</v>
      </c>
      <c r="E62" s="12" t="n">
        <v>11</v>
      </c>
      <c r="F62" s="12" t="str">
        <f aca="false">VLOOKUP(E62,Roster!$A$3:$B$18,2,FALSE())</f>
        <v>Player 11</v>
      </c>
    </row>
    <row r="63" customFormat="false" ht="15" hidden="false" customHeight="true" outlineLevel="0" collapsed="false">
      <c r="A63" s="12" t="n">
        <v>5</v>
      </c>
      <c r="B63" s="12" t="n">
        <v>5</v>
      </c>
      <c r="C63" s="12" t="str">
        <f aca="false">VLOOKUP(B63,Roster!$A$3:$B$18,2,FALSE())</f>
        <v>Player 5</v>
      </c>
      <c r="D63" s="13" t="s">
        <v>40</v>
      </c>
      <c r="E63" s="12" t="n">
        <v>14</v>
      </c>
      <c r="F63" s="12" t="str">
        <f aca="false">VLOOKUP(E63,Roster!$A$3:$B$18,2,FALSE())</f>
        <v>Player 14</v>
      </c>
    </row>
    <row r="64" customFormat="false" ht="15" hidden="false" customHeight="true" outlineLevel="0" collapsed="false">
      <c r="A64" s="12" t="n">
        <v>6</v>
      </c>
      <c r="B64" s="12" t="n">
        <v>6</v>
      </c>
      <c r="C64" s="12" t="str">
        <f aca="false">VLOOKUP(B64,Roster!$A$3:$B$18,2,FALSE())</f>
        <v>Player 6</v>
      </c>
      <c r="D64" s="13" t="s">
        <v>40</v>
      </c>
      <c r="E64" s="12" t="n">
        <v>13</v>
      </c>
      <c r="F64" s="12" t="str">
        <f aca="false">VLOOKUP(E64,Roster!$A$3:$B$18,2,FALSE())</f>
        <v>Player 13</v>
      </c>
    </row>
    <row r="65" customFormat="false" ht="15" hidden="false" customHeight="true" outlineLevel="0" collapsed="false">
      <c r="A65" s="12" t="n">
        <v>7</v>
      </c>
      <c r="B65" s="12" t="n">
        <v>7</v>
      </c>
      <c r="C65" s="12" t="str">
        <f aca="false">VLOOKUP(B65,Roster!$A$3:$B$18,2,FALSE())</f>
        <v>Player 7</v>
      </c>
      <c r="D65" s="13" t="s">
        <v>40</v>
      </c>
      <c r="E65" s="12" t="n">
        <v>16</v>
      </c>
      <c r="F65" s="12" t="str">
        <f aca="false">VLOOKUP(E65,Roster!$A$3:$B$18,2,FALSE())</f>
        <v>Player 16</v>
      </c>
    </row>
    <row r="66" customFormat="false" ht="15" hidden="false" customHeight="true" outlineLevel="0" collapsed="false">
      <c r="A66" s="12" t="n">
        <v>8</v>
      </c>
      <c r="B66" s="12" t="n">
        <v>8</v>
      </c>
      <c r="C66" s="12" t="str">
        <f aca="false">VLOOKUP(B66,Roster!$A$3:$B$18,2,FALSE())</f>
        <v>Player 8</v>
      </c>
      <c r="D66" s="13" t="s">
        <v>40</v>
      </c>
      <c r="E66" s="12" t="n">
        <v>15</v>
      </c>
      <c r="F66" s="12" t="str">
        <f aca="false">VLOOKUP(E66,Roster!$A$3:$B$18,2,FALSE())</f>
        <v>Player 15</v>
      </c>
    </row>
    <row r="68" customFormat="false" ht="17.25" hidden="false" customHeight="true" outlineLevel="0" collapsed="false">
      <c r="A68" s="9" t="s">
        <v>46</v>
      </c>
      <c r="B68" s="9"/>
      <c r="C68" s="9"/>
      <c r="D68" s="9"/>
      <c r="E68" s="9"/>
      <c r="F68" s="9"/>
    </row>
    <row r="69" customFormat="false" ht="15" hidden="false" customHeight="true" outlineLevel="0" collapsed="false">
      <c r="A69" s="10" t="s">
        <v>47</v>
      </c>
      <c r="B69" s="10"/>
      <c r="C69" s="10"/>
      <c r="D69" s="10"/>
      <c r="E69" s="10"/>
      <c r="F69" s="10"/>
    </row>
    <row r="70" customFormat="false" ht="15" hidden="false" customHeight="true" outlineLevel="0" collapsed="false">
      <c r="A70" s="11" t="s">
        <v>37</v>
      </c>
      <c r="B70" s="11" t="s">
        <v>38</v>
      </c>
      <c r="C70" s="11" t="s">
        <v>39</v>
      </c>
      <c r="D70" s="11" t="s">
        <v>40</v>
      </c>
      <c r="E70" s="11" t="s">
        <v>38</v>
      </c>
      <c r="F70" s="11" t="s">
        <v>39</v>
      </c>
    </row>
    <row r="71" customFormat="false" ht="15" hidden="false" customHeight="true" outlineLevel="0" collapsed="false">
      <c r="A71" s="12" t="n">
        <v>1</v>
      </c>
      <c r="B71" s="12" t="n">
        <v>1</v>
      </c>
      <c r="C71" s="12" t="str">
        <f aca="false">VLOOKUP(B71,Roster!$A$3:$B$18,2,FALSE())</f>
        <v>Player 1</v>
      </c>
      <c r="D71" s="13" t="s">
        <v>40</v>
      </c>
      <c r="E71" s="12" t="n">
        <v>11</v>
      </c>
      <c r="F71" s="12" t="str">
        <f aca="false">VLOOKUP(E71,Roster!$A$3:$B$18,2,FALSE())</f>
        <v>Player 11</v>
      </c>
    </row>
    <row r="72" customFormat="false" ht="15" hidden="false" customHeight="true" outlineLevel="0" collapsed="false">
      <c r="A72" s="12" t="n">
        <v>2</v>
      </c>
      <c r="B72" s="12" t="n">
        <v>2</v>
      </c>
      <c r="C72" s="12" t="str">
        <f aca="false">VLOOKUP(B72,Roster!$A$3:$B$18,2,FALSE())</f>
        <v>Player 2</v>
      </c>
      <c r="D72" s="13" t="s">
        <v>40</v>
      </c>
      <c r="E72" s="12" t="n">
        <v>12</v>
      </c>
      <c r="F72" s="12" t="str">
        <f aca="false">VLOOKUP(E72,Roster!$A$3:$B$18,2,FALSE())</f>
        <v>Player 12</v>
      </c>
    </row>
    <row r="73" customFormat="false" ht="15" hidden="false" customHeight="true" outlineLevel="0" collapsed="false">
      <c r="A73" s="12" t="n">
        <v>3</v>
      </c>
      <c r="B73" s="12" t="n">
        <v>3</v>
      </c>
      <c r="C73" s="12" t="str">
        <f aca="false">VLOOKUP(B73,Roster!$A$3:$B$18,2,FALSE())</f>
        <v>Player 3</v>
      </c>
      <c r="D73" s="13" t="s">
        <v>40</v>
      </c>
      <c r="E73" s="12" t="n">
        <v>9</v>
      </c>
      <c r="F73" s="12" t="str">
        <f aca="false">VLOOKUP(E73,Roster!$A$3:$B$18,2,FALSE())</f>
        <v>Player 9</v>
      </c>
    </row>
    <row r="74" customFormat="false" ht="15" hidden="false" customHeight="true" outlineLevel="0" collapsed="false">
      <c r="A74" s="12" t="n">
        <v>4</v>
      </c>
      <c r="B74" s="12" t="n">
        <v>4</v>
      </c>
      <c r="C74" s="12" t="str">
        <f aca="false">VLOOKUP(B74,Roster!$A$3:$B$18,2,FALSE())</f>
        <v>Player 4</v>
      </c>
      <c r="D74" s="13" t="s">
        <v>40</v>
      </c>
      <c r="E74" s="12" t="n">
        <v>10</v>
      </c>
      <c r="F74" s="12" t="str">
        <f aca="false">VLOOKUP(E74,Roster!$A$3:$B$18,2,FALSE())</f>
        <v>Player 10</v>
      </c>
    </row>
    <row r="75" customFormat="false" ht="15" hidden="false" customHeight="true" outlineLevel="0" collapsed="false">
      <c r="A75" s="12" t="n">
        <v>5</v>
      </c>
      <c r="B75" s="12" t="n">
        <v>5</v>
      </c>
      <c r="C75" s="12" t="str">
        <f aca="false">VLOOKUP(B75,Roster!$A$3:$B$18,2,FALSE())</f>
        <v>Player 5</v>
      </c>
      <c r="D75" s="13" t="s">
        <v>40</v>
      </c>
      <c r="E75" s="12" t="n">
        <v>15</v>
      </c>
      <c r="F75" s="12" t="str">
        <f aca="false">VLOOKUP(E75,Roster!$A$3:$B$18,2,FALSE())</f>
        <v>Player 15</v>
      </c>
    </row>
    <row r="76" customFormat="false" ht="15" hidden="false" customHeight="true" outlineLevel="0" collapsed="false">
      <c r="A76" s="12" t="n">
        <v>6</v>
      </c>
      <c r="B76" s="12" t="n">
        <v>6</v>
      </c>
      <c r="C76" s="12" t="str">
        <f aca="false">VLOOKUP(B76,Roster!$A$3:$B$18,2,FALSE())</f>
        <v>Player 6</v>
      </c>
      <c r="D76" s="13" t="s">
        <v>40</v>
      </c>
      <c r="E76" s="12" t="n">
        <v>16</v>
      </c>
      <c r="F76" s="12" t="str">
        <f aca="false">VLOOKUP(E76,Roster!$A$3:$B$18,2,FALSE())</f>
        <v>Player 16</v>
      </c>
    </row>
    <row r="77" customFormat="false" ht="15" hidden="false" customHeight="true" outlineLevel="0" collapsed="false">
      <c r="A77" s="12" t="n">
        <v>7</v>
      </c>
      <c r="B77" s="12" t="n">
        <v>7</v>
      </c>
      <c r="C77" s="12" t="str">
        <f aca="false">VLOOKUP(B77,Roster!$A$3:$B$18,2,FALSE())</f>
        <v>Player 7</v>
      </c>
      <c r="D77" s="13" t="s">
        <v>40</v>
      </c>
      <c r="E77" s="12" t="n">
        <v>13</v>
      </c>
      <c r="F77" s="12" t="str">
        <f aca="false">VLOOKUP(E77,Roster!$A$3:$B$18,2,FALSE())</f>
        <v>Player 13</v>
      </c>
    </row>
    <row r="78" customFormat="false" ht="15" hidden="false" customHeight="true" outlineLevel="0" collapsed="false">
      <c r="A78" s="12" t="n">
        <v>8</v>
      </c>
      <c r="B78" s="12" t="n">
        <v>8</v>
      </c>
      <c r="C78" s="12" t="str">
        <f aca="false">VLOOKUP(B78,Roster!$A$3:$B$18,2,FALSE())</f>
        <v>Player 8</v>
      </c>
      <c r="D78" s="13" t="s">
        <v>40</v>
      </c>
      <c r="E78" s="12" t="n">
        <v>14</v>
      </c>
      <c r="F78" s="12" t="str">
        <f aca="false">VLOOKUP(E78,Roster!$A$3:$B$18,2,FALSE())</f>
        <v>Player 14</v>
      </c>
    </row>
    <row r="80" customFormat="false" ht="15" hidden="false" customHeight="true" outlineLevel="0" collapsed="false">
      <c r="A80" s="10" t="s">
        <v>48</v>
      </c>
      <c r="B80" s="10"/>
      <c r="C80" s="10"/>
      <c r="D80" s="10"/>
      <c r="E80" s="10"/>
      <c r="F80" s="10"/>
    </row>
    <row r="81" customFormat="false" ht="15" hidden="false" customHeight="true" outlineLevel="0" collapsed="false">
      <c r="A81" s="11" t="s">
        <v>37</v>
      </c>
      <c r="B81" s="11" t="s">
        <v>38</v>
      </c>
      <c r="C81" s="11" t="s">
        <v>39</v>
      </c>
      <c r="D81" s="11" t="s">
        <v>40</v>
      </c>
      <c r="E81" s="11" t="s">
        <v>38</v>
      </c>
      <c r="F81" s="11" t="s">
        <v>39</v>
      </c>
    </row>
    <row r="82" customFormat="false" ht="15" hidden="false" customHeight="true" outlineLevel="0" collapsed="false">
      <c r="A82" s="12" t="n">
        <v>1</v>
      </c>
      <c r="B82" s="12" t="n">
        <v>1</v>
      </c>
      <c r="C82" s="12" t="str">
        <f aca="false">VLOOKUP(B82,Roster!$A$3:$B$18,2,FALSE())</f>
        <v>Player 1</v>
      </c>
      <c r="D82" s="13" t="s">
        <v>40</v>
      </c>
      <c r="E82" s="12" t="n">
        <v>12</v>
      </c>
      <c r="F82" s="12" t="str">
        <f aca="false">VLOOKUP(E82,Roster!$A$3:$B$18,2,FALSE())</f>
        <v>Player 12</v>
      </c>
    </row>
    <row r="83" customFormat="false" ht="15" hidden="false" customHeight="true" outlineLevel="0" collapsed="false">
      <c r="A83" s="12" t="n">
        <v>2</v>
      </c>
      <c r="B83" s="12" t="n">
        <v>2</v>
      </c>
      <c r="C83" s="12" t="str">
        <f aca="false">VLOOKUP(B83,Roster!$A$3:$B$18,2,FALSE())</f>
        <v>Player 2</v>
      </c>
      <c r="D83" s="13" t="s">
        <v>40</v>
      </c>
      <c r="E83" s="12" t="n">
        <v>11</v>
      </c>
      <c r="F83" s="12" t="str">
        <f aca="false">VLOOKUP(E83,Roster!$A$3:$B$18,2,FALSE())</f>
        <v>Player 11</v>
      </c>
    </row>
    <row r="84" customFormat="false" ht="15" hidden="false" customHeight="true" outlineLevel="0" collapsed="false">
      <c r="A84" s="12" t="n">
        <v>3</v>
      </c>
      <c r="B84" s="12" t="n">
        <v>3</v>
      </c>
      <c r="C84" s="12" t="str">
        <f aca="false">VLOOKUP(B84,Roster!$A$3:$B$18,2,FALSE())</f>
        <v>Player 3</v>
      </c>
      <c r="D84" s="13" t="s">
        <v>40</v>
      </c>
      <c r="E84" s="12" t="n">
        <v>10</v>
      </c>
      <c r="F84" s="12" t="str">
        <f aca="false">VLOOKUP(E84,Roster!$A$3:$B$18,2,FALSE())</f>
        <v>Player 10</v>
      </c>
    </row>
    <row r="85" customFormat="false" ht="15" hidden="false" customHeight="true" outlineLevel="0" collapsed="false">
      <c r="A85" s="12" t="n">
        <v>4</v>
      </c>
      <c r="B85" s="12" t="n">
        <v>4</v>
      </c>
      <c r="C85" s="12" t="str">
        <f aca="false">VLOOKUP(B85,Roster!$A$3:$B$18,2,FALSE())</f>
        <v>Player 4</v>
      </c>
      <c r="D85" s="13" t="s">
        <v>40</v>
      </c>
      <c r="E85" s="12" t="n">
        <v>9</v>
      </c>
      <c r="F85" s="12" t="str">
        <f aca="false">VLOOKUP(E85,Roster!$A$3:$B$18,2,FALSE())</f>
        <v>Player 9</v>
      </c>
    </row>
    <row r="86" customFormat="false" ht="15" hidden="false" customHeight="true" outlineLevel="0" collapsed="false">
      <c r="A86" s="12" t="n">
        <v>5</v>
      </c>
      <c r="B86" s="12" t="n">
        <v>5</v>
      </c>
      <c r="C86" s="12" t="str">
        <f aca="false">VLOOKUP(B86,Roster!$A$3:$B$18,2,FALSE())</f>
        <v>Player 5</v>
      </c>
      <c r="D86" s="13" t="s">
        <v>40</v>
      </c>
      <c r="E86" s="12" t="n">
        <v>16</v>
      </c>
      <c r="F86" s="12" t="str">
        <f aca="false">VLOOKUP(E86,Roster!$A$3:$B$18,2,FALSE())</f>
        <v>Player 16</v>
      </c>
    </row>
    <row r="87" customFormat="false" ht="15" hidden="false" customHeight="true" outlineLevel="0" collapsed="false">
      <c r="A87" s="12" t="n">
        <v>6</v>
      </c>
      <c r="B87" s="12" t="n">
        <v>6</v>
      </c>
      <c r="C87" s="12" t="str">
        <f aca="false">VLOOKUP(B87,Roster!$A$3:$B$18,2,FALSE())</f>
        <v>Player 6</v>
      </c>
      <c r="D87" s="13" t="s">
        <v>40</v>
      </c>
      <c r="E87" s="12" t="n">
        <v>15</v>
      </c>
      <c r="F87" s="12" t="str">
        <f aca="false">VLOOKUP(E87,Roster!$A$3:$B$18,2,FALSE())</f>
        <v>Player 15</v>
      </c>
    </row>
    <row r="88" customFormat="false" ht="15" hidden="false" customHeight="true" outlineLevel="0" collapsed="false">
      <c r="A88" s="12" t="n">
        <v>7</v>
      </c>
      <c r="B88" s="12" t="n">
        <v>7</v>
      </c>
      <c r="C88" s="12" t="str">
        <f aca="false">VLOOKUP(B88,Roster!$A$3:$B$18,2,FALSE())</f>
        <v>Player 7</v>
      </c>
      <c r="D88" s="13" t="s">
        <v>40</v>
      </c>
      <c r="E88" s="12" t="n">
        <v>14</v>
      </c>
      <c r="F88" s="12" t="str">
        <f aca="false">VLOOKUP(E88,Roster!$A$3:$B$18,2,FALSE())</f>
        <v>Player 14</v>
      </c>
    </row>
    <row r="89" customFormat="false" ht="15" hidden="false" customHeight="true" outlineLevel="0" collapsed="false">
      <c r="A89" s="12" t="n">
        <v>8</v>
      </c>
      <c r="B89" s="12" t="n">
        <v>8</v>
      </c>
      <c r="C89" s="12" t="str">
        <f aca="false">VLOOKUP(B89,Roster!$A$3:$B$18,2,FALSE())</f>
        <v>Player 8</v>
      </c>
      <c r="D89" s="13" t="s">
        <v>40</v>
      </c>
      <c r="E89" s="12" t="n">
        <v>13</v>
      </c>
      <c r="F89" s="12" t="str">
        <f aca="false">VLOOKUP(E89,Roster!$A$3:$B$18,2,FALSE())</f>
        <v>Player 13</v>
      </c>
    </row>
    <row r="91" customFormat="false" ht="15" hidden="false" customHeight="true" outlineLevel="0" collapsed="false">
      <c r="A91" s="10" t="s">
        <v>49</v>
      </c>
      <c r="B91" s="10"/>
      <c r="C91" s="10"/>
      <c r="D91" s="10"/>
      <c r="E91" s="10"/>
      <c r="F91" s="10"/>
    </row>
    <row r="92" customFormat="false" ht="15" hidden="false" customHeight="true" outlineLevel="0" collapsed="false">
      <c r="A92" s="11" t="s">
        <v>37</v>
      </c>
      <c r="B92" s="11" t="s">
        <v>38</v>
      </c>
      <c r="C92" s="11" t="s">
        <v>39</v>
      </c>
      <c r="D92" s="11" t="s">
        <v>40</v>
      </c>
      <c r="E92" s="11" t="s">
        <v>38</v>
      </c>
      <c r="F92" s="11" t="s">
        <v>39</v>
      </c>
    </row>
    <row r="93" customFormat="false" ht="15" hidden="false" customHeight="true" outlineLevel="0" collapsed="false">
      <c r="A93" s="12" t="n">
        <v>1</v>
      </c>
      <c r="B93" s="12" t="n">
        <v>1</v>
      </c>
      <c r="C93" s="12" t="str">
        <f aca="false">VLOOKUP(B93,Roster!$A$3:$B$18,2,FALSE())</f>
        <v>Player 1</v>
      </c>
      <c r="D93" s="13" t="s">
        <v>40</v>
      </c>
      <c r="E93" s="12" t="n">
        <v>13</v>
      </c>
      <c r="F93" s="12" t="str">
        <f aca="false">VLOOKUP(E93,Roster!$A$3:$B$18,2,FALSE())</f>
        <v>Player 13</v>
      </c>
    </row>
    <row r="94" customFormat="false" ht="15" hidden="false" customHeight="true" outlineLevel="0" collapsed="false">
      <c r="A94" s="12" t="n">
        <v>2</v>
      </c>
      <c r="B94" s="12" t="n">
        <v>2</v>
      </c>
      <c r="C94" s="12" t="str">
        <f aca="false">VLOOKUP(B94,Roster!$A$3:$B$18,2,FALSE())</f>
        <v>Player 2</v>
      </c>
      <c r="D94" s="13" t="s">
        <v>40</v>
      </c>
      <c r="E94" s="12" t="n">
        <v>14</v>
      </c>
      <c r="F94" s="12" t="str">
        <f aca="false">VLOOKUP(E94,Roster!$A$3:$B$18,2,FALSE())</f>
        <v>Player 14</v>
      </c>
    </row>
    <row r="95" customFormat="false" ht="15" hidden="false" customHeight="true" outlineLevel="0" collapsed="false">
      <c r="A95" s="12" t="n">
        <v>3</v>
      </c>
      <c r="B95" s="12" t="n">
        <v>3</v>
      </c>
      <c r="C95" s="12" t="str">
        <f aca="false">VLOOKUP(B95,Roster!$A$3:$B$18,2,FALSE())</f>
        <v>Player 3</v>
      </c>
      <c r="D95" s="13" t="s">
        <v>40</v>
      </c>
      <c r="E95" s="12" t="n">
        <v>15</v>
      </c>
      <c r="F95" s="12" t="str">
        <f aca="false">VLOOKUP(E95,Roster!$A$3:$B$18,2,FALSE())</f>
        <v>Player 15</v>
      </c>
    </row>
    <row r="96" customFormat="false" ht="15" hidden="false" customHeight="true" outlineLevel="0" collapsed="false">
      <c r="A96" s="12" t="n">
        <v>4</v>
      </c>
      <c r="B96" s="12" t="n">
        <v>4</v>
      </c>
      <c r="C96" s="12" t="str">
        <f aca="false">VLOOKUP(B96,Roster!$A$3:$B$18,2,FALSE())</f>
        <v>Player 4</v>
      </c>
      <c r="D96" s="13" t="s">
        <v>40</v>
      </c>
      <c r="E96" s="12" t="n">
        <v>16</v>
      </c>
      <c r="F96" s="12" t="str">
        <f aca="false">VLOOKUP(E96,Roster!$A$3:$B$18,2,FALSE())</f>
        <v>Player 16</v>
      </c>
    </row>
    <row r="97" customFormat="false" ht="15" hidden="false" customHeight="true" outlineLevel="0" collapsed="false">
      <c r="A97" s="12" t="n">
        <v>5</v>
      </c>
      <c r="B97" s="12" t="n">
        <v>5</v>
      </c>
      <c r="C97" s="12" t="str">
        <f aca="false">VLOOKUP(B97,Roster!$A$3:$B$18,2,FALSE())</f>
        <v>Player 5</v>
      </c>
      <c r="D97" s="13" t="s">
        <v>40</v>
      </c>
      <c r="E97" s="12" t="n">
        <v>9</v>
      </c>
      <c r="F97" s="12" t="str">
        <f aca="false">VLOOKUP(E97,Roster!$A$3:$B$18,2,FALSE())</f>
        <v>Player 9</v>
      </c>
    </row>
    <row r="98" customFormat="false" ht="15" hidden="false" customHeight="true" outlineLevel="0" collapsed="false">
      <c r="A98" s="12" t="n">
        <v>6</v>
      </c>
      <c r="B98" s="12" t="n">
        <v>6</v>
      </c>
      <c r="C98" s="12" t="str">
        <f aca="false">VLOOKUP(B98,Roster!$A$3:$B$18,2,FALSE())</f>
        <v>Player 6</v>
      </c>
      <c r="D98" s="13" t="s">
        <v>40</v>
      </c>
      <c r="E98" s="12" t="n">
        <v>10</v>
      </c>
      <c r="F98" s="12" t="str">
        <f aca="false">VLOOKUP(E98,Roster!$A$3:$B$18,2,FALSE())</f>
        <v>Player 10</v>
      </c>
    </row>
    <row r="99" customFormat="false" ht="15" hidden="false" customHeight="true" outlineLevel="0" collapsed="false">
      <c r="A99" s="12" t="n">
        <v>7</v>
      </c>
      <c r="B99" s="12" t="n">
        <v>7</v>
      </c>
      <c r="C99" s="12" t="str">
        <f aca="false">VLOOKUP(B99,Roster!$A$3:$B$18,2,FALSE())</f>
        <v>Player 7</v>
      </c>
      <c r="D99" s="13" t="s">
        <v>40</v>
      </c>
      <c r="E99" s="12" t="n">
        <v>11</v>
      </c>
      <c r="F99" s="12" t="str">
        <f aca="false">VLOOKUP(E99,Roster!$A$3:$B$18,2,FALSE())</f>
        <v>Player 11</v>
      </c>
    </row>
    <row r="100" customFormat="false" ht="15" hidden="false" customHeight="true" outlineLevel="0" collapsed="false">
      <c r="A100" s="12" t="n">
        <v>8</v>
      </c>
      <c r="B100" s="12" t="n">
        <v>8</v>
      </c>
      <c r="C100" s="12" t="str">
        <f aca="false">VLOOKUP(B100,Roster!$A$3:$B$18,2,FALSE())</f>
        <v>Player 8</v>
      </c>
      <c r="D100" s="13" t="s">
        <v>40</v>
      </c>
      <c r="E100" s="12" t="n">
        <v>12</v>
      </c>
      <c r="F100" s="12" t="str">
        <f aca="false">VLOOKUP(E100,Roster!$A$3:$B$18,2,FALSE())</f>
        <v>Player 12</v>
      </c>
    </row>
    <row r="102" customFormat="false" ht="15" hidden="false" customHeight="true" outlineLevel="0" collapsed="false">
      <c r="A102" s="10" t="s">
        <v>50</v>
      </c>
      <c r="B102" s="10"/>
      <c r="C102" s="10"/>
      <c r="D102" s="10"/>
      <c r="E102" s="10"/>
      <c r="F102" s="10"/>
    </row>
    <row r="103" customFormat="false" ht="15" hidden="false" customHeight="true" outlineLevel="0" collapsed="false">
      <c r="A103" s="11" t="s">
        <v>37</v>
      </c>
      <c r="B103" s="11" t="s">
        <v>38</v>
      </c>
      <c r="C103" s="11" t="s">
        <v>39</v>
      </c>
      <c r="D103" s="11" t="s">
        <v>40</v>
      </c>
      <c r="E103" s="11" t="s">
        <v>38</v>
      </c>
      <c r="F103" s="11" t="s">
        <v>39</v>
      </c>
    </row>
    <row r="104" customFormat="false" ht="15" hidden="false" customHeight="true" outlineLevel="0" collapsed="false">
      <c r="A104" s="12" t="n">
        <v>1</v>
      </c>
      <c r="B104" s="12" t="n">
        <v>1</v>
      </c>
      <c r="C104" s="12" t="str">
        <f aca="false">VLOOKUP(B104,Roster!$A$3:$B$18,2,FALSE())</f>
        <v>Player 1</v>
      </c>
      <c r="D104" s="13" t="s">
        <v>40</v>
      </c>
      <c r="E104" s="12" t="n">
        <v>14</v>
      </c>
      <c r="F104" s="12" t="str">
        <f aca="false">VLOOKUP(E104,Roster!$A$3:$B$18,2,FALSE())</f>
        <v>Player 14</v>
      </c>
    </row>
    <row r="105" customFormat="false" ht="15" hidden="false" customHeight="true" outlineLevel="0" collapsed="false">
      <c r="A105" s="12" t="n">
        <v>2</v>
      </c>
      <c r="B105" s="12" t="n">
        <v>2</v>
      </c>
      <c r="C105" s="12" t="str">
        <f aca="false">VLOOKUP(B105,Roster!$A$3:$B$18,2,FALSE())</f>
        <v>Player 2</v>
      </c>
      <c r="D105" s="13" t="s">
        <v>40</v>
      </c>
      <c r="E105" s="12" t="n">
        <v>13</v>
      </c>
      <c r="F105" s="12" t="str">
        <f aca="false">VLOOKUP(E105,Roster!$A$3:$B$18,2,FALSE())</f>
        <v>Player 13</v>
      </c>
    </row>
    <row r="106" customFormat="false" ht="15" hidden="false" customHeight="true" outlineLevel="0" collapsed="false">
      <c r="A106" s="12" t="n">
        <v>3</v>
      </c>
      <c r="B106" s="12" t="n">
        <v>3</v>
      </c>
      <c r="C106" s="12" t="str">
        <f aca="false">VLOOKUP(B106,Roster!$A$3:$B$18,2,FALSE())</f>
        <v>Player 3</v>
      </c>
      <c r="D106" s="13" t="s">
        <v>40</v>
      </c>
      <c r="E106" s="12" t="n">
        <v>16</v>
      </c>
      <c r="F106" s="12" t="str">
        <f aca="false">VLOOKUP(E106,Roster!$A$3:$B$18,2,FALSE())</f>
        <v>Player 16</v>
      </c>
    </row>
    <row r="107" customFormat="false" ht="15" hidden="false" customHeight="true" outlineLevel="0" collapsed="false">
      <c r="A107" s="12" t="n">
        <v>4</v>
      </c>
      <c r="B107" s="12" t="n">
        <v>4</v>
      </c>
      <c r="C107" s="12" t="str">
        <f aca="false">VLOOKUP(B107,Roster!$A$3:$B$18,2,FALSE())</f>
        <v>Player 4</v>
      </c>
      <c r="D107" s="13" t="s">
        <v>40</v>
      </c>
      <c r="E107" s="12" t="n">
        <v>15</v>
      </c>
      <c r="F107" s="12" t="str">
        <f aca="false">VLOOKUP(E107,Roster!$A$3:$B$18,2,FALSE())</f>
        <v>Player 15</v>
      </c>
    </row>
    <row r="108" customFormat="false" ht="15" hidden="false" customHeight="true" outlineLevel="0" collapsed="false">
      <c r="A108" s="12" t="n">
        <v>5</v>
      </c>
      <c r="B108" s="12" t="n">
        <v>5</v>
      </c>
      <c r="C108" s="12" t="str">
        <f aca="false">VLOOKUP(B108,Roster!$A$3:$B$18,2,FALSE())</f>
        <v>Player 5</v>
      </c>
      <c r="D108" s="13" t="s">
        <v>40</v>
      </c>
      <c r="E108" s="12" t="n">
        <v>10</v>
      </c>
      <c r="F108" s="12" t="str">
        <f aca="false">VLOOKUP(E108,Roster!$A$3:$B$18,2,FALSE())</f>
        <v>Player 10</v>
      </c>
    </row>
    <row r="109" customFormat="false" ht="15" hidden="false" customHeight="true" outlineLevel="0" collapsed="false">
      <c r="A109" s="12" t="n">
        <v>6</v>
      </c>
      <c r="B109" s="12" t="n">
        <v>6</v>
      </c>
      <c r="C109" s="12" t="str">
        <f aca="false">VLOOKUP(B109,Roster!$A$3:$B$18,2,FALSE())</f>
        <v>Player 6</v>
      </c>
      <c r="D109" s="13" t="s">
        <v>40</v>
      </c>
      <c r="E109" s="12" t="n">
        <v>9</v>
      </c>
      <c r="F109" s="12" t="str">
        <f aca="false">VLOOKUP(E109,Roster!$A$3:$B$18,2,FALSE())</f>
        <v>Player 9</v>
      </c>
    </row>
    <row r="110" customFormat="false" ht="15" hidden="false" customHeight="true" outlineLevel="0" collapsed="false">
      <c r="A110" s="12" t="n">
        <v>7</v>
      </c>
      <c r="B110" s="12" t="n">
        <v>7</v>
      </c>
      <c r="C110" s="12" t="str">
        <f aca="false">VLOOKUP(B110,Roster!$A$3:$B$18,2,FALSE())</f>
        <v>Player 7</v>
      </c>
      <c r="D110" s="13" t="s">
        <v>40</v>
      </c>
      <c r="E110" s="12" t="n">
        <v>12</v>
      </c>
      <c r="F110" s="12" t="str">
        <f aca="false">VLOOKUP(E110,Roster!$A$3:$B$18,2,FALSE())</f>
        <v>Player 12</v>
      </c>
    </row>
    <row r="111" customFormat="false" ht="15" hidden="false" customHeight="true" outlineLevel="0" collapsed="false">
      <c r="A111" s="12" t="n">
        <v>8</v>
      </c>
      <c r="B111" s="12" t="n">
        <v>8</v>
      </c>
      <c r="C111" s="12" t="str">
        <f aca="false">VLOOKUP(B111,Roster!$A$3:$B$18,2,FALSE())</f>
        <v>Player 8</v>
      </c>
      <c r="D111" s="13" t="s">
        <v>40</v>
      </c>
      <c r="E111" s="12" t="n">
        <v>11</v>
      </c>
      <c r="F111" s="12" t="str">
        <f aca="false">VLOOKUP(E111,Roster!$A$3:$B$18,2,FALSE())</f>
        <v>Player 11</v>
      </c>
    </row>
    <row r="113" customFormat="false" ht="15" hidden="false" customHeight="true" outlineLevel="0" collapsed="false">
      <c r="A113" s="10" t="s">
        <v>51</v>
      </c>
      <c r="B113" s="10"/>
      <c r="C113" s="10"/>
      <c r="D113" s="10"/>
      <c r="E113" s="10"/>
      <c r="F113" s="10"/>
    </row>
    <row r="114" customFormat="false" ht="15" hidden="false" customHeight="true" outlineLevel="0" collapsed="false">
      <c r="A114" s="11" t="s">
        <v>37</v>
      </c>
      <c r="B114" s="11" t="s">
        <v>38</v>
      </c>
      <c r="C114" s="11" t="s">
        <v>39</v>
      </c>
      <c r="D114" s="11" t="s">
        <v>40</v>
      </c>
      <c r="E114" s="11" t="s">
        <v>38</v>
      </c>
      <c r="F114" s="11" t="s">
        <v>39</v>
      </c>
    </row>
    <row r="115" customFormat="false" ht="15" hidden="false" customHeight="true" outlineLevel="0" collapsed="false">
      <c r="A115" s="12" t="n">
        <v>1</v>
      </c>
      <c r="B115" s="12" t="n">
        <v>1</v>
      </c>
      <c r="C115" s="12" t="str">
        <f aca="false">VLOOKUP(B115,Roster!$A$3:$B$18,2,FALSE())</f>
        <v>Player 1</v>
      </c>
      <c r="D115" s="13" t="s">
        <v>40</v>
      </c>
      <c r="E115" s="12" t="n">
        <v>15</v>
      </c>
      <c r="F115" s="12" t="str">
        <f aca="false">VLOOKUP(E115,Roster!$A$3:$B$18,2,FALSE())</f>
        <v>Player 15</v>
      </c>
    </row>
    <row r="116" customFormat="false" ht="15" hidden="false" customHeight="true" outlineLevel="0" collapsed="false">
      <c r="A116" s="12" t="n">
        <v>2</v>
      </c>
      <c r="B116" s="12" t="n">
        <v>2</v>
      </c>
      <c r="C116" s="12" t="str">
        <f aca="false">VLOOKUP(B116,Roster!$A$3:$B$18,2,FALSE())</f>
        <v>Player 2</v>
      </c>
      <c r="D116" s="13" t="s">
        <v>40</v>
      </c>
      <c r="E116" s="12" t="n">
        <v>16</v>
      </c>
      <c r="F116" s="12" t="str">
        <f aca="false">VLOOKUP(E116,Roster!$A$3:$B$18,2,FALSE())</f>
        <v>Player 16</v>
      </c>
    </row>
    <row r="117" customFormat="false" ht="15" hidden="false" customHeight="true" outlineLevel="0" collapsed="false">
      <c r="A117" s="12" t="n">
        <v>3</v>
      </c>
      <c r="B117" s="12" t="n">
        <v>3</v>
      </c>
      <c r="C117" s="12" t="str">
        <f aca="false">VLOOKUP(B117,Roster!$A$3:$B$18,2,FALSE())</f>
        <v>Player 3</v>
      </c>
      <c r="D117" s="13" t="s">
        <v>40</v>
      </c>
      <c r="E117" s="12" t="n">
        <v>13</v>
      </c>
      <c r="F117" s="12" t="str">
        <f aca="false">VLOOKUP(E117,Roster!$A$3:$B$18,2,FALSE())</f>
        <v>Player 13</v>
      </c>
    </row>
    <row r="118" customFormat="false" ht="15" hidden="false" customHeight="true" outlineLevel="0" collapsed="false">
      <c r="A118" s="12" t="n">
        <v>4</v>
      </c>
      <c r="B118" s="12" t="n">
        <v>4</v>
      </c>
      <c r="C118" s="12" t="str">
        <f aca="false">VLOOKUP(B118,Roster!$A$3:$B$18,2,FALSE())</f>
        <v>Player 4</v>
      </c>
      <c r="D118" s="13" t="s">
        <v>40</v>
      </c>
      <c r="E118" s="12" t="n">
        <v>14</v>
      </c>
      <c r="F118" s="12" t="str">
        <f aca="false">VLOOKUP(E118,Roster!$A$3:$B$18,2,FALSE())</f>
        <v>Player 14</v>
      </c>
    </row>
    <row r="119" customFormat="false" ht="15" hidden="false" customHeight="true" outlineLevel="0" collapsed="false">
      <c r="A119" s="12" t="n">
        <v>5</v>
      </c>
      <c r="B119" s="12" t="n">
        <v>5</v>
      </c>
      <c r="C119" s="12" t="str">
        <f aca="false">VLOOKUP(B119,Roster!$A$3:$B$18,2,FALSE())</f>
        <v>Player 5</v>
      </c>
      <c r="D119" s="13" t="s">
        <v>40</v>
      </c>
      <c r="E119" s="12" t="n">
        <v>11</v>
      </c>
      <c r="F119" s="12" t="str">
        <f aca="false">VLOOKUP(E119,Roster!$A$3:$B$18,2,FALSE())</f>
        <v>Player 11</v>
      </c>
    </row>
    <row r="120" customFormat="false" ht="15" hidden="false" customHeight="true" outlineLevel="0" collapsed="false">
      <c r="A120" s="12" t="n">
        <v>6</v>
      </c>
      <c r="B120" s="12" t="n">
        <v>6</v>
      </c>
      <c r="C120" s="12" t="str">
        <f aca="false">VLOOKUP(B120,Roster!$A$3:$B$18,2,FALSE())</f>
        <v>Player 6</v>
      </c>
      <c r="D120" s="13" t="s">
        <v>40</v>
      </c>
      <c r="E120" s="12" t="n">
        <v>12</v>
      </c>
      <c r="F120" s="12" t="str">
        <f aca="false">VLOOKUP(E120,Roster!$A$3:$B$18,2,FALSE())</f>
        <v>Player 12</v>
      </c>
    </row>
    <row r="121" customFormat="false" ht="15" hidden="false" customHeight="true" outlineLevel="0" collapsed="false">
      <c r="A121" s="12" t="n">
        <v>7</v>
      </c>
      <c r="B121" s="12" t="n">
        <v>7</v>
      </c>
      <c r="C121" s="12" t="str">
        <f aca="false">VLOOKUP(B121,Roster!$A$3:$B$18,2,FALSE())</f>
        <v>Player 7</v>
      </c>
      <c r="D121" s="13" t="s">
        <v>40</v>
      </c>
      <c r="E121" s="12" t="n">
        <v>9</v>
      </c>
      <c r="F121" s="12" t="str">
        <f aca="false">VLOOKUP(E121,Roster!$A$3:$B$18,2,FALSE())</f>
        <v>Player 9</v>
      </c>
    </row>
    <row r="122" customFormat="false" ht="15" hidden="false" customHeight="true" outlineLevel="0" collapsed="false">
      <c r="A122" s="12" t="n">
        <v>8</v>
      </c>
      <c r="B122" s="12" t="n">
        <v>8</v>
      </c>
      <c r="C122" s="12" t="str">
        <f aca="false">VLOOKUP(B122,Roster!$A$3:$B$18,2,FALSE())</f>
        <v>Player 8</v>
      </c>
      <c r="D122" s="13" t="s">
        <v>40</v>
      </c>
      <c r="E122" s="12" t="n">
        <v>10</v>
      </c>
      <c r="F122" s="12" t="str">
        <f aca="false">VLOOKUP(E122,Roster!$A$3:$B$18,2,FALSE())</f>
        <v>Player 10</v>
      </c>
    </row>
    <row r="124" customFormat="false" ht="15" hidden="false" customHeight="true" outlineLevel="0" collapsed="false">
      <c r="A124" s="10" t="s">
        <v>52</v>
      </c>
      <c r="B124" s="10"/>
      <c r="C124" s="10"/>
      <c r="D124" s="10"/>
      <c r="E124" s="10"/>
      <c r="F124" s="10"/>
    </row>
    <row r="125" customFormat="false" ht="15" hidden="false" customHeight="true" outlineLevel="0" collapsed="false">
      <c r="A125" s="11" t="s">
        <v>37</v>
      </c>
      <c r="B125" s="11" t="s">
        <v>38</v>
      </c>
      <c r="C125" s="11" t="s">
        <v>39</v>
      </c>
      <c r="D125" s="11" t="s">
        <v>40</v>
      </c>
      <c r="E125" s="11" t="s">
        <v>38</v>
      </c>
      <c r="F125" s="11" t="s">
        <v>39</v>
      </c>
    </row>
    <row r="126" customFormat="false" ht="15" hidden="false" customHeight="true" outlineLevel="0" collapsed="false">
      <c r="A126" s="12" t="n">
        <v>1</v>
      </c>
      <c r="B126" s="12" t="n">
        <v>1</v>
      </c>
      <c r="C126" s="12" t="str">
        <f aca="false">VLOOKUP(B126,Roster!$A$3:$B$18,2,FALSE())</f>
        <v>Player 1</v>
      </c>
      <c r="D126" s="13" t="s">
        <v>40</v>
      </c>
      <c r="E126" s="12" t="n">
        <v>16</v>
      </c>
      <c r="F126" s="12" t="str">
        <f aca="false">VLOOKUP(E126,Roster!$A$3:$B$18,2,FALSE())</f>
        <v>Player 16</v>
      </c>
    </row>
    <row r="127" customFormat="false" ht="15" hidden="false" customHeight="true" outlineLevel="0" collapsed="false">
      <c r="A127" s="12" t="n">
        <v>2</v>
      </c>
      <c r="B127" s="12" t="n">
        <v>2</v>
      </c>
      <c r="C127" s="12" t="str">
        <f aca="false">VLOOKUP(B127,Roster!$A$3:$B$18,2,FALSE())</f>
        <v>Player 2</v>
      </c>
      <c r="D127" s="13" t="s">
        <v>40</v>
      </c>
      <c r="E127" s="12" t="n">
        <v>15</v>
      </c>
      <c r="F127" s="12" t="str">
        <f aca="false">VLOOKUP(E127,Roster!$A$3:$B$18,2,FALSE())</f>
        <v>Player 15</v>
      </c>
    </row>
    <row r="128" customFormat="false" ht="15" hidden="false" customHeight="true" outlineLevel="0" collapsed="false">
      <c r="A128" s="12" t="n">
        <v>3</v>
      </c>
      <c r="B128" s="12" t="n">
        <v>3</v>
      </c>
      <c r="C128" s="12" t="str">
        <f aca="false">VLOOKUP(B128,Roster!$A$3:$B$18,2,FALSE())</f>
        <v>Player 3</v>
      </c>
      <c r="D128" s="13" t="s">
        <v>40</v>
      </c>
      <c r="E128" s="12" t="n">
        <v>14</v>
      </c>
      <c r="F128" s="12" t="str">
        <f aca="false">VLOOKUP(E128,Roster!$A$3:$B$18,2,FALSE())</f>
        <v>Player 14</v>
      </c>
    </row>
    <row r="129" customFormat="false" ht="15" hidden="false" customHeight="true" outlineLevel="0" collapsed="false">
      <c r="A129" s="12" t="n">
        <v>4</v>
      </c>
      <c r="B129" s="12" t="n">
        <v>4</v>
      </c>
      <c r="C129" s="12" t="str">
        <f aca="false">VLOOKUP(B129,Roster!$A$3:$B$18,2,FALSE())</f>
        <v>Player 4</v>
      </c>
      <c r="D129" s="13" t="s">
        <v>40</v>
      </c>
      <c r="E129" s="12" t="n">
        <v>13</v>
      </c>
      <c r="F129" s="12" t="str">
        <f aca="false">VLOOKUP(E129,Roster!$A$3:$B$18,2,FALSE())</f>
        <v>Player 13</v>
      </c>
    </row>
    <row r="130" customFormat="false" ht="15" hidden="false" customHeight="true" outlineLevel="0" collapsed="false">
      <c r="A130" s="12" t="n">
        <v>5</v>
      </c>
      <c r="B130" s="12" t="n">
        <v>5</v>
      </c>
      <c r="C130" s="12" t="str">
        <f aca="false">VLOOKUP(B130,Roster!$A$3:$B$18,2,FALSE())</f>
        <v>Player 5</v>
      </c>
      <c r="D130" s="13" t="s">
        <v>40</v>
      </c>
      <c r="E130" s="12" t="n">
        <v>12</v>
      </c>
      <c r="F130" s="12" t="str">
        <f aca="false">VLOOKUP(E130,Roster!$A$3:$B$18,2,FALSE())</f>
        <v>Player 12</v>
      </c>
    </row>
    <row r="131" customFormat="false" ht="15" hidden="false" customHeight="true" outlineLevel="0" collapsed="false">
      <c r="A131" s="12" t="n">
        <v>6</v>
      </c>
      <c r="B131" s="12" t="n">
        <v>6</v>
      </c>
      <c r="C131" s="12" t="str">
        <f aca="false">VLOOKUP(B131,Roster!$A$3:$B$18,2,FALSE())</f>
        <v>Player 6</v>
      </c>
      <c r="D131" s="13" t="s">
        <v>40</v>
      </c>
      <c r="E131" s="12" t="n">
        <v>11</v>
      </c>
      <c r="F131" s="12" t="str">
        <f aca="false">VLOOKUP(E131,Roster!$A$3:$B$18,2,FALSE())</f>
        <v>Player 11</v>
      </c>
    </row>
    <row r="132" customFormat="false" ht="15" hidden="false" customHeight="true" outlineLevel="0" collapsed="false">
      <c r="A132" s="12" t="n">
        <v>7</v>
      </c>
      <c r="B132" s="12" t="n">
        <v>7</v>
      </c>
      <c r="C132" s="12" t="str">
        <f aca="false">VLOOKUP(B132,Roster!$A$3:$B$18,2,FALSE())</f>
        <v>Player 7</v>
      </c>
      <c r="D132" s="13" t="s">
        <v>40</v>
      </c>
      <c r="E132" s="12" t="n">
        <v>10</v>
      </c>
      <c r="F132" s="12" t="str">
        <f aca="false">VLOOKUP(E132,Roster!$A$3:$B$18,2,FALSE())</f>
        <v>Player 10</v>
      </c>
    </row>
    <row r="133" customFormat="false" ht="15" hidden="false" customHeight="true" outlineLevel="0" collapsed="false">
      <c r="A133" s="12" t="n">
        <v>8</v>
      </c>
      <c r="B133" s="12" t="n">
        <v>8</v>
      </c>
      <c r="C133" s="12" t="str">
        <f aca="false">VLOOKUP(B133,Roster!$A$3:$B$18,2,FALSE())</f>
        <v>Player 8</v>
      </c>
      <c r="D133" s="13" t="s">
        <v>40</v>
      </c>
      <c r="E133" s="12" t="n">
        <v>9</v>
      </c>
      <c r="F133" s="12" t="str">
        <f aca="false">VLOOKUP(E133,Roster!$A$3:$B$18,2,FALSE())</f>
        <v>Player 9</v>
      </c>
    </row>
    <row r="135" customFormat="false" ht="17.25" hidden="false" customHeight="true" outlineLevel="0" collapsed="false">
      <c r="A135" s="9" t="s">
        <v>53</v>
      </c>
      <c r="B135" s="9"/>
      <c r="C135" s="9"/>
      <c r="D135" s="9"/>
      <c r="E135" s="9"/>
      <c r="F135" s="9"/>
    </row>
    <row r="136" customFormat="false" ht="15" hidden="false" customHeight="true" outlineLevel="0" collapsed="false">
      <c r="A136" s="10" t="s">
        <v>54</v>
      </c>
      <c r="B136" s="10"/>
      <c r="C136" s="10"/>
      <c r="D136" s="10"/>
      <c r="E136" s="10"/>
      <c r="F136" s="10"/>
    </row>
    <row r="137" customFormat="false" ht="15" hidden="false" customHeight="true" outlineLevel="0" collapsed="false">
      <c r="A137" s="11" t="s">
        <v>37</v>
      </c>
      <c r="B137" s="11" t="s">
        <v>38</v>
      </c>
      <c r="C137" s="11" t="s">
        <v>39</v>
      </c>
      <c r="D137" s="11" t="s">
        <v>40</v>
      </c>
      <c r="E137" s="11" t="s">
        <v>38</v>
      </c>
      <c r="F137" s="11" t="s">
        <v>39</v>
      </c>
    </row>
    <row r="138" customFormat="false" ht="15" hidden="false" customHeight="true" outlineLevel="0" collapsed="false">
      <c r="A138" s="12" t="n">
        <v>1</v>
      </c>
      <c r="B138" s="12" t="n">
        <v>1</v>
      </c>
      <c r="C138" s="12" t="str">
        <f aca="false">VLOOKUP(B138,Roster!$A$3:$B$18,2,FALSE())</f>
        <v>Player 1</v>
      </c>
      <c r="D138" s="13" t="s">
        <v>40</v>
      </c>
      <c r="E138" s="12" t="n">
        <v>4</v>
      </c>
      <c r="F138" s="12" t="str">
        <f aca="false">VLOOKUP(E138,Roster!$A$3:$B$18,2,FALSE())</f>
        <v>Player 4</v>
      </c>
    </row>
    <row r="139" customFormat="false" ht="15" hidden="false" customHeight="true" outlineLevel="0" collapsed="false">
      <c r="A139" s="12" t="n">
        <v>2</v>
      </c>
      <c r="B139" s="12" t="n">
        <v>2</v>
      </c>
      <c r="C139" s="12" t="str">
        <f aca="false">VLOOKUP(B139,Roster!$A$3:$B$18,2,FALSE())</f>
        <v>Player 2</v>
      </c>
      <c r="D139" s="13" t="s">
        <v>40</v>
      </c>
      <c r="E139" s="12" t="n">
        <v>3</v>
      </c>
      <c r="F139" s="12" t="str">
        <f aca="false">VLOOKUP(E139,Roster!$A$3:$B$18,2,FALSE())</f>
        <v>Player 3</v>
      </c>
    </row>
    <row r="140" customFormat="false" ht="15" hidden="false" customHeight="true" outlineLevel="0" collapsed="false">
      <c r="A140" s="12" t="n">
        <v>3</v>
      </c>
      <c r="B140" s="12" t="n">
        <v>5</v>
      </c>
      <c r="C140" s="12" t="str">
        <f aca="false">VLOOKUP(B140,Roster!$A$3:$B$18,2,FALSE())</f>
        <v>Player 5</v>
      </c>
      <c r="D140" s="13" t="s">
        <v>40</v>
      </c>
      <c r="E140" s="12" t="n">
        <v>8</v>
      </c>
      <c r="F140" s="12" t="str">
        <f aca="false">VLOOKUP(E140,Roster!$A$3:$B$18,2,FALSE())</f>
        <v>Player 8</v>
      </c>
    </row>
    <row r="141" customFormat="false" ht="15" hidden="false" customHeight="true" outlineLevel="0" collapsed="false">
      <c r="A141" s="12" t="n">
        <v>4</v>
      </c>
      <c r="B141" s="12" t="n">
        <v>6</v>
      </c>
      <c r="C141" s="12" t="str">
        <f aca="false">VLOOKUP(B141,Roster!$A$3:$B$18,2,FALSE())</f>
        <v>Player 6</v>
      </c>
      <c r="D141" s="13" t="s">
        <v>40</v>
      </c>
      <c r="E141" s="12" t="n">
        <v>7</v>
      </c>
      <c r="F141" s="12" t="str">
        <f aca="false">VLOOKUP(E141,Roster!$A$3:$B$18,2,FALSE())</f>
        <v>Player 7</v>
      </c>
    </row>
    <row r="142" customFormat="false" ht="15" hidden="false" customHeight="true" outlineLevel="0" collapsed="false">
      <c r="A142" s="12" t="n">
        <v>5</v>
      </c>
      <c r="B142" s="12" t="n">
        <v>9</v>
      </c>
      <c r="C142" s="12" t="str">
        <f aca="false">VLOOKUP(B142,Roster!$A$3:$B$18,2,FALSE())</f>
        <v>Player 9</v>
      </c>
      <c r="D142" s="13" t="s">
        <v>40</v>
      </c>
      <c r="E142" s="12" t="n">
        <v>12</v>
      </c>
      <c r="F142" s="12" t="str">
        <f aca="false">VLOOKUP(E142,Roster!$A$3:$B$18,2,FALSE())</f>
        <v>Player 12</v>
      </c>
    </row>
    <row r="143" customFormat="false" ht="15" hidden="false" customHeight="true" outlineLevel="0" collapsed="false">
      <c r="A143" s="12" t="n">
        <v>6</v>
      </c>
      <c r="B143" s="12" t="n">
        <v>10</v>
      </c>
      <c r="C143" s="12" t="str">
        <f aca="false">VLOOKUP(B143,Roster!$A$3:$B$18,2,FALSE())</f>
        <v>Player 10</v>
      </c>
      <c r="D143" s="13" t="s">
        <v>40</v>
      </c>
      <c r="E143" s="12" t="n">
        <v>11</v>
      </c>
      <c r="F143" s="12" t="str">
        <f aca="false">VLOOKUP(E143,Roster!$A$3:$B$18,2,FALSE())</f>
        <v>Player 11</v>
      </c>
    </row>
    <row r="144" customFormat="false" ht="15" hidden="false" customHeight="true" outlineLevel="0" collapsed="false">
      <c r="A144" s="12" t="n">
        <v>7</v>
      </c>
      <c r="B144" s="12" t="n">
        <v>13</v>
      </c>
      <c r="C144" s="12" t="str">
        <f aca="false">VLOOKUP(B144,Roster!$A$3:$B$18,2,FALSE())</f>
        <v>Player 13</v>
      </c>
      <c r="D144" s="13" t="s">
        <v>40</v>
      </c>
      <c r="E144" s="12" t="n">
        <v>16</v>
      </c>
      <c r="F144" s="12" t="str">
        <f aca="false">VLOOKUP(E144,Roster!$A$3:$B$18,2,FALSE())</f>
        <v>Player 16</v>
      </c>
    </row>
    <row r="145" customFormat="false" ht="15" hidden="false" customHeight="true" outlineLevel="0" collapsed="false">
      <c r="A145" s="12" t="n">
        <v>8</v>
      </c>
      <c r="B145" s="12" t="n">
        <v>14</v>
      </c>
      <c r="C145" s="12" t="str">
        <f aca="false">VLOOKUP(B145,Roster!$A$3:$B$18,2,FALSE())</f>
        <v>Player 14</v>
      </c>
      <c r="D145" s="13" t="s">
        <v>40</v>
      </c>
      <c r="E145" s="12" t="n">
        <v>15</v>
      </c>
      <c r="F145" s="12" t="str">
        <f aca="false">VLOOKUP(E145,Roster!$A$3:$B$18,2,FALSE())</f>
        <v>Player 15</v>
      </c>
    </row>
    <row r="147" customFormat="false" ht="15" hidden="false" customHeight="true" outlineLevel="0" collapsed="false">
      <c r="A147" s="10" t="s">
        <v>55</v>
      </c>
      <c r="B147" s="10"/>
      <c r="C147" s="10"/>
      <c r="D147" s="10"/>
      <c r="E147" s="10"/>
      <c r="F147" s="10"/>
    </row>
    <row r="148" customFormat="false" ht="15" hidden="false" customHeight="true" outlineLevel="0" collapsed="false">
      <c r="A148" s="11" t="s">
        <v>37</v>
      </c>
      <c r="B148" s="11" t="s">
        <v>38</v>
      </c>
      <c r="C148" s="11" t="s">
        <v>39</v>
      </c>
      <c r="D148" s="11" t="s">
        <v>40</v>
      </c>
      <c r="E148" s="11" t="s">
        <v>38</v>
      </c>
      <c r="F148" s="11" t="s">
        <v>39</v>
      </c>
    </row>
    <row r="149" customFormat="false" ht="15" hidden="false" customHeight="true" outlineLevel="0" collapsed="false">
      <c r="A149" s="12" t="n">
        <v>1</v>
      </c>
      <c r="B149" s="12" t="n">
        <v>1</v>
      </c>
      <c r="C149" s="12" t="str">
        <f aca="false">VLOOKUP(B149,Roster!$A$3:$B$18,2,FALSE())</f>
        <v>Player 1</v>
      </c>
      <c r="D149" s="13" t="s">
        <v>40</v>
      </c>
      <c r="E149" s="12" t="n">
        <v>3</v>
      </c>
      <c r="F149" s="12" t="str">
        <f aca="false">VLOOKUP(E149,Roster!$A$3:$B$18,2,FALSE())</f>
        <v>Player 3</v>
      </c>
    </row>
    <row r="150" customFormat="false" ht="15" hidden="false" customHeight="true" outlineLevel="0" collapsed="false">
      <c r="A150" s="12" t="n">
        <v>2</v>
      </c>
      <c r="B150" s="12" t="n">
        <v>4</v>
      </c>
      <c r="C150" s="12" t="str">
        <f aca="false">VLOOKUP(B150,Roster!$A$3:$B$18,2,FALSE())</f>
        <v>Player 4</v>
      </c>
      <c r="D150" s="13" t="s">
        <v>40</v>
      </c>
      <c r="E150" s="12" t="n">
        <v>2</v>
      </c>
      <c r="F150" s="12" t="str">
        <f aca="false">VLOOKUP(E150,Roster!$A$3:$B$18,2,FALSE())</f>
        <v>Player 2</v>
      </c>
    </row>
    <row r="151" customFormat="false" ht="15" hidden="false" customHeight="true" outlineLevel="0" collapsed="false">
      <c r="A151" s="12" t="n">
        <v>3</v>
      </c>
      <c r="B151" s="12" t="n">
        <v>5</v>
      </c>
      <c r="C151" s="12" t="str">
        <f aca="false">VLOOKUP(B151,Roster!$A$3:$B$18,2,FALSE())</f>
        <v>Player 5</v>
      </c>
      <c r="D151" s="13" t="s">
        <v>40</v>
      </c>
      <c r="E151" s="12" t="n">
        <v>7</v>
      </c>
      <c r="F151" s="12" t="str">
        <f aca="false">VLOOKUP(E151,Roster!$A$3:$B$18,2,FALSE())</f>
        <v>Player 7</v>
      </c>
    </row>
    <row r="152" customFormat="false" ht="15" hidden="false" customHeight="true" outlineLevel="0" collapsed="false">
      <c r="A152" s="12" t="n">
        <v>4</v>
      </c>
      <c r="B152" s="12" t="n">
        <v>8</v>
      </c>
      <c r="C152" s="12" t="str">
        <f aca="false">VLOOKUP(B152,Roster!$A$3:$B$18,2,FALSE())</f>
        <v>Player 8</v>
      </c>
      <c r="D152" s="13" t="s">
        <v>40</v>
      </c>
      <c r="E152" s="12" t="n">
        <v>6</v>
      </c>
      <c r="F152" s="12" t="str">
        <f aca="false">VLOOKUP(E152,Roster!$A$3:$B$18,2,FALSE())</f>
        <v>Player 6</v>
      </c>
    </row>
    <row r="153" customFormat="false" ht="15" hidden="false" customHeight="true" outlineLevel="0" collapsed="false">
      <c r="A153" s="12" t="n">
        <v>5</v>
      </c>
      <c r="B153" s="12" t="n">
        <v>9</v>
      </c>
      <c r="C153" s="12" t="str">
        <f aca="false">VLOOKUP(B153,Roster!$A$3:$B$18,2,FALSE())</f>
        <v>Player 9</v>
      </c>
      <c r="D153" s="13" t="s">
        <v>40</v>
      </c>
      <c r="E153" s="12" t="n">
        <v>11</v>
      </c>
      <c r="F153" s="12" t="str">
        <f aca="false">VLOOKUP(E153,Roster!$A$3:$B$18,2,FALSE())</f>
        <v>Player 11</v>
      </c>
    </row>
    <row r="154" customFormat="false" ht="15" hidden="false" customHeight="true" outlineLevel="0" collapsed="false">
      <c r="A154" s="12" t="n">
        <v>6</v>
      </c>
      <c r="B154" s="12" t="n">
        <v>12</v>
      </c>
      <c r="C154" s="12" t="str">
        <f aca="false">VLOOKUP(B154,Roster!$A$3:$B$18,2,FALSE())</f>
        <v>Player 12</v>
      </c>
      <c r="D154" s="13" t="s">
        <v>40</v>
      </c>
      <c r="E154" s="12" t="n">
        <v>10</v>
      </c>
      <c r="F154" s="12" t="str">
        <f aca="false">VLOOKUP(E154,Roster!$A$3:$B$18,2,FALSE())</f>
        <v>Player 10</v>
      </c>
    </row>
    <row r="155" customFormat="false" ht="15" hidden="false" customHeight="true" outlineLevel="0" collapsed="false">
      <c r="A155" s="12" t="n">
        <v>7</v>
      </c>
      <c r="B155" s="12" t="n">
        <v>13</v>
      </c>
      <c r="C155" s="12" t="str">
        <f aca="false">VLOOKUP(B155,Roster!$A$3:$B$18,2,FALSE())</f>
        <v>Player 13</v>
      </c>
      <c r="D155" s="13" t="s">
        <v>40</v>
      </c>
      <c r="E155" s="12" t="n">
        <v>15</v>
      </c>
      <c r="F155" s="12" t="str">
        <f aca="false">VLOOKUP(E155,Roster!$A$3:$B$18,2,FALSE())</f>
        <v>Player 15</v>
      </c>
    </row>
    <row r="156" customFormat="false" ht="15" hidden="false" customHeight="true" outlineLevel="0" collapsed="false">
      <c r="A156" s="12" t="n">
        <v>8</v>
      </c>
      <c r="B156" s="12" t="n">
        <v>16</v>
      </c>
      <c r="C156" s="12" t="str">
        <f aca="false">VLOOKUP(B156,Roster!$A$3:$B$18,2,FALSE())</f>
        <v>Player 16</v>
      </c>
      <c r="D156" s="13" t="s">
        <v>40</v>
      </c>
      <c r="E156" s="12" t="n">
        <v>14</v>
      </c>
      <c r="F156" s="12" t="str">
        <f aca="false">VLOOKUP(E156,Roster!$A$3:$B$18,2,FALSE())</f>
        <v>Player 14</v>
      </c>
    </row>
    <row r="158" customFormat="false" ht="15" hidden="false" customHeight="true" outlineLevel="0" collapsed="false">
      <c r="A158" s="10" t="s">
        <v>56</v>
      </c>
      <c r="B158" s="10"/>
      <c r="C158" s="10"/>
      <c r="D158" s="10"/>
      <c r="E158" s="10"/>
      <c r="F158" s="10"/>
    </row>
    <row r="159" customFormat="false" ht="15" hidden="false" customHeight="true" outlineLevel="0" collapsed="false">
      <c r="A159" s="11" t="s">
        <v>37</v>
      </c>
      <c r="B159" s="11" t="s">
        <v>38</v>
      </c>
      <c r="C159" s="11" t="s">
        <v>39</v>
      </c>
      <c r="D159" s="11" t="s">
        <v>40</v>
      </c>
      <c r="E159" s="11" t="s">
        <v>38</v>
      </c>
      <c r="F159" s="11" t="s">
        <v>39</v>
      </c>
    </row>
    <row r="160" customFormat="false" ht="15" hidden="false" customHeight="true" outlineLevel="0" collapsed="false">
      <c r="A160" s="12" t="n">
        <v>1</v>
      </c>
      <c r="B160" s="12" t="n">
        <v>1</v>
      </c>
      <c r="C160" s="12" t="str">
        <f aca="false">VLOOKUP(B160,Roster!$A$3:$B$18,2,FALSE())</f>
        <v>Player 1</v>
      </c>
      <c r="D160" s="13" t="s">
        <v>40</v>
      </c>
      <c r="E160" s="12" t="n">
        <v>2</v>
      </c>
      <c r="F160" s="12" t="str">
        <f aca="false">VLOOKUP(E160,Roster!$A$3:$B$18,2,FALSE())</f>
        <v>Player 2</v>
      </c>
    </row>
    <row r="161" customFormat="false" ht="15" hidden="false" customHeight="true" outlineLevel="0" collapsed="false">
      <c r="A161" s="12" t="n">
        <v>2</v>
      </c>
      <c r="B161" s="12" t="n">
        <v>3</v>
      </c>
      <c r="C161" s="12" t="str">
        <f aca="false">VLOOKUP(B161,Roster!$A$3:$B$18,2,FALSE())</f>
        <v>Player 3</v>
      </c>
      <c r="D161" s="13" t="s">
        <v>40</v>
      </c>
      <c r="E161" s="12" t="n">
        <v>4</v>
      </c>
      <c r="F161" s="12" t="str">
        <f aca="false">VLOOKUP(E161,Roster!$A$3:$B$18,2,FALSE())</f>
        <v>Player 4</v>
      </c>
    </row>
    <row r="162" customFormat="false" ht="15" hidden="false" customHeight="true" outlineLevel="0" collapsed="false">
      <c r="A162" s="12" t="n">
        <v>3</v>
      </c>
      <c r="B162" s="12" t="n">
        <v>5</v>
      </c>
      <c r="C162" s="12" t="str">
        <f aca="false">VLOOKUP(B162,Roster!$A$3:$B$18,2,FALSE())</f>
        <v>Player 5</v>
      </c>
      <c r="D162" s="13" t="s">
        <v>40</v>
      </c>
      <c r="E162" s="12" t="n">
        <v>6</v>
      </c>
      <c r="F162" s="12" t="str">
        <f aca="false">VLOOKUP(E162,Roster!$A$3:$B$18,2,FALSE())</f>
        <v>Player 6</v>
      </c>
    </row>
    <row r="163" customFormat="false" ht="15" hidden="false" customHeight="true" outlineLevel="0" collapsed="false">
      <c r="A163" s="12" t="n">
        <v>4</v>
      </c>
      <c r="B163" s="12" t="n">
        <v>7</v>
      </c>
      <c r="C163" s="12" t="str">
        <f aca="false">VLOOKUP(B163,Roster!$A$3:$B$18,2,FALSE())</f>
        <v>Player 7</v>
      </c>
      <c r="D163" s="13" t="s">
        <v>40</v>
      </c>
      <c r="E163" s="12" t="n">
        <v>8</v>
      </c>
      <c r="F163" s="12" t="str">
        <f aca="false">VLOOKUP(E163,Roster!$A$3:$B$18,2,FALSE())</f>
        <v>Player 8</v>
      </c>
    </row>
    <row r="164" customFormat="false" ht="15" hidden="false" customHeight="true" outlineLevel="0" collapsed="false">
      <c r="A164" s="12" t="n">
        <v>5</v>
      </c>
      <c r="B164" s="12" t="n">
        <v>9</v>
      </c>
      <c r="C164" s="12" t="str">
        <f aca="false">VLOOKUP(B164,Roster!$A$3:$B$18,2,FALSE())</f>
        <v>Player 9</v>
      </c>
      <c r="D164" s="13" t="s">
        <v>40</v>
      </c>
      <c r="E164" s="12" t="n">
        <v>10</v>
      </c>
      <c r="F164" s="12" t="str">
        <f aca="false">VLOOKUP(E164,Roster!$A$3:$B$18,2,FALSE())</f>
        <v>Player 10</v>
      </c>
    </row>
    <row r="165" customFormat="false" ht="15" hidden="false" customHeight="true" outlineLevel="0" collapsed="false">
      <c r="A165" s="12" t="n">
        <v>6</v>
      </c>
      <c r="B165" s="12" t="n">
        <v>11</v>
      </c>
      <c r="C165" s="12" t="str">
        <f aca="false">VLOOKUP(B165,Roster!$A$3:$B$18,2,FALSE())</f>
        <v>Player 11</v>
      </c>
      <c r="D165" s="13" t="s">
        <v>40</v>
      </c>
      <c r="E165" s="12" t="n">
        <v>12</v>
      </c>
      <c r="F165" s="12" t="str">
        <f aca="false">VLOOKUP(E165,Roster!$A$3:$B$18,2,FALSE())</f>
        <v>Player 12</v>
      </c>
    </row>
    <row r="166" customFormat="false" ht="15" hidden="false" customHeight="true" outlineLevel="0" collapsed="false">
      <c r="A166" s="12" t="n">
        <v>7</v>
      </c>
      <c r="B166" s="12" t="n">
        <v>13</v>
      </c>
      <c r="C166" s="12" t="str">
        <f aca="false">VLOOKUP(B166,Roster!$A$3:$B$18,2,FALSE())</f>
        <v>Player 13</v>
      </c>
      <c r="D166" s="13" t="s">
        <v>40</v>
      </c>
      <c r="E166" s="12" t="n">
        <v>14</v>
      </c>
      <c r="F166" s="12" t="str">
        <f aca="false">VLOOKUP(E166,Roster!$A$3:$B$18,2,FALSE())</f>
        <v>Player 14</v>
      </c>
    </row>
    <row r="167" customFormat="false" ht="15" hidden="false" customHeight="true" outlineLevel="0" collapsed="false">
      <c r="A167" s="12" t="n">
        <v>8</v>
      </c>
      <c r="B167" s="12" t="n">
        <v>15</v>
      </c>
      <c r="C167" s="12" t="str">
        <f aca="false">VLOOKUP(B167,Roster!$A$3:$B$18,2,FALSE())</f>
        <v>Player 15</v>
      </c>
      <c r="D167" s="13" t="s">
        <v>40</v>
      </c>
      <c r="E167" s="12" t="n">
        <v>16</v>
      </c>
      <c r="F167" s="12" t="str">
        <f aca="false">VLOOKUP(E167,Roster!$A$3:$B$18,2,FALSE())</f>
        <v>Player 16</v>
      </c>
    </row>
    <row r="169" customFormat="false" ht="15" hidden="false" customHeight="true" outlineLevel="0" collapsed="false">
      <c r="A169" s="10" t="s">
        <v>57</v>
      </c>
      <c r="B169" s="10"/>
      <c r="C169" s="10"/>
      <c r="D169" s="10"/>
      <c r="E169" s="10"/>
      <c r="F169" s="10"/>
    </row>
    <row r="170" customFormat="false" ht="15" hidden="false" customHeight="true" outlineLevel="0" collapsed="false">
      <c r="A170" s="11" t="s">
        <v>37</v>
      </c>
      <c r="B170" s="11" t="s">
        <v>38</v>
      </c>
      <c r="C170" s="11" t="s">
        <v>39</v>
      </c>
      <c r="D170" s="11" t="s">
        <v>40</v>
      </c>
      <c r="E170" s="11" t="s">
        <v>38</v>
      </c>
      <c r="F170" s="11" t="s">
        <v>39</v>
      </c>
    </row>
    <row r="171" customFormat="false" ht="15" hidden="false" customHeight="true" outlineLevel="0" collapsed="false">
      <c r="A171" s="12" t="n">
        <v>1</v>
      </c>
      <c r="B171" s="12" t="n">
        <v>1</v>
      </c>
      <c r="C171" s="12" t="str">
        <f aca="false">VLOOKUP(B171,Roster!$A$3:$B$18,2,FALSE())</f>
        <v>Player 1</v>
      </c>
      <c r="D171" s="13" t="s">
        <v>40</v>
      </c>
      <c r="E171" s="12" t="n">
        <v>4</v>
      </c>
      <c r="F171" s="12" t="str">
        <f aca="false">VLOOKUP(E171,Roster!$A$3:$B$18,2,FALSE())</f>
        <v>Player 4</v>
      </c>
    </row>
    <row r="172" customFormat="false" ht="15" hidden="false" customHeight="true" outlineLevel="0" collapsed="false">
      <c r="A172" s="12" t="n">
        <v>2</v>
      </c>
      <c r="B172" s="12" t="n">
        <v>2</v>
      </c>
      <c r="C172" s="12" t="str">
        <f aca="false">VLOOKUP(B172,Roster!$A$3:$B$18,2,FALSE())</f>
        <v>Player 2</v>
      </c>
      <c r="D172" s="13" t="s">
        <v>40</v>
      </c>
      <c r="E172" s="12" t="n">
        <v>3</v>
      </c>
      <c r="F172" s="12" t="str">
        <f aca="false">VLOOKUP(E172,Roster!$A$3:$B$18,2,FALSE())</f>
        <v>Player 3</v>
      </c>
    </row>
    <row r="173" customFormat="false" ht="15" hidden="false" customHeight="true" outlineLevel="0" collapsed="false">
      <c r="A173" s="12" t="n">
        <v>3</v>
      </c>
      <c r="B173" s="12" t="n">
        <v>5</v>
      </c>
      <c r="C173" s="12" t="str">
        <f aca="false">VLOOKUP(B173,Roster!$A$3:$B$18,2,FALSE())</f>
        <v>Player 5</v>
      </c>
      <c r="D173" s="13" t="s">
        <v>40</v>
      </c>
      <c r="E173" s="12" t="n">
        <v>8</v>
      </c>
      <c r="F173" s="12" t="str">
        <f aca="false">VLOOKUP(E173,Roster!$A$3:$B$18,2,FALSE())</f>
        <v>Player 8</v>
      </c>
    </row>
    <row r="174" customFormat="false" ht="15" hidden="false" customHeight="true" outlineLevel="0" collapsed="false">
      <c r="A174" s="12" t="n">
        <v>4</v>
      </c>
      <c r="B174" s="12" t="n">
        <v>6</v>
      </c>
      <c r="C174" s="12" t="str">
        <f aca="false">VLOOKUP(B174,Roster!$A$3:$B$18,2,FALSE())</f>
        <v>Player 6</v>
      </c>
      <c r="D174" s="13" t="s">
        <v>40</v>
      </c>
      <c r="E174" s="12" t="n">
        <v>7</v>
      </c>
      <c r="F174" s="12" t="str">
        <f aca="false">VLOOKUP(E174,Roster!$A$3:$B$18,2,FALSE())</f>
        <v>Player 7</v>
      </c>
    </row>
    <row r="175" customFormat="false" ht="15" hidden="false" customHeight="true" outlineLevel="0" collapsed="false">
      <c r="A175" s="12" t="n">
        <v>5</v>
      </c>
      <c r="B175" s="12" t="n">
        <v>9</v>
      </c>
      <c r="C175" s="12" t="str">
        <f aca="false">VLOOKUP(B175,Roster!$A$3:$B$18,2,FALSE())</f>
        <v>Player 9</v>
      </c>
      <c r="D175" s="13" t="s">
        <v>40</v>
      </c>
      <c r="E175" s="12" t="n">
        <v>12</v>
      </c>
      <c r="F175" s="12" t="str">
        <f aca="false">VLOOKUP(E175,Roster!$A$3:$B$18,2,FALSE())</f>
        <v>Player 12</v>
      </c>
    </row>
    <row r="176" customFormat="false" ht="15" hidden="false" customHeight="true" outlineLevel="0" collapsed="false">
      <c r="A176" s="12" t="n">
        <v>6</v>
      </c>
      <c r="B176" s="12" t="n">
        <v>10</v>
      </c>
      <c r="C176" s="12" t="str">
        <f aca="false">VLOOKUP(B176,Roster!$A$3:$B$18,2,FALSE())</f>
        <v>Player 10</v>
      </c>
      <c r="D176" s="13" t="s">
        <v>40</v>
      </c>
      <c r="E176" s="12" t="n">
        <v>11</v>
      </c>
      <c r="F176" s="12" t="str">
        <f aca="false">VLOOKUP(E176,Roster!$A$3:$B$18,2,FALSE())</f>
        <v>Player 11</v>
      </c>
    </row>
    <row r="177" customFormat="false" ht="15" hidden="false" customHeight="true" outlineLevel="0" collapsed="false">
      <c r="A177" s="12" t="n">
        <v>7</v>
      </c>
      <c r="B177" s="12" t="n">
        <v>13</v>
      </c>
      <c r="C177" s="12" t="str">
        <f aca="false">VLOOKUP(B177,Roster!$A$3:$B$18,2,FALSE())</f>
        <v>Player 13</v>
      </c>
      <c r="D177" s="13" t="s">
        <v>40</v>
      </c>
      <c r="E177" s="12" t="n">
        <v>16</v>
      </c>
      <c r="F177" s="12" t="str">
        <f aca="false">VLOOKUP(E177,Roster!$A$3:$B$18,2,FALSE())</f>
        <v>Player 16</v>
      </c>
    </row>
    <row r="178" customFormat="false" ht="15" hidden="false" customHeight="true" outlineLevel="0" collapsed="false">
      <c r="A178" s="12" t="n">
        <v>8</v>
      </c>
      <c r="B178" s="12" t="n">
        <v>14</v>
      </c>
      <c r="C178" s="12" t="str">
        <f aca="false">VLOOKUP(B178,Roster!$A$3:$B$18,2,FALSE())</f>
        <v>Player 14</v>
      </c>
      <c r="D178" s="13" t="s">
        <v>40</v>
      </c>
      <c r="E178" s="12" t="n">
        <v>15</v>
      </c>
      <c r="F178" s="12" t="str">
        <f aca="false">VLOOKUP(E178,Roster!$A$3:$B$18,2,FALSE())</f>
        <v>Player 15</v>
      </c>
    </row>
    <row r="180" customFormat="false" ht="15" hidden="false" customHeight="true" outlineLevel="0" collapsed="false">
      <c r="A180" s="10" t="s">
        <v>58</v>
      </c>
      <c r="B180" s="10"/>
      <c r="C180" s="10"/>
      <c r="D180" s="10"/>
      <c r="E180" s="10"/>
      <c r="F180" s="10"/>
    </row>
    <row r="181" customFormat="false" ht="15" hidden="false" customHeight="true" outlineLevel="0" collapsed="false">
      <c r="A181" s="11" t="s">
        <v>37</v>
      </c>
      <c r="B181" s="11" t="s">
        <v>38</v>
      </c>
      <c r="C181" s="11" t="s">
        <v>39</v>
      </c>
      <c r="D181" s="11" t="s">
        <v>40</v>
      </c>
      <c r="E181" s="11" t="s">
        <v>38</v>
      </c>
      <c r="F181" s="11" t="s">
        <v>39</v>
      </c>
    </row>
    <row r="182" customFormat="false" ht="15" hidden="false" customHeight="true" outlineLevel="0" collapsed="false">
      <c r="A182" s="12" t="n">
        <v>1</v>
      </c>
      <c r="B182" s="12" t="n">
        <v>1</v>
      </c>
      <c r="C182" s="12" t="str">
        <f aca="false">VLOOKUP(B182,Roster!$A$3:$B$18,2,FALSE())</f>
        <v>Player 1</v>
      </c>
      <c r="D182" s="13" t="s">
        <v>40</v>
      </c>
      <c r="E182" s="12" t="n">
        <v>3</v>
      </c>
      <c r="F182" s="12" t="str">
        <f aca="false">VLOOKUP(E182,Roster!$A$3:$B$18,2,FALSE())</f>
        <v>Player 3</v>
      </c>
    </row>
    <row r="183" customFormat="false" ht="15" hidden="false" customHeight="true" outlineLevel="0" collapsed="false">
      <c r="A183" s="12" t="n">
        <v>2</v>
      </c>
      <c r="B183" s="12" t="n">
        <v>4</v>
      </c>
      <c r="C183" s="12" t="str">
        <f aca="false">VLOOKUP(B183,Roster!$A$3:$B$18,2,FALSE())</f>
        <v>Player 4</v>
      </c>
      <c r="D183" s="13" t="s">
        <v>40</v>
      </c>
      <c r="E183" s="12" t="n">
        <v>2</v>
      </c>
      <c r="F183" s="12" t="str">
        <f aca="false">VLOOKUP(E183,Roster!$A$3:$B$18,2,FALSE())</f>
        <v>Player 2</v>
      </c>
    </row>
    <row r="184" customFormat="false" ht="15" hidden="false" customHeight="true" outlineLevel="0" collapsed="false">
      <c r="A184" s="12" t="n">
        <v>3</v>
      </c>
      <c r="B184" s="12" t="n">
        <v>5</v>
      </c>
      <c r="C184" s="12" t="str">
        <f aca="false">VLOOKUP(B184,Roster!$A$3:$B$18,2,FALSE())</f>
        <v>Player 5</v>
      </c>
      <c r="D184" s="13" t="s">
        <v>40</v>
      </c>
      <c r="E184" s="12" t="n">
        <v>7</v>
      </c>
      <c r="F184" s="12" t="str">
        <f aca="false">VLOOKUP(E184,Roster!$A$3:$B$18,2,FALSE())</f>
        <v>Player 7</v>
      </c>
    </row>
    <row r="185" customFormat="false" ht="15" hidden="false" customHeight="true" outlineLevel="0" collapsed="false">
      <c r="A185" s="12" t="n">
        <v>4</v>
      </c>
      <c r="B185" s="12" t="n">
        <v>8</v>
      </c>
      <c r="C185" s="12" t="str">
        <f aca="false">VLOOKUP(B185,Roster!$A$3:$B$18,2,FALSE())</f>
        <v>Player 8</v>
      </c>
      <c r="D185" s="13" t="s">
        <v>40</v>
      </c>
      <c r="E185" s="12" t="n">
        <v>6</v>
      </c>
      <c r="F185" s="12" t="str">
        <f aca="false">VLOOKUP(E185,Roster!$A$3:$B$18,2,FALSE())</f>
        <v>Player 6</v>
      </c>
    </row>
    <row r="186" customFormat="false" ht="15" hidden="false" customHeight="true" outlineLevel="0" collapsed="false">
      <c r="A186" s="12" t="n">
        <v>5</v>
      </c>
      <c r="B186" s="12" t="n">
        <v>9</v>
      </c>
      <c r="C186" s="12" t="str">
        <f aca="false">VLOOKUP(B186,Roster!$A$3:$B$18,2,FALSE())</f>
        <v>Player 9</v>
      </c>
      <c r="D186" s="13" t="s">
        <v>40</v>
      </c>
      <c r="E186" s="12" t="n">
        <v>11</v>
      </c>
      <c r="F186" s="12" t="str">
        <f aca="false">VLOOKUP(E186,Roster!$A$3:$B$18,2,FALSE())</f>
        <v>Player 11</v>
      </c>
    </row>
    <row r="187" customFormat="false" ht="15" hidden="false" customHeight="true" outlineLevel="0" collapsed="false">
      <c r="A187" s="12" t="n">
        <v>6</v>
      </c>
      <c r="B187" s="12" t="n">
        <v>12</v>
      </c>
      <c r="C187" s="12" t="str">
        <f aca="false">VLOOKUP(B187,Roster!$A$3:$B$18,2,FALSE())</f>
        <v>Player 12</v>
      </c>
      <c r="D187" s="13" t="s">
        <v>40</v>
      </c>
      <c r="E187" s="12" t="n">
        <v>10</v>
      </c>
      <c r="F187" s="12" t="str">
        <f aca="false">VLOOKUP(E187,Roster!$A$3:$B$18,2,FALSE())</f>
        <v>Player 10</v>
      </c>
    </row>
    <row r="188" customFormat="false" ht="15" hidden="false" customHeight="true" outlineLevel="0" collapsed="false">
      <c r="A188" s="12" t="n">
        <v>7</v>
      </c>
      <c r="B188" s="12" t="n">
        <v>13</v>
      </c>
      <c r="C188" s="12" t="str">
        <f aca="false">VLOOKUP(B188,Roster!$A$3:$B$18,2,FALSE())</f>
        <v>Player 13</v>
      </c>
      <c r="D188" s="13" t="s">
        <v>40</v>
      </c>
      <c r="E188" s="12" t="n">
        <v>15</v>
      </c>
      <c r="F188" s="12" t="str">
        <f aca="false">VLOOKUP(E188,Roster!$A$3:$B$18,2,FALSE())</f>
        <v>Player 15</v>
      </c>
    </row>
    <row r="189" customFormat="false" ht="15" hidden="false" customHeight="true" outlineLevel="0" collapsed="false">
      <c r="A189" s="12" t="n">
        <v>8</v>
      </c>
      <c r="B189" s="12" t="n">
        <v>16</v>
      </c>
      <c r="C189" s="12" t="str">
        <f aca="false">VLOOKUP(B189,Roster!$A$3:$B$18,2,FALSE())</f>
        <v>Player 16</v>
      </c>
      <c r="D189" s="13" t="s">
        <v>40</v>
      </c>
      <c r="E189" s="12" t="n">
        <v>14</v>
      </c>
      <c r="F189" s="12" t="str">
        <f aca="false">VLOOKUP(E189,Roster!$A$3:$B$18,2,FALSE())</f>
        <v>Player 14</v>
      </c>
    </row>
    <row r="191" customFormat="false" ht="15" hidden="false" customHeight="true" outlineLevel="0" collapsed="false">
      <c r="A191" s="10" t="s">
        <v>59</v>
      </c>
      <c r="B191" s="10"/>
      <c r="C191" s="10"/>
      <c r="D191" s="10"/>
      <c r="E191" s="10"/>
      <c r="F191" s="10"/>
    </row>
    <row r="192" customFormat="false" ht="15" hidden="false" customHeight="true" outlineLevel="0" collapsed="false">
      <c r="A192" s="11" t="s">
        <v>37</v>
      </c>
      <c r="B192" s="11" t="s">
        <v>38</v>
      </c>
      <c r="C192" s="11" t="s">
        <v>39</v>
      </c>
      <c r="D192" s="11" t="s">
        <v>40</v>
      </c>
      <c r="E192" s="11" t="s">
        <v>38</v>
      </c>
      <c r="F192" s="11" t="s">
        <v>39</v>
      </c>
    </row>
    <row r="193" customFormat="false" ht="15" hidden="false" customHeight="true" outlineLevel="0" collapsed="false">
      <c r="A193" s="12" t="n">
        <v>1</v>
      </c>
      <c r="B193" s="12" t="n">
        <v>1</v>
      </c>
      <c r="C193" s="12" t="str">
        <f aca="false">VLOOKUP(B193,Roster!$A$3:$B$18,2,FALSE())</f>
        <v>Player 1</v>
      </c>
      <c r="D193" s="13" t="s">
        <v>40</v>
      </c>
      <c r="E193" s="12" t="n">
        <v>2</v>
      </c>
      <c r="F193" s="12" t="str">
        <f aca="false">VLOOKUP(E193,Roster!$A$3:$B$18,2,FALSE())</f>
        <v>Player 2</v>
      </c>
    </row>
    <row r="194" customFormat="false" ht="15" hidden="false" customHeight="true" outlineLevel="0" collapsed="false">
      <c r="A194" s="12" t="n">
        <v>2</v>
      </c>
      <c r="B194" s="12" t="n">
        <v>3</v>
      </c>
      <c r="C194" s="12" t="str">
        <f aca="false">VLOOKUP(B194,Roster!$A$3:$B$18,2,FALSE())</f>
        <v>Player 3</v>
      </c>
      <c r="D194" s="13" t="s">
        <v>40</v>
      </c>
      <c r="E194" s="12" t="n">
        <v>4</v>
      </c>
      <c r="F194" s="12" t="str">
        <f aca="false">VLOOKUP(E194,Roster!$A$3:$B$18,2,FALSE())</f>
        <v>Player 4</v>
      </c>
    </row>
    <row r="195" customFormat="false" ht="15" hidden="false" customHeight="true" outlineLevel="0" collapsed="false">
      <c r="A195" s="12" t="n">
        <v>3</v>
      </c>
      <c r="B195" s="12" t="n">
        <v>5</v>
      </c>
      <c r="C195" s="12" t="str">
        <f aca="false">VLOOKUP(B195,Roster!$A$3:$B$18,2,FALSE())</f>
        <v>Player 5</v>
      </c>
      <c r="D195" s="13" t="s">
        <v>40</v>
      </c>
      <c r="E195" s="12" t="n">
        <v>6</v>
      </c>
      <c r="F195" s="12" t="str">
        <f aca="false">VLOOKUP(E195,Roster!$A$3:$B$18,2,FALSE())</f>
        <v>Player 6</v>
      </c>
    </row>
    <row r="196" customFormat="false" ht="15" hidden="false" customHeight="true" outlineLevel="0" collapsed="false">
      <c r="A196" s="12" t="n">
        <v>4</v>
      </c>
      <c r="B196" s="12" t="n">
        <v>7</v>
      </c>
      <c r="C196" s="12" t="str">
        <f aca="false">VLOOKUP(B196,Roster!$A$3:$B$18,2,FALSE())</f>
        <v>Player 7</v>
      </c>
      <c r="D196" s="13" t="s">
        <v>40</v>
      </c>
      <c r="E196" s="12" t="n">
        <v>8</v>
      </c>
      <c r="F196" s="12" t="str">
        <f aca="false">VLOOKUP(E196,Roster!$A$3:$B$18,2,FALSE())</f>
        <v>Player 8</v>
      </c>
    </row>
    <row r="197" customFormat="false" ht="15" hidden="false" customHeight="true" outlineLevel="0" collapsed="false">
      <c r="A197" s="12" t="n">
        <v>5</v>
      </c>
      <c r="B197" s="12" t="n">
        <v>9</v>
      </c>
      <c r="C197" s="12" t="str">
        <f aca="false">VLOOKUP(B197,Roster!$A$3:$B$18,2,FALSE())</f>
        <v>Player 9</v>
      </c>
      <c r="D197" s="13" t="s">
        <v>40</v>
      </c>
      <c r="E197" s="12" t="n">
        <v>10</v>
      </c>
      <c r="F197" s="12" t="str">
        <f aca="false">VLOOKUP(E197,Roster!$A$3:$B$18,2,FALSE())</f>
        <v>Player 10</v>
      </c>
    </row>
    <row r="198" customFormat="false" ht="15" hidden="false" customHeight="true" outlineLevel="0" collapsed="false">
      <c r="A198" s="12" t="n">
        <v>6</v>
      </c>
      <c r="B198" s="12" t="n">
        <v>11</v>
      </c>
      <c r="C198" s="12" t="str">
        <f aca="false">VLOOKUP(B198,Roster!$A$3:$B$18,2,FALSE())</f>
        <v>Player 11</v>
      </c>
      <c r="D198" s="13" t="s">
        <v>40</v>
      </c>
      <c r="E198" s="12" t="n">
        <v>12</v>
      </c>
      <c r="F198" s="12" t="str">
        <f aca="false">VLOOKUP(E198,Roster!$A$3:$B$18,2,FALSE())</f>
        <v>Player 12</v>
      </c>
    </row>
    <row r="199" customFormat="false" ht="15" hidden="false" customHeight="true" outlineLevel="0" collapsed="false">
      <c r="A199" s="12" t="n">
        <v>7</v>
      </c>
      <c r="B199" s="12" t="n">
        <v>13</v>
      </c>
      <c r="C199" s="12" t="str">
        <f aca="false">VLOOKUP(B199,Roster!$A$3:$B$18,2,FALSE())</f>
        <v>Player 13</v>
      </c>
      <c r="D199" s="13" t="s">
        <v>40</v>
      </c>
      <c r="E199" s="12" t="n">
        <v>14</v>
      </c>
      <c r="F199" s="12" t="str">
        <f aca="false">VLOOKUP(E199,Roster!$A$3:$B$18,2,FALSE())</f>
        <v>Player 14</v>
      </c>
    </row>
    <row r="200" customFormat="false" ht="15" hidden="false" customHeight="true" outlineLevel="0" collapsed="false">
      <c r="A200" s="12" t="n">
        <v>8</v>
      </c>
      <c r="B200" s="12" t="n">
        <v>15</v>
      </c>
      <c r="C200" s="12" t="str">
        <f aca="false">VLOOKUP(B200,Roster!$A$3:$B$18,2,FALSE())</f>
        <v>Player 15</v>
      </c>
      <c r="D200" s="13" t="s">
        <v>40</v>
      </c>
      <c r="E200" s="12" t="n">
        <v>16</v>
      </c>
      <c r="F200" s="12" t="str">
        <f aca="false">VLOOKUP(E200,Roster!$A$3:$B$18,2,FALSE())</f>
        <v>Player 16</v>
      </c>
    </row>
  </sheetData>
  <mergeCells count="21">
    <mergeCell ref="A1:F1"/>
    <mergeCell ref="A2:F2"/>
    <mergeCell ref="A13:F13"/>
    <mergeCell ref="A24:F24"/>
    <mergeCell ref="A35:F35"/>
    <mergeCell ref="A46:F46"/>
    <mergeCell ref="A57:F57"/>
    <mergeCell ref="A68:F68"/>
    <mergeCell ref="A69:F69"/>
    <mergeCell ref="A80:F80"/>
    <mergeCell ref="A91:F91"/>
    <mergeCell ref="A102:F102"/>
    <mergeCell ref="A113:F113"/>
    <mergeCell ref="A124:F124"/>
    <mergeCell ref="A135:F135"/>
    <mergeCell ref="A136:F136"/>
    <mergeCell ref="A147:F147"/>
    <mergeCell ref="A158:F158"/>
    <mergeCell ref="A169:F169"/>
    <mergeCell ref="A180:F180"/>
    <mergeCell ref="A191:F19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D6A4F"/>
    <pageSetUpPr fitToPage="false"/>
  </sheetPr>
  <dimension ref="A1:I11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O12" activeCellId="0" sqref="O12"/>
    </sheetView>
  </sheetViews>
  <sheetFormatPr defaultColWidth="8.71484375" defaultRowHeight="15" zeroHeight="false" outlineLevelRow="0" outlineLevelCol="0"/>
  <cols>
    <col collapsed="false" customWidth="true" hidden="false" outlineLevel="0" max="9" min="1" style="0" width="15"/>
  </cols>
  <sheetData>
    <row r="1" customFormat="false" ht="17.25" hidden="false" customHeight="true" outlineLevel="0" collapsed="false">
      <c r="A1" s="1" t="s">
        <v>60</v>
      </c>
      <c r="B1" s="1"/>
      <c r="C1" s="1"/>
      <c r="D1" s="1"/>
      <c r="E1" s="1"/>
      <c r="F1" s="1"/>
      <c r="G1" s="1"/>
      <c r="H1" s="1"/>
      <c r="I1" s="1"/>
    </row>
    <row r="2" customFormat="false" ht="15" hidden="false" customHeight="true" outlineLevel="0" collapsed="false">
      <c r="A2" s="14" t="s">
        <v>61</v>
      </c>
    </row>
    <row r="4" customFormat="false" ht="15" hidden="false" customHeight="true" outlineLevel="0" collapsed="false">
      <c r="A4" s="15" t="s">
        <v>62</v>
      </c>
      <c r="B4" s="15"/>
      <c r="C4" s="15"/>
      <c r="D4" s="15"/>
      <c r="E4" s="15"/>
      <c r="F4" s="15"/>
      <c r="G4" s="15"/>
      <c r="H4" s="15"/>
      <c r="I4" s="15"/>
    </row>
    <row r="5" customFormat="false" ht="15" hidden="false" customHeight="true" outlineLevel="0" collapsed="false">
      <c r="A5" s="16" t="s">
        <v>1</v>
      </c>
      <c r="B5" s="16" t="s">
        <v>2</v>
      </c>
      <c r="C5" s="16" t="s">
        <v>63</v>
      </c>
      <c r="D5" s="16" t="s">
        <v>64</v>
      </c>
      <c r="E5" s="16" t="s">
        <v>65</v>
      </c>
      <c r="F5" s="16" t="s">
        <v>66</v>
      </c>
      <c r="G5" s="16" t="s">
        <v>67</v>
      </c>
      <c r="H5" s="16" t="s">
        <v>68</v>
      </c>
      <c r="I5" s="16" t="s">
        <v>69</v>
      </c>
    </row>
    <row r="6" customFormat="false" ht="15" hidden="false" customHeight="true" outlineLevel="0" collapsed="false">
      <c r="A6" s="3" t="n">
        <v>1</v>
      </c>
      <c r="B6" s="17" t="str">
        <f aca="false">VLOOKUP(A6,Roster!$A$3:$B$18,2,FALSE())</f>
        <v>Player 1</v>
      </c>
      <c r="C6" s="18" t="n">
        <v>8</v>
      </c>
      <c r="D6" s="12" t="n">
        <v>5</v>
      </c>
      <c r="E6" s="12" t="n">
        <f aca="false">C10</f>
        <v>0</v>
      </c>
      <c r="F6" s="3" t="str">
        <f aca="false">IF(AND(C6=0,E6=0),"-",IF(C6&gt;E6,"W",IF(C6&lt;E6,"L","T")))</f>
        <v>W</v>
      </c>
      <c r="G6" s="3" t="n">
        <f aca="false">IF(F6="W",6,IF(F6="T",3,0))</f>
        <v>6</v>
      </c>
      <c r="H6" s="3" t="n">
        <f aca="false">C6</f>
        <v>8</v>
      </c>
      <c r="I6" s="19" t="n">
        <f aca="false">G6+H6</f>
        <v>14</v>
      </c>
    </row>
    <row r="7" customFormat="false" ht="15" hidden="false" customHeight="true" outlineLevel="0" collapsed="false">
      <c r="A7" s="3" t="n">
        <v>2</v>
      </c>
      <c r="B7" s="17" t="str">
        <f aca="false">VLOOKUP(A7,Roster!$A$3:$B$18,2,FALSE())</f>
        <v>Player 2</v>
      </c>
      <c r="C7" s="18"/>
      <c r="D7" s="12" t="n">
        <v>6</v>
      </c>
      <c r="E7" s="12" t="n">
        <f aca="false">C11</f>
        <v>0</v>
      </c>
      <c r="F7" s="3" t="str">
        <f aca="false">IF(AND(C7=0,E7=0),"-",IF(C7&gt;E7,"W",IF(C7&lt;E7,"L","T")))</f>
        <v>-</v>
      </c>
      <c r="G7" s="3" t="n">
        <f aca="false">IF(F7="W",6,IF(F7="T",3,0))</f>
        <v>0</v>
      </c>
      <c r="H7" s="3" t="n">
        <f aca="false">C7</f>
        <v>0</v>
      </c>
      <c r="I7" s="19" t="n">
        <f aca="false">G7+H7</f>
        <v>0</v>
      </c>
    </row>
    <row r="8" customFormat="false" ht="15" hidden="false" customHeight="true" outlineLevel="0" collapsed="false">
      <c r="A8" s="3" t="n">
        <v>3</v>
      </c>
      <c r="B8" s="17" t="str">
        <f aca="false">VLOOKUP(A8,Roster!$A$3:$B$18,2,FALSE())</f>
        <v>Player 3</v>
      </c>
      <c r="C8" s="18"/>
      <c r="D8" s="12" t="n">
        <v>7</v>
      </c>
      <c r="E8" s="12" t="n">
        <f aca="false">C12</f>
        <v>0</v>
      </c>
      <c r="F8" s="3" t="str">
        <f aca="false">IF(AND(C8=0,E8=0),"-",IF(C8&gt;E8,"W",IF(C8&lt;E8,"L","T")))</f>
        <v>-</v>
      </c>
      <c r="G8" s="3" t="n">
        <f aca="false">IF(F8="W",6,IF(F8="T",3,0))</f>
        <v>0</v>
      </c>
      <c r="H8" s="3" t="n">
        <f aca="false">C8</f>
        <v>0</v>
      </c>
      <c r="I8" s="19" t="n">
        <f aca="false">G8+H8</f>
        <v>0</v>
      </c>
    </row>
    <row r="9" customFormat="false" ht="15" hidden="false" customHeight="true" outlineLevel="0" collapsed="false">
      <c r="A9" s="3" t="n">
        <v>4</v>
      </c>
      <c r="B9" s="17" t="str">
        <f aca="false">VLOOKUP(A9,Roster!$A$3:$B$18,2,FALSE())</f>
        <v>Player 4</v>
      </c>
      <c r="C9" s="18"/>
      <c r="D9" s="12" t="n">
        <v>8</v>
      </c>
      <c r="E9" s="12" t="n">
        <f aca="false">C13</f>
        <v>0</v>
      </c>
      <c r="F9" s="3" t="str">
        <f aca="false">IF(AND(C9=0,E9=0),"-",IF(C9&gt;E9,"W",IF(C9&lt;E9,"L","T")))</f>
        <v>-</v>
      </c>
      <c r="G9" s="3" t="n">
        <f aca="false">IF(F9="W",6,IF(F9="T",3,0))</f>
        <v>0</v>
      </c>
      <c r="H9" s="3" t="n">
        <f aca="false">C9</f>
        <v>0</v>
      </c>
      <c r="I9" s="19" t="n">
        <f aca="false">G9+H9</f>
        <v>0</v>
      </c>
    </row>
    <row r="10" customFormat="false" ht="15" hidden="false" customHeight="true" outlineLevel="0" collapsed="false">
      <c r="A10" s="3" t="n">
        <v>5</v>
      </c>
      <c r="B10" s="17" t="str">
        <f aca="false">VLOOKUP(A10,Roster!$A$3:$B$18,2,FALSE())</f>
        <v>Player 5</v>
      </c>
      <c r="C10" s="18"/>
      <c r="D10" s="12" t="n">
        <v>1</v>
      </c>
      <c r="E10" s="12" t="n">
        <f aca="false">C6</f>
        <v>8</v>
      </c>
      <c r="F10" s="3" t="str">
        <f aca="false">IF(AND(C10=0,E10=0),"-",IF(C10&gt;E10,"W",IF(C10&lt;E10,"L","T")))</f>
        <v>L</v>
      </c>
      <c r="G10" s="3" t="n">
        <f aca="false">IF(F10="W",6,IF(F10="T",3,0))</f>
        <v>0</v>
      </c>
      <c r="H10" s="3" t="n">
        <f aca="false">C10</f>
        <v>0</v>
      </c>
      <c r="I10" s="19" t="n">
        <f aca="false">G10+H10</f>
        <v>0</v>
      </c>
    </row>
    <row r="11" customFormat="false" ht="15" hidden="false" customHeight="true" outlineLevel="0" collapsed="false">
      <c r="A11" s="3" t="n">
        <v>6</v>
      </c>
      <c r="B11" s="17" t="str">
        <f aca="false">VLOOKUP(A11,Roster!$A$3:$B$18,2,FALSE())</f>
        <v>Player 6</v>
      </c>
      <c r="C11" s="18"/>
      <c r="D11" s="12" t="n">
        <v>2</v>
      </c>
      <c r="E11" s="12" t="n">
        <f aca="false">C7</f>
        <v>0</v>
      </c>
      <c r="F11" s="3" t="str">
        <f aca="false">IF(AND(C11=0,E11=0),"-",IF(C11&gt;E11,"W",IF(C11&lt;E11,"L","T")))</f>
        <v>-</v>
      </c>
      <c r="G11" s="3" t="n">
        <f aca="false">IF(F11="W",6,IF(F11="T",3,0))</f>
        <v>0</v>
      </c>
      <c r="H11" s="3" t="n">
        <f aca="false">C11</f>
        <v>0</v>
      </c>
      <c r="I11" s="19" t="n">
        <f aca="false">G11+H11</f>
        <v>0</v>
      </c>
    </row>
    <row r="12" customFormat="false" ht="15" hidden="false" customHeight="true" outlineLevel="0" collapsed="false">
      <c r="A12" s="3" t="n">
        <v>7</v>
      </c>
      <c r="B12" s="17" t="str">
        <f aca="false">VLOOKUP(A12,Roster!$A$3:$B$18,2,FALSE())</f>
        <v>Player 7</v>
      </c>
      <c r="C12" s="18"/>
      <c r="D12" s="12" t="n">
        <v>3</v>
      </c>
      <c r="E12" s="12" t="n">
        <f aca="false">C8</f>
        <v>0</v>
      </c>
      <c r="F12" s="3" t="str">
        <f aca="false">IF(AND(C12=0,E12=0),"-",IF(C12&gt;E12,"W",IF(C12&lt;E12,"L","T")))</f>
        <v>-</v>
      </c>
      <c r="G12" s="3" t="n">
        <f aca="false">IF(F12="W",6,IF(F12="T",3,0))</f>
        <v>0</v>
      </c>
      <c r="H12" s="3" t="n">
        <f aca="false">C12</f>
        <v>0</v>
      </c>
      <c r="I12" s="19" t="n">
        <f aca="false">G12+H12</f>
        <v>0</v>
      </c>
    </row>
    <row r="13" customFormat="false" ht="15" hidden="false" customHeight="true" outlineLevel="0" collapsed="false">
      <c r="A13" s="3" t="n">
        <v>8</v>
      </c>
      <c r="B13" s="17" t="str">
        <f aca="false">VLOOKUP(A13,Roster!$A$3:$B$18,2,FALSE())</f>
        <v>Player 8</v>
      </c>
      <c r="C13" s="18"/>
      <c r="D13" s="12" t="n">
        <v>4</v>
      </c>
      <c r="E13" s="12" t="n">
        <f aca="false">C9</f>
        <v>0</v>
      </c>
      <c r="F13" s="3" t="str">
        <f aca="false">IF(AND(C13=0,E13=0),"-",IF(C13&gt;E13,"W",IF(C13&lt;E13,"L","T")))</f>
        <v>-</v>
      </c>
      <c r="G13" s="3" t="n">
        <f aca="false">IF(F13="W",6,IF(F13="T",3,0))</f>
        <v>0</v>
      </c>
      <c r="H13" s="3" t="n">
        <f aca="false">C13</f>
        <v>0</v>
      </c>
      <c r="I13" s="19" t="n">
        <f aca="false">G13+H13</f>
        <v>0</v>
      </c>
    </row>
    <row r="14" customFormat="false" ht="15" hidden="false" customHeight="true" outlineLevel="0" collapsed="false">
      <c r="A14" s="3" t="n">
        <v>9</v>
      </c>
      <c r="B14" s="17" t="str">
        <f aca="false">VLOOKUP(A14,Roster!$A$3:$B$18,2,FALSE())</f>
        <v>Player 9</v>
      </c>
      <c r="C14" s="18"/>
      <c r="D14" s="12" t="n">
        <v>13</v>
      </c>
      <c r="E14" s="12" t="n">
        <f aca="false">C18</f>
        <v>0</v>
      </c>
      <c r="F14" s="3" t="str">
        <f aca="false">IF(AND(C14=0,E14=0),"-",IF(C14&gt;E14,"W",IF(C14&lt;E14,"L","T")))</f>
        <v>-</v>
      </c>
      <c r="G14" s="3" t="n">
        <f aca="false">IF(F14="W",6,IF(F14="T",3,0))</f>
        <v>0</v>
      </c>
      <c r="H14" s="3" t="n">
        <f aca="false">C14</f>
        <v>0</v>
      </c>
      <c r="I14" s="19" t="n">
        <f aca="false">G14+H14</f>
        <v>0</v>
      </c>
    </row>
    <row r="15" customFormat="false" ht="15" hidden="false" customHeight="true" outlineLevel="0" collapsed="false">
      <c r="A15" s="3" t="n">
        <v>10</v>
      </c>
      <c r="B15" s="17" t="str">
        <f aca="false">VLOOKUP(A15,Roster!$A$3:$B$18,2,FALSE())</f>
        <v>Player 10</v>
      </c>
      <c r="C15" s="18"/>
      <c r="D15" s="12" t="n">
        <v>14</v>
      </c>
      <c r="E15" s="12" t="n">
        <f aca="false">C19</f>
        <v>0</v>
      </c>
      <c r="F15" s="3" t="str">
        <f aca="false">IF(AND(C15=0,E15=0),"-",IF(C15&gt;E15,"W",IF(C15&lt;E15,"L","T")))</f>
        <v>-</v>
      </c>
      <c r="G15" s="3" t="n">
        <f aca="false">IF(F15="W",6,IF(F15="T",3,0))</f>
        <v>0</v>
      </c>
      <c r="H15" s="3" t="n">
        <f aca="false">C15</f>
        <v>0</v>
      </c>
      <c r="I15" s="19" t="n">
        <f aca="false">G15+H15</f>
        <v>0</v>
      </c>
    </row>
    <row r="16" customFormat="false" ht="15" hidden="false" customHeight="true" outlineLevel="0" collapsed="false">
      <c r="A16" s="3" t="n">
        <v>11</v>
      </c>
      <c r="B16" s="17" t="str">
        <f aca="false">VLOOKUP(A16,Roster!$A$3:$B$18,2,FALSE())</f>
        <v>Player 11</v>
      </c>
      <c r="C16" s="18"/>
      <c r="D16" s="12" t="n">
        <v>15</v>
      </c>
      <c r="E16" s="12" t="n">
        <f aca="false">C20</f>
        <v>0</v>
      </c>
      <c r="F16" s="3" t="str">
        <f aca="false">IF(AND(C16=0,E16=0),"-",IF(C16&gt;E16,"W",IF(C16&lt;E16,"L","T")))</f>
        <v>-</v>
      </c>
      <c r="G16" s="3" t="n">
        <f aca="false">IF(F16="W",6,IF(F16="T",3,0))</f>
        <v>0</v>
      </c>
      <c r="H16" s="3" t="n">
        <f aca="false">C16</f>
        <v>0</v>
      </c>
      <c r="I16" s="19" t="n">
        <f aca="false">G16+H16</f>
        <v>0</v>
      </c>
    </row>
    <row r="17" customFormat="false" ht="15" hidden="false" customHeight="true" outlineLevel="0" collapsed="false">
      <c r="A17" s="3" t="n">
        <v>12</v>
      </c>
      <c r="B17" s="17" t="str">
        <f aca="false">VLOOKUP(A17,Roster!$A$3:$B$18,2,FALSE())</f>
        <v>Player 12</v>
      </c>
      <c r="C17" s="18"/>
      <c r="D17" s="12" t="n">
        <v>16</v>
      </c>
      <c r="E17" s="12" t="n">
        <f aca="false">C21</f>
        <v>0</v>
      </c>
      <c r="F17" s="3" t="str">
        <f aca="false">IF(AND(C17=0,E17=0),"-",IF(C17&gt;E17,"W",IF(C17&lt;E17,"L","T")))</f>
        <v>-</v>
      </c>
      <c r="G17" s="3" t="n">
        <f aca="false">IF(F17="W",6,IF(F17="T",3,0))</f>
        <v>0</v>
      </c>
      <c r="H17" s="3" t="n">
        <f aca="false">C17</f>
        <v>0</v>
      </c>
      <c r="I17" s="19" t="n">
        <f aca="false">G17+H17</f>
        <v>0</v>
      </c>
    </row>
    <row r="18" customFormat="false" ht="15" hidden="false" customHeight="true" outlineLevel="0" collapsed="false">
      <c r="A18" s="3" t="n">
        <v>13</v>
      </c>
      <c r="B18" s="17" t="str">
        <f aca="false">VLOOKUP(A18,Roster!$A$3:$B$18,2,FALSE())</f>
        <v>Player 13</v>
      </c>
      <c r="C18" s="18"/>
      <c r="D18" s="12" t="n">
        <v>9</v>
      </c>
      <c r="E18" s="12" t="n">
        <f aca="false">C14</f>
        <v>0</v>
      </c>
      <c r="F18" s="3" t="str">
        <f aca="false">IF(AND(C18=0,E18=0),"-",IF(C18&gt;E18,"W",IF(C18&lt;E18,"L","T")))</f>
        <v>-</v>
      </c>
      <c r="G18" s="3" t="n">
        <f aca="false">IF(F18="W",6,IF(F18="T",3,0))</f>
        <v>0</v>
      </c>
      <c r="H18" s="3" t="n">
        <f aca="false">C18</f>
        <v>0</v>
      </c>
      <c r="I18" s="19" t="n">
        <f aca="false">G18+H18</f>
        <v>0</v>
      </c>
    </row>
    <row r="19" customFormat="false" ht="15" hidden="false" customHeight="true" outlineLevel="0" collapsed="false">
      <c r="A19" s="3" t="n">
        <v>14</v>
      </c>
      <c r="B19" s="17" t="str">
        <f aca="false">VLOOKUP(A19,Roster!$A$3:$B$18,2,FALSE())</f>
        <v>Player 14</v>
      </c>
      <c r="C19" s="18"/>
      <c r="D19" s="12" t="n">
        <v>10</v>
      </c>
      <c r="E19" s="12" t="n">
        <f aca="false">C15</f>
        <v>0</v>
      </c>
      <c r="F19" s="3" t="str">
        <f aca="false">IF(AND(C19=0,E19=0),"-",IF(C19&gt;E19,"W",IF(C19&lt;E19,"L","T")))</f>
        <v>-</v>
      </c>
      <c r="G19" s="3" t="n">
        <f aca="false">IF(F19="W",6,IF(F19="T",3,0))</f>
        <v>0</v>
      </c>
      <c r="H19" s="3" t="n">
        <f aca="false">C19</f>
        <v>0</v>
      </c>
      <c r="I19" s="19" t="n">
        <f aca="false">G19+H19</f>
        <v>0</v>
      </c>
    </row>
    <row r="20" customFormat="false" ht="15" hidden="false" customHeight="true" outlineLevel="0" collapsed="false">
      <c r="A20" s="3" t="n">
        <v>15</v>
      </c>
      <c r="B20" s="17" t="str">
        <f aca="false">VLOOKUP(A20,Roster!$A$3:$B$18,2,FALSE())</f>
        <v>Player 15</v>
      </c>
      <c r="C20" s="18"/>
      <c r="D20" s="12" t="n">
        <v>11</v>
      </c>
      <c r="E20" s="12" t="n">
        <f aca="false">C16</f>
        <v>0</v>
      </c>
      <c r="F20" s="3" t="str">
        <f aca="false">IF(AND(C20=0,E20=0),"-",IF(C20&gt;E20,"W",IF(C20&lt;E20,"L","T")))</f>
        <v>-</v>
      </c>
      <c r="G20" s="3" t="n">
        <f aca="false">IF(F20="W",6,IF(F20="T",3,0))</f>
        <v>0</v>
      </c>
      <c r="H20" s="3" t="n">
        <f aca="false">C20</f>
        <v>0</v>
      </c>
      <c r="I20" s="19" t="n">
        <f aca="false">G20+H20</f>
        <v>0</v>
      </c>
    </row>
    <row r="21" customFormat="false" ht="15" hidden="false" customHeight="true" outlineLevel="0" collapsed="false">
      <c r="A21" s="3" t="n">
        <v>16</v>
      </c>
      <c r="B21" s="17" t="str">
        <f aca="false">VLOOKUP(A21,Roster!$A$3:$B$18,2,FALSE())</f>
        <v>Player 16</v>
      </c>
      <c r="C21" s="18"/>
      <c r="D21" s="12" t="n">
        <v>12</v>
      </c>
      <c r="E21" s="12" t="n">
        <f aca="false">C17</f>
        <v>0</v>
      </c>
      <c r="F21" s="3" t="str">
        <f aca="false">IF(AND(C21=0,E21=0),"-",IF(C21&gt;E21,"W",IF(C21&lt;E21,"L","T")))</f>
        <v>-</v>
      </c>
      <c r="G21" s="3" t="n">
        <f aca="false">IF(F21="W",6,IF(F21="T",3,0))</f>
        <v>0</v>
      </c>
      <c r="H21" s="3" t="n">
        <f aca="false">C21</f>
        <v>0</v>
      </c>
      <c r="I21" s="19" t="n">
        <f aca="false">G21+H21</f>
        <v>0</v>
      </c>
    </row>
    <row r="23" customFormat="false" ht="15" hidden="false" customHeight="true" outlineLevel="0" collapsed="false">
      <c r="A23" s="15" t="s">
        <v>70</v>
      </c>
      <c r="B23" s="15"/>
      <c r="C23" s="15"/>
      <c r="D23" s="15"/>
      <c r="E23" s="15"/>
      <c r="F23" s="15"/>
      <c r="G23" s="15"/>
      <c r="H23" s="15"/>
      <c r="I23" s="15"/>
    </row>
    <row r="24" customFormat="false" ht="15" hidden="false" customHeight="true" outlineLevel="0" collapsed="false">
      <c r="A24" s="16" t="s">
        <v>1</v>
      </c>
      <c r="B24" s="16" t="s">
        <v>2</v>
      </c>
      <c r="C24" s="16" t="s">
        <v>63</v>
      </c>
      <c r="D24" s="16" t="s">
        <v>64</v>
      </c>
      <c r="E24" s="16" t="s">
        <v>65</v>
      </c>
      <c r="F24" s="16" t="s">
        <v>66</v>
      </c>
      <c r="G24" s="16" t="s">
        <v>67</v>
      </c>
      <c r="H24" s="16" t="s">
        <v>68</v>
      </c>
      <c r="I24" s="16" t="s">
        <v>69</v>
      </c>
    </row>
    <row r="25" customFormat="false" ht="15" hidden="false" customHeight="true" outlineLevel="0" collapsed="false">
      <c r="A25" s="3" t="n">
        <v>1</v>
      </c>
      <c r="B25" s="17" t="str">
        <f aca="false">VLOOKUP(A25,Roster!$A$3:$B$18,2,FALSE())</f>
        <v>Player 1</v>
      </c>
      <c r="C25" s="18"/>
      <c r="D25" s="12" t="n">
        <v>6</v>
      </c>
      <c r="E25" s="12" t="n">
        <f aca="false">C30</f>
        <v>0</v>
      </c>
      <c r="F25" s="3" t="str">
        <f aca="false">IF(AND(C25=0,E25=0),"-",IF(C25&gt;E25,"W",IF(C25&lt;E25,"L","T")))</f>
        <v>-</v>
      </c>
      <c r="G25" s="3" t="n">
        <f aca="false">IF(F25="W",6,IF(F25="T",3,0))</f>
        <v>0</v>
      </c>
      <c r="H25" s="3" t="n">
        <f aca="false">C25</f>
        <v>0</v>
      </c>
      <c r="I25" s="19" t="n">
        <f aca="false">G25+H25</f>
        <v>0</v>
      </c>
    </row>
    <row r="26" customFormat="false" ht="15" hidden="false" customHeight="true" outlineLevel="0" collapsed="false">
      <c r="A26" s="3" t="n">
        <v>2</v>
      </c>
      <c r="B26" s="17" t="str">
        <f aca="false">VLOOKUP(A26,Roster!$A$3:$B$18,2,FALSE())</f>
        <v>Player 2</v>
      </c>
      <c r="C26" s="18"/>
      <c r="D26" s="12" t="n">
        <v>5</v>
      </c>
      <c r="E26" s="12" t="n">
        <f aca="false">C29</f>
        <v>0</v>
      </c>
      <c r="F26" s="3" t="str">
        <f aca="false">IF(AND(C26=0,E26=0),"-",IF(C26&gt;E26,"W",IF(C26&lt;E26,"L","T")))</f>
        <v>-</v>
      </c>
      <c r="G26" s="3" t="n">
        <f aca="false">IF(F26="W",6,IF(F26="T",3,0))</f>
        <v>0</v>
      </c>
      <c r="H26" s="3" t="n">
        <f aca="false">C26</f>
        <v>0</v>
      </c>
      <c r="I26" s="19" t="n">
        <f aca="false">G26+H26</f>
        <v>0</v>
      </c>
    </row>
    <row r="27" customFormat="false" ht="15" hidden="false" customHeight="true" outlineLevel="0" collapsed="false">
      <c r="A27" s="3" t="n">
        <v>3</v>
      </c>
      <c r="B27" s="17" t="str">
        <f aca="false">VLOOKUP(A27,Roster!$A$3:$B$18,2,FALSE())</f>
        <v>Player 3</v>
      </c>
      <c r="C27" s="18"/>
      <c r="D27" s="12" t="n">
        <v>8</v>
      </c>
      <c r="E27" s="12" t="n">
        <f aca="false">C32</f>
        <v>0</v>
      </c>
      <c r="F27" s="3" t="str">
        <f aca="false">IF(AND(C27=0,E27=0),"-",IF(C27&gt;E27,"W",IF(C27&lt;E27,"L","T")))</f>
        <v>-</v>
      </c>
      <c r="G27" s="3" t="n">
        <f aca="false">IF(F27="W",6,IF(F27="T",3,0))</f>
        <v>0</v>
      </c>
      <c r="H27" s="3" t="n">
        <f aca="false">C27</f>
        <v>0</v>
      </c>
      <c r="I27" s="19" t="n">
        <f aca="false">G27+H27</f>
        <v>0</v>
      </c>
    </row>
    <row r="28" customFormat="false" ht="15" hidden="false" customHeight="true" outlineLevel="0" collapsed="false">
      <c r="A28" s="3" t="n">
        <v>4</v>
      </c>
      <c r="B28" s="17" t="str">
        <f aca="false">VLOOKUP(A28,Roster!$A$3:$B$18,2,FALSE())</f>
        <v>Player 4</v>
      </c>
      <c r="C28" s="18"/>
      <c r="D28" s="12" t="n">
        <v>7</v>
      </c>
      <c r="E28" s="12" t="n">
        <f aca="false">C31</f>
        <v>0</v>
      </c>
      <c r="F28" s="3" t="str">
        <f aca="false">IF(AND(C28=0,E28=0),"-",IF(C28&gt;E28,"W",IF(C28&lt;E28,"L","T")))</f>
        <v>-</v>
      </c>
      <c r="G28" s="3" t="n">
        <f aca="false">IF(F28="W",6,IF(F28="T",3,0))</f>
        <v>0</v>
      </c>
      <c r="H28" s="3" t="n">
        <f aca="false">C28</f>
        <v>0</v>
      </c>
      <c r="I28" s="19" t="n">
        <f aca="false">G28+H28</f>
        <v>0</v>
      </c>
    </row>
    <row r="29" customFormat="false" ht="15" hidden="false" customHeight="true" outlineLevel="0" collapsed="false">
      <c r="A29" s="3" t="n">
        <v>5</v>
      </c>
      <c r="B29" s="17" t="str">
        <f aca="false">VLOOKUP(A29,Roster!$A$3:$B$18,2,FALSE())</f>
        <v>Player 5</v>
      </c>
      <c r="C29" s="18"/>
      <c r="D29" s="12" t="n">
        <v>2</v>
      </c>
      <c r="E29" s="12" t="n">
        <f aca="false">C26</f>
        <v>0</v>
      </c>
      <c r="F29" s="3" t="str">
        <f aca="false">IF(AND(C29=0,E29=0),"-",IF(C29&gt;E29,"W",IF(C29&lt;E29,"L","T")))</f>
        <v>-</v>
      </c>
      <c r="G29" s="3" t="n">
        <f aca="false">IF(F29="W",6,IF(F29="T",3,0))</f>
        <v>0</v>
      </c>
      <c r="H29" s="3" t="n">
        <f aca="false">C29</f>
        <v>0</v>
      </c>
      <c r="I29" s="19" t="n">
        <f aca="false">G29+H29</f>
        <v>0</v>
      </c>
    </row>
    <row r="30" customFormat="false" ht="15" hidden="false" customHeight="true" outlineLevel="0" collapsed="false">
      <c r="A30" s="3" t="n">
        <v>6</v>
      </c>
      <c r="B30" s="17" t="str">
        <f aca="false">VLOOKUP(A30,Roster!$A$3:$B$18,2,FALSE())</f>
        <v>Player 6</v>
      </c>
      <c r="C30" s="18"/>
      <c r="D30" s="12" t="n">
        <v>1</v>
      </c>
      <c r="E30" s="12" t="n">
        <f aca="false">C25</f>
        <v>0</v>
      </c>
      <c r="F30" s="3" t="str">
        <f aca="false">IF(AND(C30=0,E30=0),"-",IF(C30&gt;E30,"W",IF(C30&lt;E30,"L","T")))</f>
        <v>-</v>
      </c>
      <c r="G30" s="3" t="n">
        <f aca="false">IF(F30="W",6,IF(F30="T",3,0))</f>
        <v>0</v>
      </c>
      <c r="H30" s="3" t="n">
        <f aca="false">C30</f>
        <v>0</v>
      </c>
      <c r="I30" s="19" t="n">
        <f aca="false">G30+H30</f>
        <v>0</v>
      </c>
    </row>
    <row r="31" customFormat="false" ht="15" hidden="false" customHeight="true" outlineLevel="0" collapsed="false">
      <c r="A31" s="3" t="n">
        <v>7</v>
      </c>
      <c r="B31" s="17" t="str">
        <f aca="false">VLOOKUP(A31,Roster!$A$3:$B$18,2,FALSE())</f>
        <v>Player 7</v>
      </c>
      <c r="C31" s="18"/>
      <c r="D31" s="12" t="n">
        <v>4</v>
      </c>
      <c r="E31" s="12" t="n">
        <f aca="false">C28</f>
        <v>0</v>
      </c>
      <c r="F31" s="3" t="str">
        <f aca="false">IF(AND(C31=0,E31=0),"-",IF(C31&gt;E31,"W",IF(C31&lt;E31,"L","T")))</f>
        <v>-</v>
      </c>
      <c r="G31" s="3" t="n">
        <f aca="false">IF(F31="W",6,IF(F31="T",3,0))</f>
        <v>0</v>
      </c>
      <c r="H31" s="3" t="n">
        <f aca="false">C31</f>
        <v>0</v>
      </c>
      <c r="I31" s="19" t="n">
        <f aca="false">G31+H31</f>
        <v>0</v>
      </c>
    </row>
    <row r="32" customFormat="false" ht="15" hidden="false" customHeight="true" outlineLevel="0" collapsed="false">
      <c r="A32" s="3" t="n">
        <v>8</v>
      </c>
      <c r="B32" s="17" t="str">
        <f aca="false">VLOOKUP(A32,Roster!$A$3:$B$18,2,FALSE())</f>
        <v>Player 8</v>
      </c>
      <c r="C32" s="18"/>
      <c r="D32" s="12" t="n">
        <v>3</v>
      </c>
      <c r="E32" s="12" t="n">
        <f aca="false">C27</f>
        <v>0</v>
      </c>
      <c r="F32" s="3" t="str">
        <f aca="false">IF(AND(C32=0,E32=0),"-",IF(C32&gt;E32,"W",IF(C32&lt;E32,"L","T")))</f>
        <v>-</v>
      </c>
      <c r="G32" s="3" t="n">
        <f aca="false">IF(F32="W",6,IF(F32="T",3,0))</f>
        <v>0</v>
      </c>
      <c r="H32" s="3" t="n">
        <f aca="false">C32</f>
        <v>0</v>
      </c>
      <c r="I32" s="19" t="n">
        <f aca="false">G32+H32</f>
        <v>0</v>
      </c>
    </row>
    <row r="33" customFormat="false" ht="15" hidden="false" customHeight="true" outlineLevel="0" collapsed="false">
      <c r="A33" s="3" t="n">
        <v>9</v>
      </c>
      <c r="B33" s="17" t="str">
        <f aca="false">VLOOKUP(A33,Roster!$A$3:$B$18,2,FALSE())</f>
        <v>Player 9</v>
      </c>
      <c r="C33" s="18"/>
      <c r="D33" s="12" t="n">
        <v>14</v>
      </c>
      <c r="E33" s="12" t="n">
        <f aca="false">C38</f>
        <v>0</v>
      </c>
      <c r="F33" s="3" t="str">
        <f aca="false">IF(AND(C33=0,E33=0),"-",IF(C33&gt;E33,"W",IF(C33&lt;E33,"L","T")))</f>
        <v>-</v>
      </c>
      <c r="G33" s="3" t="n">
        <f aca="false">IF(F33="W",6,IF(F33="T",3,0))</f>
        <v>0</v>
      </c>
      <c r="H33" s="3" t="n">
        <f aca="false">C33</f>
        <v>0</v>
      </c>
      <c r="I33" s="19" t="n">
        <f aca="false">G33+H33</f>
        <v>0</v>
      </c>
    </row>
    <row r="34" customFormat="false" ht="15" hidden="false" customHeight="true" outlineLevel="0" collapsed="false">
      <c r="A34" s="3" t="n">
        <v>10</v>
      </c>
      <c r="B34" s="17" t="str">
        <f aca="false">VLOOKUP(A34,Roster!$A$3:$B$18,2,FALSE())</f>
        <v>Player 10</v>
      </c>
      <c r="C34" s="18"/>
      <c r="D34" s="12" t="n">
        <v>13</v>
      </c>
      <c r="E34" s="12" t="n">
        <f aca="false">C37</f>
        <v>0</v>
      </c>
      <c r="F34" s="3" t="str">
        <f aca="false">IF(AND(C34=0,E34=0),"-",IF(C34&gt;E34,"W",IF(C34&lt;E34,"L","T")))</f>
        <v>-</v>
      </c>
      <c r="G34" s="3" t="n">
        <f aca="false">IF(F34="W",6,IF(F34="T",3,0))</f>
        <v>0</v>
      </c>
      <c r="H34" s="3" t="n">
        <f aca="false">C34</f>
        <v>0</v>
      </c>
      <c r="I34" s="19" t="n">
        <f aca="false">G34+H34</f>
        <v>0</v>
      </c>
    </row>
    <row r="35" customFormat="false" ht="15" hidden="false" customHeight="true" outlineLevel="0" collapsed="false">
      <c r="A35" s="3" t="n">
        <v>11</v>
      </c>
      <c r="B35" s="17" t="str">
        <f aca="false">VLOOKUP(A35,Roster!$A$3:$B$18,2,FALSE())</f>
        <v>Player 11</v>
      </c>
      <c r="C35" s="18"/>
      <c r="D35" s="12" t="n">
        <v>16</v>
      </c>
      <c r="E35" s="12" t="n">
        <f aca="false">C40</f>
        <v>0</v>
      </c>
      <c r="F35" s="3" t="str">
        <f aca="false">IF(AND(C35=0,E35=0),"-",IF(C35&gt;E35,"W",IF(C35&lt;E35,"L","T")))</f>
        <v>-</v>
      </c>
      <c r="G35" s="3" t="n">
        <f aca="false">IF(F35="W",6,IF(F35="T",3,0))</f>
        <v>0</v>
      </c>
      <c r="H35" s="3" t="n">
        <f aca="false">C35</f>
        <v>0</v>
      </c>
      <c r="I35" s="19" t="n">
        <f aca="false">G35+H35</f>
        <v>0</v>
      </c>
    </row>
    <row r="36" customFormat="false" ht="15" hidden="false" customHeight="true" outlineLevel="0" collapsed="false">
      <c r="A36" s="3" t="n">
        <v>12</v>
      </c>
      <c r="B36" s="17" t="str">
        <f aca="false">VLOOKUP(A36,Roster!$A$3:$B$18,2,FALSE())</f>
        <v>Player 12</v>
      </c>
      <c r="C36" s="18"/>
      <c r="D36" s="12" t="n">
        <v>15</v>
      </c>
      <c r="E36" s="12" t="n">
        <f aca="false">C39</f>
        <v>0</v>
      </c>
      <c r="F36" s="3" t="str">
        <f aca="false">IF(AND(C36=0,E36=0),"-",IF(C36&gt;E36,"W",IF(C36&lt;E36,"L","T")))</f>
        <v>-</v>
      </c>
      <c r="G36" s="3" t="n">
        <f aca="false">IF(F36="W",6,IF(F36="T",3,0))</f>
        <v>0</v>
      </c>
      <c r="H36" s="3" t="n">
        <f aca="false">C36</f>
        <v>0</v>
      </c>
      <c r="I36" s="19" t="n">
        <f aca="false">G36+H36</f>
        <v>0</v>
      </c>
    </row>
    <row r="37" customFormat="false" ht="15" hidden="false" customHeight="true" outlineLevel="0" collapsed="false">
      <c r="A37" s="3" t="n">
        <v>13</v>
      </c>
      <c r="B37" s="17" t="str">
        <f aca="false">VLOOKUP(A37,Roster!$A$3:$B$18,2,FALSE())</f>
        <v>Player 13</v>
      </c>
      <c r="C37" s="18"/>
      <c r="D37" s="12" t="n">
        <v>10</v>
      </c>
      <c r="E37" s="12" t="n">
        <f aca="false">C34</f>
        <v>0</v>
      </c>
      <c r="F37" s="3" t="str">
        <f aca="false">IF(AND(C37=0,E37=0),"-",IF(C37&gt;E37,"W",IF(C37&lt;E37,"L","T")))</f>
        <v>-</v>
      </c>
      <c r="G37" s="3" t="n">
        <f aca="false">IF(F37="W",6,IF(F37="T",3,0))</f>
        <v>0</v>
      </c>
      <c r="H37" s="3" t="n">
        <f aca="false">C37</f>
        <v>0</v>
      </c>
      <c r="I37" s="19" t="n">
        <f aca="false">G37+H37</f>
        <v>0</v>
      </c>
    </row>
    <row r="38" customFormat="false" ht="15" hidden="false" customHeight="true" outlineLevel="0" collapsed="false">
      <c r="A38" s="3" t="n">
        <v>14</v>
      </c>
      <c r="B38" s="17" t="str">
        <f aca="false">VLOOKUP(A38,Roster!$A$3:$B$18,2,FALSE())</f>
        <v>Player 14</v>
      </c>
      <c r="C38" s="18"/>
      <c r="D38" s="12" t="n">
        <v>9</v>
      </c>
      <c r="E38" s="12" t="n">
        <f aca="false">C33</f>
        <v>0</v>
      </c>
      <c r="F38" s="3" t="str">
        <f aca="false">IF(AND(C38=0,E38=0),"-",IF(C38&gt;E38,"W",IF(C38&lt;E38,"L","T")))</f>
        <v>-</v>
      </c>
      <c r="G38" s="3" t="n">
        <f aca="false">IF(F38="W",6,IF(F38="T",3,0))</f>
        <v>0</v>
      </c>
      <c r="H38" s="3" t="n">
        <f aca="false">C38</f>
        <v>0</v>
      </c>
      <c r="I38" s="19" t="n">
        <f aca="false">G38+H38</f>
        <v>0</v>
      </c>
    </row>
    <row r="39" customFormat="false" ht="15" hidden="false" customHeight="true" outlineLevel="0" collapsed="false">
      <c r="A39" s="3" t="n">
        <v>15</v>
      </c>
      <c r="B39" s="17" t="str">
        <f aca="false">VLOOKUP(A39,Roster!$A$3:$B$18,2,FALSE())</f>
        <v>Player 15</v>
      </c>
      <c r="C39" s="18"/>
      <c r="D39" s="12" t="n">
        <v>12</v>
      </c>
      <c r="E39" s="12" t="n">
        <f aca="false">C36</f>
        <v>0</v>
      </c>
      <c r="F39" s="3" t="str">
        <f aca="false">IF(AND(C39=0,E39=0),"-",IF(C39&gt;E39,"W",IF(C39&lt;E39,"L","T")))</f>
        <v>-</v>
      </c>
      <c r="G39" s="3" t="n">
        <f aca="false">IF(F39="W",6,IF(F39="T",3,0))</f>
        <v>0</v>
      </c>
      <c r="H39" s="3" t="n">
        <f aca="false">C39</f>
        <v>0</v>
      </c>
      <c r="I39" s="19" t="n">
        <f aca="false">G39+H39</f>
        <v>0</v>
      </c>
    </row>
    <row r="40" customFormat="false" ht="15" hidden="false" customHeight="true" outlineLevel="0" collapsed="false">
      <c r="A40" s="3" t="n">
        <v>16</v>
      </c>
      <c r="B40" s="17" t="str">
        <f aca="false">VLOOKUP(A40,Roster!$A$3:$B$18,2,FALSE())</f>
        <v>Player 16</v>
      </c>
      <c r="C40" s="18"/>
      <c r="D40" s="12" t="n">
        <v>11</v>
      </c>
      <c r="E40" s="12" t="n">
        <f aca="false">C35</f>
        <v>0</v>
      </c>
      <c r="F40" s="3" t="str">
        <f aca="false">IF(AND(C40=0,E40=0),"-",IF(C40&gt;E40,"W",IF(C40&lt;E40,"L","T")))</f>
        <v>-</v>
      </c>
      <c r="G40" s="3" t="n">
        <f aca="false">IF(F40="W",6,IF(F40="T",3,0))</f>
        <v>0</v>
      </c>
      <c r="H40" s="3" t="n">
        <f aca="false">C40</f>
        <v>0</v>
      </c>
      <c r="I40" s="19" t="n">
        <f aca="false">G40+H40</f>
        <v>0</v>
      </c>
    </row>
    <row r="42" customFormat="false" ht="15" hidden="false" customHeight="true" outlineLevel="0" collapsed="false">
      <c r="A42" s="15" t="s">
        <v>71</v>
      </c>
      <c r="B42" s="15"/>
      <c r="C42" s="15"/>
      <c r="D42" s="15"/>
      <c r="E42" s="15"/>
      <c r="F42" s="15"/>
      <c r="G42" s="15"/>
      <c r="H42" s="15"/>
      <c r="I42" s="15"/>
    </row>
    <row r="43" customFormat="false" ht="15" hidden="false" customHeight="true" outlineLevel="0" collapsed="false">
      <c r="A43" s="16" t="s">
        <v>1</v>
      </c>
      <c r="B43" s="16" t="s">
        <v>2</v>
      </c>
      <c r="C43" s="16" t="s">
        <v>63</v>
      </c>
      <c r="D43" s="16" t="s">
        <v>64</v>
      </c>
      <c r="E43" s="16" t="s">
        <v>65</v>
      </c>
      <c r="F43" s="16" t="s">
        <v>66</v>
      </c>
      <c r="G43" s="16" t="s">
        <v>67</v>
      </c>
      <c r="H43" s="16" t="s">
        <v>68</v>
      </c>
      <c r="I43" s="16" t="s">
        <v>69</v>
      </c>
    </row>
    <row r="44" customFormat="false" ht="15" hidden="false" customHeight="true" outlineLevel="0" collapsed="false">
      <c r="A44" s="3" t="n">
        <v>1</v>
      </c>
      <c r="B44" s="17" t="str">
        <f aca="false">VLOOKUP(A44,Roster!$A$3:$B$18,2,FALSE())</f>
        <v>Player 1</v>
      </c>
      <c r="C44" s="18"/>
      <c r="D44" s="12" t="n">
        <v>7</v>
      </c>
      <c r="E44" s="12" t="n">
        <f aca="false">C50</f>
        <v>0</v>
      </c>
      <c r="F44" s="3" t="str">
        <f aca="false">IF(AND(C44=0,E44=0),"-",IF(C44&gt;E44,"W",IF(C44&lt;E44,"L","T")))</f>
        <v>-</v>
      </c>
      <c r="G44" s="3" t="n">
        <f aca="false">IF(F44="W",6,IF(F44="T",3,0))</f>
        <v>0</v>
      </c>
      <c r="H44" s="3" t="n">
        <f aca="false">C44</f>
        <v>0</v>
      </c>
      <c r="I44" s="19" t="n">
        <f aca="false">G44+H44</f>
        <v>0</v>
      </c>
    </row>
    <row r="45" customFormat="false" ht="15" hidden="false" customHeight="true" outlineLevel="0" collapsed="false">
      <c r="A45" s="3" t="n">
        <v>2</v>
      </c>
      <c r="B45" s="17" t="str">
        <f aca="false">VLOOKUP(A45,Roster!$A$3:$B$18,2,FALSE())</f>
        <v>Player 2</v>
      </c>
      <c r="C45" s="18"/>
      <c r="D45" s="12" t="n">
        <v>8</v>
      </c>
      <c r="E45" s="12" t="n">
        <f aca="false">C51</f>
        <v>0</v>
      </c>
      <c r="F45" s="3" t="str">
        <f aca="false">IF(AND(C45=0,E45=0),"-",IF(C45&gt;E45,"W",IF(C45&lt;E45,"L","T")))</f>
        <v>-</v>
      </c>
      <c r="G45" s="3" t="n">
        <f aca="false">IF(F45="W",6,IF(F45="T",3,0))</f>
        <v>0</v>
      </c>
      <c r="H45" s="3" t="n">
        <f aca="false">C45</f>
        <v>0</v>
      </c>
      <c r="I45" s="19" t="n">
        <f aca="false">G45+H45</f>
        <v>0</v>
      </c>
    </row>
    <row r="46" customFormat="false" ht="15" hidden="false" customHeight="true" outlineLevel="0" collapsed="false">
      <c r="A46" s="3" t="n">
        <v>3</v>
      </c>
      <c r="B46" s="17" t="str">
        <f aca="false">VLOOKUP(A46,Roster!$A$3:$B$18,2,FALSE())</f>
        <v>Player 3</v>
      </c>
      <c r="C46" s="18"/>
      <c r="D46" s="12" t="n">
        <v>5</v>
      </c>
      <c r="E46" s="12" t="n">
        <f aca="false">C48</f>
        <v>0</v>
      </c>
      <c r="F46" s="3" t="str">
        <f aca="false">IF(AND(C46=0,E46=0),"-",IF(C46&gt;E46,"W",IF(C46&lt;E46,"L","T")))</f>
        <v>-</v>
      </c>
      <c r="G46" s="3" t="n">
        <f aca="false">IF(F46="W",6,IF(F46="T",3,0))</f>
        <v>0</v>
      </c>
      <c r="H46" s="3" t="n">
        <f aca="false">C46</f>
        <v>0</v>
      </c>
      <c r="I46" s="19" t="n">
        <f aca="false">G46+H46</f>
        <v>0</v>
      </c>
    </row>
    <row r="47" customFormat="false" ht="15" hidden="false" customHeight="true" outlineLevel="0" collapsed="false">
      <c r="A47" s="3" t="n">
        <v>4</v>
      </c>
      <c r="B47" s="17" t="str">
        <f aca="false">VLOOKUP(A47,Roster!$A$3:$B$18,2,FALSE())</f>
        <v>Player 4</v>
      </c>
      <c r="C47" s="18"/>
      <c r="D47" s="12" t="n">
        <v>6</v>
      </c>
      <c r="E47" s="12" t="n">
        <f aca="false">C49</f>
        <v>0</v>
      </c>
      <c r="F47" s="3" t="str">
        <f aca="false">IF(AND(C47=0,E47=0),"-",IF(C47&gt;E47,"W",IF(C47&lt;E47,"L","T")))</f>
        <v>-</v>
      </c>
      <c r="G47" s="3" t="n">
        <f aca="false">IF(F47="W",6,IF(F47="T",3,0))</f>
        <v>0</v>
      </c>
      <c r="H47" s="3" t="n">
        <f aca="false">C47</f>
        <v>0</v>
      </c>
      <c r="I47" s="19" t="n">
        <f aca="false">G47+H47</f>
        <v>0</v>
      </c>
    </row>
    <row r="48" customFormat="false" ht="15" hidden="false" customHeight="true" outlineLevel="0" collapsed="false">
      <c r="A48" s="3" t="n">
        <v>5</v>
      </c>
      <c r="B48" s="17" t="str">
        <f aca="false">VLOOKUP(A48,Roster!$A$3:$B$18,2,FALSE())</f>
        <v>Player 5</v>
      </c>
      <c r="C48" s="18"/>
      <c r="D48" s="12" t="n">
        <v>3</v>
      </c>
      <c r="E48" s="12" t="n">
        <f aca="false">C46</f>
        <v>0</v>
      </c>
      <c r="F48" s="3" t="str">
        <f aca="false">IF(AND(C48=0,E48=0),"-",IF(C48&gt;E48,"W",IF(C48&lt;E48,"L","T")))</f>
        <v>-</v>
      </c>
      <c r="G48" s="3" t="n">
        <f aca="false">IF(F48="W",6,IF(F48="T",3,0))</f>
        <v>0</v>
      </c>
      <c r="H48" s="3" t="n">
        <f aca="false">C48</f>
        <v>0</v>
      </c>
      <c r="I48" s="19" t="n">
        <f aca="false">G48+H48</f>
        <v>0</v>
      </c>
    </row>
    <row r="49" customFormat="false" ht="15" hidden="false" customHeight="true" outlineLevel="0" collapsed="false">
      <c r="A49" s="3" t="n">
        <v>6</v>
      </c>
      <c r="B49" s="17" t="str">
        <f aca="false">VLOOKUP(A49,Roster!$A$3:$B$18,2,FALSE())</f>
        <v>Player 6</v>
      </c>
      <c r="C49" s="18"/>
      <c r="D49" s="12" t="n">
        <v>4</v>
      </c>
      <c r="E49" s="12" t="n">
        <f aca="false">C47</f>
        <v>0</v>
      </c>
      <c r="F49" s="3" t="str">
        <f aca="false">IF(AND(C49=0,E49=0),"-",IF(C49&gt;E49,"W",IF(C49&lt;E49,"L","T")))</f>
        <v>-</v>
      </c>
      <c r="G49" s="3" t="n">
        <f aca="false">IF(F49="W",6,IF(F49="T",3,0))</f>
        <v>0</v>
      </c>
      <c r="H49" s="3" t="n">
        <f aca="false">C49</f>
        <v>0</v>
      </c>
      <c r="I49" s="19" t="n">
        <f aca="false">G49+H49</f>
        <v>0</v>
      </c>
    </row>
    <row r="50" customFormat="false" ht="15" hidden="false" customHeight="true" outlineLevel="0" collapsed="false">
      <c r="A50" s="3" t="n">
        <v>7</v>
      </c>
      <c r="B50" s="17" t="str">
        <f aca="false">VLOOKUP(A50,Roster!$A$3:$B$18,2,FALSE())</f>
        <v>Player 7</v>
      </c>
      <c r="C50" s="18"/>
      <c r="D50" s="12" t="n">
        <v>1</v>
      </c>
      <c r="E50" s="12" t="n">
        <f aca="false">C44</f>
        <v>0</v>
      </c>
      <c r="F50" s="3" t="str">
        <f aca="false">IF(AND(C50=0,E50=0),"-",IF(C50&gt;E50,"W",IF(C50&lt;E50,"L","T")))</f>
        <v>-</v>
      </c>
      <c r="G50" s="3" t="n">
        <f aca="false">IF(F50="W",6,IF(F50="T",3,0))</f>
        <v>0</v>
      </c>
      <c r="H50" s="3" t="n">
        <f aca="false">C50</f>
        <v>0</v>
      </c>
      <c r="I50" s="19" t="n">
        <f aca="false">G50+H50</f>
        <v>0</v>
      </c>
    </row>
    <row r="51" customFormat="false" ht="15" hidden="false" customHeight="true" outlineLevel="0" collapsed="false">
      <c r="A51" s="3" t="n">
        <v>8</v>
      </c>
      <c r="B51" s="17" t="str">
        <f aca="false">VLOOKUP(A51,Roster!$A$3:$B$18,2,FALSE())</f>
        <v>Player 8</v>
      </c>
      <c r="C51" s="18"/>
      <c r="D51" s="12" t="n">
        <v>2</v>
      </c>
      <c r="E51" s="12" t="n">
        <f aca="false">C45</f>
        <v>0</v>
      </c>
      <c r="F51" s="3" t="str">
        <f aca="false">IF(AND(C51=0,E51=0),"-",IF(C51&gt;E51,"W",IF(C51&lt;E51,"L","T")))</f>
        <v>-</v>
      </c>
      <c r="G51" s="3" t="n">
        <f aca="false">IF(F51="W",6,IF(F51="T",3,0))</f>
        <v>0</v>
      </c>
      <c r="H51" s="3" t="n">
        <f aca="false">C51</f>
        <v>0</v>
      </c>
      <c r="I51" s="19" t="n">
        <f aca="false">G51+H51</f>
        <v>0</v>
      </c>
    </row>
    <row r="52" customFormat="false" ht="15" hidden="false" customHeight="true" outlineLevel="0" collapsed="false">
      <c r="A52" s="3" t="n">
        <v>9</v>
      </c>
      <c r="B52" s="17" t="str">
        <f aca="false">VLOOKUP(A52,Roster!$A$3:$B$18,2,FALSE())</f>
        <v>Player 9</v>
      </c>
      <c r="C52" s="18"/>
      <c r="D52" s="12" t="n">
        <v>15</v>
      </c>
      <c r="E52" s="12" t="n">
        <f aca="false">C58</f>
        <v>0</v>
      </c>
      <c r="F52" s="3" t="str">
        <f aca="false">IF(AND(C52=0,E52=0),"-",IF(C52&gt;E52,"W",IF(C52&lt;E52,"L","T")))</f>
        <v>-</v>
      </c>
      <c r="G52" s="3" t="n">
        <f aca="false">IF(F52="W",6,IF(F52="T",3,0))</f>
        <v>0</v>
      </c>
      <c r="H52" s="3" t="n">
        <f aca="false">C52</f>
        <v>0</v>
      </c>
      <c r="I52" s="19" t="n">
        <f aca="false">G52+H52</f>
        <v>0</v>
      </c>
    </row>
    <row r="53" customFormat="false" ht="15" hidden="false" customHeight="true" outlineLevel="0" collapsed="false">
      <c r="A53" s="3" t="n">
        <v>10</v>
      </c>
      <c r="B53" s="17" t="str">
        <f aca="false">VLOOKUP(A53,Roster!$A$3:$B$18,2,FALSE())</f>
        <v>Player 10</v>
      </c>
      <c r="C53" s="18"/>
      <c r="D53" s="12" t="n">
        <v>16</v>
      </c>
      <c r="E53" s="12" t="n">
        <f aca="false">C59</f>
        <v>0</v>
      </c>
      <c r="F53" s="3" t="str">
        <f aca="false">IF(AND(C53=0,E53=0),"-",IF(C53&gt;E53,"W",IF(C53&lt;E53,"L","T")))</f>
        <v>-</v>
      </c>
      <c r="G53" s="3" t="n">
        <f aca="false">IF(F53="W",6,IF(F53="T",3,0))</f>
        <v>0</v>
      </c>
      <c r="H53" s="3" t="n">
        <f aca="false">C53</f>
        <v>0</v>
      </c>
      <c r="I53" s="19" t="n">
        <f aca="false">G53+H53</f>
        <v>0</v>
      </c>
    </row>
    <row r="54" customFormat="false" ht="15" hidden="false" customHeight="true" outlineLevel="0" collapsed="false">
      <c r="A54" s="3" t="n">
        <v>11</v>
      </c>
      <c r="B54" s="17" t="str">
        <f aca="false">VLOOKUP(A54,Roster!$A$3:$B$18,2,FALSE())</f>
        <v>Player 11</v>
      </c>
      <c r="C54" s="18"/>
      <c r="D54" s="12" t="n">
        <v>13</v>
      </c>
      <c r="E54" s="12" t="n">
        <f aca="false">C56</f>
        <v>0</v>
      </c>
      <c r="F54" s="3" t="str">
        <f aca="false">IF(AND(C54=0,E54=0),"-",IF(C54&gt;E54,"W",IF(C54&lt;E54,"L","T")))</f>
        <v>-</v>
      </c>
      <c r="G54" s="3" t="n">
        <f aca="false">IF(F54="W",6,IF(F54="T",3,0))</f>
        <v>0</v>
      </c>
      <c r="H54" s="3" t="n">
        <f aca="false">C54</f>
        <v>0</v>
      </c>
      <c r="I54" s="19" t="n">
        <f aca="false">G54+H54</f>
        <v>0</v>
      </c>
    </row>
    <row r="55" customFormat="false" ht="15" hidden="false" customHeight="true" outlineLevel="0" collapsed="false">
      <c r="A55" s="3" t="n">
        <v>12</v>
      </c>
      <c r="B55" s="17" t="str">
        <f aca="false">VLOOKUP(A55,Roster!$A$3:$B$18,2,FALSE())</f>
        <v>Player 12</v>
      </c>
      <c r="C55" s="18"/>
      <c r="D55" s="12" t="n">
        <v>14</v>
      </c>
      <c r="E55" s="12" t="n">
        <f aca="false">C57</f>
        <v>0</v>
      </c>
      <c r="F55" s="3" t="str">
        <f aca="false">IF(AND(C55=0,E55=0),"-",IF(C55&gt;E55,"W",IF(C55&lt;E55,"L","T")))</f>
        <v>-</v>
      </c>
      <c r="G55" s="3" t="n">
        <f aca="false">IF(F55="W",6,IF(F55="T",3,0))</f>
        <v>0</v>
      </c>
      <c r="H55" s="3" t="n">
        <f aca="false">C55</f>
        <v>0</v>
      </c>
      <c r="I55" s="19" t="n">
        <f aca="false">G55+H55</f>
        <v>0</v>
      </c>
    </row>
    <row r="56" customFormat="false" ht="15" hidden="false" customHeight="true" outlineLevel="0" collapsed="false">
      <c r="A56" s="3" t="n">
        <v>13</v>
      </c>
      <c r="B56" s="17" t="str">
        <f aca="false">VLOOKUP(A56,Roster!$A$3:$B$18,2,FALSE())</f>
        <v>Player 13</v>
      </c>
      <c r="C56" s="18"/>
      <c r="D56" s="12" t="n">
        <v>11</v>
      </c>
      <c r="E56" s="12" t="n">
        <f aca="false">C54</f>
        <v>0</v>
      </c>
      <c r="F56" s="3" t="str">
        <f aca="false">IF(AND(C56=0,E56=0),"-",IF(C56&gt;E56,"W",IF(C56&lt;E56,"L","T")))</f>
        <v>-</v>
      </c>
      <c r="G56" s="3" t="n">
        <f aca="false">IF(F56="W",6,IF(F56="T",3,0))</f>
        <v>0</v>
      </c>
      <c r="H56" s="3" t="n">
        <f aca="false">C56</f>
        <v>0</v>
      </c>
      <c r="I56" s="19" t="n">
        <f aca="false">G56+H56</f>
        <v>0</v>
      </c>
    </row>
    <row r="57" customFormat="false" ht="15" hidden="false" customHeight="true" outlineLevel="0" collapsed="false">
      <c r="A57" s="3" t="n">
        <v>14</v>
      </c>
      <c r="B57" s="17" t="str">
        <f aca="false">VLOOKUP(A57,Roster!$A$3:$B$18,2,FALSE())</f>
        <v>Player 14</v>
      </c>
      <c r="C57" s="18"/>
      <c r="D57" s="12" t="n">
        <v>12</v>
      </c>
      <c r="E57" s="12" t="n">
        <f aca="false">C55</f>
        <v>0</v>
      </c>
      <c r="F57" s="3" t="str">
        <f aca="false">IF(AND(C57=0,E57=0),"-",IF(C57&gt;E57,"W",IF(C57&lt;E57,"L","T")))</f>
        <v>-</v>
      </c>
      <c r="G57" s="3" t="n">
        <f aca="false">IF(F57="W",6,IF(F57="T",3,0))</f>
        <v>0</v>
      </c>
      <c r="H57" s="3" t="n">
        <f aca="false">C57</f>
        <v>0</v>
      </c>
      <c r="I57" s="19" t="n">
        <f aca="false">G57+H57</f>
        <v>0</v>
      </c>
    </row>
    <row r="58" customFormat="false" ht="15" hidden="false" customHeight="true" outlineLevel="0" collapsed="false">
      <c r="A58" s="3" t="n">
        <v>15</v>
      </c>
      <c r="B58" s="17" t="str">
        <f aca="false">VLOOKUP(A58,Roster!$A$3:$B$18,2,FALSE())</f>
        <v>Player 15</v>
      </c>
      <c r="C58" s="18"/>
      <c r="D58" s="12" t="n">
        <v>9</v>
      </c>
      <c r="E58" s="12" t="n">
        <f aca="false">C52</f>
        <v>0</v>
      </c>
      <c r="F58" s="3" t="str">
        <f aca="false">IF(AND(C58=0,E58=0),"-",IF(C58&gt;E58,"W",IF(C58&lt;E58,"L","T")))</f>
        <v>-</v>
      </c>
      <c r="G58" s="3" t="n">
        <f aca="false">IF(F58="W",6,IF(F58="T",3,0))</f>
        <v>0</v>
      </c>
      <c r="H58" s="3" t="n">
        <f aca="false">C58</f>
        <v>0</v>
      </c>
      <c r="I58" s="19" t="n">
        <f aca="false">G58+H58</f>
        <v>0</v>
      </c>
    </row>
    <row r="59" customFormat="false" ht="15" hidden="false" customHeight="true" outlineLevel="0" collapsed="false">
      <c r="A59" s="3" t="n">
        <v>16</v>
      </c>
      <c r="B59" s="17" t="str">
        <f aca="false">VLOOKUP(A59,Roster!$A$3:$B$18,2,FALSE())</f>
        <v>Player 16</v>
      </c>
      <c r="C59" s="18"/>
      <c r="D59" s="12" t="n">
        <v>10</v>
      </c>
      <c r="E59" s="12" t="n">
        <f aca="false">C53</f>
        <v>0</v>
      </c>
      <c r="F59" s="3" t="str">
        <f aca="false">IF(AND(C59=0,E59=0),"-",IF(C59&gt;E59,"W",IF(C59&lt;E59,"L","T")))</f>
        <v>-</v>
      </c>
      <c r="G59" s="3" t="n">
        <f aca="false">IF(F59="W",6,IF(F59="T",3,0))</f>
        <v>0</v>
      </c>
      <c r="H59" s="3" t="n">
        <f aca="false">C59</f>
        <v>0</v>
      </c>
      <c r="I59" s="19" t="n">
        <f aca="false">G59+H59</f>
        <v>0</v>
      </c>
    </row>
    <row r="61" customFormat="false" ht="15" hidden="false" customHeight="true" outlineLevel="0" collapsed="false">
      <c r="A61" s="15" t="s">
        <v>72</v>
      </c>
      <c r="B61" s="15"/>
      <c r="C61" s="15"/>
      <c r="D61" s="15"/>
      <c r="E61" s="15"/>
      <c r="F61" s="15"/>
      <c r="G61" s="15"/>
      <c r="H61" s="15"/>
      <c r="I61" s="15"/>
    </row>
    <row r="62" customFormat="false" ht="15" hidden="false" customHeight="true" outlineLevel="0" collapsed="false">
      <c r="A62" s="16" t="s">
        <v>1</v>
      </c>
      <c r="B62" s="16" t="s">
        <v>2</v>
      </c>
      <c r="C62" s="16" t="s">
        <v>63</v>
      </c>
      <c r="D62" s="16" t="s">
        <v>64</v>
      </c>
      <c r="E62" s="16" t="s">
        <v>65</v>
      </c>
      <c r="F62" s="16" t="s">
        <v>66</v>
      </c>
      <c r="G62" s="16" t="s">
        <v>67</v>
      </c>
      <c r="H62" s="16" t="s">
        <v>68</v>
      </c>
      <c r="I62" s="16" t="s">
        <v>69</v>
      </c>
    </row>
    <row r="63" customFormat="false" ht="15" hidden="false" customHeight="true" outlineLevel="0" collapsed="false">
      <c r="A63" s="3" t="n">
        <v>1</v>
      </c>
      <c r="B63" s="17" t="str">
        <f aca="false">VLOOKUP(A63,Roster!$A$3:$B$18,2,FALSE())</f>
        <v>Player 1</v>
      </c>
      <c r="C63" s="18"/>
      <c r="D63" s="12" t="n">
        <v>8</v>
      </c>
      <c r="E63" s="12" t="n">
        <f aca="false">C70</f>
        <v>0</v>
      </c>
      <c r="F63" s="3" t="str">
        <f aca="false">IF(AND(C63=0,E63=0),"-",IF(C63&gt;E63,"W",IF(C63&lt;E63,"L","T")))</f>
        <v>-</v>
      </c>
      <c r="G63" s="3" t="n">
        <f aca="false">IF(F63="W",6,IF(F63="T",3,0))</f>
        <v>0</v>
      </c>
      <c r="H63" s="3" t="n">
        <f aca="false">C63</f>
        <v>0</v>
      </c>
      <c r="I63" s="19" t="n">
        <f aca="false">G63+H63</f>
        <v>0</v>
      </c>
    </row>
    <row r="64" customFormat="false" ht="15" hidden="false" customHeight="true" outlineLevel="0" collapsed="false">
      <c r="A64" s="3" t="n">
        <v>2</v>
      </c>
      <c r="B64" s="17" t="str">
        <f aca="false">VLOOKUP(A64,Roster!$A$3:$B$18,2,FALSE())</f>
        <v>Player 2</v>
      </c>
      <c r="C64" s="18"/>
      <c r="D64" s="12" t="n">
        <v>7</v>
      </c>
      <c r="E64" s="12" t="n">
        <f aca="false">C69</f>
        <v>0</v>
      </c>
      <c r="F64" s="3" t="str">
        <f aca="false">IF(AND(C64=0,E64=0),"-",IF(C64&gt;E64,"W",IF(C64&lt;E64,"L","T")))</f>
        <v>-</v>
      </c>
      <c r="G64" s="3" t="n">
        <f aca="false">IF(F64="W",6,IF(F64="T",3,0))</f>
        <v>0</v>
      </c>
      <c r="H64" s="3" t="n">
        <f aca="false">C64</f>
        <v>0</v>
      </c>
      <c r="I64" s="19" t="n">
        <f aca="false">G64+H64</f>
        <v>0</v>
      </c>
    </row>
    <row r="65" customFormat="false" ht="15" hidden="false" customHeight="true" outlineLevel="0" collapsed="false">
      <c r="A65" s="3" t="n">
        <v>3</v>
      </c>
      <c r="B65" s="17" t="str">
        <f aca="false">VLOOKUP(A65,Roster!$A$3:$B$18,2,FALSE())</f>
        <v>Player 3</v>
      </c>
      <c r="C65" s="18"/>
      <c r="D65" s="12" t="n">
        <v>6</v>
      </c>
      <c r="E65" s="12" t="n">
        <f aca="false">C68</f>
        <v>0</v>
      </c>
      <c r="F65" s="3" t="str">
        <f aca="false">IF(AND(C65=0,E65=0),"-",IF(C65&gt;E65,"W",IF(C65&lt;E65,"L","T")))</f>
        <v>-</v>
      </c>
      <c r="G65" s="3" t="n">
        <f aca="false">IF(F65="W",6,IF(F65="T",3,0))</f>
        <v>0</v>
      </c>
      <c r="H65" s="3" t="n">
        <f aca="false">C65</f>
        <v>0</v>
      </c>
      <c r="I65" s="19" t="n">
        <f aca="false">G65+H65</f>
        <v>0</v>
      </c>
    </row>
    <row r="66" customFormat="false" ht="15" hidden="false" customHeight="true" outlineLevel="0" collapsed="false">
      <c r="A66" s="3" t="n">
        <v>4</v>
      </c>
      <c r="B66" s="17" t="str">
        <f aca="false">VLOOKUP(A66,Roster!$A$3:$B$18,2,FALSE())</f>
        <v>Player 4</v>
      </c>
      <c r="C66" s="18"/>
      <c r="D66" s="12" t="n">
        <v>5</v>
      </c>
      <c r="E66" s="12" t="n">
        <f aca="false">C67</f>
        <v>0</v>
      </c>
      <c r="F66" s="3" t="str">
        <f aca="false">IF(AND(C66=0,E66=0),"-",IF(C66&gt;E66,"W",IF(C66&lt;E66,"L","T")))</f>
        <v>-</v>
      </c>
      <c r="G66" s="3" t="n">
        <f aca="false">IF(F66="W",6,IF(F66="T",3,0))</f>
        <v>0</v>
      </c>
      <c r="H66" s="3" t="n">
        <f aca="false">C66</f>
        <v>0</v>
      </c>
      <c r="I66" s="19" t="n">
        <f aca="false">G66+H66</f>
        <v>0</v>
      </c>
    </row>
    <row r="67" customFormat="false" ht="15" hidden="false" customHeight="true" outlineLevel="0" collapsed="false">
      <c r="A67" s="3" t="n">
        <v>5</v>
      </c>
      <c r="B67" s="17" t="str">
        <f aca="false">VLOOKUP(A67,Roster!$A$3:$B$18,2,FALSE())</f>
        <v>Player 5</v>
      </c>
      <c r="C67" s="18"/>
      <c r="D67" s="12" t="n">
        <v>4</v>
      </c>
      <c r="E67" s="12" t="n">
        <f aca="false">C66</f>
        <v>0</v>
      </c>
      <c r="F67" s="3" t="str">
        <f aca="false">IF(AND(C67=0,E67=0),"-",IF(C67&gt;E67,"W",IF(C67&lt;E67,"L","T")))</f>
        <v>-</v>
      </c>
      <c r="G67" s="3" t="n">
        <f aca="false">IF(F67="W",6,IF(F67="T",3,0))</f>
        <v>0</v>
      </c>
      <c r="H67" s="3" t="n">
        <f aca="false">C67</f>
        <v>0</v>
      </c>
      <c r="I67" s="19" t="n">
        <f aca="false">G67+H67</f>
        <v>0</v>
      </c>
    </row>
    <row r="68" customFormat="false" ht="15" hidden="false" customHeight="true" outlineLevel="0" collapsed="false">
      <c r="A68" s="3" t="n">
        <v>6</v>
      </c>
      <c r="B68" s="17" t="str">
        <f aca="false">VLOOKUP(A68,Roster!$A$3:$B$18,2,FALSE())</f>
        <v>Player 6</v>
      </c>
      <c r="C68" s="18"/>
      <c r="D68" s="12" t="n">
        <v>3</v>
      </c>
      <c r="E68" s="12" t="n">
        <f aca="false">C65</f>
        <v>0</v>
      </c>
      <c r="F68" s="3" t="str">
        <f aca="false">IF(AND(C68=0,E68=0),"-",IF(C68&gt;E68,"W",IF(C68&lt;E68,"L","T")))</f>
        <v>-</v>
      </c>
      <c r="G68" s="3" t="n">
        <f aca="false">IF(F68="W",6,IF(F68="T",3,0))</f>
        <v>0</v>
      </c>
      <c r="H68" s="3" t="n">
        <f aca="false">C68</f>
        <v>0</v>
      </c>
      <c r="I68" s="19" t="n">
        <f aca="false">G68+H68</f>
        <v>0</v>
      </c>
    </row>
    <row r="69" customFormat="false" ht="15" hidden="false" customHeight="true" outlineLevel="0" collapsed="false">
      <c r="A69" s="3" t="n">
        <v>7</v>
      </c>
      <c r="B69" s="17" t="str">
        <f aca="false">VLOOKUP(A69,Roster!$A$3:$B$18,2,FALSE())</f>
        <v>Player 7</v>
      </c>
      <c r="C69" s="18"/>
      <c r="D69" s="12" t="n">
        <v>2</v>
      </c>
      <c r="E69" s="12" t="n">
        <f aca="false">C64</f>
        <v>0</v>
      </c>
      <c r="F69" s="3" t="str">
        <f aca="false">IF(AND(C69=0,E69=0),"-",IF(C69&gt;E69,"W",IF(C69&lt;E69,"L","T")))</f>
        <v>-</v>
      </c>
      <c r="G69" s="3" t="n">
        <f aca="false">IF(F69="W",6,IF(F69="T",3,0))</f>
        <v>0</v>
      </c>
      <c r="H69" s="3" t="n">
        <f aca="false">C69</f>
        <v>0</v>
      </c>
      <c r="I69" s="19" t="n">
        <f aca="false">G69+H69</f>
        <v>0</v>
      </c>
    </row>
    <row r="70" customFormat="false" ht="15" hidden="false" customHeight="true" outlineLevel="0" collapsed="false">
      <c r="A70" s="3" t="n">
        <v>8</v>
      </c>
      <c r="B70" s="17" t="str">
        <f aca="false">VLOOKUP(A70,Roster!$A$3:$B$18,2,FALSE())</f>
        <v>Player 8</v>
      </c>
      <c r="C70" s="18"/>
      <c r="D70" s="12" t="n">
        <v>1</v>
      </c>
      <c r="E70" s="12" t="n">
        <f aca="false">C63</f>
        <v>0</v>
      </c>
      <c r="F70" s="3" t="str">
        <f aca="false">IF(AND(C70=0,E70=0),"-",IF(C70&gt;E70,"W",IF(C70&lt;E70,"L","T")))</f>
        <v>-</v>
      </c>
      <c r="G70" s="3" t="n">
        <f aca="false">IF(F70="W",6,IF(F70="T",3,0))</f>
        <v>0</v>
      </c>
      <c r="H70" s="3" t="n">
        <f aca="false">C70</f>
        <v>0</v>
      </c>
      <c r="I70" s="19" t="n">
        <f aca="false">G70+H70</f>
        <v>0</v>
      </c>
    </row>
    <row r="71" customFormat="false" ht="15" hidden="false" customHeight="true" outlineLevel="0" collapsed="false">
      <c r="A71" s="3" t="n">
        <v>9</v>
      </c>
      <c r="B71" s="17" t="str">
        <f aca="false">VLOOKUP(A71,Roster!$A$3:$B$18,2,FALSE())</f>
        <v>Player 9</v>
      </c>
      <c r="C71" s="18"/>
      <c r="D71" s="12" t="n">
        <v>16</v>
      </c>
      <c r="E71" s="12" t="n">
        <f aca="false">C78</f>
        <v>0</v>
      </c>
      <c r="F71" s="3" t="str">
        <f aca="false">IF(AND(C71=0,E71=0),"-",IF(C71&gt;E71,"W",IF(C71&lt;E71,"L","T")))</f>
        <v>-</v>
      </c>
      <c r="G71" s="3" t="n">
        <f aca="false">IF(F71="W",6,IF(F71="T",3,0))</f>
        <v>0</v>
      </c>
      <c r="H71" s="3" t="n">
        <f aca="false">C71</f>
        <v>0</v>
      </c>
      <c r="I71" s="19" t="n">
        <f aca="false">G71+H71</f>
        <v>0</v>
      </c>
    </row>
    <row r="72" customFormat="false" ht="15" hidden="false" customHeight="true" outlineLevel="0" collapsed="false">
      <c r="A72" s="3" t="n">
        <v>10</v>
      </c>
      <c r="B72" s="17" t="str">
        <f aca="false">VLOOKUP(A72,Roster!$A$3:$B$18,2,FALSE())</f>
        <v>Player 10</v>
      </c>
      <c r="C72" s="18"/>
      <c r="D72" s="12" t="n">
        <v>15</v>
      </c>
      <c r="E72" s="12" t="n">
        <f aca="false">C77</f>
        <v>0</v>
      </c>
      <c r="F72" s="3" t="str">
        <f aca="false">IF(AND(C72=0,E72=0),"-",IF(C72&gt;E72,"W",IF(C72&lt;E72,"L","T")))</f>
        <v>-</v>
      </c>
      <c r="G72" s="3" t="n">
        <f aca="false">IF(F72="W",6,IF(F72="T",3,0))</f>
        <v>0</v>
      </c>
      <c r="H72" s="3" t="n">
        <f aca="false">C72</f>
        <v>0</v>
      </c>
      <c r="I72" s="19" t="n">
        <f aca="false">G72+H72</f>
        <v>0</v>
      </c>
    </row>
    <row r="73" customFormat="false" ht="15" hidden="false" customHeight="true" outlineLevel="0" collapsed="false">
      <c r="A73" s="3" t="n">
        <v>11</v>
      </c>
      <c r="B73" s="17" t="str">
        <f aca="false">VLOOKUP(A73,Roster!$A$3:$B$18,2,FALSE())</f>
        <v>Player 11</v>
      </c>
      <c r="C73" s="18"/>
      <c r="D73" s="12" t="n">
        <v>14</v>
      </c>
      <c r="E73" s="12" t="n">
        <f aca="false">C76</f>
        <v>0</v>
      </c>
      <c r="F73" s="3" t="str">
        <f aca="false">IF(AND(C73=0,E73=0),"-",IF(C73&gt;E73,"W",IF(C73&lt;E73,"L","T")))</f>
        <v>-</v>
      </c>
      <c r="G73" s="3" t="n">
        <f aca="false">IF(F73="W",6,IF(F73="T",3,0))</f>
        <v>0</v>
      </c>
      <c r="H73" s="3" t="n">
        <f aca="false">C73</f>
        <v>0</v>
      </c>
      <c r="I73" s="19" t="n">
        <f aca="false">G73+H73</f>
        <v>0</v>
      </c>
    </row>
    <row r="74" customFormat="false" ht="15" hidden="false" customHeight="true" outlineLevel="0" collapsed="false">
      <c r="A74" s="3" t="n">
        <v>12</v>
      </c>
      <c r="B74" s="17" t="str">
        <f aca="false">VLOOKUP(A74,Roster!$A$3:$B$18,2,FALSE())</f>
        <v>Player 12</v>
      </c>
      <c r="C74" s="18"/>
      <c r="D74" s="12" t="n">
        <v>13</v>
      </c>
      <c r="E74" s="12" t="n">
        <f aca="false">C75</f>
        <v>0</v>
      </c>
      <c r="F74" s="3" t="str">
        <f aca="false">IF(AND(C74=0,E74=0),"-",IF(C74&gt;E74,"W",IF(C74&lt;E74,"L","T")))</f>
        <v>-</v>
      </c>
      <c r="G74" s="3" t="n">
        <f aca="false">IF(F74="W",6,IF(F74="T",3,0))</f>
        <v>0</v>
      </c>
      <c r="H74" s="3" t="n">
        <f aca="false">C74</f>
        <v>0</v>
      </c>
      <c r="I74" s="19" t="n">
        <f aca="false">G74+H74</f>
        <v>0</v>
      </c>
    </row>
    <row r="75" customFormat="false" ht="15" hidden="false" customHeight="true" outlineLevel="0" collapsed="false">
      <c r="A75" s="3" t="n">
        <v>13</v>
      </c>
      <c r="B75" s="17" t="str">
        <f aca="false">VLOOKUP(A75,Roster!$A$3:$B$18,2,FALSE())</f>
        <v>Player 13</v>
      </c>
      <c r="C75" s="18"/>
      <c r="D75" s="12" t="n">
        <v>12</v>
      </c>
      <c r="E75" s="12" t="n">
        <f aca="false">C74</f>
        <v>0</v>
      </c>
      <c r="F75" s="3" t="str">
        <f aca="false">IF(AND(C75=0,E75=0),"-",IF(C75&gt;E75,"W",IF(C75&lt;E75,"L","T")))</f>
        <v>-</v>
      </c>
      <c r="G75" s="3" t="n">
        <f aca="false">IF(F75="W",6,IF(F75="T",3,0))</f>
        <v>0</v>
      </c>
      <c r="H75" s="3" t="n">
        <f aca="false">C75</f>
        <v>0</v>
      </c>
      <c r="I75" s="19" t="n">
        <f aca="false">G75+H75</f>
        <v>0</v>
      </c>
    </row>
    <row r="76" customFormat="false" ht="15" hidden="false" customHeight="true" outlineLevel="0" collapsed="false">
      <c r="A76" s="3" t="n">
        <v>14</v>
      </c>
      <c r="B76" s="17" t="str">
        <f aca="false">VLOOKUP(A76,Roster!$A$3:$B$18,2,FALSE())</f>
        <v>Player 14</v>
      </c>
      <c r="C76" s="18"/>
      <c r="D76" s="12" t="n">
        <v>11</v>
      </c>
      <c r="E76" s="12" t="n">
        <f aca="false">C73</f>
        <v>0</v>
      </c>
      <c r="F76" s="3" t="str">
        <f aca="false">IF(AND(C76=0,E76=0),"-",IF(C76&gt;E76,"W",IF(C76&lt;E76,"L","T")))</f>
        <v>-</v>
      </c>
      <c r="G76" s="3" t="n">
        <f aca="false">IF(F76="W",6,IF(F76="T",3,0))</f>
        <v>0</v>
      </c>
      <c r="H76" s="3" t="n">
        <f aca="false">C76</f>
        <v>0</v>
      </c>
      <c r="I76" s="19" t="n">
        <f aca="false">G76+H76</f>
        <v>0</v>
      </c>
    </row>
    <row r="77" customFormat="false" ht="15" hidden="false" customHeight="true" outlineLevel="0" collapsed="false">
      <c r="A77" s="3" t="n">
        <v>15</v>
      </c>
      <c r="B77" s="17" t="str">
        <f aca="false">VLOOKUP(A77,Roster!$A$3:$B$18,2,FALSE())</f>
        <v>Player 15</v>
      </c>
      <c r="C77" s="18"/>
      <c r="D77" s="12" t="n">
        <v>10</v>
      </c>
      <c r="E77" s="12" t="n">
        <f aca="false">C72</f>
        <v>0</v>
      </c>
      <c r="F77" s="3" t="str">
        <f aca="false">IF(AND(C77=0,E77=0),"-",IF(C77&gt;E77,"W",IF(C77&lt;E77,"L","T")))</f>
        <v>-</v>
      </c>
      <c r="G77" s="3" t="n">
        <f aca="false">IF(F77="W",6,IF(F77="T",3,0))</f>
        <v>0</v>
      </c>
      <c r="H77" s="3" t="n">
        <f aca="false">C77</f>
        <v>0</v>
      </c>
      <c r="I77" s="19" t="n">
        <f aca="false">G77+H77</f>
        <v>0</v>
      </c>
    </row>
    <row r="78" customFormat="false" ht="15" hidden="false" customHeight="true" outlineLevel="0" collapsed="false">
      <c r="A78" s="3" t="n">
        <v>16</v>
      </c>
      <c r="B78" s="17" t="str">
        <f aca="false">VLOOKUP(A78,Roster!$A$3:$B$18,2,FALSE())</f>
        <v>Player 16</v>
      </c>
      <c r="C78" s="18"/>
      <c r="D78" s="12" t="n">
        <v>9</v>
      </c>
      <c r="E78" s="12" t="n">
        <f aca="false">C71</f>
        <v>0</v>
      </c>
      <c r="F78" s="3" t="str">
        <f aca="false">IF(AND(C78=0,E78=0),"-",IF(C78&gt;E78,"W",IF(C78&lt;E78,"L","T")))</f>
        <v>-</v>
      </c>
      <c r="G78" s="3" t="n">
        <f aca="false">IF(F78="W",6,IF(F78="T",3,0))</f>
        <v>0</v>
      </c>
      <c r="H78" s="3" t="n">
        <f aca="false">C78</f>
        <v>0</v>
      </c>
      <c r="I78" s="19" t="n">
        <f aca="false">G78+H78</f>
        <v>0</v>
      </c>
    </row>
    <row r="80" customFormat="false" ht="15" hidden="false" customHeight="true" outlineLevel="0" collapsed="false">
      <c r="A80" s="15" t="s">
        <v>73</v>
      </c>
      <c r="B80" s="15"/>
      <c r="C80" s="15"/>
      <c r="D80" s="15"/>
      <c r="E80" s="15"/>
      <c r="F80" s="15"/>
      <c r="G80" s="15"/>
      <c r="H80" s="15"/>
      <c r="I80" s="15"/>
    </row>
    <row r="81" customFormat="false" ht="15" hidden="false" customHeight="true" outlineLevel="0" collapsed="false">
      <c r="A81" s="16" t="s">
        <v>1</v>
      </c>
      <c r="B81" s="16" t="s">
        <v>2</v>
      </c>
      <c r="C81" s="16" t="s">
        <v>63</v>
      </c>
      <c r="D81" s="16" t="s">
        <v>64</v>
      </c>
      <c r="E81" s="16" t="s">
        <v>65</v>
      </c>
      <c r="F81" s="16" t="s">
        <v>66</v>
      </c>
      <c r="G81" s="16" t="s">
        <v>67</v>
      </c>
      <c r="H81" s="16" t="s">
        <v>68</v>
      </c>
      <c r="I81" s="16" t="s">
        <v>69</v>
      </c>
    </row>
    <row r="82" customFormat="false" ht="15" hidden="false" customHeight="true" outlineLevel="0" collapsed="false">
      <c r="A82" s="3" t="n">
        <v>1</v>
      </c>
      <c r="B82" s="17" t="str">
        <f aca="false">VLOOKUP(A82,Roster!$A$3:$B$18,2,FALSE())</f>
        <v>Player 1</v>
      </c>
      <c r="C82" s="18"/>
      <c r="D82" s="12" t="n">
        <v>9</v>
      </c>
      <c r="E82" s="12" t="n">
        <f aca="false">C90</f>
        <v>0</v>
      </c>
      <c r="F82" s="3" t="str">
        <f aca="false">IF(AND(C82=0,E82=0),"-",IF(C82&gt;E82,"W",IF(C82&lt;E82,"L","T")))</f>
        <v>-</v>
      </c>
      <c r="G82" s="3" t="n">
        <f aca="false">IF(F82="W",6,IF(F82="T",3,0))</f>
        <v>0</v>
      </c>
      <c r="H82" s="3" t="n">
        <f aca="false">C82</f>
        <v>0</v>
      </c>
      <c r="I82" s="19" t="n">
        <f aca="false">G82+H82</f>
        <v>0</v>
      </c>
    </row>
    <row r="83" customFormat="false" ht="15" hidden="false" customHeight="true" outlineLevel="0" collapsed="false">
      <c r="A83" s="3" t="n">
        <v>2</v>
      </c>
      <c r="B83" s="17" t="str">
        <f aca="false">VLOOKUP(A83,Roster!$A$3:$B$18,2,FALSE())</f>
        <v>Player 2</v>
      </c>
      <c r="C83" s="18"/>
      <c r="D83" s="12" t="n">
        <v>10</v>
      </c>
      <c r="E83" s="12" t="n">
        <f aca="false">C91</f>
        <v>0</v>
      </c>
      <c r="F83" s="3" t="str">
        <f aca="false">IF(AND(C83=0,E83=0),"-",IF(C83&gt;E83,"W",IF(C83&lt;E83,"L","T")))</f>
        <v>-</v>
      </c>
      <c r="G83" s="3" t="n">
        <f aca="false">IF(F83="W",6,IF(F83="T",3,0))</f>
        <v>0</v>
      </c>
      <c r="H83" s="3" t="n">
        <f aca="false">C83</f>
        <v>0</v>
      </c>
      <c r="I83" s="19" t="n">
        <f aca="false">G83+H83</f>
        <v>0</v>
      </c>
    </row>
    <row r="84" customFormat="false" ht="15" hidden="false" customHeight="true" outlineLevel="0" collapsed="false">
      <c r="A84" s="3" t="n">
        <v>3</v>
      </c>
      <c r="B84" s="17" t="str">
        <f aca="false">VLOOKUP(A84,Roster!$A$3:$B$18,2,FALSE())</f>
        <v>Player 3</v>
      </c>
      <c r="C84" s="18"/>
      <c r="D84" s="12" t="n">
        <v>11</v>
      </c>
      <c r="E84" s="12" t="n">
        <f aca="false">C92</f>
        <v>0</v>
      </c>
      <c r="F84" s="3" t="str">
        <f aca="false">IF(AND(C84=0,E84=0),"-",IF(C84&gt;E84,"W",IF(C84&lt;E84,"L","T")))</f>
        <v>-</v>
      </c>
      <c r="G84" s="3" t="n">
        <f aca="false">IF(F84="W",6,IF(F84="T",3,0))</f>
        <v>0</v>
      </c>
      <c r="H84" s="3" t="n">
        <f aca="false">C84</f>
        <v>0</v>
      </c>
      <c r="I84" s="19" t="n">
        <f aca="false">G84+H84</f>
        <v>0</v>
      </c>
    </row>
    <row r="85" customFormat="false" ht="15" hidden="false" customHeight="true" outlineLevel="0" collapsed="false">
      <c r="A85" s="3" t="n">
        <v>4</v>
      </c>
      <c r="B85" s="17" t="str">
        <f aca="false">VLOOKUP(A85,Roster!$A$3:$B$18,2,FALSE())</f>
        <v>Player 4</v>
      </c>
      <c r="C85" s="18"/>
      <c r="D85" s="12" t="n">
        <v>12</v>
      </c>
      <c r="E85" s="12" t="n">
        <f aca="false">C93</f>
        <v>0</v>
      </c>
      <c r="F85" s="3" t="str">
        <f aca="false">IF(AND(C85=0,E85=0),"-",IF(C85&gt;E85,"W",IF(C85&lt;E85,"L","T")))</f>
        <v>-</v>
      </c>
      <c r="G85" s="3" t="n">
        <f aca="false">IF(F85="W",6,IF(F85="T",3,0))</f>
        <v>0</v>
      </c>
      <c r="H85" s="3" t="n">
        <f aca="false">C85</f>
        <v>0</v>
      </c>
      <c r="I85" s="19" t="n">
        <f aca="false">G85+H85</f>
        <v>0</v>
      </c>
    </row>
    <row r="86" customFormat="false" ht="15" hidden="false" customHeight="true" outlineLevel="0" collapsed="false">
      <c r="A86" s="3" t="n">
        <v>5</v>
      </c>
      <c r="B86" s="17" t="str">
        <f aca="false">VLOOKUP(A86,Roster!$A$3:$B$18,2,FALSE())</f>
        <v>Player 5</v>
      </c>
      <c r="C86" s="18"/>
      <c r="D86" s="12" t="n">
        <v>13</v>
      </c>
      <c r="E86" s="12" t="n">
        <f aca="false">C94</f>
        <v>0</v>
      </c>
      <c r="F86" s="3" t="str">
        <f aca="false">IF(AND(C86=0,E86=0),"-",IF(C86&gt;E86,"W",IF(C86&lt;E86,"L","T")))</f>
        <v>-</v>
      </c>
      <c r="G86" s="3" t="n">
        <f aca="false">IF(F86="W",6,IF(F86="T",3,0))</f>
        <v>0</v>
      </c>
      <c r="H86" s="3" t="n">
        <f aca="false">C86</f>
        <v>0</v>
      </c>
      <c r="I86" s="19" t="n">
        <f aca="false">G86+H86</f>
        <v>0</v>
      </c>
    </row>
    <row r="87" customFormat="false" ht="15" hidden="false" customHeight="true" outlineLevel="0" collapsed="false">
      <c r="A87" s="3" t="n">
        <v>6</v>
      </c>
      <c r="B87" s="17" t="str">
        <f aca="false">VLOOKUP(A87,Roster!$A$3:$B$18,2,FALSE())</f>
        <v>Player 6</v>
      </c>
      <c r="C87" s="18"/>
      <c r="D87" s="12" t="n">
        <v>14</v>
      </c>
      <c r="E87" s="12" t="n">
        <f aca="false">C95</f>
        <v>0</v>
      </c>
      <c r="F87" s="3" t="str">
        <f aca="false">IF(AND(C87=0,E87=0),"-",IF(C87&gt;E87,"W",IF(C87&lt;E87,"L","T")))</f>
        <v>-</v>
      </c>
      <c r="G87" s="3" t="n">
        <f aca="false">IF(F87="W",6,IF(F87="T",3,0))</f>
        <v>0</v>
      </c>
      <c r="H87" s="3" t="n">
        <f aca="false">C87</f>
        <v>0</v>
      </c>
      <c r="I87" s="19" t="n">
        <f aca="false">G87+H87</f>
        <v>0</v>
      </c>
    </row>
    <row r="88" customFormat="false" ht="15" hidden="false" customHeight="true" outlineLevel="0" collapsed="false">
      <c r="A88" s="3" t="n">
        <v>7</v>
      </c>
      <c r="B88" s="17" t="str">
        <f aca="false">VLOOKUP(A88,Roster!$A$3:$B$18,2,FALSE())</f>
        <v>Player 7</v>
      </c>
      <c r="C88" s="18"/>
      <c r="D88" s="12" t="n">
        <v>15</v>
      </c>
      <c r="E88" s="12" t="n">
        <f aca="false">C96</f>
        <v>0</v>
      </c>
      <c r="F88" s="3" t="str">
        <f aca="false">IF(AND(C88=0,E88=0),"-",IF(C88&gt;E88,"W",IF(C88&lt;E88,"L","T")))</f>
        <v>-</v>
      </c>
      <c r="G88" s="3" t="n">
        <f aca="false">IF(F88="W",6,IF(F88="T",3,0))</f>
        <v>0</v>
      </c>
      <c r="H88" s="3" t="n">
        <f aca="false">C88</f>
        <v>0</v>
      </c>
      <c r="I88" s="19" t="n">
        <f aca="false">G88+H88</f>
        <v>0</v>
      </c>
    </row>
    <row r="89" customFormat="false" ht="15" hidden="false" customHeight="true" outlineLevel="0" collapsed="false">
      <c r="A89" s="3" t="n">
        <v>8</v>
      </c>
      <c r="B89" s="17" t="str">
        <f aca="false">VLOOKUP(A89,Roster!$A$3:$B$18,2,FALSE())</f>
        <v>Player 8</v>
      </c>
      <c r="C89" s="18"/>
      <c r="D89" s="12" t="n">
        <v>16</v>
      </c>
      <c r="E89" s="12" t="n">
        <f aca="false">C97</f>
        <v>0</v>
      </c>
      <c r="F89" s="3" t="str">
        <f aca="false">IF(AND(C89=0,E89=0),"-",IF(C89&gt;E89,"W",IF(C89&lt;E89,"L","T")))</f>
        <v>-</v>
      </c>
      <c r="G89" s="3" t="n">
        <f aca="false">IF(F89="W",6,IF(F89="T",3,0))</f>
        <v>0</v>
      </c>
      <c r="H89" s="3" t="n">
        <f aca="false">C89</f>
        <v>0</v>
      </c>
      <c r="I89" s="19" t="n">
        <f aca="false">G89+H89</f>
        <v>0</v>
      </c>
    </row>
    <row r="90" customFormat="false" ht="15" hidden="false" customHeight="true" outlineLevel="0" collapsed="false">
      <c r="A90" s="3" t="n">
        <v>9</v>
      </c>
      <c r="B90" s="17" t="str">
        <f aca="false">VLOOKUP(A90,Roster!$A$3:$B$18,2,FALSE())</f>
        <v>Player 9</v>
      </c>
      <c r="C90" s="18"/>
      <c r="D90" s="12" t="n">
        <v>1</v>
      </c>
      <c r="E90" s="12" t="n">
        <f aca="false">C82</f>
        <v>0</v>
      </c>
      <c r="F90" s="3" t="str">
        <f aca="false">IF(AND(C90=0,E90=0),"-",IF(C90&gt;E90,"W",IF(C90&lt;E90,"L","T")))</f>
        <v>-</v>
      </c>
      <c r="G90" s="3" t="n">
        <f aca="false">IF(F90="W",6,IF(F90="T",3,0))</f>
        <v>0</v>
      </c>
      <c r="H90" s="3" t="n">
        <f aca="false">C90</f>
        <v>0</v>
      </c>
      <c r="I90" s="19" t="n">
        <f aca="false">G90+H90</f>
        <v>0</v>
      </c>
    </row>
    <row r="91" customFormat="false" ht="15" hidden="false" customHeight="true" outlineLevel="0" collapsed="false">
      <c r="A91" s="3" t="n">
        <v>10</v>
      </c>
      <c r="B91" s="17" t="str">
        <f aca="false">VLOOKUP(A91,Roster!$A$3:$B$18,2,FALSE())</f>
        <v>Player 10</v>
      </c>
      <c r="C91" s="18"/>
      <c r="D91" s="12" t="n">
        <v>2</v>
      </c>
      <c r="E91" s="12" t="n">
        <f aca="false">C83</f>
        <v>0</v>
      </c>
      <c r="F91" s="3" t="str">
        <f aca="false">IF(AND(C91=0,E91=0),"-",IF(C91&gt;E91,"W",IF(C91&lt;E91,"L","T")))</f>
        <v>-</v>
      </c>
      <c r="G91" s="3" t="n">
        <f aca="false">IF(F91="W",6,IF(F91="T",3,0))</f>
        <v>0</v>
      </c>
      <c r="H91" s="3" t="n">
        <f aca="false">C91</f>
        <v>0</v>
      </c>
      <c r="I91" s="19" t="n">
        <f aca="false">G91+H91</f>
        <v>0</v>
      </c>
    </row>
    <row r="92" customFormat="false" ht="15" hidden="false" customHeight="true" outlineLevel="0" collapsed="false">
      <c r="A92" s="3" t="n">
        <v>11</v>
      </c>
      <c r="B92" s="17" t="str">
        <f aca="false">VLOOKUP(A92,Roster!$A$3:$B$18,2,FALSE())</f>
        <v>Player 11</v>
      </c>
      <c r="C92" s="18"/>
      <c r="D92" s="12" t="n">
        <v>3</v>
      </c>
      <c r="E92" s="12" t="n">
        <f aca="false">C84</f>
        <v>0</v>
      </c>
      <c r="F92" s="3" t="str">
        <f aca="false">IF(AND(C92=0,E92=0),"-",IF(C92&gt;E92,"W",IF(C92&lt;E92,"L","T")))</f>
        <v>-</v>
      </c>
      <c r="G92" s="3" t="n">
        <f aca="false">IF(F92="W",6,IF(F92="T",3,0))</f>
        <v>0</v>
      </c>
      <c r="H92" s="3" t="n">
        <f aca="false">C92</f>
        <v>0</v>
      </c>
      <c r="I92" s="19" t="n">
        <f aca="false">G92+H92</f>
        <v>0</v>
      </c>
    </row>
    <row r="93" customFormat="false" ht="15" hidden="false" customHeight="true" outlineLevel="0" collapsed="false">
      <c r="A93" s="3" t="n">
        <v>12</v>
      </c>
      <c r="B93" s="17" t="str">
        <f aca="false">VLOOKUP(A93,Roster!$A$3:$B$18,2,FALSE())</f>
        <v>Player 12</v>
      </c>
      <c r="C93" s="18"/>
      <c r="D93" s="12" t="n">
        <v>4</v>
      </c>
      <c r="E93" s="12" t="n">
        <f aca="false">C85</f>
        <v>0</v>
      </c>
      <c r="F93" s="3" t="str">
        <f aca="false">IF(AND(C93=0,E93=0),"-",IF(C93&gt;E93,"W",IF(C93&lt;E93,"L","T")))</f>
        <v>-</v>
      </c>
      <c r="G93" s="3" t="n">
        <f aca="false">IF(F93="W",6,IF(F93="T",3,0))</f>
        <v>0</v>
      </c>
      <c r="H93" s="3" t="n">
        <f aca="false">C93</f>
        <v>0</v>
      </c>
      <c r="I93" s="19" t="n">
        <f aca="false">G93+H93</f>
        <v>0</v>
      </c>
    </row>
    <row r="94" customFormat="false" ht="15" hidden="false" customHeight="true" outlineLevel="0" collapsed="false">
      <c r="A94" s="3" t="n">
        <v>13</v>
      </c>
      <c r="B94" s="17" t="str">
        <f aca="false">VLOOKUP(A94,Roster!$A$3:$B$18,2,FALSE())</f>
        <v>Player 13</v>
      </c>
      <c r="C94" s="18"/>
      <c r="D94" s="12" t="n">
        <v>5</v>
      </c>
      <c r="E94" s="12" t="n">
        <f aca="false">C86</f>
        <v>0</v>
      </c>
      <c r="F94" s="3" t="str">
        <f aca="false">IF(AND(C94=0,E94=0),"-",IF(C94&gt;E94,"W",IF(C94&lt;E94,"L","T")))</f>
        <v>-</v>
      </c>
      <c r="G94" s="3" t="n">
        <f aca="false">IF(F94="W",6,IF(F94="T",3,0))</f>
        <v>0</v>
      </c>
      <c r="H94" s="3" t="n">
        <f aca="false">C94</f>
        <v>0</v>
      </c>
      <c r="I94" s="19" t="n">
        <f aca="false">G94+H94</f>
        <v>0</v>
      </c>
    </row>
    <row r="95" customFormat="false" ht="15" hidden="false" customHeight="true" outlineLevel="0" collapsed="false">
      <c r="A95" s="3" t="n">
        <v>14</v>
      </c>
      <c r="B95" s="17" t="str">
        <f aca="false">VLOOKUP(A95,Roster!$A$3:$B$18,2,FALSE())</f>
        <v>Player 14</v>
      </c>
      <c r="C95" s="18"/>
      <c r="D95" s="12" t="n">
        <v>6</v>
      </c>
      <c r="E95" s="12" t="n">
        <f aca="false">C87</f>
        <v>0</v>
      </c>
      <c r="F95" s="3" t="str">
        <f aca="false">IF(AND(C95=0,E95=0),"-",IF(C95&gt;E95,"W",IF(C95&lt;E95,"L","T")))</f>
        <v>-</v>
      </c>
      <c r="G95" s="3" t="n">
        <f aca="false">IF(F95="W",6,IF(F95="T",3,0))</f>
        <v>0</v>
      </c>
      <c r="H95" s="3" t="n">
        <f aca="false">C95</f>
        <v>0</v>
      </c>
      <c r="I95" s="19" t="n">
        <f aca="false">G95+H95</f>
        <v>0</v>
      </c>
    </row>
    <row r="96" customFormat="false" ht="15" hidden="false" customHeight="true" outlineLevel="0" collapsed="false">
      <c r="A96" s="3" t="n">
        <v>15</v>
      </c>
      <c r="B96" s="17" t="str">
        <f aca="false">VLOOKUP(A96,Roster!$A$3:$B$18,2,FALSE())</f>
        <v>Player 15</v>
      </c>
      <c r="C96" s="18"/>
      <c r="D96" s="12" t="n">
        <v>7</v>
      </c>
      <c r="E96" s="12" t="n">
        <f aca="false">C88</f>
        <v>0</v>
      </c>
      <c r="F96" s="3" t="str">
        <f aca="false">IF(AND(C96=0,E96=0),"-",IF(C96&gt;E96,"W",IF(C96&lt;E96,"L","T")))</f>
        <v>-</v>
      </c>
      <c r="G96" s="3" t="n">
        <f aca="false">IF(F96="W",6,IF(F96="T",3,0))</f>
        <v>0</v>
      </c>
      <c r="H96" s="3" t="n">
        <f aca="false">C96</f>
        <v>0</v>
      </c>
      <c r="I96" s="19" t="n">
        <f aca="false">G96+H96</f>
        <v>0</v>
      </c>
    </row>
    <row r="97" customFormat="false" ht="15" hidden="false" customHeight="true" outlineLevel="0" collapsed="false">
      <c r="A97" s="3" t="n">
        <v>16</v>
      </c>
      <c r="B97" s="17" t="str">
        <f aca="false">VLOOKUP(A97,Roster!$A$3:$B$18,2,FALSE())</f>
        <v>Player 16</v>
      </c>
      <c r="C97" s="18"/>
      <c r="D97" s="12" t="n">
        <v>8</v>
      </c>
      <c r="E97" s="12" t="n">
        <f aca="false">C89</f>
        <v>0</v>
      </c>
      <c r="F97" s="3" t="str">
        <f aca="false">IF(AND(C97=0,E97=0),"-",IF(C97&gt;E97,"W",IF(C97&lt;E97,"L","T")))</f>
        <v>-</v>
      </c>
      <c r="G97" s="3" t="n">
        <f aca="false">IF(F97="W",6,IF(F97="T",3,0))</f>
        <v>0</v>
      </c>
      <c r="H97" s="3" t="n">
        <f aca="false">C97</f>
        <v>0</v>
      </c>
      <c r="I97" s="19" t="n">
        <f aca="false">G97+H97</f>
        <v>0</v>
      </c>
    </row>
    <row r="99" customFormat="false" ht="15" hidden="false" customHeight="true" outlineLevel="0" collapsed="false">
      <c r="A99" s="15" t="s">
        <v>74</v>
      </c>
      <c r="B99" s="15"/>
      <c r="C99" s="15"/>
      <c r="D99" s="15"/>
      <c r="E99" s="15"/>
      <c r="F99" s="15"/>
      <c r="G99" s="15"/>
      <c r="H99" s="15"/>
      <c r="I99" s="15"/>
    </row>
    <row r="100" customFormat="false" ht="15" hidden="false" customHeight="true" outlineLevel="0" collapsed="false">
      <c r="A100" s="16" t="s">
        <v>1</v>
      </c>
      <c r="B100" s="16" t="s">
        <v>2</v>
      </c>
      <c r="C100" s="16" t="s">
        <v>63</v>
      </c>
      <c r="D100" s="16" t="s">
        <v>64</v>
      </c>
      <c r="E100" s="16" t="s">
        <v>65</v>
      </c>
      <c r="F100" s="16" t="s">
        <v>66</v>
      </c>
      <c r="G100" s="16" t="s">
        <v>67</v>
      </c>
      <c r="H100" s="16" t="s">
        <v>68</v>
      </c>
      <c r="I100" s="16" t="s">
        <v>69</v>
      </c>
    </row>
    <row r="101" customFormat="false" ht="15" hidden="false" customHeight="true" outlineLevel="0" collapsed="false">
      <c r="A101" s="3" t="n">
        <v>1</v>
      </c>
      <c r="B101" s="17" t="str">
        <f aca="false">VLOOKUP(A101,Roster!$A$3:$B$18,2,FALSE())</f>
        <v>Player 1</v>
      </c>
      <c r="C101" s="18"/>
      <c r="D101" s="12" t="n">
        <v>10</v>
      </c>
      <c r="E101" s="12" t="n">
        <f aca="false">C110</f>
        <v>0</v>
      </c>
      <c r="F101" s="3" t="str">
        <f aca="false">IF(AND(C101=0,E101=0),"-",IF(C101&gt;E101,"W",IF(C101&lt;E101,"L","T")))</f>
        <v>-</v>
      </c>
      <c r="G101" s="3" t="n">
        <f aca="false">IF(F101="W",6,IF(F101="T",3,0))</f>
        <v>0</v>
      </c>
      <c r="H101" s="3" t="n">
        <f aca="false">C101</f>
        <v>0</v>
      </c>
      <c r="I101" s="19" t="n">
        <f aca="false">G101+H101</f>
        <v>0</v>
      </c>
    </row>
    <row r="102" customFormat="false" ht="15" hidden="false" customHeight="true" outlineLevel="0" collapsed="false">
      <c r="A102" s="3" t="n">
        <v>2</v>
      </c>
      <c r="B102" s="17" t="str">
        <f aca="false">VLOOKUP(A102,Roster!$A$3:$B$18,2,FALSE())</f>
        <v>Player 2</v>
      </c>
      <c r="C102" s="18"/>
      <c r="D102" s="12" t="n">
        <v>9</v>
      </c>
      <c r="E102" s="12" t="n">
        <f aca="false">C109</f>
        <v>0</v>
      </c>
      <c r="F102" s="3" t="str">
        <f aca="false">IF(AND(C102=0,E102=0),"-",IF(C102&gt;E102,"W",IF(C102&lt;E102,"L","T")))</f>
        <v>-</v>
      </c>
      <c r="G102" s="3" t="n">
        <f aca="false">IF(F102="W",6,IF(F102="T",3,0))</f>
        <v>0</v>
      </c>
      <c r="H102" s="3" t="n">
        <f aca="false">C102</f>
        <v>0</v>
      </c>
      <c r="I102" s="19" t="n">
        <f aca="false">G102+H102</f>
        <v>0</v>
      </c>
    </row>
    <row r="103" customFormat="false" ht="15" hidden="false" customHeight="true" outlineLevel="0" collapsed="false">
      <c r="A103" s="3" t="n">
        <v>3</v>
      </c>
      <c r="B103" s="17" t="str">
        <f aca="false">VLOOKUP(A103,Roster!$A$3:$B$18,2,FALSE())</f>
        <v>Player 3</v>
      </c>
      <c r="C103" s="18"/>
      <c r="D103" s="12" t="n">
        <v>12</v>
      </c>
      <c r="E103" s="12" t="n">
        <f aca="false">C112</f>
        <v>0</v>
      </c>
      <c r="F103" s="3" t="str">
        <f aca="false">IF(AND(C103=0,E103=0),"-",IF(C103&gt;E103,"W",IF(C103&lt;E103,"L","T")))</f>
        <v>-</v>
      </c>
      <c r="G103" s="3" t="n">
        <f aca="false">IF(F103="W",6,IF(F103="T",3,0))</f>
        <v>0</v>
      </c>
      <c r="H103" s="3" t="n">
        <f aca="false">C103</f>
        <v>0</v>
      </c>
      <c r="I103" s="19" t="n">
        <f aca="false">G103+H103</f>
        <v>0</v>
      </c>
    </row>
    <row r="104" customFormat="false" ht="15" hidden="false" customHeight="true" outlineLevel="0" collapsed="false">
      <c r="A104" s="3" t="n">
        <v>4</v>
      </c>
      <c r="B104" s="17" t="str">
        <f aca="false">VLOOKUP(A104,Roster!$A$3:$B$18,2,FALSE())</f>
        <v>Player 4</v>
      </c>
      <c r="C104" s="18"/>
      <c r="D104" s="12" t="n">
        <v>11</v>
      </c>
      <c r="E104" s="12" t="n">
        <f aca="false">C111</f>
        <v>0</v>
      </c>
      <c r="F104" s="3" t="str">
        <f aca="false">IF(AND(C104=0,E104=0),"-",IF(C104&gt;E104,"W",IF(C104&lt;E104,"L","T")))</f>
        <v>-</v>
      </c>
      <c r="G104" s="3" t="n">
        <f aca="false">IF(F104="W",6,IF(F104="T",3,0))</f>
        <v>0</v>
      </c>
      <c r="H104" s="3" t="n">
        <f aca="false">C104</f>
        <v>0</v>
      </c>
      <c r="I104" s="19" t="n">
        <f aca="false">G104+H104</f>
        <v>0</v>
      </c>
    </row>
    <row r="105" customFormat="false" ht="15" hidden="false" customHeight="true" outlineLevel="0" collapsed="false">
      <c r="A105" s="3" t="n">
        <v>5</v>
      </c>
      <c r="B105" s="17" t="str">
        <f aca="false">VLOOKUP(A105,Roster!$A$3:$B$18,2,FALSE())</f>
        <v>Player 5</v>
      </c>
      <c r="C105" s="18"/>
      <c r="D105" s="12" t="n">
        <v>14</v>
      </c>
      <c r="E105" s="12" t="n">
        <f aca="false">C114</f>
        <v>0</v>
      </c>
      <c r="F105" s="3" t="str">
        <f aca="false">IF(AND(C105=0,E105=0),"-",IF(C105&gt;E105,"W",IF(C105&lt;E105,"L","T")))</f>
        <v>-</v>
      </c>
      <c r="G105" s="3" t="n">
        <f aca="false">IF(F105="W",6,IF(F105="T",3,0))</f>
        <v>0</v>
      </c>
      <c r="H105" s="3" t="n">
        <f aca="false">C105</f>
        <v>0</v>
      </c>
      <c r="I105" s="19" t="n">
        <f aca="false">G105+H105</f>
        <v>0</v>
      </c>
    </row>
    <row r="106" customFormat="false" ht="15" hidden="false" customHeight="true" outlineLevel="0" collapsed="false">
      <c r="A106" s="3" t="n">
        <v>6</v>
      </c>
      <c r="B106" s="17" t="str">
        <f aca="false">VLOOKUP(A106,Roster!$A$3:$B$18,2,FALSE())</f>
        <v>Player 6</v>
      </c>
      <c r="C106" s="18"/>
      <c r="D106" s="12" t="n">
        <v>13</v>
      </c>
      <c r="E106" s="12" t="n">
        <f aca="false">C113</f>
        <v>0</v>
      </c>
      <c r="F106" s="3" t="str">
        <f aca="false">IF(AND(C106=0,E106=0),"-",IF(C106&gt;E106,"W",IF(C106&lt;E106,"L","T")))</f>
        <v>-</v>
      </c>
      <c r="G106" s="3" t="n">
        <f aca="false">IF(F106="W",6,IF(F106="T",3,0))</f>
        <v>0</v>
      </c>
      <c r="H106" s="3" t="n">
        <f aca="false">C106</f>
        <v>0</v>
      </c>
      <c r="I106" s="19" t="n">
        <f aca="false">G106+H106</f>
        <v>0</v>
      </c>
    </row>
    <row r="107" customFormat="false" ht="15" hidden="false" customHeight="true" outlineLevel="0" collapsed="false">
      <c r="A107" s="3" t="n">
        <v>7</v>
      </c>
      <c r="B107" s="17" t="str">
        <f aca="false">VLOOKUP(A107,Roster!$A$3:$B$18,2,FALSE())</f>
        <v>Player 7</v>
      </c>
      <c r="C107" s="18"/>
      <c r="D107" s="12" t="n">
        <v>16</v>
      </c>
      <c r="E107" s="12" t="n">
        <f aca="false">C116</f>
        <v>0</v>
      </c>
      <c r="F107" s="3" t="str">
        <f aca="false">IF(AND(C107=0,E107=0),"-",IF(C107&gt;E107,"W",IF(C107&lt;E107,"L","T")))</f>
        <v>-</v>
      </c>
      <c r="G107" s="3" t="n">
        <f aca="false">IF(F107="W",6,IF(F107="T",3,0))</f>
        <v>0</v>
      </c>
      <c r="H107" s="3" t="n">
        <f aca="false">C107</f>
        <v>0</v>
      </c>
      <c r="I107" s="19" t="n">
        <f aca="false">G107+H107</f>
        <v>0</v>
      </c>
    </row>
    <row r="108" customFormat="false" ht="15" hidden="false" customHeight="true" outlineLevel="0" collapsed="false">
      <c r="A108" s="3" t="n">
        <v>8</v>
      </c>
      <c r="B108" s="17" t="str">
        <f aca="false">VLOOKUP(A108,Roster!$A$3:$B$18,2,FALSE())</f>
        <v>Player 8</v>
      </c>
      <c r="C108" s="18"/>
      <c r="D108" s="12" t="n">
        <v>15</v>
      </c>
      <c r="E108" s="12" t="n">
        <f aca="false">C115</f>
        <v>0</v>
      </c>
      <c r="F108" s="3" t="str">
        <f aca="false">IF(AND(C108=0,E108=0),"-",IF(C108&gt;E108,"W",IF(C108&lt;E108,"L","T")))</f>
        <v>-</v>
      </c>
      <c r="G108" s="3" t="n">
        <f aca="false">IF(F108="W",6,IF(F108="T",3,0))</f>
        <v>0</v>
      </c>
      <c r="H108" s="3" t="n">
        <f aca="false">C108</f>
        <v>0</v>
      </c>
      <c r="I108" s="19" t="n">
        <f aca="false">G108+H108</f>
        <v>0</v>
      </c>
    </row>
    <row r="109" customFormat="false" ht="15" hidden="false" customHeight="true" outlineLevel="0" collapsed="false">
      <c r="A109" s="3" t="n">
        <v>9</v>
      </c>
      <c r="B109" s="17" t="str">
        <f aca="false">VLOOKUP(A109,Roster!$A$3:$B$18,2,FALSE())</f>
        <v>Player 9</v>
      </c>
      <c r="C109" s="18"/>
      <c r="D109" s="12" t="n">
        <v>2</v>
      </c>
      <c r="E109" s="12" t="n">
        <f aca="false">C102</f>
        <v>0</v>
      </c>
      <c r="F109" s="3" t="str">
        <f aca="false">IF(AND(C109=0,E109=0),"-",IF(C109&gt;E109,"W",IF(C109&lt;E109,"L","T")))</f>
        <v>-</v>
      </c>
      <c r="G109" s="3" t="n">
        <f aca="false">IF(F109="W",6,IF(F109="T",3,0))</f>
        <v>0</v>
      </c>
      <c r="H109" s="3" t="n">
        <f aca="false">C109</f>
        <v>0</v>
      </c>
      <c r="I109" s="19" t="n">
        <f aca="false">G109+H109</f>
        <v>0</v>
      </c>
    </row>
    <row r="110" customFormat="false" ht="15" hidden="false" customHeight="true" outlineLevel="0" collapsed="false">
      <c r="A110" s="3" t="n">
        <v>10</v>
      </c>
      <c r="B110" s="17" t="str">
        <f aca="false">VLOOKUP(A110,Roster!$A$3:$B$18,2,FALSE())</f>
        <v>Player 10</v>
      </c>
      <c r="C110" s="18"/>
      <c r="D110" s="12" t="n">
        <v>1</v>
      </c>
      <c r="E110" s="12" t="n">
        <f aca="false">C101</f>
        <v>0</v>
      </c>
      <c r="F110" s="3" t="str">
        <f aca="false">IF(AND(C110=0,E110=0),"-",IF(C110&gt;E110,"W",IF(C110&lt;E110,"L","T")))</f>
        <v>-</v>
      </c>
      <c r="G110" s="3" t="n">
        <f aca="false">IF(F110="W",6,IF(F110="T",3,0))</f>
        <v>0</v>
      </c>
      <c r="H110" s="3" t="n">
        <f aca="false">C110</f>
        <v>0</v>
      </c>
      <c r="I110" s="19" t="n">
        <f aca="false">G110+H110</f>
        <v>0</v>
      </c>
    </row>
    <row r="111" customFormat="false" ht="15" hidden="false" customHeight="true" outlineLevel="0" collapsed="false">
      <c r="A111" s="3" t="n">
        <v>11</v>
      </c>
      <c r="B111" s="17" t="str">
        <f aca="false">VLOOKUP(A111,Roster!$A$3:$B$18,2,FALSE())</f>
        <v>Player 11</v>
      </c>
      <c r="C111" s="18"/>
      <c r="D111" s="12" t="n">
        <v>4</v>
      </c>
      <c r="E111" s="12" t="n">
        <f aca="false">C104</f>
        <v>0</v>
      </c>
      <c r="F111" s="3" t="str">
        <f aca="false">IF(AND(C111=0,E111=0),"-",IF(C111&gt;E111,"W",IF(C111&lt;E111,"L","T")))</f>
        <v>-</v>
      </c>
      <c r="G111" s="3" t="n">
        <f aca="false">IF(F111="W",6,IF(F111="T",3,0))</f>
        <v>0</v>
      </c>
      <c r="H111" s="3" t="n">
        <f aca="false">C111</f>
        <v>0</v>
      </c>
      <c r="I111" s="19" t="n">
        <f aca="false">G111+H111</f>
        <v>0</v>
      </c>
    </row>
    <row r="112" customFormat="false" ht="15" hidden="false" customHeight="true" outlineLevel="0" collapsed="false">
      <c r="A112" s="3" t="n">
        <v>12</v>
      </c>
      <c r="B112" s="17" t="str">
        <f aca="false">VLOOKUP(A112,Roster!$A$3:$B$18,2,FALSE())</f>
        <v>Player 12</v>
      </c>
      <c r="C112" s="18"/>
      <c r="D112" s="12" t="n">
        <v>3</v>
      </c>
      <c r="E112" s="12" t="n">
        <f aca="false">C103</f>
        <v>0</v>
      </c>
      <c r="F112" s="3" t="str">
        <f aca="false">IF(AND(C112=0,E112=0),"-",IF(C112&gt;E112,"W",IF(C112&lt;E112,"L","T")))</f>
        <v>-</v>
      </c>
      <c r="G112" s="3" t="n">
        <f aca="false">IF(F112="W",6,IF(F112="T",3,0))</f>
        <v>0</v>
      </c>
      <c r="H112" s="3" t="n">
        <f aca="false">C112</f>
        <v>0</v>
      </c>
      <c r="I112" s="19" t="n">
        <f aca="false">G112+H112</f>
        <v>0</v>
      </c>
    </row>
    <row r="113" customFormat="false" ht="15" hidden="false" customHeight="true" outlineLevel="0" collapsed="false">
      <c r="A113" s="3" t="n">
        <v>13</v>
      </c>
      <c r="B113" s="17" t="str">
        <f aca="false">VLOOKUP(A113,Roster!$A$3:$B$18,2,FALSE())</f>
        <v>Player 13</v>
      </c>
      <c r="C113" s="18"/>
      <c r="D113" s="12" t="n">
        <v>6</v>
      </c>
      <c r="E113" s="12" t="n">
        <f aca="false">C106</f>
        <v>0</v>
      </c>
      <c r="F113" s="3" t="str">
        <f aca="false">IF(AND(C113=0,E113=0),"-",IF(C113&gt;E113,"W",IF(C113&lt;E113,"L","T")))</f>
        <v>-</v>
      </c>
      <c r="G113" s="3" t="n">
        <f aca="false">IF(F113="W",6,IF(F113="T",3,0))</f>
        <v>0</v>
      </c>
      <c r="H113" s="3" t="n">
        <f aca="false">C113</f>
        <v>0</v>
      </c>
      <c r="I113" s="19" t="n">
        <f aca="false">G113+H113</f>
        <v>0</v>
      </c>
    </row>
    <row r="114" customFormat="false" ht="15" hidden="false" customHeight="true" outlineLevel="0" collapsed="false">
      <c r="A114" s="3" t="n">
        <v>14</v>
      </c>
      <c r="B114" s="17" t="str">
        <f aca="false">VLOOKUP(A114,Roster!$A$3:$B$18,2,FALSE())</f>
        <v>Player 14</v>
      </c>
      <c r="C114" s="18"/>
      <c r="D114" s="12" t="n">
        <v>5</v>
      </c>
      <c r="E114" s="12" t="n">
        <f aca="false">C105</f>
        <v>0</v>
      </c>
      <c r="F114" s="3" t="str">
        <f aca="false">IF(AND(C114=0,E114=0),"-",IF(C114&gt;E114,"W",IF(C114&lt;E114,"L","T")))</f>
        <v>-</v>
      </c>
      <c r="G114" s="3" t="n">
        <f aca="false">IF(F114="W",6,IF(F114="T",3,0))</f>
        <v>0</v>
      </c>
      <c r="H114" s="3" t="n">
        <f aca="false">C114</f>
        <v>0</v>
      </c>
      <c r="I114" s="19" t="n">
        <f aca="false">G114+H114</f>
        <v>0</v>
      </c>
    </row>
    <row r="115" customFormat="false" ht="15" hidden="false" customHeight="true" outlineLevel="0" collapsed="false">
      <c r="A115" s="3" t="n">
        <v>15</v>
      </c>
      <c r="B115" s="17" t="str">
        <f aca="false">VLOOKUP(A115,Roster!$A$3:$B$18,2,FALSE())</f>
        <v>Player 15</v>
      </c>
      <c r="C115" s="18"/>
      <c r="D115" s="12" t="n">
        <v>8</v>
      </c>
      <c r="E115" s="12" t="n">
        <f aca="false">C108</f>
        <v>0</v>
      </c>
      <c r="F115" s="3" t="str">
        <f aca="false">IF(AND(C115=0,E115=0),"-",IF(C115&gt;E115,"W",IF(C115&lt;E115,"L","T")))</f>
        <v>-</v>
      </c>
      <c r="G115" s="3" t="n">
        <f aca="false">IF(F115="W",6,IF(F115="T",3,0))</f>
        <v>0</v>
      </c>
      <c r="H115" s="3" t="n">
        <f aca="false">C115</f>
        <v>0</v>
      </c>
      <c r="I115" s="19" t="n">
        <f aca="false">G115+H115</f>
        <v>0</v>
      </c>
    </row>
    <row r="116" customFormat="false" ht="15" hidden="false" customHeight="true" outlineLevel="0" collapsed="false">
      <c r="A116" s="3" t="n">
        <v>16</v>
      </c>
      <c r="B116" s="17" t="str">
        <f aca="false">VLOOKUP(A116,Roster!$A$3:$B$18,2,FALSE())</f>
        <v>Player 16</v>
      </c>
      <c r="C116" s="18"/>
      <c r="D116" s="12" t="n">
        <v>7</v>
      </c>
      <c r="E116" s="12" t="n">
        <f aca="false">C107</f>
        <v>0</v>
      </c>
      <c r="F116" s="3" t="str">
        <f aca="false">IF(AND(C116=0,E116=0),"-",IF(C116&gt;E116,"W",IF(C116&lt;E116,"L","T")))</f>
        <v>-</v>
      </c>
      <c r="G116" s="3" t="n">
        <f aca="false">IF(F116="W",6,IF(F116="T",3,0))</f>
        <v>0</v>
      </c>
      <c r="H116" s="3" t="n">
        <f aca="false">C116</f>
        <v>0</v>
      </c>
      <c r="I116" s="19" t="n">
        <f aca="false">G116+H116</f>
        <v>0</v>
      </c>
    </row>
  </sheetData>
  <mergeCells count="7">
    <mergeCell ref="A1:I1"/>
    <mergeCell ref="A4:I4"/>
    <mergeCell ref="A23:I23"/>
    <mergeCell ref="A42:I42"/>
    <mergeCell ref="A61:I61"/>
    <mergeCell ref="A80:I80"/>
    <mergeCell ref="A99:I9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B5CF6"/>
    <pageSetUpPr fitToPage="false"/>
  </sheetPr>
  <dimension ref="A1:I116"/>
  <sheetViews>
    <sheetView showFormulas="false" showGridLines="true" showRowColHeaders="true" showZeros="true" rightToLeft="false" tabSelected="false" showOutlineSymbols="true" defaultGridColor="true" view="normal" topLeftCell="A99" colorId="64" zoomScale="100" zoomScaleNormal="100" zoomScalePageLayoutView="100" workbookViewId="0">
      <selection pane="topLeft" activeCell="O128" activeCellId="0" sqref="O128"/>
    </sheetView>
  </sheetViews>
  <sheetFormatPr defaultColWidth="8.71484375" defaultRowHeight="15" zeroHeight="false" outlineLevelRow="0" outlineLevelCol="0"/>
  <cols>
    <col collapsed="false" customWidth="true" hidden="false" outlineLevel="0" max="9" min="1" style="0" width="15"/>
  </cols>
  <sheetData>
    <row r="1" customFormat="false" ht="17.25" hidden="false" customHeight="true" outlineLevel="0" collapsed="false">
      <c r="A1" s="1" t="s">
        <v>75</v>
      </c>
      <c r="B1" s="1"/>
      <c r="C1" s="1"/>
      <c r="D1" s="1"/>
      <c r="E1" s="1"/>
      <c r="F1" s="1"/>
      <c r="G1" s="1"/>
      <c r="H1" s="1"/>
      <c r="I1" s="1"/>
    </row>
    <row r="2" customFormat="false" ht="15" hidden="false" customHeight="true" outlineLevel="0" collapsed="false">
      <c r="A2" s="14" t="s">
        <v>76</v>
      </c>
    </row>
    <row r="4" customFormat="false" ht="15" hidden="false" customHeight="true" outlineLevel="0" collapsed="false">
      <c r="A4" s="15" t="s">
        <v>77</v>
      </c>
      <c r="B4" s="15"/>
      <c r="C4" s="15"/>
      <c r="D4" s="15"/>
      <c r="E4" s="15"/>
      <c r="F4" s="15"/>
      <c r="G4" s="15"/>
      <c r="H4" s="15"/>
      <c r="I4" s="15"/>
    </row>
    <row r="5" customFormat="false" ht="15" hidden="false" customHeight="true" outlineLevel="0" collapsed="false">
      <c r="A5" s="16" t="s">
        <v>1</v>
      </c>
      <c r="B5" s="16" t="s">
        <v>2</v>
      </c>
      <c r="C5" s="16" t="s">
        <v>78</v>
      </c>
      <c r="D5" s="16" t="s">
        <v>64</v>
      </c>
      <c r="E5" s="16" t="s">
        <v>79</v>
      </c>
      <c r="F5" s="16" t="s">
        <v>66</v>
      </c>
      <c r="G5" s="16" t="s">
        <v>67</v>
      </c>
      <c r="H5" s="16" t="s">
        <v>68</v>
      </c>
      <c r="I5" s="16" t="s">
        <v>69</v>
      </c>
    </row>
    <row r="6" customFormat="false" ht="15" hidden="false" customHeight="true" outlineLevel="0" collapsed="false">
      <c r="A6" s="3" t="n">
        <v>1</v>
      </c>
      <c r="B6" s="17" t="str">
        <f aca="false">VLOOKUP(A6,Roster!$A$3:$B$18,2,FALSE())</f>
        <v>Player 1</v>
      </c>
      <c r="C6" s="18"/>
      <c r="D6" s="12" t="n">
        <v>11</v>
      </c>
      <c r="E6" s="12" t="n">
        <f aca="false">C16</f>
        <v>0</v>
      </c>
      <c r="F6" s="3" t="str">
        <f aca="false">IF(AND(C6=0,E6=0),"-",IF(C6&gt;E6,"W",IF(C6&lt;E6,"L","T")))</f>
        <v>-</v>
      </c>
      <c r="G6" s="3" t="n">
        <f aca="false">IF(F6="W",10,IF(F6="T",5,0))</f>
        <v>0</v>
      </c>
      <c r="H6" s="3" t="n">
        <f aca="false">C6</f>
        <v>0</v>
      </c>
      <c r="I6" s="19" t="n">
        <f aca="false">G6+H6</f>
        <v>0</v>
      </c>
    </row>
    <row r="7" customFormat="false" ht="15" hidden="false" customHeight="true" outlineLevel="0" collapsed="false">
      <c r="A7" s="3" t="n">
        <v>2</v>
      </c>
      <c r="B7" s="17" t="str">
        <f aca="false">VLOOKUP(A7,Roster!$A$3:$B$18,2,FALSE())</f>
        <v>Player 2</v>
      </c>
      <c r="C7" s="18"/>
      <c r="D7" s="12" t="n">
        <v>12</v>
      </c>
      <c r="E7" s="12" t="n">
        <f aca="false">C17</f>
        <v>0</v>
      </c>
      <c r="F7" s="3" t="str">
        <f aca="false">IF(AND(C7=0,E7=0),"-",IF(C7&gt;E7,"W",IF(C7&lt;E7,"L","T")))</f>
        <v>-</v>
      </c>
      <c r="G7" s="3" t="n">
        <f aca="false">IF(F7="W",10,IF(F7="T",5,0))</f>
        <v>0</v>
      </c>
      <c r="H7" s="3" t="n">
        <f aca="false">C7</f>
        <v>0</v>
      </c>
      <c r="I7" s="19" t="n">
        <f aca="false">G7+H7</f>
        <v>0</v>
      </c>
    </row>
    <row r="8" customFormat="false" ht="15" hidden="false" customHeight="true" outlineLevel="0" collapsed="false">
      <c r="A8" s="3" t="n">
        <v>3</v>
      </c>
      <c r="B8" s="17" t="str">
        <f aca="false">VLOOKUP(A8,Roster!$A$3:$B$18,2,FALSE())</f>
        <v>Player 3</v>
      </c>
      <c r="C8" s="18"/>
      <c r="D8" s="12" t="n">
        <v>9</v>
      </c>
      <c r="E8" s="12" t="n">
        <f aca="false">C14</f>
        <v>0</v>
      </c>
      <c r="F8" s="3" t="str">
        <f aca="false">IF(AND(C8=0,E8=0),"-",IF(C8&gt;E8,"W",IF(C8&lt;E8,"L","T")))</f>
        <v>-</v>
      </c>
      <c r="G8" s="3" t="n">
        <f aca="false">IF(F8="W",10,IF(F8="T",5,0))</f>
        <v>0</v>
      </c>
      <c r="H8" s="3" t="n">
        <f aca="false">C8</f>
        <v>0</v>
      </c>
      <c r="I8" s="19" t="n">
        <f aca="false">G8+H8</f>
        <v>0</v>
      </c>
    </row>
    <row r="9" customFormat="false" ht="15" hidden="false" customHeight="true" outlineLevel="0" collapsed="false">
      <c r="A9" s="3" t="n">
        <v>4</v>
      </c>
      <c r="B9" s="17" t="str">
        <f aca="false">VLOOKUP(A9,Roster!$A$3:$B$18,2,FALSE())</f>
        <v>Player 4</v>
      </c>
      <c r="C9" s="18"/>
      <c r="D9" s="12" t="n">
        <v>10</v>
      </c>
      <c r="E9" s="12" t="n">
        <f aca="false">C15</f>
        <v>0</v>
      </c>
      <c r="F9" s="3" t="str">
        <f aca="false">IF(AND(C9=0,E9=0),"-",IF(C9&gt;E9,"W",IF(C9&lt;E9,"L","T")))</f>
        <v>-</v>
      </c>
      <c r="G9" s="3" t="n">
        <f aca="false">IF(F9="W",10,IF(F9="T",5,0))</f>
        <v>0</v>
      </c>
      <c r="H9" s="3" t="n">
        <f aca="false">C9</f>
        <v>0</v>
      </c>
      <c r="I9" s="19" t="n">
        <f aca="false">G9+H9</f>
        <v>0</v>
      </c>
    </row>
    <row r="10" customFormat="false" ht="15" hidden="false" customHeight="true" outlineLevel="0" collapsed="false">
      <c r="A10" s="3" t="n">
        <v>5</v>
      </c>
      <c r="B10" s="17" t="str">
        <f aca="false">VLOOKUP(A10,Roster!$A$3:$B$18,2,FALSE())</f>
        <v>Player 5</v>
      </c>
      <c r="C10" s="18"/>
      <c r="D10" s="12" t="n">
        <v>15</v>
      </c>
      <c r="E10" s="12" t="n">
        <f aca="false">C20</f>
        <v>0</v>
      </c>
      <c r="F10" s="3" t="str">
        <f aca="false">IF(AND(C10=0,E10=0),"-",IF(C10&gt;E10,"W",IF(C10&lt;E10,"L","T")))</f>
        <v>-</v>
      </c>
      <c r="G10" s="3" t="n">
        <f aca="false">IF(F10="W",10,IF(F10="T",5,0))</f>
        <v>0</v>
      </c>
      <c r="H10" s="3" t="n">
        <f aca="false">C10</f>
        <v>0</v>
      </c>
      <c r="I10" s="19" t="n">
        <f aca="false">G10+H10</f>
        <v>0</v>
      </c>
    </row>
    <row r="11" customFormat="false" ht="15" hidden="false" customHeight="true" outlineLevel="0" collapsed="false">
      <c r="A11" s="3" t="n">
        <v>6</v>
      </c>
      <c r="B11" s="17" t="str">
        <f aca="false">VLOOKUP(A11,Roster!$A$3:$B$18,2,FALSE())</f>
        <v>Player 6</v>
      </c>
      <c r="C11" s="18"/>
      <c r="D11" s="12" t="n">
        <v>16</v>
      </c>
      <c r="E11" s="12" t="n">
        <f aca="false">C21</f>
        <v>0</v>
      </c>
      <c r="F11" s="3" t="str">
        <f aca="false">IF(AND(C11=0,E11=0),"-",IF(C11&gt;E11,"W",IF(C11&lt;E11,"L","T")))</f>
        <v>-</v>
      </c>
      <c r="G11" s="3" t="n">
        <f aca="false">IF(F11="W",10,IF(F11="T",5,0))</f>
        <v>0</v>
      </c>
      <c r="H11" s="3" t="n">
        <f aca="false">C11</f>
        <v>0</v>
      </c>
      <c r="I11" s="19" t="n">
        <f aca="false">G11+H11</f>
        <v>0</v>
      </c>
    </row>
    <row r="12" customFormat="false" ht="15" hidden="false" customHeight="true" outlineLevel="0" collapsed="false">
      <c r="A12" s="3" t="n">
        <v>7</v>
      </c>
      <c r="B12" s="17" t="str">
        <f aca="false">VLOOKUP(A12,Roster!$A$3:$B$18,2,FALSE())</f>
        <v>Player 7</v>
      </c>
      <c r="C12" s="18"/>
      <c r="D12" s="12" t="n">
        <v>13</v>
      </c>
      <c r="E12" s="12" t="n">
        <f aca="false">C18</f>
        <v>0</v>
      </c>
      <c r="F12" s="3" t="str">
        <f aca="false">IF(AND(C12=0,E12=0),"-",IF(C12&gt;E12,"W",IF(C12&lt;E12,"L","T")))</f>
        <v>-</v>
      </c>
      <c r="G12" s="3" t="n">
        <f aca="false">IF(F12="W",10,IF(F12="T",5,0))</f>
        <v>0</v>
      </c>
      <c r="H12" s="3" t="n">
        <f aca="false">C12</f>
        <v>0</v>
      </c>
      <c r="I12" s="19" t="n">
        <f aca="false">G12+H12</f>
        <v>0</v>
      </c>
    </row>
    <row r="13" customFormat="false" ht="15" hidden="false" customHeight="true" outlineLevel="0" collapsed="false">
      <c r="A13" s="3" t="n">
        <v>8</v>
      </c>
      <c r="B13" s="17" t="str">
        <f aca="false">VLOOKUP(A13,Roster!$A$3:$B$18,2,FALSE())</f>
        <v>Player 8</v>
      </c>
      <c r="C13" s="18"/>
      <c r="D13" s="12" t="n">
        <v>14</v>
      </c>
      <c r="E13" s="12" t="n">
        <f aca="false">C19</f>
        <v>0</v>
      </c>
      <c r="F13" s="3" t="str">
        <f aca="false">IF(AND(C13=0,E13=0),"-",IF(C13&gt;E13,"W",IF(C13&lt;E13,"L","T")))</f>
        <v>-</v>
      </c>
      <c r="G13" s="3" t="n">
        <f aca="false">IF(F13="W",10,IF(F13="T",5,0))</f>
        <v>0</v>
      </c>
      <c r="H13" s="3" t="n">
        <f aca="false">C13</f>
        <v>0</v>
      </c>
      <c r="I13" s="19" t="n">
        <f aca="false">G13+H13</f>
        <v>0</v>
      </c>
    </row>
    <row r="14" customFormat="false" ht="15" hidden="false" customHeight="true" outlineLevel="0" collapsed="false">
      <c r="A14" s="3" t="n">
        <v>9</v>
      </c>
      <c r="B14" s="17" t="str">
        <f aca="false">VLOOKUP(A14,Roster!$A$3:$B$18,2,FALSE())</f>
        <v>Player 9</v>
      </c>
      <c r="C14" s="18"/>
      <c r="D14" s="12" t="n">
        <v>3</v>
      </c>
      <c r="E14" s="12" t="n">
        <f aca="false">C8</f>
        <v>0</v>
      </c>
      <c r="F14" s="3" t="str">
        <f aca="false">IF(AND(C14=0,E14=0),"-",IF(C14&gt;E14,"W",IF(C14&lt;E14,"L","T")))</f>
        <v>-</v>
      </c>
      <c r="G14" s="3" t="n">
        <f aca="false">IF(F14="W",10,IF(F14="T",5,0))</f>
        <v>0</v>
      </c>
      <c r="H14" s="3" t="n">
        <f aca="false">C14</f>
        <v>0</v>
      </c>
      <c r="I14" s="19" t="n">
        <f aca="false">G14+H14</f>
        <v>0</v>
      </c>
    </row>
    <row r="15" customFormat="false" ht="15" hidden="false" customHeight="true" outlineLevel="0" collapsed="false">
      <c r="A15" s="3" t="n">
        <v>10</v>
      </c>
      <c r="B15" s="17" t="str">
        <f aca="false">VLOOKUP(A15,Roster!$A$3:$B$18,2,FALSE())</f>
        <v>Player 10</v>
      </c>
      <c r="C15" s="18"/>
      <c r="D15" s="12" t="n">
        <v>4</v>
      </c>
      <c r="E15" s="12" t="n">
        <f aca="false">C9</f>
        <v>0</v>
      </c>
      <c r="F15" s="3" t="str">
        <f aca="false">IF(AND(C15=0,E15=0),"-",IF(C15&gt;E15,"W",IF(C15&lt;E15,"L","T")))</f>
        <v>-</v>
      </c>
      <c r="G15" s="3" t="n">
        <f aca="false">IF(F15="W",10,IF(F15="T",5,0))</f>
        <v>0</v>
      </c>
      <c r="H15" s="3" t="n">
        <f aca="false">C15</f>
        <v>0</v>
      </c>
      <c r="I15" s="19" t="n">
        <f aca="false">G15+H15</f>
        <v>0</v>
      </c>
    </row>
    <row r="16" customFormat="false" ht="15" hidden="false" customHeight="true" outlineLevel="0" collapsed="false">
      <c r="A16" s="3" t="n">
        <v>11</v>
      </c>
      <c r="B16" s="17" t="str">
        <f aca="false">VLOOKUP(A16,Roster!$A$3:$B$18,2,FALSE())</f>
        <v>Player 11</v>
      </c>
      <c r="C16" s="18"/>
      <c r="D16" s="12" t="n">
        <v>1</v>
      </c>
      <c r="E16" s="12" t="n">
        <f aca="false">C6</f>
        <v>0</v>
      </c>
      <c r="F16" s="3" t="str">
        <f aca="false">IF(AND(C16=0,E16=0),"-",IF(C16&gt;E16,"W",IF(C16&lt;E16,"L","T")))</f>
        <v>-</v>
      </c>
      <c r="G16" s="3" t="n">
        <f aca="false">IF(F16="W",10,IF(F16="T",5,0))</f>
        <v>0</v>
      </c>
      <c r="H16" s="3" t="n">
        <f aca="false">C16</f>
        <v>0</v>
      </c>
      <c r="I16" s="19" t="n">
        <f aca="false">G16+H16</f>
        <v>0</v>
      </c>
    </row>
    <row r="17" customFormat="false" ht="15" hidden="false" customHeight="true" outlineLevel="0" collapsed="false">
      <c r="A17" s="3" t="n">
        <v>12</v>
      </c>
      <c r="B17" s="17" t="str">
        <f aca="false">VLOOKUP(A17,Roster!$A$3:$B$18,2,FALSE())</f>
        <v>Player 12</v>
      </c>
      <c r="C17" s="18"/>
      <c r="D17" s="12" t="n">
        <v>2</v>
      </c>
      <c r="E17" s="12" t="n">
        <f aca="false">C7</f>
        <v>0</v>
      </c>
      <c r="F17" s="3" t="str">
        <f aca="false">IF(AND(C17=0,E17=0),"-",IF(C17&gt;E17,"W",IF(C17&lt;E17,"L","T")))</f>
        <v>-</v>
      </c>
      <c r="G17" s="3" t="n">
        <f aca="false">IF(F17="W",10,IF(F17="T",5,0))</f>
        <v>0</v>
      </c>
      <c r="H17" s="3" t="n">
        <f aca="false">C17</f>
        <v>0</v>
      </c>
      <c r="I17" s="19" t="n">
        <f aca="false">G17+H17</f>
        <v>0</v>
      </c>
    </row>
    <row r="18" customFormat="false" ht="15" hidden="false" customHeight="true" outlineLevel="0" collapsed="false">
      <c r="A18" s="3" t="n">
        <v>13</v>
      </c>
      <c r="B18" s="17" t="str">
        <f aca="false">VLOOKUP(A18,Roster!$A$3:$B$18,2,FALSE())</f>
        <v>Player 13</v>
      </c>
      <c r="C18" s="18"/>
      <c r="D18" s="12" t="n">
        <v>7</v>
      </c>
      <c r="E18" s="12" t="n">
        <f aca="false">C12</f>
        <v>0</v>
      </c>
      <c r="F18" s="3" t="str">
        <f aca="false">IF(AND(C18=0,E18=0),"-",IF(C18&gt;E18,"W",IF(C18&lt;E18,"L","T")))</f>
        <v>-</v>
      </c>
      <c r="G18" s="3" t="n">
        <f aca="false">IF(F18="W",10,IF(F18="T",5,0))</f>
        <v>0</v>
      </c>
      <c r="H18" s="3" t="n">
        <f aca="false">C18</f>
        <v>0</v>
      </c>
      <c r="I18" s="19" t="n">
        <f aca="false">G18+H18</f>
        <v>0</v>
      </c>
    </row>
    <row r="19" customFormat="false" ht="15" hidden="false" customHeight="true" outlineLevel="0" collapsed="false">
      <c r="A19" s="3" t="n">
        <v>14</v>
      </c>
      <c r="B19" s="17" t="str">
        <f aca="false">VLOOKUP(A19,Roster!$A$3:$B$18,2,FALSE())</f>
        <v>Player 14</v>
      </c>
      <c r="C19" s="18"/>
      <c r="D19" s="12" t="n">
        <v>8</v>
      </c>
      <c r="E19" s="12" t="n">
        <f aca="false">C13</f>
        <v>0</v>
      </c>
      <c r="F19" s="3" t="str">
        <f aca="false">IF(AND(C19=0,E19=0),"-",IF(C19&gt;E19,"W",IF(C19&lt;E19,"L","T")))</f>
        <v>-</v>
      </c>
      <c r="G19" s="3" t="n">
        <f aca="false">IF(F19="W",10,IF(F19="T",5,0))</f>
        <v>0</v>
      </c>
      <c r="H19" s="3" t="n">
        <f aca="false">C19</f>
        <v>0</v>
      </c>
      <c r="I19" s="19" t="n">
        <f aca="false">G19+H19</f>
        <v>0</v>
      </c>
    </row>
    <row r="20" customFormat="false" ht="15" hidden="false" customHeight="true" outlineLevel="0" collapsed="false">
      <c r="A20" s="3" t="n">
        <v>15</v>
      </c>
      <c r="B20" s="17" t="str">
        <f aca="false">VLOOKUP(A20,Roster!$A$3:$B$18,2,FALSE())</f>
        <v>Player 15</v>
      </c>
      <c r="C20" s="18"/>
      <c r="D20" s="12" t="n">
        <v>5</v>
      </c>
      <c r="E20" s="12" t="n">
        <f aca="false">C10</f>
        <v>0</v>
      </c>
      <c r="F20" s="3" t="str">
        <f aca="false">IF(AND(C20=0,E20=0),"-",IF(C20&gt;E20,"W",IF(C20&lt;E20,"L","T")))</f>
        <v>-</v>
      </c>
      <c r="G20" s="3" t="n">
        <f aca="false">IF(F20="W",10,IF(F20="T",5,0))</f>
        <v>0</v>
      </c>
      <c r="H20" s="3" t="n">
        <f aca="false">C20</f>
        <v>0</v>
      </c>
      <c r="I20" s="19" t="n">
        <f aca="false">G20+H20</f>
        <v>0</v>
      </c>
    </row>
    <row r="21" customFormat="false" ht="15" hidden="false" customHeight="true" outlineLevel="0" collapsed="false">
      <c r="A21" s="3" t="n">
        <v>16</v>
      </c>
      <c r="B21" s="17" t="str">
        <f aca="false">VLOOKUP(A21,Roster!$A$3:$B$18,2,FALSE())</f>
        <v>Player 16</v>
      </c>
      <c r="C21" s="18"/>
      <c r="D21" s="12" t="n">
        <v>6</v>
      </c>
      <c r="E21" s="12" t="n">
        <f aca="false">C11</f>
        <v>0</v>
      </c>
      <c r="F21" s="3" t="str">
        <f aca="false">IF(AND(C21=0,E21=0),"-",IF(C21&gt;E21,"W",IF(C21&lt;E21,"L","T")))</f>
        <v>-</v>
      </c>
      <c r="G21" s="3" t="n">
        <f aca="false">IF(F21="W",10,IF(F21="T",5,0))</f>
        <v>0</v>
      </c>
      <c r="H21" s="3" t="n">
        <f aca="false">C21</f>
        <v>0</v>
      </c>
      <c r="I21" s="19" t="n">
        <f aca="false">G21+H21</f>
        <v>0</v>
      </c>
    </row>
    <row r="23" customFormat="false" ht="15" hidden="false" customHeight="true" outlineLevel="0" collapsed="false">
      <c r="A23" s="15" t="s">
        <v>80</v>
      </c>
      <c r="B23" s="15"/>
      <c r="C23" s="15"/>
      <c r="D23" s="15"/>
      <c r="E23" s="15"/>
      <c r="F23" s="15"/>
      <c r="G23" s="15"/>
      <c r="H23" s="15"/>
      <c r="I23" s="15"/>
    </row>
    <row r="24" customFormat="false" ht="15" hidden="false" customHeight="true" outlineLevel="0" collapsed="false">
      <c r="A24" s="16" t="s">
        <v>1</v>
      </c>
      <c r="B24" s="16" t="s">
        <v>2</v>
      </c>
      <c r="C24" s="16" t="s">
        <v>78</v>
      </c>
      <c r="D24" s="16" t="s">
        <v>64</v>
      </c>
      <c r="E24" s="16" t="s">
        <v>79</v>
      </c>
      <c r="F24" s="16" t="s">
        <v>66</v>
      </c>
      <c r="G24" s="16" t="s">
        <v>67</v>
      </c>
      <c r="H24" s="16" t="s">
        <v>68</v>
      </c>
      <c r="I24" s="16" t="s">
        <v>69</v>
      </c>
    </row>
    <row r="25" customFormat="false" ht="15" hidden="false" customHeight="true" outlineLevel="0" collapsed="false">
      <c r="A25" s="3" t="n">
        <v>1</v>
      </c>
      <c r="B25" s="17" t="str">
        <f aca="false">VLOOKUP(A25,Roster!$A$3:$B$18,2,FALSE())</f>
        <v>Player 1</v>
      </c>
      <c r="C25" s="18"/>
      <c r="D25" s="12" t="n">
        <v>12</v>
      </c>
      <c r="E25" s="12" t="n">
        <f aca="false">C36</f>
        <v>0</v>
      </c>
      <c r="F25" s="3" t="str">
        <f aca="false">IF(AND(C25=0,E25=0),"-",IF(C25&gt;E25,"W",IF(C25&lt;E25,"L","T")))</f>
        <v>-</v>
      </c>
      <c r="G25" s="3" t="n">
        <f aca="false">IF(F25="W",10,IF(F25="T",5,0))</f>
        <v>0</v>
      </c>
      <c r="H25" s="3" t="n">
        <f aca="false">C25</f>
        <v>0</v>
      </c>
      <c r="I25" s="19" t="n">
        <f aca="false">G25+H25</f>
        <v>0</v>
      </c>
    </row>
    <row r="26" customFormat="false" ht="15" hidden="false" customHeight="true" outlineLevel="0" collapsed="false">
      <c r="A26" s="3" t="n">
        <v>2</v>
      </c>
      <c r="B26" s="17" t="str">
        <f aca="false">VLOOKUP(A26,Roster!$A$3:$B$18,2,FALSE())</f>
        <v>Player 2</v>
      </c>
      <c r="C26" s="18"/>
      <c r="D26" s="12" t="n">
        <v>11</v>
      </c>
      <c r="E26" s="12" t="n">
        <f aca="false">C35</f>
        <v>0</v>
      </c>
      <c r="F26" s="3" t="str">
        <f aca="false">IF(AND(C26=0,E26=0),"-",IF(C26&gt;E26,"W",IF(C26&lt;E26,"L","T")))</f>
        <v>-</v>
      </c>
      <c r="G26" s="3" t="n">
        <f aca="false">IF(F26="W",10,IF(F26="T",5,0))</f>
        <v>0</v>
      </c>
      <c r="H26" s="3" t="n">
        <f aca="false">C26</f>
        <v>0</v>
      </c>
      <c r="I26" s="19" t="n">
        <f aca="false">G26+H26</f>
        <v>0</v>
      </c>
    </row>
    <row r="27" customFormat="false" ht="15" hidden="false" customHeight="true" outlineLevel="0" collapsed="false">
      <c r="A27" s="3" t="n">
        <v>3</v>
      </c>
      <c r="B27" s="17" t="str">
        <f aca="false">VLOOKUP(A27,Roster!$A$3:$B$18,2,FALSE())</f>
        <v>Player 3</v>
      </c>
      <c r="C27" s="18"/>
      <c r="D27" s="12" t="n">
        <v>10</v>
      </c>
      <c r="E27" s="12" t="n">
        <f aca="false">C34</f>
        <v>0</v>
      </c>
      <c r="F27" s="3" t="str">
        <f aca="false">IF(AND(C27=0,E27=0),"-",IF(C27&gt;E27,"W",IF(C27&lt;E27,"L","T")))</f>
        <v>-</v>
      </c>
      <c r="G27" s="3" t="n">
        <f aca="false">IF(F27="W",10,IF(F27="T",5,0))</f>
        <v>0</v>
      </c>
      <c r="H27" s="3" t="n">
        <f aca="false">C27</f>
        <v>0</v>
      </c>
      <c r="I27" s="19" t="n">
        <f aca="false">G27+H27</f>
        <v>0</v>
      </c>
    </row>
    <row r="28" customFormat="false" ht="15" hidden="false" customHeight="true" outlineLevel="0" collapsed="false">
      <c r="A28" s="3" t="n">
        <v>4</v>
      </c>
      <c r="B28" s="17" t="str">
        <f aca="false">VLOOKUP(A28,Roster!$A$3:$B$18,2,FALSE())</f>
        <v>Player 4</v>
      </c>
      <c r="C28" s="18"/>
      <c r="D28" s="12" t="n">
        <v>9</v>
      </c>
      <c r="E28" s="12" t="n">
        <f aca="false">C33</f>
        <v>0</v>
      </c>
      <c r="F28" s="3" t="str">
        <f aca="false">IF(AND(C28=0,E28=0),"-",IF(C28&gt;E28,"W",IF(C28&lt;E28,"L","T")))</f>
        <v>-</v>
      </c>
      <c r="G28" s="3" t="n">
        <f aca="false">IF(F28="W",10,IF(F28="T",5,0))</f>
        <v>0</v>
      </c>
      <c r="H28" s="3" t="n">
        <f aca="false">C28</f>
        <v>0</v>
      </c>
      <c r="I28" s="19" t="n">
        <f aca="false">G28+H28</f>
        <v>0</v>
      </c>
    </row>
    <row r="29" customFormat="false" ht="15" hidden="false" customHeight="true" outlineLevel="0" collapsed="false">
      <c r="A29" s="3" t="n">
        <v>5</v>
      </c>
      <c r="B29" s="17" t="str">
        <f aca="false">VLOOKUP(A29,Roster!$A$3:$B$18,2,FALSE())</f>
        <v>Player 5</v>
      </c>
      <c r="C29" s="18"/>
      <c r="D29" s="12" t="n">
        <v>16</v>
      </c>
      <c r="E29" s="12" t="n">
        <f aca="false">C40</f>
        <v>0</v>
      </c>
      <c r="F29" s="3" t="str">
        <f aca="false">IF(AND(C29=0,E29=0),"-",IF(C29&gt;E29,"W",IF(C29&lt;E29,"L","T")))</f>
        <v>-</v>
      </c>
      <c r="G29" s="3" t="n">
        <f aca="false">IF(F29="W",10,IF(F29="T",5,0))</f>
        <v>0</v>
      </c>
      <c r="H29" s="3" t="n">
        <f aca="false">C29</f>
        <v>0</v>
      </c>
      <c r="I29" s="19" t="n">
        <f aca="false">G29+H29</f>
        <v>0</v>
      </c>
    </row>
    <row r="30" customFormat="false" ht="15" hidden="false" customHeight="true" outlineLevel="0" collapsed="false">
      <c r="A30" s="3" t="n">
        <v>6</v>
      </c>
      <c r="B30" s="17" t="str">
        <f aca="false">VLOOKUP(A30,Roster!$A$3:$B$18,2,FALSE())</f>
        <v>Player 6</v>
      </c>
      <c r="C30" s="18"/>
      <c r="D30" s="12" t="n">
        <v>15</v>
      </c>
      <c r="E30" s="12" t="n">
        <f aca="false">C39</f>
        <v>0</v>
      </c>
      <c r="F30" s="3" t="str">
        <f aca="false">IF(AND(C30=0,E30=0),"-",IF(C30&gt;E30,"W",IF(C30&lt;E30,"L","T")))</f>
        <v>-</v>
      </c>
      <c r="G30" s="3" t="n">
        <f aca="false">IF(F30="W",10,IF(F30="T",5,0))</f>
        <v>0</v>
      </c>
      <c r="H30" s="3" t="n">
        <f aca="false">C30</f>
        <v>0</v>
      </c>
      <c r="I30" s="19" t="n">
        <f aca="false">G30+H30</f>
        <v>0</v>
      </c>
    </row>
    <row r="31" customFormat="false" ht="15" hidden="false" customHeight="true" outlineLevel="0" collapsed="false">
      <c r="A31" s="3" t="n">
        <v>7</v>
      </c>
      <c r="B31" s="17" t="str">
        <f aca="false">VLOOKUP(A31,Roster!$A$3:$B$18,2,FALSE())</f>
        <v>Player 7</v>
      </c>
      <c r="C31" s="18"/>
      <c r="D31" s="12" t="n">
        <v>14</v>
      </c>
      <c r="E31" s="12" t="n">
        <f aca="false">C38</f>
        <v>0</v>
      </c>
      <c r="F31" s="3" t="str">
        <f aca="false">IF(AND(C31=0,E31=0),"-",IF(C31&gt;E31,"W",IF(C31&lt;E31,"L","T")))</f>
        <v>-</v>
      </c>
      <c r="G31" s="3" t="n">
        <f aca="false">IF(F31="W",10,IF(F31="T",5,0))</f>
        <v>0</v>
      </c>
      <c r="H31" s="3" t="n">
        <f aca="false">C31</f>
        <v>0</v>
      </c>
      <c r="I31" s="19" t="n">
        <f aca="false">G31+H31</f>
        <v>0</v>
      </c>
    </row>
    <row r="32" customFormat="false" ht="15" hidden="false" customHeight="true" outlineLevel="0" collapsed="false">
      <c r="A32" s="3" t="n">
        <v>8</v>
      </c>
      <c r="B32" s="17" t="str">
        <f aca="false">VLOOKUP(A32,Roster!$A$3:$B$18,2,FALSE())</f>
        <v>Player 8</v>
      </c>
      <c r="C32" s="18"/>
      <c r="D32" s="12" t="n">
        <v>13</v>
      </c>
      <c r="E32" s="12" t="n">
        <f aca="false">C37</f>
        <v>0</v>
      </c>
      <c r="F32" s="3" t="str">
        <f aca="false">IF(AND(C32=0,E32=0),"-",IF(C32&gt;E32,"W",IF(C32&lt;E32,"L","T")))</f>
        <v>-</v>
      </c>
      <c r="G32" s="3" t="n">
        <f aca="false">IF(F32="W",10,IF(F32="T",5,0))</f>
        <v>0</v>
      </c>
      <c r="H32" s="3" t="n">
        <f aca="false">C32</f>
        <v>0</v>
      </c>
      <c r="I32" s="19" t="n">
        <f aca="false">G32+H32</f>
        <v>0</v>
      </c>
    </row>
    <row r="33" customFormat="false" ht="15" hidden="false" customHeight="true" outlineLevel="0" collapsed="false">
      <c r="A33" s="3" t="n">
        <v>9</v>
      </c>
      <c r="B33" s="17" t="str">
        <f aca="false">VLOOKUP(A33,Roster!$A$3:$B$18,2,FALSE())</f>
        <v>Player 9</v>
      </c>
      <c r="C33" s="18"/>
      <c r="D33" s="12" t="n">
        <v>4</v>
      </c>
      <c r="E33" s="12" t="n">
        <f aca="false">C28</f>
        <v>0</v>
      </c>
      <c r="F33" s="3" t="str">
        <f aca="false">IF(AND(C33=0,E33=0),"-",IF(C33&gt;E33,"W",IF(C33&lt;E33,"L","T")))</f>
        <v>-</v>
      </c>
      <c r="G33" s="3" t="n">
        <f aca="false">IF(F33="W",10,IF(F33="T",5,0))</f>
        <v>0</v>
      </c>
      <c r="H33" s="3" t="n">
        <f aca="false">C33</f>
        <v>0</v>
      </c>
      <c r="I33" s="19" t="n">
        <f aca="false">G33+H33</f>
        <v>0</v>
      </c>
    </row>
    <row r="34" customFormat="false" ht="15" hidden="false" customHeight="true" outlineLevel="0" collapsed="false">
      <c r="A34" s="3" t="n">
        <v>10</v>
      </c>
      <c r="B34" s="17" t="str">
        <f aca="false">VLOOKUP(A34,Roster!$A$3:$B$18,2,FALSE())</f>
        <v>Player 10</v>
      </c>
      <c r="C34" s="18"/>
      <c r="D34" s="12" t="n">
        <v>3</v>
      </c>
      <c r="E34" s="12" t="n">
        <f aca="false">C27</f>
        <v>0</v>
      </c>
      <c r="F34" s="3" t="str">
        <f aca="false">IF(AND(C34=0,E34=0),"-",IF(C34&gt;E34,"W",IF(C34&lt;E34,"L","T")))</f>
        <v>-</v>
      </c>
      <c r="G34" s="3" t="n">
        <f aca="false">IF(F34="W",10,IF(F34="T",5,0))</f>
        <v>0</v>
      </c>
      <c r="H34" s="3" t="n">
        <f aca="false">C34</f>
        <v>0</v>
      </c>
      <c r="I34" s="19" t="n">
        <f aca="false">G34+H34</f>
        <v>0</v>
      </c>
    </row>
    <row r="35" customFormat="false" ht="15" hidden="false" customHeight="true" outlineLevel="0" collapsed="false">
      <c r="A35" s="3" t="n">
        <v>11</v>
      </c>
      <c r="B35" s="17" t="str">
        <f aca="false">VLOOKUP(A35,Roster!$A$3:$B$18,2,FALSE())</f>
        <v>Player 11</v>
      </c>
      <c r="C35" s="18"/>
      <c r="D35" s="12" t="n">
        <v>2</v>
      </c>
      <c r="E35" s="12" t="n">
        <f aca="false">C26</f>
        <v>0</v>
      </c>
      <c r="F35" s="3" t="str">
        <f aca="false">IF(AND(C35=0,E35=0),"-",IF(C35&gt;E35,"W",IF(C35&lt;E35,"L","T")))</f>
        <v>-</v>
      </c>
      <c r="G35" s="3" t="n">
        <f aca="false">IF(F35="W",10,IF(F35="T",5,0))</f>
        <v>0</v>
      </c>
      <c r="H35" s="3" t="n">
        <f aca="false">C35</f>
        <v>0</v>
      </c>
      <c r="I35" s="19" t="n">
        <f aca="false">G35+H35</f>
        <v>0</v>
      </c>
    </row>
    <row r="36" customFormat="false" ht="15" hidden="false" customHeight="true" outlineLevel="0" collapsed="false">
      <c r="A36" s="3" t="n">
        <v>12</v>
      </c>
      <c r="B36" s="17" t="str">
        <f aca="false">VLOOKUP(A36,Roster!$A$3:$B$18,2,FALSE())</f>
        <v>Player 12</v>
      </c>
      <c r="C36" s="18"/>
      <c r="D36" s="12" t="n">
        <v>1</v>
      </c>
      <c r="E36" s="12" t="n">
        <f aca="false">C25</f>
        <v>0</v>
      </c>
      <c r="F36" s="3" t="str">
        <f aca="false">IF(AND(C36=0,E36=0),"-",IF(C36&gt;E36,"W",IF(C36&lt;E36,"L","T")))</f>
        <v>-</v>
      </c>
      <c r="G36" s="3" t="n">
        <f aca="false">IF(F36="W",10,IF(F36="T",5,0))</f>
        <v>0</v>
      </c>
      <c r="H36" s="3" t="n">
        <f aca="false">C36</f>
        <v>0</v>
      </c>
      <c r="I36" s="19" t="n">
        <f aca="false">G36+H36</f>
        <v>0</v>
      </c>
    </row>
    <row r="37" customFormat="false" ht="15" hidden="false" customHeight="true" outlineLevel="0" collapsed="false">
      <c r="A37" s="3" t="n">
        <v>13</v>
      </c>
      <c r="B37" s="17" t="str">
        <f aca="false">VLOOKUP(A37,Roster!$A$3:$B$18,2,FALSE())</f>
        <v>Player 13</v>
      </c>
      <c r="C37" s="18"/>
      <c r="D37" s="12" t="n">
        <v>8</v>
      </c>
      <c r="E37" s="12" t="n">
        <f aca="false">C32</f>
        <v>0</v>
      </c>
      <c r="F37" s="3" t="str">
        <f aca="false">IF(AND(C37=0,E37=0),"-",IF(C37&gt;E37,"W",IF(C37&lt;E37,"L","T")))</f>
        <v>-</v>
      </c>
      <c r="G37" s="3" t="n">
        <f aca="false">IF(F37="W",10,IF(F37="T",5,0))</f>
        <v>0</v>
      </c>
      <c r="H37" s="3" t="n">
        <f aca="false">C37</f>
        <v>0</v>
      </c>
      <c r="I37" s="19" t="n">
        <f aca="false">G37+H37</f>
        <v>0</v>
      </c>
    </row>
    <row r="38" customFormat="false" ht="15" hidden="false" customHeight="true" outlineLevel="0" collapsed="false">
      <c r="A38" s="3" t="n">
        <v>14</v>
      </c>
      <c r="B38" s="17" t="str">
        <f aca="false">VLOOKUP(A38,Roster!$A$3:$B$18,2,FALSE())</f>
        <v>Player 14</v>
      </c>
      <c r="C38" s="18"/>
      <c r="D38" s="12" t="n">
        <v>7</v>
      </c>
      <c r="E38" s="12" t="n">
        <f aca="false">C31</f>
        <v>0</v>
      </c>
      <c r="F38" s="3" t="str">
        <f aca="false">IF(AND(C38=0,E38=0),"-",IF(C38&gt;E38,"W",IF(C38&lt;E38,"L","T")))</f>
        <v>-</v>
      </c>
      <c r="G38" s="3" t="n">
        <f aca="false">IF(F38="W",10,IF(F38="T",5,0))</f>
        <v>0</v>
      </c>
      <c r="H38" s="3" t="n">
        <f aca="false">C38</f>
        <v>0</v>
      </c>
      <c r="I38" s="19" t="n">
        <f aca="false">G38+H38</f>
        <v>0</v>
      </c>
    </row>
    <row r="39" customFormat="false" ht="15" hidden="false" customHeight="true" outlineLevel="0" collapsed="false">
      <c r="A39" s="3" t="n">
        <v>15</v>
      </c>
      <c r="B39" s="17" t="str">
        <f aca="false">VLOOKUP(A39,Roster!$A$3:$B$18,2,FALSE())</f>
        <v>Player 15</v>
      </c>
      <c r="C39" s="18"/>
      <c r="D39" s="12" t="n">
        <v>6</v>
      </c>
      <c r="E39" s="12" t="n">
        <f aca="false">C30</f>
        <v>0</v>
      </c>
      <c r="F39" s="3" t="str">
        <f aca="false">IF(AND(C39=0,E39=0),"-",IF(C39&gt;E39,"W",IF(C39&lt;E39,"L","T")))</f>
        <v>-</v>
      </c>
      <c r="G39" s="3" t="n">
        <f aca="false">IF(F39="W",10,IF(F39="T",5,0))</f>
        <v>0</v>
      </c>
      <c r="H39" s="3" t="n">
        <f aca="false">C39</f>
        <v>0</v>
      </c>
      <c r="I39" s="19" t="n">
        <f aca="false">G39+H39</f>
        <v>0</v>
      </c>
    </row>
    <row r="40" customFormat="false" ht="15" hidden="false" customHeight="true" outlineLevel="0" collapsed="false">
      <c r="A40" s="3" t="n">
        <v>16</v>
      </c>
      <c r="B40" s="17" t="str">
        <f aca="false">VLOOKUP(A40,Roster!$A$3:$B$18,2,FALSE())</f>
        <v>Player 16</v>
      </c>
      <c r="C40" s="18"/>
      <c r="D40" s="12" t="n">
        <v>5</v>
      </c>
      <c r="E40" s="12" t="n">
        <f aca="false">C29</f>
        <v>0</v>
      </c>
      <c r="F40" s="3" t="str">
        <f aca="false">IF(AND(C40=0,E40=0),"-",IF(C40&gt;E40,"W",IF(C40&lt;E40,"L","T")))</f>
        <v>-</v>
      </c>
      <c r="G40" s="3" t="n">
        <f aca="false">IF(F40="W",10,IF(F40="T",5,0))</f>
        <v>0</v>
      </c>
      <c r="H40" s="3" t="n">
        <f aca="false">C40</f>
        <v>0</v>
      </c>
      <c r="I40" s="19" t="n">
        <f aca="false">G40+H40</f>
        <v>0</v>
      </c>
    </row>
    <row r="42" customFormat="false" ht="15" hidden="false" customHeight="true" outlineLevel="0" collapsed="false">
      <c r="A42" s="15" t="s">
        <v>81</v>
      </c>
      <c r="B42" s="15"/>
      <c r="C42" s="15"/>
      <c r="D42" s="15"/>
      <c r="E42" s="15"/>
      <c r="F42" s="15"/>
      <c r="G42" s="15"/>
      <c r="H42" s="15"/>
      <c r="I42" s="15"/>
    </row>
    <row r="43" customFormat="false" ht="15" hidden="false" customHeight="true" outlineLevel="0" collapsed="false">
      <c r="A43" s="16" t="s">
        <v>1</v>
      </c>
      <c r="B43" s="16" t="s">
        <v>2</v>
      </c>
      <c r="C43" s="16" t="s">
        <v>78</v>
      </c>
      <c r="D43" s="16" t="s">
        <v>64</v>
      </c>
      <c r="E43" s="16" t="s">
        <v>79</v>
      </c>
      <c r="F43" s="16" t="s">
        <v>66</v>
      </c>
      <c r="G43" s="16" t="s">
        <v>67</v>
      </c>
      <c r="H43" s="16" t="s">
        <v>68</v>
      </c>
      <c r="I43" s="16" t="s">
        <v>69</v>
      </c>
    </row>
    <row r="44" customFormat="false" ht="15" hidden="false" customHeight="true" outlineLevel="0" collapsed="false">
      <c r="A44" s="3" t="n">
        <v>1</v>
      </c>
      <c r="B44" s="17" t="str">
        <f aca="false">VLOOKUP(A44,Roster!$A$3:$B$18,2,FALSE())</f>
        <v>Player 1</v>
      </c>
      <c r="C44" s="18"/>
      <c r="D44" s="12" t="n">
        <v>13</v>
      </c>
      <c r="E44" s="12" t="n">
        <f aca="false">C56</f>
        <v>0</v>
      </c>
      <c r="F44" s="3" t="str">
        <f aca="false">IF(AND(C44=0,E44=0),"-",IF(C44&gt;E44,"W",IF(C44&lt;E44,"L","T")))</f>
        <v>-</v>
      </c>
      <c r="G44" s="3" t="n">
        <f aca="false">IF(F44="W",10,IF(F44="T",5,0))</f>
        <v>0</v>
      </c>
      <c r="H44" s="3" t="n">
        <f aca="false">C44</f>
        <v>0</v>
      </c>
      <c r="I44" s="19" t="n">
        <f aca="false">G44+H44</f>
        <v>0</v>
      </c>
    </row>
    <row r="45" customFormat="false" ht="15" hidden="false" customHeight="true" outlineLevel="0" collapsed="false">
      <c r="A45" s="3" t="n">
        <v>2</v>
      </c>
      <c r="B45" s="17" t="str">
        <f aca="false">VLOOKUP(A45,Roster!$A$3:$B$18,2,FALSE())</f>
        <v>Player 2</v>
      </c>
      <c r="C45" s="18"/>
      <c r="D45" s="12" t="n">
        <v>14</v>
      </c>
      <c r="E45" s="12" t="n">
        <f aca="false">C57</f>
        <v>0</v>
      </c>
      <c r="F45" s="3" t="str">
        <f aca="false">IF(AND(C45=0,E45=0),"-",IF(C45&gt;E45,"W",IF(C45&lt;E45,"L","T")))</f>
        <v>-</v>
      </c>
      <c r="G45" s="3" t="n">
        <f aca="false">IF(F45="W",10,IF(F45="T",5,0))</f>
        <v>0</v>
      </c>
      <c r="H45" s="3" t="n">
        <f aca="false">C45</f>
        <v>0</v>
      </c>
      <c r="I45" s="19" t="n">
        <f aca="false">G45+H45</f>
        <v>0</v>
      </c>
    </row>
    <row r="46" customFormat="false" ht="15" hidden="false" customHeight="true" outlineLevel="0" collapsed="false">
      <c r="A46" s="3" t="n">
        <v>3</v>
      </c>
      <c r="B46" s="17" t="str">
        <f aca="false">VLOOKUP(A46,Roster!$A$3:$B$18,2,FALSE())</f>
        <v>Player 3</v>
      </c>
      <c r="C46" s="18"/>
      <c r="D46" s="12" t="n">
        <v>15</v>
      </c>
      <c r="E46" s="12" t="n">
        <f aca="false">C58</f>
        <v>0</v>
      </c>
      <c r="F46" s="3" t="str">
        <f aca="false">IF(AND(C46=0,E46=0),"-",IF(C46&gt;E46,"W",IF(C46&lt;E46,"L","T")))</f>
        <v>-</v>
      </c>
      <c r="G46" s="3" t="n">
        <f aca="false">IF(F46="W",10,IF(F46="T",5,0))</f>
        <v>0</v>
      </c>
      <c r="H46" s="3" t="n">
        <f aca="false">C46</f>
        <v>0</v>
      </c>
      <c r="I46" s="19" t="n">
        <f aca="false">G46+H46</f>
        <v>0</v>
      </c>
    </row>
    <row r="47" customFormat="false" ht="15" hidden="false" customHeight="true" outlineLevel="0" collapsed="false">
      <c r="A47" s="3" t="n">
        <v>4</v>
      </c>
      <c r="B47" s="17" t="str">
        <f aca="false">VLOOKUP(A47,Roster!$A$3:$B$18,2,FALSE())</f>
        <v>Player 4</v>
      </c>
      <c r="C47" s="18"/>
      <c r="D47" s="12" t="n">
        <v>16</v>
      </c>
      <c r="E47" s="12" t="n">
        <f aca="false">C59</f>
        <v>0</v>
      </c>
      <c r="F47" s="3" t="str">
        <f aca="false">IF(AND(C47=0,E47=0),"-",IF(C47&gt;E47,"W",IF(C47&lt;E47,"L","T")))</f>
        <v>-</v>
      </c>
      <c r="G47" s="3" t="n">
        <f aca="false">IF(F47="W",10,IF(F47="T",5,0))</f>
        <v>0</v>
      </c>
      <c r="H47" s="3" t="n">
        <f aca="false">C47</f>
        <v>0</v>
      </c>
      <c r="I47" s="19" t="n">
        <f aca="false">G47+H47</f>
        <v>0</v>
      </c>
    </row>
    <row r="48" customFormat="false" ht="15" hidden="false" customHeight="true" outlineLevel="0" collapsed="false">
      <c r="A48" s="3" t="n">
        <v>5</v>
      </c>
      <c r="B48" s="17" t="str">
        <f aca="false">VLOOKUP(A48,Roster!$A$3:$B$18,2,FALSE())</f>
        <v>Player 5</v>
      </c>
      <c r="C48" s="18"/>
      <c r="D48" s="12" t="n">
        <v>9</v>
      </c>
      <c r="E48" s="12" t="n">
        <f aca="false">C52</f>
        <v>0</v>
      </c>
      <c r="F48" s="3" t="str">
        <f aca="false">IF(AND(C48=0,E48=0),"-",IF(C48&gt;E48,"W",IF(C48&lt;E48,"L","T")))</f>
        <v>-</v>
      </c>
      <c r="G48" s="3" t="n">
        <f aca="false">IF(F48="W",10,IF(F48="T",5,0))</f>
        <v>0</v>
      </c>
      <c r="H48" s="3" t="n">
        <f aca="false">C48</f>
        <v>0</v>
      </c>
      <c r="I48" s="19" t="n">
        <f aca="false">G48+H48</f>
        <v>0</v>
      </c>
    </row>
    <row r="49" customFormat="false" ht="15" hidden="false" customHeight="true" outlineLevel="0" collapsed="false">
      <c r="A49" s="3" t="n">
        <v>6</v>
      </c>
      <c r="B49" s="17" t="str">
        <f aca="false">VLOOKUP(A49,Roster!$A$3:$B$18,2,FALSE())</f>
        <v>Player 6</v>
      </c>
      <c r="C49" s="18"/>
      <c r="D49" s="12" t="n">
        <v>10</v>
      </c>
      <c r="E49" s="12" t="n">
        <f aca="false">C53</f>
        <v>0</v>
      </c>
      <c r="F49" s="3" t="str">
        <f aca="false">IF(AND(C49=0,E49=0),"-",IF(C49&gt;E49,"W",IF(C49&lt;E49,"L","T")))</f>
        <v>-</v>
      </c>
      <c r="G49" s="3" t="n">
        <f aca="false">IF(F49="W",10,IF(F49="T",5,0))</f>
        <v>0</v>
      </c>
      <c r="H49" s="3" t="n">
        <f aca="false">C49</f>
        <v>0</v>
      </c>
      <c r="I49" s="19" t="n">
        <f aca="false">G49+H49</f>
        <v>0</v>
      </c>
    </row>
    <row r="50" customFormat="false" ht="15" hidden="false" customHeight="true" outlineLevel="0" collapsed="false">
      <c r="A50" s="3" t="n">
        <v>7</v>
      </c>
      <c r="B50" s="17" t="str">
        <f aca="false">VLOOKUP(A50,Roster!$A$3:$B$18,2,FALSE())</f>
        <v>Player 7</v>
      </c>
      <c r="C50" s="18"/>
      <c r="D50" s="12" t="n">
        <v>11</v>
      </c>
      <c r="E50" s="12" t="n">
        <f aca="false">C54</f>
        <v>0</v>
      </c>
      <c r="F50" s="3" t="str">
        <f aca="false">IF(AND(C50=0,E50=0),"-",IF(C50&gt;E50,"W",IF(C50&lt;E50,"L","T")))</f>
        <v>-</v>
      </c>
      <c r="G50" s="3" t="n">
        <f aca="false">IF(F50="W",10,IF(F50="T",5,0))</f>
        <v>0</v>
      </c>
      <c r="H50" s="3" t="n">
        <f aca="false">C50</f>
        <v>0</v>
      </c>
      <c r="I50" s="19" t="n">
        <f aca="false">G50+H50</f>
        <v>0</v>
      </c>
    </row>
    <row r="51" customFormat="false" ht="15" hidden="false" customHeight="true" outlineLevel="0" collapsed="false">
      <c r="A51" s="3" t="n">
        <v>8</v>
      </c>
      <c r="B51" s="17" t="str">
        <f aca="false">VLOOKUP(A51,Roster!$A$3:$B$18,2,FALSE())</f>
        <v>Player 8</v>
      </c>
      <c r="C51" s="18"/>
      <c r="D51" s="12" t="n">
        <v>12</v>
      </c>
      <c r="E51" s="12" t="n">
        <f aca="false">C55</f>
        <v>0</v>
      </c>
      <c r="F51" s="3" t="str">
        <f aca="false">IF(AND(C51=0,E51=0),"-",IF(C51&gt;E51,"W",IF(C51&lt;E51,"L","T")))</f>
        <v>-</v>
      </c>
      <c r="G51" s="3" t="n">
        <f aca="false">IF(F51="W",10,IF(F51="T",5,0))</f>
        <v>0</v>
      </c>
      <c r="H51" s="3" t="n">
        <f aca="false">C51</f>
        <v>0</v>
      </c>
      <c r="I51" s="19" t="n">
        <f aca="false">G51+H51</f>
        <v>0</v>
      </c>
    </row>
    <row r="52" customFormat="false" ht="15" hidden="false" customHeight="true" outlineLevel="0" collapsed="false">
      <c r="A52" s="3" t="n">
        <v>9</v>
      </c>
      <c r="B52" s="17" t="str">
        <f aca="false">VLOOKUP(A52,Roster!$A$3:$B$18,2,FALSE())</f>
        <v>Player 9</v>
      </c>
      <c r="C52" s="18"/>
      <c r="D52" s="12" t="n">
        <v>5</v>
      </c>
      <c r="E52" s="12" t="n">
        <f aca="false">C48</f>
        <v>0</v>
      </c>
      <c r="F52" s="3" t="str">
        <f aca="false">IF(AND(C52=0,E52=0),"-",IF(C52&gt;E52,"W",IF(C52&lt;E52,"L","T")))</f>
        <v>-</v>
      </c>
      <c r="G52" s="3" t="n">
        <f aca="false">IF(F52="W",10,IF(F52="T",5,0))</f>
        <v>0</v>
      </c>
      <c r="H52" s="3" t="n">
        <f aca="false">C52</f>
        <v>0</v>
      </c>
      <c r="I52" s="19" t="n">
        <f aca="false">G52+H52</f>
        <v>0</v>
      </c>
    </row>
    <row r="53" customFormat="false" ht="15" hidden="false" customHeight="true" outlineLevel="0" collapsed="false">
      <c r="A53" s="3" t="n">
        <v>10</v>
      </c>
      <c r="B53" s="17" t="str">
        <f aca="false">VLOOKUP(A53,Roster!$A$3:$B$18,2,FALSE())</f>
        <v>Player 10</v>
      </c>
      <c r="C53" s="18"/>
      <c r="D53" s="12" t="n">
        <v>6</v>
      </c>
      <c r="E53" s="12" t="n">
        <f aca="false">C49</f>
        <v>0</v>
      </c>
      <c r="F53" s="3" t="str">
        <f aca="false">IF(AND(C53=0,E53=0),"-",IF(C53&gt;E53,"W",IF(C53&lt;E53,"L","T")))</f>
        <v>-</v>
      </c>
      <c r="G53" s="3" t="n">
        <f aca="false">IF(F53="W",10,IF(F53="T",5,0))</f>
        <v>0</v>
      </c>
      <c r="H53" s="3" t="n">
        <f aca="false">C53</f>
        <v>0</v>
      </c>
      <c r="I53" s="19" t="n">
        <f aca="false">G53+H53</f>
        <v>0</v>
      </c>
    </row>
    <row r="54" customFormat="false" ht="15" hidden="false" customHeight="true" outlineLevel="0" collapsed="false">
      <c r="A54" s="3" t="n">
        <v>11</v>
      </c>
      <c r="B54" s="17" t="str">
        <f aca="false">VLOOKUP(A54,Roster!$A$3:$B$18,2,FALSE())</f>
        <v>Player 11</v>
      </c>
      <c r="C54" s="18"/>
      <c r="D54" s="12" t="n">
        <v>7</v>
      </c>
      <c r="E54" s="12" t="n">
        <f aca="false">C50</f>
        <v>0</v>
      </c>
      <c r="F54" s="3" t="str">
        <f aca="false">IF(AND(C54=0,E54=0),"-",IF(C54&gt;E54,"W",IF(C54&lt;E54,"L","T")))</f>
        <v>-</v>
      </c>
      <c r="G54" s="3" t="n">
        <f aca="false">IF(F54="W",10,IF(F54="T",5,0))</f>
        <v>0</v>
      </c>
      <c r="H54" s="3" t="n">
        <f aca="false">C54</f>
        <v>0</v>
      </c>
      <c r="I54" s="19" t="n">
        <f aca="false">G54+H54</f>
        <v>0</v>
      </c>
    </row>
    <row r="55" customFormat="false" ht="15" hidden="false" customHeight="true" outlineLevel="0" collapsed="false">
      <c r="A55" s="3" t="n">
        <v>12</v>
      </c>
      <c r="B55" s="17" t="str">
        <f aca="false">VLOOKUP(A55,Roster!$A$3:$B$18,2,FALSE())</f>
        <v>Player 12</v>
      </c>
      <c r="C55" s="18"/>
      <c r="D55" s="12" t="n">
        <v>8</v>
      </c>
      <c r="E55" s="12" t="n">
        <f aca="false">C51</f>
        <v>0</v>
      </c>
      <c r="F55" s="3" t="str">
        <f aca="false">IF(AND(C55=0,E55=0),"-",IF(C55&gt;E55,"W",IF(C55&lt;E55,"L","T")))</f>
        <v>-</v>
      </c>
      <c r="G55" s="3" t="n">
        <f aca="false">IF(F55="W",10,IF(F55="T",5,0))</f>
        <v>0</v>
      </c>
      <c r="H55" s="3" t="n">
        <f aca="false">C55</f>
        <v>0</v>
      </c>
      <c r="I55" s="19" t="n">
        <f aca="false">G55+H55</f>
        <v>0</v>
      </c>
    </row>
    <row r="56" customFormat="false" ht="15" hidden="false" customHeight="true" outlineLevel="0" collapsed="false">
      <c r="A56" s="3" t="n">
        <v>13</v>
      </c>
      <c r="B56" s="17" t="str">
        <f aca="false">VLOOKUP(A56,Roster!$A$3:$B$18,2,FALSE())</f>
        <v>Player 13</v>
      </c>
      <c r="C56" s="18"/>
      <c r="D56" s="12" t="n">
        <v>1</v>
      </c>
      <c r="E56" s="12" t="n">
        <f aca="false">C44</f>
        <v>0</v>
      </c>
      <c r="F56" s="3" t="str">
        <f aca="false">IF(AND(C56=0,E56=0),"-",IF(C56&gt;E56,"W",IF(C56&lt;E56,"L","T")))</f>
        <v>-</v>
      </c>
      <c r="G56" s="3" t="n">
        <f aca="false">IF(F56="W",10,IF(F56="T",5,0))</f>
        <v>0</v>
      </c>
      <c r="H56" s="3" t="n">
        <f aca="false">C56</f>
        <v>0</v>
      </c>
      <c r="I56" s="19" t="n">
        <f aca="false">G56+H56</f>
        <v>0</v>
      </c>
    </row>
    <row r="57" customFormat="false" ht="15" hidden="false" customHeight="true" outlineLevel="0" collapsed="false">
      <c r="A57" s="3" t="n">
        <v>14</v>
      </c>
      <c r="B57" s="17" t="str">
        <f aca="false">VLOOKUP(A57,Roster!$A$3:$B$18,2,FALSE())</f>
        <v>Player 14</v>
      </c>
      <c r="C57" s="18"/>
      <c r="D57" s="12" t="n">
        <v>2</v>
      </c>
      <c r="E57" s="12" t="n">
        <f aca="false">C45</f>
        <v>0</v>
      </c>
      <c r="F57" s="3" t="str">
        <f aca="false">IF(AND(C57=0,E57=0),"-",IF(C57&gt;E57,"W",IF(C57&lt;E57,"L","T")))</f>
        <v>-</v>
      </c>
      <c r="G57" s="3" t="n">
        <f aca="false">IF(F57="W",10,IF(F57="T",5,0))</f>
        <v>0</v>
      </c>
      <c r="H57" s="3" t="n">
        <f aca="false">C57</f>
        <v>0</v>
      </c>
      <c r="I57" s="19" t="n">
        <f aca="false">G57+H57</f>
        <v>0</v>
      </c>
    </row>
    <row r="58" customFormat="false" ht="15" hidden="false" customHeight="true" outlineLevel="0" collapsed="false">
      <c r="A58" s="3" t="n">
        <v>15</v>
      </c>
      <c r="B58" s="17" t="str">
        <f aca="false">VLOOKUP(A58,Roster!$A$3:$B$18,2,FALSE())</f>
        <v>Player 15</v>
      </c>
      <c r="C58" s="18"/>
      <c r="D58" s="12" t="n">
        <v>3</v>
      </c>
      <c r="E58" s="12" t="n">
        <f aca="false">C46</f>
        <v>0</v>
      </c>
      <c r="F58" s="3" t="str">
        <f aca="false">IF(AND(C58=0,E58=0),"-",IF(C58&gt;E58,"W",IF(C58&lt;E58,"L","T")))</f>
        <v>-</v>
      </c>
      <c r="G58" s="3" t="n">
        <f aca="false">IF(F58="W",10,IF(F58="T",5,0))</f>
        <v>0</v>
      </c>
      <c r="H58" s="3" t="n">
        <f aca="false">C58</f>
        <v>0</v>
      </c>
      <c r="I58" s="19" t="n">
        <f aca="false">G58+H58</f>
        <v>0</v>
      </c>
    </row>
    <row r="59" customFormat="false" ht="15" hidden="false" customHeight="true" outlineLevel="0" collapsed="false">
      <c r="A59" s="3" t="n">
        <v>16</v>
      </c>
      <c r="B59" s="17" t="str">
        <f aca="false">VLOOKUP(A59,Roster!$A$3:$B$18,2,FALSE())</f>
        <v>Player 16</v>
      </c>
      <c r="C59" s="18"/>
      <c r="D59" s="12" t="n">
        <v>4</v>
      </c>
      <c r="E59" s="12" t="n">
        <f aca="false">C47</f>
        <v>0</v>
      </c>
      <c r="F59" s="3" t="str">
        <f aca="false">IF(AND(C59=0,E59=0),"-",IF(C59&gt;E59,"W",IF(C59&lt;E59,"L","T")))</f>
        <v>-</v>
      </c>
      <c r="G59" s="3" t="n">
        <f aca="false">IF(F59="W",10,IF(F59="T",5,0))</f>
        <v>0</v>
      </c>
      <c r="H59" s="3" t="n">
        <f aca="false">C59</f>
        <v>0</v>
      </c>
      <c r="I59" s="19" t="n">
        <f aca="false">G59+H59</f>
        <v>0</v>
      </c>
    </row>
    <row r="61" customFormat="false" ht="15" hidden="false" customHeight="true" outlineLevel="0" collapsed="false">
      <c r="A61" s="15" t="s">
        <v>82</v>
      </c>
      <c r="B61" s="15"/>
      <c r="C61" s="15"/>
      <c r="D61" s="15"/>
      <c r="E61" s="15"/>
      <c r="F61" s="15"/>
      <c r="G61" s="15"/>
      <c r="H61" s="15"/>
      <c r="I61" s="15"/>
    </row>
    <row r="62" customFormat="false" ht="15" hidden="false" customHeight="true" outlineLevel="0" collapsed="false">
      <c r="A62" s="16" t="s">
        <v>1</v>
      </c>
      <c r="B62" s="16" t="s">
        <v>2</v>
      </c>
      <c r="C62" s="16" t="s">
        <v>78</v>
      </c>
      <c r="D62" s="16" t="s">
        <v>64</v>
      </c>
      <c r="E62" s="16" t="s">
        <v>79</v>
      </c>
      <c r="F62" s="16" t="s">
        <v>66</v>
      </c>
      <c r="G62" s="16" t="s">
        <v>67</v>
      </c>
      <c r="H62" s="16" t="s">
        <v>68</v>
      </c>
      <c r="I62" s="16" t="s">
        <v>69</v>
      </c>
    </row>
    <row r="63" customFormat="false" ht="15" hidden="false" customHeight="true" outlineLevel="0" collapsed="false">
      <c r="A63" s="3" t="n">
        <v>1</v>
      </c>
      <c r="B63" s="17" t="str">
        <f aca="false">VLOOKUP(A63,Roster!$A$3:$B$18,2,FALSE())</f>
        <v>Player 1</v>
      </c>
      <c r="C63" s="18"/>
      <c r="D63" s="12" t="n">
        <v>14</v>
      </c>
      <c r="E63" s="12" t="n">
        <f aca="false">C76</f>
        <v>0</v>
      </c>
      <c r="F63" s="3" t="str">
        <f aca="false">IF(AND(C63=0,E63=0),"-",IF(C63&gt;E63,"W",IF(C63&lt;E63,"L","T")))</f>
        <v>-</v>
      </c>
      <c r="G63" s="3" t="n">
        <f aca="false">IF(F63="W",10,IF(F63="T",5,0))</f>
        <v>0</v>
      </c>
      <c r="H63" s="3" t="n">
        <f aca="false">C63</f>
        <v>0</v>
      </c>
      <c r="I63" s="19" t="n">
        <f aca="false">G63+H63</f>
        <v>0</v>
      </c>
    </row>
    <row r="64" customFormat="false" ht="15" hidden="false" customHeight="true" outlineLevel="0" collapsed="false">
      <c r="A64" s="3" t="n">
        <v>2</v>
      </c>
      <c r="B64" s="17" t="str">
        <f aca="false">VLOOKUP(A64,Roster!$A$3:$B$18,2,FALSE())</f>
        <v>Player 2</v>
      </c>
      <c r="C64" s="18"/>
      <c r="D64" s="12" t="n">
        <v>13</v>
      </c>
      <c r="E64" s="12" t="n">
        <f aca="false">C75</f>
        <v>0</v>
      </c>
      <c r="F64" s="3" t="str">
        <f aca="false">IF(AND(C64=0,E64=0),"-",IF(C64&gt;E64,"W",IF(C64&lt;E64,"L","T")))</f>
        <v>-</v>
      </c>
      <c r="G64" s="3" t="n">
        <f aca="false">IF(F64="W",10,IF(F64="T",5,0))</f>
        <v>0</v>
      </c>
      <c r="H64" s="3" t="n">
        <f aca="false">C64</f>
        <v>0</v>
      </c>
      <c r="I64" s="19" t="n">
        <f aca="false">G64+H64</f>
        <v>0</v>
      </c>
    </row>
    <row r="65" customFormat="false" ht="15" hidden="false" customHeight="true" outlineLevel="0" collapsed="false">
      <c r="A65" s="3" t="n">
        <v>3</v>
      </c>
      <c r="B65" s="17" t="str">
        <f aca="false">VLOOKUP(A65,Roster!$A$3:$B$18,2,FALSE())</f>
        <v>Player 3</v>
      </c>
      <c r="C65" s="18"/>
      <c r="D65" s="12" t="n">
        <v>16</v>
      </c>
      <c r="E65" s="12" t="n">
        <f aca="false">C78</f>
        <v>0</v>
      </c>
      <c r="F65" s="3" t="str">
        <f aca="false">IF(AND(C65=0,E65=0),"-",IF(C65&gt;E65,"W",IF(C65&lt;E65,"L","T")))</f>
        <v>-</v>
      </c>
      <c r="G65" s="3" t="n">
        <f aca="false">IF(F65="W",10,IF(F65="T",5,0))</f>
        <v>0</v>
      </c>
      <c r="H65" s="3" t="n">
        <f aca="false">C65</f>
        <v>0</v>
      </c>
      <c r="I65" s="19" t="n">
        <f aca="false">G65+H65</f>
        <v>0</v>
      </c>
    </row>
    <row r="66" customFormat="false" ht="15" hidden="false" customHeight="true" outlineLevel="0" collapsed="false">
      <c r="A66" s="3" t="n">
        <v>4</v>
      </c>
      <c r="B66" s="17" t="str">
        <f aca="false">VLOOKUP(A66,Roster!$A$3:$B$18,2,FALSE())</f>
        <v>Player 4</v>
      </c>
      <c r="C66" s="18"/>
      <c r="D66" s="12" t="n">
        <v>15</v>
      </c>
      <c r="E66" s="12" t="n">
        <f aca="false">C77</f>
        <v>0</v>
      </c>
      <c r="F66" s="3" t="str">
        <f aca="false">IF(AND(C66=0,E66=0),"-",IF(C66&gt;E66,"W",IF(C66&lt;E66,"L","T")))</f>
        <v>-</v>
      </c>
      <c r="G66" s="3" t="n">
        <f aca="false">IF(F66="W",10,IF(F66="T",5,0))</f>
        <v>0</v>
      </c>
      <c r="H66" s="3" t="n">
        <f aca="false">C66</f>
        <v>0</v>
      </c>
      <c r="I66" s="19" t="n">
        <f aca="false">G66+H66</f>
        <v>0</v>
      </c>
    </row>
    <row r="67" customFormat="false" ht="15" hidden="false" customHeight="true" outlineLevel="0" collapsed="false">
      <c r="A67" s="3" t="n">
        <v>5</v>
      </c>
      <c r="B67" s="17" t="str">
        <f aca="false">VLOOKUP(A67,Roster!$A$3:$B$18,2,FALSE())</f>
        <v>Player 5</v>
      </c>
      <c r="C67" s="18"/>
      <c r="D67" s="12" t="n">
        <v>10</v>
      </c>
      <c r="E67" s="12" t="n">
        <f aca="false">C72</f>
        <v>0</v>
      </c>
      <c r="F67" s="3" t="str">
        <f aca="false">IF(AND(C67=0,E67=0),"-",IF(C67&gt;E67,"W",IF(C67&lt;E67,"L","T")))</f>
        <v>-</v>
      </c>
      <c r="G67" s="3" t="n">
        <f aca="false">IF(F67="W",10,IF(F67="T",5,0))</f>
        <v>0</v>
      </c>
      <c r="H67" s="3" t="n">
        <f aca="false">C67</f>
        <v>0</v>
      </c>
      <c r="I67" s="19" t="n">
        <f aca="false">G67+H67</f>
        <v>0</v>
      </c>
    </row>
    <row r="68" customFormat="false" ht="15" hidden="false" customHeight="true" outlineLevel="0" collapsed="false">
      <c r="A68" s="3" t="n">
        <v>6</v>
      </c>
      <c r="B68" s="17" t="str">
        <f aca="false">VLOOKUP(A68,Roster!$A$3:$B$18,2,FALSE())</f>
        <v>Player 6</v>
      </c>
      <c r="C68" s="18"/>
      <c r="D68" s="12" t="n">
        <v>9</v>
      </c>
      <c r="E68" s="12" t="n">
        <f aca="false">C71</f>
        <v>0</v>
      </c>
      <c r="F68" s="3" t="str">
        <f aca="false">IF(AND(C68=0,E68=0),"-",IF(C68&gt;E68,"W",IF(C68&lt;E68,"L","T")))</f>
        <v>-</v>
      </c>
      <c r="G68" s="3" t="n">
        <f aca="false">IF(F68="W",10,IF(F68="T",5,0))</f>
        <v>0</v>
      </c>
      <c r="H68" s="3" t="n">
        <f aca="false">C68</f>
        <v>0</v>
      </c>
      <c r="I68" s="19" t="n">
        <f aca="false">G68+H68</f>
        <v>0</v>
      </c>
    </row>
    <row r="69" customFormat="false" ht="15" hidden="false" customHeight="true" outlineLevel="0" collapsed="false">
      <c r="A69" s="3" t="n">
        <v>7</v>
      </c>
      <c r="B69" s="17" t="str">
        <f aca="false">VLOOKUP(A69,Roster!$A$3:$B$18,2,FALSE())</f>
        <v>Player 7</v>
      </c>
      <c r="C69" s="18"/>
      <c r="D69" s="12" t="n">
        <v>12</v>
      </c>
      <c r="E69" s="12" t="n">
        <f aca="false">C74</f>
        <v>0</v>
      </c>
      <c r="F69" s="3" t="str">
        <f aca="false">IF(AND(C69=0,E69=0),"-",IF(C69&gt;E69,"W",IF(C69&lt;E69,"L","T")))</f>
        <v>-</v>
      </c>
      <c r="G69" s="3" t="n">
        <f aca="false">IF(F69="W",10,IF(F69="T",5,0))</f>
        <v>0</v>
      </c>
      <c r="H69" s="3" t="n">
        <f aca="false">C69</f>
        <v>0</v>
      </c>
      <c r="I69" s="19" t="n">
        <f aca="false">G69+H69</f>
        <v>0</v>
      </c>
    </row>
    <row r="70" customFormat="false" ht="15" hidden="false" customHeight="true" outlineLevel="0" collapsed="false">
      <c r="A70" s="3" t="n">
        <v>8</v>
      </c>
      <c r="B70" s="17" t="str">
        <f aca="false">VLOOKUP(A70,Roster!$A$3:$B$18,2,FALSE())</f>
        <v>Player 8</v>
      </c>
      <c r="C70" s="18"/>
      <c r="D70" s="12" t="n">
        <v>11</v>
      </c>
      <c r="E70" s="12" t="n">
        <f aca="false">C73</f>
        <v>0</v>
      </c>
      <c r="F70" s="3" t="str">
        <f aca="false">IF(AND(C70=0,E70=0),"-",IF(C70&gt;E70,"W",IF(C70&lt;E70,"L","T")))</f>
        <v>-</v>
      </c>
      <c r="G70" s="3" t="n">
        <f aca="false">IF(F70="W",10,IF(F70="T",5,0))</f>
        <v>0</v>
      </c>
      <c r="H70" s="3" t="n">
        <f aca="false">C70</f>
        <v>0</v>
      </c>
      <c r="I70" s="19" t="n">
        <f aca="false">G70+H70</f>
        <v>0</v>
      </c>
    </row>
    <row r="71" customFormat="false" ht="15" hidden="false" customHeight="true" outlineLevel="0" collapsed="false">
      <c r="A71" s="3" t="n">
        <v>9</v>
      </c>
      <c r="B71" s="17" t="str">
        <f aca="false">VLOOKUP(A71,Roster!$A$3:$B$18,2,FALSE())</f>
        <v>Player 9</v>
      </c>
      <c r="C71" s="18"/>
      <c r="D71" s="12" t="n">
        <v>6</v>
      </c>
      <c r="E71" s="12" t="n">
        <f aca="false">C68</f>
        <v>0</v>
      </c>
      <c r="F71" s="3" t="str">
        <f aca="false">IF(AND(C71=0,E71=0),"-",IF(C71&gt;E71,"W",IF(C71&lt;E71,"L","T")))</f>
        <v>-</v>
      </c>
      <c r="G71" s="3" t="n">
        <f aca="false">IF(F71="W",10,IF(F71="T",5,0))</f>
        <v>0</v>
      </c>
      <c r="H71" s="3" t="n">
        <f aca="false">C71</f>
        <v>0</v>
      </c>
      <c r="I71" s="19" t="n">
        <f aca="false">G71+H71</f>
        <v>0</v>
      </c>
    </row>
    <row r="72" customFormat="false" ht="15" hidden="false" customHeight="true" outlineLevel="0" collapsed="false">
      <c r="A72" s="3" t="n">
        <v>10</v>
      </c>
      <c r="B72" s="17" t="str">
        <f aca="false">VLOOKUP(A72,Roster!$A$3:$B$18,2,FALSE())</f>
        <v>Player 10</v>
      </c>
      <c r="C72" s="18"/>
      <c r="D72" s="12" t="n">
        <v>5</v>
      </c>
      <c r="E72" s="12" t="n">
        <f aca="false">C67</f>
        <v>0</v>
      </c>
      <c r="F72" s="3" t="str">
        <f aca="false">IF(AND(C72=0,E72=0),"-",IF(C72&gt;E72,"W",IF(C72&lt;E72,"L","T")))</f>
        <v>-</v>
      </c>
      <c r="G72" s="3" t="n">
        <f aca="false">IF(F72="W",10,IF(F72="T",5,0))</f>
        <v>0</v>
      </c>
      <c r="H72" s="3" t="n">
        <f aca="false">C72</f>
        <v>0</v>
      </c>
      <c r="I72" s="19" t="n">
        <f aca="false">G72+H72</f>
        <v>0</v>
      </c>
    </row>
    <row r="73" customFormat="false" ht="15" hidden="false" customHeight="true" outlineLevel="0" collapsed="false">
      <c r="A73" s="3" t="n">
        <v>11</v>
      </c>
      <c r="B73" s="17" t="str">
        <f aca="false">VLOOKUP(A73,Roster!$A$3:$B$18,2,FALSE())</f>
        <v>Player 11</v>
      </c>
      <c r="C73" s="18"/>
      <c r="D73" s="12" t="n">
        <v>8</v>
      </c>
      <c r="E73" s="12" t="n">
        <f aca="false">C70</f>
        <v>0</v>
      </c>
      <c r="F73" s="3" t="str">
        <f aca="false">IF(AND(C73=0,E73=0),"-",IF(C73&gt;E73,"W",IF(C73&lt;E73,"L","T")))</f>
        <v>-</v>
      </c>
      <c r="G73" s="3" t="n">
        <f aca="false">IF(F73="W",10,IF(F73="T",5,0))</f>
        <v>0</v>
      </c>
      <c r="H73" s="3" t="n">
        <f aca="false">C73</f>
        <v>0</v>
      </c>
      <c r="I73" s="19" t="n">
        <f aca="false">G73+H73</f>
        <v>0</v>
      </c>
    </row>
    <row r="74" customFormat="false" ht="15" hidden="false" customHeight="true" outlineLevel="0" collapsed="false">
      <c r="A74" s="3" t="n">
        <v>12</v>
      </c>
      <c r="B74" s="17" t="str">
        <f aca="false">VLOOKUP(A74,Roster!$A$3:$B$18,2,FALSE())</f>
        <v>Player 12</v>
      </c>
      <c r="C74" s="18"/>
      <c r="D74" s="12" t="n">
        <v>7</v>
      </c>
      <c r="E74" s="12" t="n">
        <f aca="false">C69</f>
        <v>0</v>
      </c>
      <c r="F74" s="3" t="str">
        <f aca="false">IF(AND(C74=0,E74=0),"-",IF(C74&gt;E74,"W",IF(C74&lt;E74,"L","T")))</f>
        <v>-</v>
      </c>
      <c r="G74" s="3" t="n">
        <f aca="false">IF(F74="W",10,IF(F74="T",5,0))</f>
        <v>0</v>
      </c>
      <c r="H74" s="3" t="n">
        <f aca="false">C74</f>
        <v>0</v>
      </c>
      <c r="I74" s="19" t="n">
        <f aca="false">G74+H74</f>
        <v>0</v>
      </c>
    </row>
    <row r="75" customFormat="false" ht="15" hidden="false" customHeight="true" outlineLevel="0" collapsed="false">
      <c r="A75" s="3" t="n">
        <v>13</v>
      </c>
      <c r="B75" s="17" t="str">
        <f aca="false">VLOOKUP(A75,Roster!$A$3:$B$18,2,FALSE())</f>
        <v>Player 13</v>
      </c>
      <c r="C75" s="18"/>
      <c r="D75" s="12" t="n">
        <v>2</v>
      </c>
      <c r="E75" s="12" t="n">
        <f aca="false">C64</f>
        <v>0</v>
      </c>
      <c r="F75" s="3" t="str">
        <f aca="false">IF(AND(C75=0,E75=0),"-",IF(C75&gt;E75,"W",IF(C75&lt;E75,"L","T")))</f>
        <v>-</v>
      </c>
      <c r="G75" s="3" t="n">
        <f aca="false">IF(F75="W",10,IF(F75="T",5,0))</f>
        <v>0</v>
      </c>
      <c r="H75" s="3" t="n">
        <f aca="false">C75</f>
        <v>0</v>
      </c>
      <c r="I75" s="19" t="n">
        <f aca="false">G75+H75</f>
        <v>0</v>
      </c>
    </row>
    <row r="76" customFormat="false" ht="15" hidden="false" customHeight="true" outlineLevel="0" collapsed="false">
      <c r="A76" s="3" t="n">
        <v>14</v>
      </c>
      <c r="B76" s="17" t="str">
        <f aca="false">VLOOKUP(A76,Roster!$A$3:$B$18,2,FALSE())</f>
        <v>Player 14</v>
      </c>
      <c r="C76" s="18"/>
      <c r="D76" s="12" t="n">
        <v>1</v>
      </c>
      <c r="E76" s="12" t="n">
        <f aca="false">C63</f>
        <v>0</v>
      </c>
      <c r="F76" s="3" t="str">
        <f aca="false">IF(AND(C76=0,E76=0),"-",IF(C76&gt;E76,"W",IF(C76&lt;E76,"L","T")))</f>
        <v>-</v>
      </c>
      <c r="G76" s="3" t="n">
        <f aca="false">IF(F76="W",10,IF(F76="T",5,0))</f>
        <v>0</v>
      </c>
      <c r="H76" s="3" t="n">
        <f aca="false">C76</f>
        <v>0</v>
      </c>
      <c r="I76" s="19" t="n">
        <f aca="false">G76+H76</f>
        <v>0</v>
      </c>
    </row>
    <row r="77" customFormat="false" ht="15" hidden="false" customHeight="true" outlineLevel="0" collapsed="false">
      <c r="A77" s="3" t="n">
        <v>15</v>
      </c>
      <c r="B77" s="17" t="str">
        <f aca="false">VLOOKUP(A77,Roster!$A$3:$B$18,2,FALSE())</f>
        <v>Player 15</v>
      </c>
      <c r="C77" s="18"/>
      <c r="D77" s="12" t="n">
        <v>4</v>
      </c>
      <c r="E77" s="12" t="n">
        <f aca="false">C66</f>
        <v>0</v>
      </c>
      <c r="F77" s="3" t="str">
        <f aca="false">IF(AND(C77=0,E77=0),"-",IF(C77&gt;E77,"W",IF(C77&lt;E77,"L","T")))</f>
        <v>-</v>
      </c>
      <c r="G77" s="3" t="n">
        <f aca="false">IF(F77="W",10,IF(F77="T",5,0))</f>
        <v>0</v>
      </c>
      <c r="H77" s="3" t="n">
        <f aca="false">C77</f>
        <v>0</v>
      </c>
      <c r="I77" s="19" t="n">
        <f aca="false">G77+H77</f>
        <v>0</v>
      </c>
    </row>
    <row r="78" customFormat="false" ht="15" hidden="false" customHeight="true" outlineLevel="0" collapsed="false">
      <c r="A78" s="3" t="n">
        <v>16</v>
      </c>
      <c r="B78" s="17" t="str">
        <f aca="false">VLOOKUP(A78,Roster!$A$3:$B$18,2,FALSE())</f>
        <v>Player 16</v>
      </c>
      <c r="C78" s="18"/>
      <c r="D78" s="12" t="n">
        <v>3</v>
      </c>
      <c r="E78" s="12" t="n">
        <f aca="false">C65</f>
        <v>0</v>
      </c>
      <c r="F78" s="3" t="str">
        <f aca="false">IF(AND(C78=0,E78=0),"-",IF(C78&gt;E78,"W",IF(C78&lt;E78,"L","T")))</f>
        <v>-</v>
      </c>
      <c r="G78" s="3" t="n">
        <f aca="false">IF(F78="W",10,IF(F78="T",5,0))</f>
        <v>0</v>
      </c>
      <c r="H78" s="3" t="n">
        <f aca="false">C78</f>
        <v>0</v>
      </c>
      <c r="I78" s="19" t="n">
        <f aca="false">G78+H78</f>
        <v>0</v>
      </c>
    </row>
    <row r="80" customFormat="false" ht="15" hidden="false" customHeight="true" outlineLevel="0" collapsed="false">
      <c r="A80" s="15" t="s">
        <v>83</v>
      </c>
      <c r="B80" s="15"/>
      <c r="C80" s="15"/>
      <c r="D80" s="15"/>
      <c r="E80" s="15"/>
      <c r="F80" s="15"/>
      <c r="G80" s="15"/>
      <c r="H80" s="15"/>
      <c r="I80" s="15"/>
    </row>
    <row r="81" customFormat="false" ht="15" hidden="false" customHeight="true" outlineLevel="0" collapsed="false">
      <c r="A81" s="16" t="s">
        <v>1</v>
      </c>
      <c r="B81" s="16" t="s">
        <v>2</v>
      </c>
      <c r="C81" s="16" t="s">
        <v>78</v>
      </c>
      <c r="D81" s="16" t="s">
        <v>64</v>
      </c>
      <c r="E81" s="16" t="s">
        <v>79</v>
      </c>
      <c r="F81" s="16" t="s">
        <v>66</v>
      </c>
      <c r="G81" s="16" t="s">
        <v>67</v>
      </c>
      <c r="H81" s="16" t="s">
        <v>68</v>
      </c>
      <c r="I81" s="16" t="s">
        <v>69</v>
      </c>
    </row>
    <row r="82" customFormat="false" ht="15" hidden="false" customHeight="true" outlineLevel="0" collapsed="false">
      <c r="A82" s="3" t="n">
        <v>1</v>
      </c>
      <c r="B82" s="17" t="str">
        <f aca="false">VLOOKUP(A82,Roster!$A$3:$B$18,2,FALSE())</f>
        <v>Player 1</v>
      </c>
      <c r="C82" s="18"/>
      <c r="D82" s="12" t="n">
        <v>15</v>
      </c>
      <c r="E82" s="12" t="n">
        <f aca="false">C96</f>
        <v>0</v>
      </c>
      <c r="F82" s="3" t="str">
        <f aca="false">IF(AND(C82=0,E82=0),"-",IF(C82&gt;E82,"W",IF(C82&lt;E82,"L","T")))</f>
        <v>-</v>
      </c>
      <c r="G82" s="3" t="n">
        <f aca="false">IF(F82="W",10,IF(F82="T",5,0))</f>
        <v>0</v>
      </c>
      <c r="H82" s="3" t="n">
        <f aca="false">C82</f>
        <v>0</v>
      </c>
      <c r="I82" s="19" t="n">
        <f aca="false">G82+H82</f>
        <v>0</v>
      </c>
    </row>
    <row r="83" customFormat="false" ht="15" hidden="false" customHeight="true" outlineLevel="0" collapsed="false">
      <c r="A83" s="3" t="n">
        <v>2</v>
      </c>
      <c r="B83" s="17" t="str">
        <f aca="false">VLOOKUP(A83,Roster!$A$3:$B$18,2,FALSE())</f>
        <v>Player 2</v>
      </c>
      <c r="C83" s="18"/>
      <c r="D83" s="12" t="n">
        <v>16</v>
      </c>
      <c r="E83" s="12" t="n">
        <f aca="false">C97</f>
        <v>0</v>
      </c>
      <c r="F83" s="3" t="str">
        <f aca="false">IF(AND(C83=0,E83=0),"-",IF(C83&gt;E83,"W",IF(C83&lt;E83,"L","T")))</f>
        <v>-</v>
      </c>
      <c r="G83" s="3" t="n">
        <f aca="false">IF(F83="W",10,IF(F83="T",5,0))</f>
        <v>0</v>
      </c>
      <c r="H83" s="3" t="n">
        <f aca="false">C83</f>
        <v>0</v>
      </c>
      <c r="I83" s="19" t="n">
        <f aca="false">G83+H83</f>
        <v>0</v>
      </c>
    </row>
    <row r="84" customFormat="false" ht="15" hidden="false" customHeight="true" outlineLevel="0" collapsed="false">
      <c r="A84" s="3" t="n">
        <v>3</v>
      </c>
      <c r="B84" s="17" t="str">
        <f aca="false">VLOOKUP(A84,Roster!$A$3:$B$18,2,FALSE())</f>
        <v>Player 3</v>
      </c>
      <c r="C84" s="18"/>
      <c r="D84" s="12" t="n">
        <v>13</v>
      </c>
      <c r="E84" s="12" t="n">
        <f aca="false">C94</f>
        <v>0</v>
      </c>
      <c r="F84" s="3" t="str">
        <f aca="false">IF(AND(C84=0,E84=0),"-",IF(C84&gt;E84,"W",IF(C84&lt;E84,"L","T")))</f>
        <v>-</v>
      </c>
      <c r="G84" s="3" t="n">
        <f aca="false">IF(F84="W",10,IF(F84="T",5,0))</f>
        <v>0</v>
      </c>
      <c r="H84" s="3" t="n">
        <f aca="false">C84</f>
        <v>0</v>
      </c>
      <c r="I84" s="19" t="n">
        <f aca="false">G84+H84</f>
        <v>0</v>
      </c>
    </row>
    <row r="85" customFormat="false" ht="15" hidden="false" customHeight="true" outlineLevel="0" collapsed="false">
      <c r="A85" s="3" t="n">
        <v>4</v>
      </c>
      <c r="B85" s="17" t="str">
        <f aca="false">VLOOKUP(A85,Roster!$A$3:$B$18,2,FALSE())</f>
        <v>Player 4</v>
      </c>
      <c r="C85" s="18"/>
      <c r="D85" s="12" t="n">
        <v>14</v>
      </c>
      <c r="E85" s="12" t="n">
        <f aca="false">C95</f>
        <v>0</v>
      </c>
      <c r="F85" s="3" t="str">
        <f aca="false">IF(AND(C85=0,E85=0),"-",IF(C85&gt;E85,"W",IF(C85&lt;E85,"L","T")))</f>
        <v>-</v>
      </c>
      <c r="G85" s="3" t="n">
        <f aca="false">IF(F85="W",10,IF(F85="T",5,0))</f>
        <v>0</v>
      </c>
      <c r="H85" s="3" t="n">
        <f aca="false">C85</f>
        <v>0</v>
      </c>
      <c r="I85" s="19" t="n">
        <f aca="false">G85+H85</f>
        <v>0</v>
      </c>
    </row>
    <row r="86" customFormat="false" ht="15" hidden="false" customHeight="true" outlineLevel="0" collapsed="false">
      <c r="A86" s="3" t="n">
        <v>5</v>
      </c>
      <c r="B86" s="17" t="str">
        <f aca="false">VLOOKUP(A86,Roster!$A$3:$B$18,2,FALSE())</f>
        <v>Player 5</v>
      </c>
      <c r="C86" s="18"/>
      <c r="D86" s="12" t="n">
        <v>11</v>
      </c>
      <c r="E86" s="12" t="n">
        <f aca="false">C92</f>
        <v>0</v>
      </c>
      <c r="F86" s="3" t="str">
        <f aca="false">IF(AND(C86=0,E86=0),"-",IF(C86&gt;E86,"W",IF(C86&lt;E86,"L","T")))</f>
        <v>-</v>
      </c>
      <c r="G86" s="3" t="n">
        <f aca="false">IF(F86="W",10,IF(F86="T",5,0))</f>
        <v>0</v>
      </c>
      <c r="H86" s="3" t="n">
        <f aca="false">C86</f>
        <v>0</v>
      </c>
      <c r="I86" s="19" t="n">
        <f aca="false">G86+H86</f>
        <v>0</v>
      </c>
    </row>
    <row r="87" customFormat="false" ht="15" hidden="false" customHeight="true" outlineLevel="0" collapsed="false">
      <c r="A87" s="3" t="n">
        <v>6</v>
      </c>
      <c r="B87" s="17" t="str">
        <f aca="false">VLOOKUP(A87,Roster!$A$3:$B$18,2,FALSE())</f>
        <v>Player 6</v>
      </c>
      <c r="C87" s="18"/>
      <c r="D87" s="12" t="n">
        <v>12</v>
      </c>
      <c r="E87" s="12" t="n">
        <f aca="false">C93</f>
        <v>0</v>
      </c>
      <c r="F87" s="3" t="str">
        <f aca="false">IF(AND(C87=0,E87=0),"-",IF(C87&gt;E87,"W",IF(C87&lt;E87,"L","T")))</f>
        <v>-</v>
      </c>
      <c r="G87" s="3" t="n">
        <f aca="false">IF(F87="W",10,IF(F87="T",5,0))</f>
        <v>0</v>
      </c>
      <c r="H87" s="3" t="n">
        <f aca="false">C87</f>
        <v>0</v>
      </c>
      <c r="I87" s="19" t="n">
        <f aca="false">G87+H87</f>
        <v>0</v>
      </c>
    </row>
    <row r="88" customFormat="false" ht="15" hidden="false" customHeight="true" outlineLevel="0" collapsed="false">
      <c r="A88" s="3" t="n">
        <v>7</v>
      </c>
      <c r="B88" s="17" t="str">
        <f aca="false">VLOOKUP(A88,Roster!$A$3:$B$18,2,FALSE())</f>
        <v>Player 7</v>
      </c>
      <c r="C88" s="18"/>
      <c r="D88" s="12" t="n">
        <v>9</v>
      </c>
      <c r="E88" s="12" t="n">
        <f aca="false">C90</f>
        <v>0</v>
      </c>
      <c r="F88" s="3" t="str">
        <f aca="false">IF(AND(C88=0,E88=0),"-",IF(C88&gt;E88,"W",IF(C88&lt;E88,"L","T")))</f>
        <v>-</v>
      </c>
      <c r="G88" s="3" t="n">
        <f aca="false">IF(F88="W",10,IF(F88="T",5,0))</f>
        <v>0</v>
      </c>
      <c r="H88" s="3" t="n">
        <f aca="false">C88</f>
        <v>0</v>
      </c>
      <c r="I88" s="19" t="n">
        <f aca="false">G88+H88</f>
        <v>0</v>
      </c>
    </row>
    <row r="89" customFormat="false" ht="15" hidden="false" customHeight="true" outlineLevel="0" collapsed="false">
      <c r="A89" s="3" t="n">
        <v>8</v>
      </c>
      <c r="B89" s="17" t="str">
        <f aca="false">VLOOKUP(A89,Roster!$A$3:$B$18,2,FALSE())</f>
        <v>Player 8</v>
      </c>
      <c r="C89" s="18"/>
      <c r="D89" s="12" t="n">
        <v>10</v>
      </c>
      <c r="E89" s="12" t="n">
        <f aca="false">C91</f>
        <v>0</v>
      </c>
      <c r="F89" s="3" t="str">
        <f aca="false">IF(AND(C89=0,E89=0),"-",IF(C89&gt;E89,"W",IF(C89&lt;E89,"L","T")))</f>
        <v>-</v>
      </c>
      <c r="G89" s="3" t="n">
        <f aca="false">IF(F89="W",10,IF(F89="T",5,0))</f>
        <v>0</v>
      </c>
      <c r="H89" s="3" t="n">
        <f aca="false">C89</f>
        <v>0</v>
      </c>
      <c r="I89" s="19" t="n">
        <f aca="false">G89+H89</f>
        <v>0</v>
      </c>
    </row>
    <row r="90" customFormat="false" ht="15" hidden="false" customHeight="true" outlineLevel="0" collapsed="false">
      <c r="A90" s="3" t="n">
        <v>9</v>
      </c>
      <c r="B90" s="17" t="str">
        <f aca="false">VLOOKUP(A90,Roster!$A$3:$B$18,2,FALSE())</f>
        <v>Player 9</v>
      </c>
      <c r="C90" s="18"/>
      <c r="D90" s="12" t="n">
        <v>7</v>
      </c>
      <c r="E90" s="12" t="n">
        <f aca="false">C88</f>
        <v>0</v>
      </c>
      <c r="F90" s="3" t="str">
        <f aca="false">IF(AND(C90=0,E90=0),"-",IF(C90&gt;E90,"W",IF(C90&lt;E90,"L","T")))</f>
        <v>-</v>
      </c>
      <c r="G90" s="3" t="n">
        <f aca="false">IF(F90="W",10,IF(F90="T",5,0))</f>
        <v>0</v>
      </c>
      <c r="H90" s="3" t="n">
        <f aca="false">C90</f>
        <v>0</v>
      </c>
      <c r="I90" s="19" t="n">
        <f aca="false">G90+H90</f>
        <v>0</v>
      </c>
    </row>
    <row r="91" customFormat="false" ht="15" hidden="false" customHeight="true" outlineLevel="0" collapsed="false">
      <c r="A91" s="3" t="n">
        <v>10</v>
      </c>
      <c r="B91" s="17" t="str">
        <f aca="false">VLOOKUP(A91,Roster!$A$3:$B$18,2,FALSE())</f>
        <v>Player 10</v>
      </c>
      <c r="C91" s="18"/>
      <c r="D91" s="12" t="n">
        <v>8</v>
      </c>
      <c r="E91" s="12" t="n">
        <f aca="false">C89</f>
        <v>0</v>
      </c>
      <c r="F91" s="3" t="str">
        <f aca="false">IF(AND(C91=0,E91=0),"-",IF(C91&gt;E91,"W",IF(C91&lt;E91,"L","T")))</f>
        <v>-</v>
      </c>
      <c r="G91" s="3" t="n">
        <f aca="false">IF(F91="W",10,IF(F91="T",5,0))</f>
        <v>0</v>
      </c>
      <c r="H91" s="3" t="n">
        <f aca="false">C91</f>
        <v>0</v>
      </c>
      <c r="I91" s="19" t="n">
        <f aca="false">G91+H91</f>
        <v>0</v>
      </c>
    </row>
    <row r="92" customFormat="false" ht="15" hidden="false" customHeight="true" outlineLevel="0" collapsed="false">
      <c r="A92" s="3" t="n">
        <v>11</v>
      </c>
      <c r="B92" s="17" t="str">
        <f aca="false">VLOOKUP(A92,Roster!$A$3:$B$18,2,FALSE())</f>
        <v>Player 11</v>
      </c>
      <c r="C92" s="18"/>
      <c r="D92" s="12" t="n">
        <v>5</v>
      </c>
      <c r="E92" s="12" t="n">
        <f aca="false">C86</f>
        <v>0</v>
      </c>
      <c r="F92" s="3" t="str">
        <f aca="false">IF(AND(C92=0,E92=0),"-",IF(C92&gt;E92,"W",IF(C92&lt;E92,"L","T")))</f>
        <v>-</v>
      </c>
      <c r="G92" s="3" t="n">
        <f aca="false">IF(F92="W",10,IF(F92="T",5,0))</f>
        <v>0</v>
      </c>
      <c r="H92" s="3" t="n">
        <f aca="false">C92</f>
        <v>0</v>
      </c>
      <c r="I92" s="19" t="n">
        <f aca="false">G92+H92</f>
        <v>0</v>
      </c>
    </row>
    <row r="93" customFormat="false" ht="15" hidden="false" customHeight="true" outlineLevel="0" collapsed="false">
      <c r="A93" s="3" t="n">
        <v>12</v>
      </c>
      <c r="B93" s="17" t="str">
        <f aca="false">VLOOKUP(A93,Roster!$A$3:$B$18,2,FALSE())</f>
        <v>Player 12</v>
      </c>
      <c r="C93" s="18"/>
      <c r="D93" s="12" t="n">
        <v>6</v>
      </c>
      <c r="E93" s="12" t="n">
        <f aca="false">C87</f>
        <v>0</v>
      </c>
      <c r="F93" s="3" t="str">
        <f aca="false">IF(AND(C93=0,E93=0),"-",IF(C93&gt;E93,"W",IF(C93&lt;E93,"L","T")))</f>
        <v>-</v>
      </c>
      <c r="G93" s="3" t="n">
        <f aca="false">IF(F93="W",10,IF(F93="T",5,0))</f>
        <v>0</v>
      </c>
      <c r="H93" s="3" t="n">
        <f aca="false">C93</f>
        <v>0</v>
      </c>
      <c r="I93" s="19" t="n">
        <f aca="false">G93+H93</f>
        <v>0</v>
      </c>
    </row>
    <row r="94" customFormat="false" ht="15" hidden="false" customHeight="true" outlineLevel="0" collapsed="false">
      <c r="A94" s="3" t="n">
        <v>13</v>
      </c>
      <c r="B94" s="17" t="str">
        <f aca="false">VLOOKUP(A94,Roster!$A$3:$B$18,2,FALSE())</f>
        <v>Player 13</v>
      </c>
      <c r="C94" s="18"/>
      <c r="D94" s="12" t="n">
        <v>3</v>
      </c>
      <c r="E94" s="12" t="n">
        <f aca="false">C84</f>
        <v>0</v>
      </c>
      <c r="F94" s="3" t="str">
        <f aca="false">IF(AND(C94=0,E94=0),"-",IF(C94&gt;E94,"W",IF(C94&lt;E94,"L","T")))</f>
        <v>-</v>
      </c>
      <c r="G94" s="3" t="n">
        <f aca="false">IF(F94="W",10,IF(F94="T",5,0))</f>
        <v>0</v>
      </c>
      <c r="H94" s="3" t="n">
        <f aca="false">C94</f>
        <v>0</v>
      </c>
      <c r="I94" s="19" t="n">
        <f aca="false">G94+H94</f>
        <v>0</v>
      </c>
    </row>
    <row r="95" customFormat="false" ht="15" hidden="false" customHeight="true" outlineLevel="0" collapsed="false">
      <c r="A95" s="3" t="n">
        <v>14</v>
      </c>
      <c r="B95" s="17" t="str">
        <f aca="false">VLOOKUP(A95,Roster!$A$3:$B$18,2,FALSE())</f>
        <v>Player 14</v>
      </c>
      <c r="C95" s="18"/>
      <c r="D95" s="12" t="n">
        <v>4</v>
      </c>
      <c r="E95" s="12" t="n">
        <f aca="false">C85</f>
        <v>0</v>
      </c>
      <c r="F95" s="3" t="str">
        <f aca="false">IF(AND(C95=0,E95=0),"-",IF(C95&gt;E95,"W",IF(C95&lt;E95,"L","T")))</f>
        <v>-</v>
      </c>
      <c r="G95" s="3" t="n">
        <f aca="false">IF(F95="W",10,IF(F95="T",5,0))</f>
        <v>0</v>
      </c>
      <c r="H95" s="3" t="n">
        <f aca="false">C95</f>
        <v>0</v>
      </c>
      <c r="I95" s="19" t="n">
        <f aca="false">G95+H95</f>
        <v>0</v>
      </c>
    </row>
    <row r="96" customFormat="false" ht="15" hidden="false" customHeight="true" outlineLevel="0" collapsed="false">
      <c r="A96" s="3" t="n">
        <v>15</v>
      </c>
      <c r="B96" s="17" t="str">
        <f aca="false">VLOOKUP(A96,Roster!$A$3:$B$18,2,FALSE())</f>
        <v>Player 15</v>
      </c>
      <c r="C96" s="18"/>
      <c r="D96" s="12" t="n">
        <v>1</v>
      </c>
      <c r="E96" s="12" t="n">
        <f aca="false">C82</f>
        <v>0</v>
      </c>
      <c r="F96" s="3" t="str">
        <f aca="false">IF(AND(C96=0,E96=0),"-",IF(C96&gt;E96,"W",IF(C96&lt;E96,"L","T")))</f>
        <v>-</v>
      </c>
      <c r="G96" s="3" t="n">
        <f aca="false">IF(F96="W",10,IF(F96="T",5,0))</f>
        <v>0</v>
      </c>
      <c r="H96" s="3" t="n">
        <f aca="false">C96</f>
        <v>0</v>
      </c>
      <c r="I96" s="19" t="n">
        <f aca="false">G96+H96</f>
        <v>0</v>
      </c>
    </row>
    <row r="97" customFormat="false" ht="15" hidden="false" customHeight="true" outlineLevel="0" collapsed="false">
      <c r="A97" s="3" t="n">
        <v>16</v>
      </c>
      <c r="B97" s="17" t="str">
        <f aca="false">VLOOKUP(A97,Roster!$A$3:$B$18,2,FALSE())</f>
        <v>Player 16</v>
      </c>
      <c r="C97" s="18"/>
      <c r="D97" s="12" t="n">
        <v>2</v>
      </c>
      <c r="E97" s="12" t="n">
        <f aca="false">C83</f>
        <v>0</v>
      </c>
      <c r="F97" s="3" t="str">
        <f aca="false">IF(AND(C97=0,E97=0),"-",IF(C97&gt;E97,"W",IF(C97&lt;E97,"L","T")))</f>
        <v>-</v>
      </c>
      <c r="G97" s="3" t="n">
        <f aca="false">IF(F97="W",10,IF(F97="T",5,0))</f>
        <v>0</v>
      </c>
      <c r="H97" s="3" t="n">
        <f aca="false">C97</f>
        <v>0</v>
      </c>
      <c r="I97" s="19" t="n">
        <f aca="false">G97+H97</f>
        <v>0</v>
      </c>
    </row>
    <row r="99" customFormat="false" ht="15" hidden="false" customHeight="true" outlineLevel="0" collapsed="false">
      <c r="A99" s="15" t="s">
        <v>84</v>
      </c>
      <c r="B99" s="15"/>
      <c r="C99" s="15"/>
      <c r="D99" s="15"/>
      <c r="E99" s="15"/>
      <c r="F99" s="15"/>
      <c r="G99" s="15"/>
      <c r="H99" s="15"/>
      <c r="I99" s="15"/>
    </row>
    <row r="100" customFormat="false" ht="15" hidden="false" customHeight="true" outlineLevel="0" collapsed="false">
      <c r="A100" s="16" t="s">
        <v>1</v>
      </c>
      <c r="B100" s="16" t="s">
        <v>2</v>
      </c>
      <c r="C100" s="16" t="s">
        <v>78</v>
      </c>
      <c r="D100" s="16" t="s">
        <v>64</v>
      </c>
      <c r="E100" s="16" t="s">
        <v>79</v>
      </c>
      <c r="F100" s="16" t="s">
        <v>66</v>
      </c>
      <c r="G100" s="16" t="s">
        <v>67</v>
      </c>
      <c r="H100" s="16" t="s">
        <v>68</v>
      </c>
      <c r="I100" s="16" t="s">
        <v>69</v>
      </c>
    </row>
    <row r="101" customFormat="false" ht="15" hidden="false" customHeight="true" outlineLevel="0" collapsed="false">
      <c r="A101" s="3" t="n">
        <v>1</v>
      </c>
      <c r="B101" s="17" t="str">
        <f aca="false">VLOOKUP(A101,Roster!$A$3:$B$18,2,FALSE())</f>
        <v>Player 1</v>
      </c>
      <c r="C101" s="18"/>
      <c r="D101" s="12" t="n">
        <v>16</v>
      </c>
      <c r="E101" s="12" t="n">
        <f aca="false">C116</f>
        <v>0</v>
      </c>
      <c r="F101" s="3" t="str">
        <f aca="false">IF(AND(C101=0,E101=0),"-",IF(C101&gt;E101,"W",IF(C101&lt;E101,"L","T")))</f>
        <v>-</v>
      </c>
      <c r="G101" s="3" t="n">
        <f aca="false">IF(F101="W",10,IF(F101="T",5,0))</f>
        <v>0</v>
      </c>
      <c r="H101" s="3" t="n">
        <f aca="false">C101</f>
        <v>0</v>
      </c>
      <c r="I101" s="19" t="n">
        <f aca="false">G101+H101</f>
        <v>0</v>
      </c>
    </row>
    <row r="102" customFormat="false" ht="15" hidden="false" customHeight="true" outlineLevel="0" collapsed="false">
      <c r="A102" s="3" t="n">
        <v>2</v>
      </c>
      <c r="B102" s="17" t="str">
        <f aca="false">VLOOKUP(A102,Roster!$A$3:$B$18,2,FALSE())</f>
        <v>Player 2</v>
      </c>
      <c r="C102" s="18"/>
      <c r="D102" s="12" t="n">
        <v>15</v>
      </c>
      <c r="E102" s="12" t="n">
        <f aca="false">C115</f>
        <v>0</v>
      </c>
      <c r="F102" s="3" t="str">
        <f aca="false">IF(AND(C102=0,E102=0),"-",IF(C102&gt;E102,"W",IF(C102&lt;E102,"L","T")))</f>
        <v>-</v>
      </c>
      <c r="G102" s="3" t="n">
        <f aca="false">IF(F102="W",10,IF(F102="T",5,0))</f>
        <v>0</v>
      </c>
      <c r="H102" s="3" t="n">
        <f aca="false">C102</f>
        <v>0</v>
      </c>
      <c r="I102" s="19" t="n">
        <f aca="false">G102+H102</f>
        <v>0</v>
      </c>
    </row>
    <row r="103" customFormat="false" ht="15" hidden="false" customHeight="true" outlineLevel="0" collapsed="false">
      <c r="A103" s="3" t="n">
        <v>3</v>
      </c>
      <c r="B103" s="17" t="str">
        <f aca="false">VLOOKUP(A103,Roster!$A$3:$B$18,2,FALSE())</f>
        <v>Player 3</v>
      </c>
      <c r="C103" s="18"/>
      <c r="D103" s="12" t="n">
        <v>14</v>
      </c>
      <c r="E103" s="12" t="n">
        <f aca="false">C114</f>
        <v>0</v>
      </c>
      <c r="F103" s="3" t="str">
        <f aca="false">IF(AND(C103=0,E103=0),"-",IF(C103&gt;E103,"W",IF(C103&lt;E103,"L","T")))</f>
        <v>-</v>
      </c>
      <c r="G103" s="3" t="n">
        <f aca="false">IF(F103="W",10,IF(F103="T",5,0))</f>
        <v>0</v>
      </c>
      <c r="H103" s="3" t="n">
        <f aca="false">C103</f>
        <v>0</v>
      </c>
      <c r="I103" s="19" t="n">
        <f aca="false">G103+H103</f>
        <v>0</v>
      </c>
    </row>
    <row r="104" customFormat="false" ht="15" hidden="false" customHeight="true" outlineLevel="0" collapsed="false">
      <c r="A104" s="3" t="n">
        <v>4</v>
      </c>
      <c r="B104" s="17" t="str">
        <f aca="false">VLOOKUP(A104,Roster!$A$3:$B$18,2,FALSE())</f>
        <v>Player 4</v>
      </c>
      <c r="C104" s="18"/>
      <c r="D104" s="12" t="n">
        <v>13</v>
      </c>
      <c r="E104" s="12" t="n">
        <f aca="false">C113</f>
        <v>0</v>
      </c>
      <c r="F104" s="3" t="str">
        <f aca="false">IF(AND(C104=0,E104=0),"-",IF(C104&gt;E104,"W",IF(C104&lt;E104,"L","T")))</f>
        <v>-</v>
      </c>
      <c r="G104" s="3" t="n">
        <f aca="false">IF(F104="W",10,IF(F104="T",5,0))</f>
        <v>0</v>
      </c>
      <c r="H104" s="3" t="n">
        <f aca="false">C104</f>
        <v>0</v>
      </c>
      <c r="I104" s="19" t="n">
        <f aca="false">G104+H104</f>
        <v>0</v>
      </c>
    </row>
    <row r="105" customFormat="false" ht="15" hidden="false" customHeight="true" outlineLevel="0" collapsed="false">
      <c r="A105" s="3" t="n">
        <v>5</v>
      </c>
      <c r="B105" s="17" t="str">
        <f aca="false">VLOOKUP(A105,Roster!$A$3:$B$18,2,FALSE())</f>
        <v>Player 5</v>
      </c>
      <c r="C105" s="18"/>
      <c r="D105" s="12" t="n">
        <v>12</v>
      </c>
      <c r="E105" s="12" t="n">
        <f aca="false">C112</f>
        <v>0</v>
      </c>
      <c r="F105" s="3" t="str">
        <f aca="false">IF(AND(C105=0,E105=0),"-",IF(C105&gt;E105,"W",IF(C105&lt;E105,"L","T")))</f>
        <v>-</v>
      </c>
      <c r="G105" s="3" t="n">
        <f aca="false">IF(F105="W",10,IF(F105="T",5,0))</f>
        <v>0</v>
      </c>
      <c r="H105" s="3" t="n">
        <f aca="false">C105</f>
        <v>0</v>
      </c>
      <c r="I105" s="19" t="n">
        <f aca="false">G105+H105</f>
        <v>0</v>
      </c>
    </row>
    <row r="106" customFormat="false" ht="15" hidden="false" customHeight="true" outlineLevel="0" collapsed="false">
      <c r="A106" s="3" t="n">
        <v>6</v>
      </c>
      <c r="B106" s="17" t="str">
        <f aca="false">VLOOKUP(A106,Roster!$A$3:$B$18,2,FALSE())</f>
        <v>Player 6</v>
      </c>
      <c r="C106" s="18"/>
      <c r="D106" s="12" t="n">
        <v>11</v>
      </c>
      <c r="E106" s="12" t="n">
        <f aca="false">C111</f>
        <v>0</v>
      </c>
      <c r="F106" s="3" t="str">
        <f aca="false">IF(AND(C106=0,E106=0),"-",IF(C106&gt;E106,"W",IF(C106&lt;E106,"L","T")))</f>
        <v>-</v>
      </c>
      <c r="G106" s="3" t="n">
        <f aca="false">IF(F106="W",10,IF(F106="T",5,0))</f>
        <v>0</v>
      </c>
      <c r="H106" s="3" t="n">
        <f aca="false">C106</f>
        <v>0</v>
      </c>
      <c r="I106" s="19" t="n">
        <f aca="false">G106+H106</f>
        <v>0</v>
      </c>
    </row>
    <row r="107" customFormat="false" ht="15" hidden="false" customHeight="true" outlineLevel="0" collapsed="false">
      <c r="A107" s="3" t="n">
        <v>7</v>
      </c>
      <c r="B107" s="17" t="str">
        <f aca="false">VLOOKUP(A107,Roster!$A$3:$B$18,2,FALSE())</f>
        <v>Player 7</v>
      </c>
      <c r="C107" s="18"/>
      <c r="D107" s="12" t="n">
        <v>10</v>
      </c>
      <c r="E107" s="12" t="n">
        <f aca="false">C110</f>
        <v>0</v>
      </c>
      <c r="F107" s="3" t="str">
        <f aca="false">IF(AND(C107=0,E107=0),"-",IF(C107&gt;E107,"W",IF(C107&lt;E107,"L","T")))</f>
        <v>-</v>
      </c>
      <c r="G107" s="3" t="n">
        <f aca="false">IF(F107="W",10,IF(F107="T",5,0))</f>
        <v>0</v>
      </c>
      <c r="H107" s="3" t="n">
        <f aca="false">C107</f>
        <v>0</v>
      </c>
      <c r="I107" s="19" t="n">
        <f aca="false">G107+H107</f>
        <v>0</v>
      </c>
    </row>
    <row r="108" customFormat="false" ht="15" hidden="false" customHeight="true" outlineLevel="0" collapsed="false">
      <c r="A108" s="3" t="n">
        <v>8</v>
      </c>
      <c r="B108" s="17" t="str">
        <f aca="false">VLOOKUP(A108,Roster!$A$3:$B$18,2,FALSE())</f>
        <v>Player 8</v>
      </c>
      <c r="C108" s="18"/>
      <c r="D108" s="12" t="n">
        <v>9</v>
      </c>
      <c r="E108" s="12" t="n">
        <f aca="false">C109</f>
        <v>0</v>
      </c>
      <c r="F108" s="3" t="str">
        <f aca="false">IF(AND(C108=0,E108=0),"-",IF(C108&gt;E108,"W",IF(C108&lt;E108,"L","T")))</f>
        <v>-</v>
      </c>
      <c r="G108" s="3" t="n">
        <f aca="false">IF(F108="W",10,IF(F108="T",5,0))</f>
        <v>0</v>
      </c>
      <c r="H108" s="3" t="n">
        <f aca="false">C108</f>
        <v>0</v>
      </c>
      <c r="I108" s="19" t="n">
        <f aca="false">G108+H108</f>
        <v>0</v>
      </c>
    </row>
    <row r="109" customFormat="false" ht="15" hidden="false" customHeight="true" outlineLevel="0" collapsed="false">
      <c r="A109" s="3" t="n">
        <v>9</v>
      </c>
      <c r="B109" s="17" t="str">
        <f aca="false">VLOOKUP(A109,Roster!$A$3:$B$18,2,FALSE())</f>
        <v>Player 9</v>
      </c>
      <c r="C109" s="18"/>
      <c r="D109" s="12" t="n">
        <v>8</v>
      </c>
      <c r="E109" s="12" t="n">
        <f aca="false">C108</f>
        <v>0</v>
      </c>
      <c r="F109" s="3" t="str">
        <f aca="false">IF(AND(C109=0,E109=0),"-",IF(C109&gt;E109,"W",IF(C109&lt;E109,"L","T")))</f>
        <v>-</v>
      </c>
      <c r="G109" s="3" t="n">
        <f aca="false">IF(F109="W",10,IF(F109="T",5,0))</f>
        <v>0</v>
      </c>
      <c r="H109" s="3" t="n">
        <f aca="false">C109</f>
        <v>0</v>
      </c>
      <c r="I109" s="19" t="n">
        <f aca="false">G109+H109</f>
        <v>0</v>
      </c>
    </row>
    <row r="110" customFormat="false" ht="15" hidden="false" customHeight="true" outlineLevel="0" collapsed="false">
      <c r="A110" s="3" t="n">
        <v>10</v>
      </c>
      <c r="B110" s="17" t="str">
        <f aca="false">VLOOKUP(A110,Roster!$A$3:$B$18,2,FALSE())</f>
        <v>Player 10</v>
      </c>
      <c r="C110" s="18"/>
      <c r="D110" s="12" t="n">
        <v>7</v>
      </c>
      <c r="E110" s="12" t="n">
        <f aca="false">C107</f>
        <v>0</v>
      </c>
      <c r="F110" s="3" t="str">
        <f aca="false">IF(AND(C110=0,E110=0),"-",IF(C110&gt;E110,"W",IF(C110&lt;E110,"L","T")))</f>
        <v>-</v>
      </c>
      <c r="G110" s="3" t="n">
        <f aca="false">IF(F110="W",10,IF(F110="T",5,0))</f>
        <v>0</v>
      </c>
      <c r="H110" s="3" t="n">
        <f aca="false">C110</f>
        <v>0</v>
      </c>
      <c r="I110" s="19" t="n">
        <f aca="false">G110+H110</f>
        <v>0</v>
      </c>
    </row>
    <row r="111" customFormat="false" ht="15" hidden="false" customHeight="true" outlineLevel="0" collapsed="false">
      <c r="A111" s="3" t="n">
        <v>11</v>
      </c>
      <c r="B111" s="17" t="str">
        <f aca="false">VLOOKUP(A111,Roster!$A$3:$B$18,2,FALSE())</f>
        <v>Player 11</v>
      </c>
      <c r="C111" s="18"/>
      <c r="D111" s="12" t="n">
        <v>6</v>
      </c>
      <c r="E111" s="12" t="n">
        <f aca="false">C106</f>
        <v>0</v>
      </c>
      <c r="F111" s="3" t="str">
        <f aca="false">IF(AND(C111=0,E111=0),"-",IF(C111&gt;E111,"W",IF(C111&lt;E111,"L","T")))</f>
        <v>-</v>
      </c>
      <c r="G111" s="3" t="n">
        <f aca="false">IF(F111="W",10,IF(F111="T",5,0))</f>
        <v>0</v>
      </c>
      <c r="H111" s="3" t="n">
        <f aca="false">C111</f>
        <v>0</v>
      </c>
      <c r="I111" s="19" t="n">
        <f aca="false">G111+H111</f>
        <v>0</v>
      </c>
    </row>
    <row r="112" customFormat="false" ht="15" hidden="false" customHeight="true" outlineLevel="0" collapsed="false">
      <c r="A112" s="3" t="n">
        <v>12</v>
      </c>
      <c r="B112" s="17" t="str">
        <f aca="false">VLOOKUP(A112,Roster!$A$3:$B$18,2,FALSE())</f>
        <v>Player 12</v>
      </c>
      <c r="C112" s="18"/>
      <c r="D112" s="12" t="n">
        <v>5</v>
      </c>
      <c r="E112" s="12" t="n">
        <f aca="false">C105</f>
        <v>0</v>
      </c>
      <c r="F112" s="3" t="str">
        <f aca="false">IF(AND(C112=0,E112=0),"-",IF(C112&gt;E112,"W",IF(C112&lt;E112,"L","T")))</f>
        <v>-</v>
      </c>
      <c r="G112" s="3" t="n">
        <f aca="false">IF(F112="W",10,IF(F112="T",5,0))</f>
        <v>0</v>
      </c>
      <c r="H112" s="3" t="n">
        <f aca="false">C112</f>
        <v>0</v>
      </c>
      <c r="I112" s="19" t="n">
        <f aca="false">G112+H112</f>
        <v>0</v>
      </c>
    </row>
    <row r="113" customFormat="false" ht="15" hidden="false" customHeight="true" outlineLevel="0" collapsed="false">
      <c r="A113" s="3" t="n">
        <v>13</v>
      </c>
      <c r="B113" s="17" t="str">
        <f aca="false">VLOOKUP(A113,Roster!$A$3:$B$18,2,FALSE())</f>
        <v>Player 13</v>
      </c>
      <c r="C113" s="18"/>
      <c r="D113" s="12" t="n">
        <v>4</v>
      </c>
      <c r="E113" s="12" t="n">
        <f aca="false">C104</f>
        <v>0</v>
      </c>
      <c r="F113" s="3" t="str">
        <f aca="false">IF(AND(C113=0,E113=0),"-",IF(C113&gt;E113,"W",IF(C113&lt;E113,"L","T")))</f>
        <v>-</v>
      </c>
      <c r="G113" s="3" t="n">
        <f aca="false">IF(F113="W",10,IF(F113="T",5,0))</f>
        <v>0</v>
      </c>
      <c r="H113" s="3" t="n">
        <f aca="false">C113</f>
        <v>0</v>
      </c>
      <c r="I113" s="19" t="n">
        <f aca="false">G113+H113</f>
        <v>0</v>
      </c>
    </row>
    <row r="114" customFormat="false" ht="15" hidden="false" customHeight="true" outlineLevel="0" collapsed="false">
      <c r="A114" s="3" t="n">
        <v>14</v>
      </c>
      <c r="B114" s="17" t="str">
        <f aca="false">VLOOKUP(A114,Roster!$A$3:$B$18,2,FALSE())</f>
        <v>Player 14</v>
      </c>
      <c r="C114" s="18"/>
      <c r="D114" s="12" t="n">
        <v>3</v>
      </c>
      <c r="E114" s="12" t="n">
        <f aca="false">C103</f>
        <v>0</v>
      </c>
      <c r="F114" s="3" t="str">
        <f aca="false">IF(AND(C114=0,E114=0),"-",IF(C114&gt;E114,"W",IF(C114&lt;E114,"L","T")))</f>
        <v>-</v>
      </c>
      <c r="G114" s="3" t="n">
        <f aca="false">IF(F114="W",10,IF(F114="T",5,0))</f>
        <v>0</v>
      </c>
      <c r="H114" s="3" t="n">
        <f aca="false">C114</f>
        <v>0</v>
      </c>
      <c r="I114" s="19" t="n">
        <f aca="false">G114+H114</f>
        <v>0</v>
      </c>
    </row>
    <row r="115" customFormat="false" ht="15" hidden="false" customHeight="true" outlineLevel="0" collapsed="false">
      <c r="A115" s="3" t="n">
        <v>15</v>
      </c>
      <c r="B115" s="17" t="str">
        <f aca="false">VLOOKUP(A115,Roster!$A$3:$B$18,2,FALSE())</f>
        <v>Player 15</v>
      </c>
      <c r="C115" s="18"/>
      <c r="D115" s="12" t="n">
        <v>2</v>
      </c>
      <c r="E115" s="12" t="n">
        <f aca="false">C102</f>
        <v>0</v>
      </c>
      <c r="F115" s="3" t="str">
        <f aca="false">IF(AND(C115=0,E115=0),"-",IF(C115&gt;E115,"W",IF(C115&lt;E115,"L","T")))</f>
        <v>-</v>
      </c>
      <c r="G115" s="3" t="n">
        <f aca="false">IF(F115="W",10,IF(F115="T",5,0))</f>
        <v>0</v>
      </c>
      <c r="H115" s="3" t="n">
        <f aca="false">C115</f>
        <v>0</v>
      </c>
      <c r="I115" s="19" t="n">
        <f aca="false">G115+H115</f>
        <v>0</v>
      </c>
    </row>
    <row r="116" customFormat="false" ht="15" hidden="false" customHeight="true" outlineLevel="0" collapsed="false">
      <c r="A116" s="3" t="n">
        <v>16</v>
      </c>
      <c r="B116" s="17" t="str">
        <f aca="false">VLOOKUP(A116,Roster!$A$3:$B$18,2,FALSE())</f>
        <v>Player 16</v>
      </c>
      <c r="C116" s="18"/>
      <c r="D116" s="12" t="n">
        <v>1</v>
      </c>
      <c r="E116" s="12" t="n">
        <f aca="false">C101</f>
        <v>0</v>
      </c>
      <c r="F116" s="3" t="str">
        <f aca="false">IF(AND(C116=0,E116=0),"-",IF(C116&gt;E116,"W",IF(C116&lt;E116,"L","T")))</f>
        <v>-</v>
      </c>
      <c r="G116" s="3" t="n">
        <f aca="false">IF(F116="W",10,IF(F116="T",5,0))</f>
        <v>0</v>
      </c>
      <c r="H116" s="3" t="n">
        <f aca="false">C116</f>
        <v>0</v>
      </c>
      <c r="I116" s="19" t="n">
        <f aca="false">G116+H116</f>
        <v>0</v>
      </c>
    </row>
  </sheetData>
  <mergeCells count="7">
    <mergeCell ref="A1:I1"/>
    <mergeCell ref="A4:I4"/>
    <mergeCell ref="A23:I23"/>
    <mergeCell ref="A42:I42"/>
    <mergeCell ref="A61:I61"/>
    <mergeCell ref="A80:I80"/>
    <mergeCell ref="A99:I9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0883E"/>
    <pageSetUpPr fitToPage="false"/>
  </sheetPr>
  <dimension ref="A1:I1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M26" activeCellId="0" sqref="M26"/>
    </sheetView>
  </sheetViews>
  <sheetFormatPr defaultColWidth="8.71484375" defaultRowHeight="15" zeroHeight="false" outlineLevelRow="0" outlineLevelCol="0"/>
  <cols>
    <col collapsed="false" customWidth="true" hidden="false" outlineLevel="0" max="9" min="1" style="0" width="15"/>
  </cols>
  <sheetData>
    <row r="1" customFormat="false" ht="17.25" hidden="false" customHeight="true" outlineLevel="0" collapsed="false">
      <c r="A1" s="1" t="s">
        <v>85</v>
      </c>
      <c r="B1" s="1"/>
      <c r="C1" s="1"/>
      <c r="D1" s="1"/>
      <c r="E1" s="1"/>
      <c r="F1" s="1"/>
      <c r="G1" s="1"/>
      <c r="H1" s="1"/>
      <c r="I1" s="1"/>
    </row>
    <row r="2" customFormat="false" ht="15" hidden="false" customHeight="true" outlineLevel="0" collapsed="false">
      <c r="A2" s="14" t="s">
        <v>86</v>
      </c>
    </row>
    <row r="4" customFormat="false" ht="15" hidden="false" customHeight="true" outlineLevel="0" collapsed="false">
      <c r="A4" s="20" t="s">
        <v>87</v>
      </c>
      <c r="B4" s="20"/>
      <c r="C4" s="20"/>
      <c r="D4" s="20"/>
      <c r="E4" s="20"/>
      <c r="F4" s="20"/>
      <c r="G4" s="20"/>
      <c r="H4" s="20"/>
      <c r="I4" s="20"/>
    </row>
    <row r="5" customFormat="false" ht="15" hidden="false" customHeight="true" outlineLevel="0" collapsed="false">
      <c r="A5" s="16" t="s">
        <v>1</v>
      </c>
      <c r="B5" s="16" t="s">
        <v>2</v>
      </c>
      <c r="C5" s="16" t="s">
        <v>63</v>
      </c>
      <c r="D5" s="16" t="s">
        <v>64</v>
      </c>
      <c r="E5" s="16" t="s">
        <v>65</v>
      </c>
      <c r="F5" s="16" t="s">
        <v>66</v>
      </c>
      <c r="G5" s="16" t="s">
        <v>88</v>
      </c>
      <c r="H5" s="16" t="s">
        <v>89</v>
      </c>
      <c r="I5" s="16" t="s">
        <v>90</v>
      </c>
    </row>
    <row r="6" customFormat="false" ht="15" hidden="false" customHeight="true" outlineLevel="0" collapsed="false">
      <c r="A6" s="3" t="n">
        <v>1</v>
      </c>
      <c r="B6" s="17" t="str">
        <f aca="false">VLOOKUP(A6,Roster!$A$3:$B$18,2,FALSE())</f>
        <v>Player 1</v>
      </c>
      <c r="C6" s="18"/>
      <c r="D6" s="12" t="n">
        <v>4</v>
      </c>
      <c r="E6" s="12" t="n">
        <f aca="false">C9</f>
        <v>0</v>
      </c>
      <c r="F6" s="3" t="str">
        <f aca="false">IF(AND(C6=0,E6=0),"-",IF(C6&gt;E6,"W",IF(C6&lt;E6,"L","T")))</f>
        <v>-</v>
      </c>
      <c r="G6" s="3" t="n">
        <f aca="false">IF(F6="W",1,IF(F6="T",0.5,0))</f>
        <v>0</v>
      </c>
      <c r="H6" s="3" t="n">
        <f aca="false">IF(F6="L",1,IF(F6="T",0.5,0))</f>
        <v>0</v>
      </c>
      <c r="I6" s="3" t="n">
        <f aca="false">C6</f>
        <v>0</v>
      </c>
    </row>
    <row r="7" customFormat="false" ht="15" hidden="false" customHeight="true" outlineLevel="0" collapsed="false">
      <c r="A7" s="3" t="n">
        <v>2</v>
      </c>
      <c r="B7" s="17" t="str">
        <f aca="false">VLOOKUP(A7,Roster!$A$3:$B$18,2,FALSE())</f>
        <v>Player 2</v>
      </c>
      <c r="C7" s="18"/>
      <c r="D7" s="12" t="n">
        <v>3</v>
      </c>
      <c r="E7" s="12" t="n">
        <f aca="false">C8</f>
        <v>0</v>
      </c>
      <c r="F7" s="3" t="str">
        <f aca="false">IF(AND(C7=0,E7=0),"-",IF(C7&gt;E7,"W",IF(C7&lt;E7,"L","T")))</f>
        <v>-</v>
      </c>
      <c r="G7" s="3" t="n">
        <f aca="false">IF(F7="W",1,IF(F7="T",0.5,0))</f>
        <v>0</v>
      </c>
      <c r="H7" s="3" t="n">
        <f aca="false">IF(F7="L",1,IF(F7="T",0.5,0))</f>
        <v>0</v>
      </c>
      <c r="I7" s="3" t="n">
        <f aca="false">C7</f>
        <v>0</v>
      </c>
    </row>
    <row r="8" customFormat="false" ht="15" hidden="false" customHeight="true" outlineLevel="0" collapsed="false">
      <c r="A8" s="3" t="n">
        <v>3</v>
      </c>
      <c r="B8" s="17" t="str">
        <f aca="false">VLOOKUP(A8,Roster!$A$3:$B$18,2,FALSE())</f>
        <v>Player 3</v>
      </c>
      <c r="C8" s="18"/>
      <c r="D8" s="12" t="n">
        <v>2</v>
      </c>
      <c r="E8" s="12" t="n">
        <f aca="false">C7</f>
        <v>0</v>
      </c>
      <c r="F8" s="3" t="str">
        <f aca="false">IF(AND(C8=0,E8=0),"-",IF(C8&gt;E8,"W",IF(C8&lt;E8,"L","T")))</f>
        <v>-</v>
      </c>
      <c r="G8" s="3" t="n">
        <f aca="false">IF(F8="W",1,IF(F8="T",0.5,0))</f>
        <v>0</v>
      </c>
      <c r="H8" s="3" t="n">
        <f aca="false">IF(F8="L",1,IF(F8="T",0.5,0))</f>
        <v>0</v>
      </c>
      <c r="I8" s="3" t="n">
        <f aca="false">C8</f>
        <v>0</v>
      </c>
    </row>
    <row r="9" customFormat="false" ht="15" hidden="false" customHeight="true" outlineLevel="0" collapsed="false">
      <c r="A9" s="3" t="n">
        <v>4</v>
      </c>
      <c r="B9" s="17" t="str">
        <f aca="false">VLOOKUP(A9,Roster!$A$3:$B$18,2,FALSE())</f>
        <v>Player 4</v>
      </c>
      <c r="C9" s="18"/>
      <c r="D9" s="12" t="n">
        <v>1</v>
      </c>
      <c r="E9" s="12" t="n">
        <f aca="false">C6</f>
        <v>0</v>
      </c>
      <c r="F9" s="3" t="str">
        <f aca="false">IF(AND(C9=0,E9=0),"-",IF(C9&gt;E9,"W",IF(C9&lt;E9,"L","T")))</f>
        <v>-</v>
      </c>
      <c r="G9" s="3" t="n">
        <f aca="false">IF(F9="W",1,IF(F9="T",0.5,0))</f>
        <v>0</v>
      </c>
      <c r="H9" s="3" t="n">
        <f aca="false">IF(F9="L",1,IF(F9="T",0.5,0))</f>
        <v>0</v>
      </c>
      <c r="I9" s="3" t="n">
        <f aca="false">C9</f>
        <v>0</v>
      </c>
    </row>
    <row r="10" customFormat="false" ht="15" hidden="false" customHeight="true" outlineLevel="0" collapsed="false">
      <c r="A10" s="3" t="n">
        <v>5</v>
      </c>
      <c r="B10" s="17" t="str">
        <f aca="false">VLOOKUP(A10,Roster!$A$3:$B$18,2,FALSE())</f>
        <v>Player 5</v>
      </c>
      <c r="C10" s="18"/>
      <c r="D10" s="12" t="n">
        <v>8</v>
      </c>
      <c r="E10" s="12" t="n">
        <f aca="false">C13</f>
        <v>0</v>
      </c>
      <c r="F10" s="3" t="str">
        <f aca="false">IF(AND(C10=0,E10=0),"-",IF(C10&gt;E10,"W",IF(C10&lt;E10,"L","T")))</f>
        <v>-</v>
      </c>
      <c r="G10" s="3" t="n">
        <f aca="false">IF(F10="W",1,IF(F10="T",0.5,0))</f>
        <v>0</v>
      </c>
      <c r="H10" s="3" t="n">
        <f aca="false">IF(F10="L",1,IF(F10="T",0.5,0))</f>
        <v>0</v>
      </c>
      <c r="I10" s="3" t="n">
        <f aca="false">C10</f>
        <v>0</v>
      </c>
    </row>
    <row r="11" customFormat="false" ht="15" hidden="false" customHeight="true" outlineLevel="0" collapsed="false">
      <c r="A11" s="3" t="n">
        <v>6</v>
      </c>
      <c r="B11" s="17" t="str">
        <f aca="false">VLOOKUP(A11,Roster!$A$3:$B$18,2,FALSE())</f>
        <v>Player 6</v>
      </c>
      <c r="C11" s="18"/>
      <c r="D11" s="12" t="n">
        <v>7</v>
      </c>
      <c r="E11" s="12" t="n">
        <f aca="false">C12</f>
        <v>0</v>
      </c>
      <c r="F11" s="3" t="str">
        <f aca="false">IF(AND(C11=0,E11=0),"-",IF(C11&gt;E11,"W",IF(C11&lt;E11,"L","T")))</f>
        <v>-</v>
      </c>
      <c r="G11" s="3" t="n">
        <f aca="false">IF(F11="W",1,IF(F11="T",0.5,0))</f>
        <v>0</v>
      </c>
      <c r="H11" s="3" t="n">
        <f aca="false">IF(F11="L",1,IF(F11="T",0.5,0))</f>
        <v>0</v>
      </c>
      <c r="I11" s="3" t="n">
        <f aca="false">C11</f>
        <v>0</v>
      </c>
    </row>
    <row r="12" customFormat="false" ht="15" hidden="false" customHeight="true" outlineLevel="0" collapsed="false">
      <c r="A12" s="3" t="n">
        <v>7</v>
      </c>
      <c r="B12" s="17" t="str">
        <f aca="false">VLOOKUP(A12,Roster!$A$3:$B$18,2,FALSE())</f>
        <v>Player 7</v>
      </c>
      <c r="C12" s="18"/>
      <c r="D12" s="12" t="n">
        <v>6</v>
      </c>
      <c r="E12" s="12" t="n">
        <f aca="false">C11</f>
        <v>0</v>
      </c>
      <c r="F12" s="3" t="str">
        <f aca="false">IF(AND(C12=0,E12=0),"-",IF(C12&gt;E12,"W",IF(C12&lt;E12,"L","T")))</f>
        <v>-</v>
      </c>
      <c r="G12" s="3" t="n">
        <f aca="false">IF(F12="W",1,IF(F12="T",0.5,0))</f>
        <v>0</v>
      </c>
      <c r="H12" s="3" t="n">
        <f aca="false">IF(F12="L",1,IF(F12="T",0.5,0))</f>
        <v>0</v>
      </c>
      <c r="I12" s="3" t="n">
        <f aca="false">C12</f>
        <v>0</v>
      </c>
    </row>
    <row r="13" customFormat="false" ht="15" hidden="false" customHeight="true" outlineLevel="0" collapsed="false">
      <c r="A13" s="3" t="n">
        <v>8</v>
      </c>
      <c r="B13" s="17" t="str">
        <f aca="false">VLOOKUP(A13,Roster!$A$3:$B$18,2,FALSE())</f>
        <v>Player 8</v>
      </c>
      <c r="C13" s="18"/>
      <c r="D13" s="12" t="n">
        <v>5</v>
      </c>
      <c r="E13" s="12" t="n">
        <f aca="false">C10</f>
        <v>0</v>
      </c>
      <c r="F13" s="3" t="str">
        <f aca="false">IF(AND(C13=0,E13=0),"-",IF(C13&gt;E13,"W",IF(C13&lt;E13,"L","T")))</f>
        <v>-</v>
      </c>
      <c r="G13" s="3" t="n">
        <f aca="false">IF(F13="W",1,IF(F13="T",0.5,0))</f>
        <v>0</v>
      </c>
      <c r="H13" s="3" t="n">
        <f aca="false">IF(F13="L",1,IF(F13="T",0.5,0))</f>
        <v>0</v>
      </c>
      <c r="I13" s="3" t="n">
        <f aca="false">C13</f>
        <v>0</v>
      </c>
    </row>
    <row r="14" customFormat="false" ht="15" hidden="false" customHeight="true" outlineLevel="0" collapsed="false">
      <c r="A14" s="3" t="n">
        <v>9</v>
      </c>
      <c r="B14" s="17" t="str">
        <f aca="false">VLOOKUP(A14,Roster!$A$3:$B$18,2,FALSE())</f>
        <v>Player 9</v>
      </c>
      <c r="C14" s="18"/>
      <c r="D14" s="12" t="n">
        <v>12</v>
      </c>
      <c r="E14" s="12" t="n">
        <f aca="false">C17</f>
        <v>0</v>
      </c>
      <c r="F14" s="3" t="str">
        <f aca="false">IF(AND(C14=0,E14=0),"-",IF(C14&gt;E14,"W",IF(C14&lt;E14,"L","T")))</f>
        <v>-</v>
      </c>
      <c r="G14" s="3" t="n">
        <f aca="false">IF(F14="W",1,IF(F14="T",0.5,0))</f>
        <v>0</v>
      </c>
      <c r="H14" s="3" t="n">
        <f aca="false">IF(F14="L",1,IF(F14="T",0.5,0))</f>
        <v>0</v>
      </c>
      <c r="I14" s="3" t="n">
        <f aca="false">C14</f>
        <v>0</v>
      </c>
    </row>
    <row r="15" customFormat="false" ht="15" hidden="false" customHeight="true" outlineLevel="0" collapsed="false">
      <c r="A15" s="3" t="n">
        <v>10</v>
      </c>
      <c r="B15" s="17" t="str">
        <f aca="false">VLOOKUP(A15,Roster!$A$3:$B$18,2,FALSE())</f>
        <v>Player 10</v>
      </c>
      <c r="C15" s="18"/>
      <c r="D15" s="12" t="n">
        <v>11</v>
      </c>
      <c r="E15" s="12" t="n">
        <f aca="false">C16</f>
        <v>0</v>
      </c>
      <c r="F15" s="3" t="str">
        <f aca="false">IF(AND(C15=0,E15=0),"-",IF(C15&gt;E15,"W",IF(C15&lt;E15,"L","T")))</f>
        <v>-</v>
      </c>
      <c r="G15" s="3" t="n">
        <f aca="false">IF(F15="W",1,IF(F15="T",0.5,0))</f>
        <v>0</v>
      </c>
      <c r="H15" s="3" t="n">
        <f aca="false">IF(F15="L",1,IF(F15="T",0.5,0))</f>
        <v>0</v>
      </c>
      <c r="I15" s="3" t="n">
        <f aca="false">C15</f>
        <v>0</v>
      </c>
    </row>
    <row r="16" customFormat="false" ht="15" hidden="false" customHeight="true" outlineLevel="0" collapsed="false">
      <c r="A16" s="3" t="n">
        <v>11</v>
      </c>
      <c r="B16" s="17" t="str">
        <f aca="false">VLOOKUP(A16,Roster!$A$3:$B$18,2,FALSE())</f>
        <v>Player 11</v>
      </c>
      <c r="C16" s="18"/>
      <c r="D16" s="12" t="n">
        <v>10</v>
      </c>
      <c r="E16" s="12" t="n">
        <f aca="false">C15</f>
        <v>0</v>
      </c>
      <c r="F16" s="3" t="str">
        <f aca="false">IF(AND(C16=0,E16=0),"-",IF(C16&gt;E16,"W",IF(C16&lt;E16,"L","T")))</f>
        <v>-</v>
      </c>
      <c r="G16" s="3" t="n">
        <f aca="false">IF(F16="W",1,IF(F16="T",0.5,0))</f>
        <v>0</v>
      </c>
      <c r="H16" s="3" t="n">
        <f aca="false">IF(F16="L",1,IF(F16="T",0.5,0))</f>
        <v>0</v>
      </c>
      <c r="I16" s="3" t="n">
        <f aca="false">C16</f>
        <v>0</v>
      </c>
    </row>
    <row r="17" customFormat="false" ht="15" hidden="false" customHeight="true" outlineLevel="0" collapsed="false">
      <c r="A17" s="3" t="n">
        <v>12</v>
      </c>
      <c r="B17" s="17" t="str">
        <f aca="false">VLOOKUP(A17,Roster!$A$3:$B$18,2,FALSE())</f>
        <v>Player 12</v>
      </c>
      <c r="C17" s="18"/>
      <c r="D17" s="12" t="n">
        <v>9</v>
      </c>
      <c r="E17" s="12" t="n">
        <f aca="false">C14</f>
        <v>0</v>
      </c>
      <c r="F17" s="3" t="str">
        <f aca="false">IF(AND(C17=0,E17=0),"-",IF(C17&gt;E17,"W",IF(C17&lt;E17,"L","T")))</f>
        <v>-</v>
      </c>
      <c r="G17" s="3" t="n">
        <f aca="false">IF(F17="W",1,IF(F17="T",0.5,0))</f>
        <v>0</v>
      </c>
      <c r="H17" s="3" t="n">
        <f aca="false">IF(F17="L",1,IF(F17="T",0.5,0))</f>
        <v>0</v>
      </c>
      <c r="I17" s="3" t="n">
        <f aca="false">C17</f>
        <v>0</v>
      </c>
    </row>
    <row r="18" customFormat="false" ht="15" hidden="false" customHeight="true" outlineLevel="0" collapsed="false">
      <c r="A18" s="3" t="n">
        <v>13</v>
      </c>
      <c r="B18" s="17" t="str">
        <f aca="false">VLOOKUP(A18,Roster!$A$3:$B$18,2,FALSE())</f>
        <v>Player 13</v>
      </c>
      <c r="C18" s="18"/>
      <c r="D18" s="12" t="n">
        <v>16</v>
      </c>
      <c r="E18" s="12" t="n">
        <f aca="false">C21</f>
        <v>0</v>
      </c>
      <c r="F18" s="3" t="str">
        <f aca="false">IF(AND(C18=0,E18=0),"-",IF(C18&gt;E18,"W",IF(C18&lt;E18,"L","T")))</f>
        <v>-</v>
      </c>
      <c r="G18" s="3" t="n">
        <f aca="false">IF(F18="W",1,IF(F18="T",0.5,0))</f>
        <v>0</v>
      </c>
      <c r="H18" s="3" t="n">
        <f aca="false">IF(F18="L",1,IF(F18="T",0.5,0))</f>
        <v>0</v>
      </c>
      <c r="I18" s="3" t="n">
        <f aca="false">C18</f>
        <v>0</v>
      </c>
    </row>
    <row r="19" customFormat="false" ht="15" hidden="false" customHeight="true" outlineLevel="0" collapsed="false">
      <c r="A19" s="3" t="n">
        <v>14</v>
      </c>
      <c r="B19" s="17" t="str">
        <f aca="false">VLOOKUP(A19,Roster!$A$3:$B$18,2,FALSE())</f>
        <v>Player 14</v>
      </c>
      <c r="C19" s="18"/>
      <c r="D19" s="12" t="n">
        <v>15</v>
      </c>
      <c r="E19" s="12" t="n">
        <f aca="false">C20</f>
        <v>0</v>
      </c>
      <c r="F19" s="3" t="str">
        <f aca="false">IF(AND(C19=0,E19=0),"-",IF(C19&gt;E19,"W",IF(C19&lt;E19,"L","T")))</f>
        <v>-</v>
      </c>
      <c r="G19" s="3" t="n">
        <f aca="false">IF(F19="W",1,IF(F19="T",0.5,0))</f>
        <v>0</v>
      </c>
      <c r="H19" s="3" t="n">
        <f aca="false">IF(F19="L",1,IF(F19="T",0.5,0))</f>
        <v>0</v>
      </c>
      <c r="I19" s="3" t="n">
        <f aca="false">C19</f>
        <v>0</v>
      </c>
    </row>
    <row r="20" customFormat="false" ht="15" hidden="false" customHeight="true" outlineLevel="0" collapsed="false">
      <c r="A20" s="3" t="n">
        <v>15</v>
      </c>
      <c r="B20" s="17" t="str">
        <f aca="false">VLOOKUP(A20,Roster!$A$3:$B$18,2,FALSE())</f>
        <v>Player 15</v>
      </c>
      <c r="C20" s="18"/>
      <c r="D20" s="12" t="n">
        <v>14</v>
      </c>
      <c r="E20" s="12" t="n">
        <f aca="false">C19</f>
        <v>0</v>
      </c>
      <c r="F20" s="3" t="str">
        <f aca="false">IF(AND(C20=0,E20=0),"-",IF(C20&gt;E20,"W",IF(C20&lt;E20,"L","T")))</f>
        <v>-</v>
      </c>
      <c r="G20" s="3" t="n">
        <f aca="false">IF(F20="W",1,IF(F20="T",0.5,0))</f>
        <v>0</v>
      </c>
      <c r="H20" s="3" t="n">
        <f aca="false">IF(F20="L",1,IF(F20="T",0.5,0))</f>
        <v>0</v>
      </c>
      <c r="I20" s="3" t="n">
        <f aca="false">C20</f>
        <v>0</v>
      </c>
    </row>
    <row r="21" customFormat="false" ht="15" hidden="false" customHeight="true" outlineLevel="0" collapsed="false">
      <c r="A21" s="3" t="n">
        <v>16</v>
      </c>
      <c r="B21" s="17" t="str">
        <f aca="false">VLOOKUP(A21,Roster!$A$3:$B$18,2,FALSE())</f>
        <v>Player 16</v>
      </c>
      <c r="C21" s="18"/>
      <c r="D21" s="12" t="n">
        <v>13</v>
      </c>
      <c r="E21" s="12" t="n">
        <f aca="false">C18</f>
        <v>0</v>
      </c>
      <c r="F21" s="3" t="str">
        <f aca="false">IF(AND(C21=0,E21=0),"-",IF(C21&gt;E21,"W",IF(C21&lt;E21,"L","T")))</f>
        <v>-</v>
      </c>
      <c r="G21" s="3" t="n">
        <f aca="false">IF(F21="W",1,IF(F21="T",0.5,0))</f>
        <v>0</v>
      </c>
      <c r="H21" s="3" t="n">
        <f aca="false">IF(F21="L",1,IF(F21="T",0.5,0))</f>
        <v>0</v>
      </c>
      <c r="I21" s="3" t="n">
        <f aca="false">C21</f>
        <v>0</v>
      </c>
    </row>
    <row r="23" customFormat="false" ht="15" hidden="false" customHeight="true" outlineLevel="0" collapsed="false">
      <c r="A23" s="20" t="s">
        <v>91</v>
      </c>
      <c r="B23" s="20"/>
      <c r="C23" s="20"/>
      <c r="D23" s="20"/>
      <c r="E23" s="20"/>
      <c r="F23" s="20"/>
      <c r="G23" s="20"/>
      <c r="H23" s="20"/>
      <c r="I23" s="20"/>
    </row>
    <row r="24" customFormat="false" ht="15" hidden="false" customHeight="true" outlineLevel="0" collapsed="false">
      <c r="A24" s="16" t="s">
        <v>1</v>
      </c>
      <c r="B24" s="16" t="s">
        <v>2</v>
      </c>
      <c r="C24" s="16" t="s">
        <v>63</v>
      </c>
      <c r="D24" s="16" t="s">
        <v>64</v>
      </c>
      <c r="E24" s="16" t="s">
        <v>65</v>
      </c>
      <c r="F24" s="16" t="s">
        <v>66</v>
      </c>
      <c r="G24" s="16" t="s">
        <v>88</v>
      </c>
      <c r="H24" s="16" t="s">
        <v>89</v>
      </c>
      <c r="I24" s="16" t="s">
        <v>90</v>
      </c>
    </row>
    <row r="25" customFormat="false" ht="15" hidden="false" customHeight="true" outlineLevel="0" collapsed="false">
      <c r="A25" s="3" t="n">
        <v>1</v>
      </c>
      <c r="B25" s="17" t="str">
        <f aca="false">VLOOKUP(A25,Roster!$A$3:$B$18,2,FALSE())</f>
        <v>Player 1</v>
      </c>
      <c r="C25" s="18"/>
      <c r="D25" s="12" t="n">
        <v>3</v>
      </c>
      <c r="E25" s="12" t="n">
        <f aca="false">C27</f>
        <v>0</v>
      </c>
      <c r="F25" s="3" t="str">
        <f aca="false">IF(AND(C25=0,E25=0),"-",IF(C25&gt;E25,"W",IF(C25&lt;E25,"L","T")))</f>
        <v>-</v>
      </c>
      <c r="G25" s="3" t="n">
        <f aca="false">IF(F25="W",1,IF(F25="T",0.5,0))</f>
        <v>0</v>
      </c>
      <c r="H25" s="3" t="n">
        <f aca="false">IF(F25="L",1,IF(F25="T",0.5,0))</f>
        <v>0</v>
      </c>
      <c r="I25" s="3" t="n">
        <f aca="false">C25</f>
        <v>0</v>
      </c>
    </row>
    <row r="26" customFormat="false" ht="15" hidden="false" customHeight="true" outlineLevel="0" collapsed="false">
      <c r="A26" s="3" t="n">
        <v>2</v>
      </c>
      <c r="B26" s="17" t="str">
        <f aca="false">VLOOKUP(A26,Roster!$A$3:$B$18,2,FALSE())</f>
        <v>Player 2</v>
      </c>
      <c r="C26" s="18"/>
      <c r="D26" s="12" t="n">
        <v>4</v>
      </c>
      <c r="E26" s="12" t="n">
        <f aca="false">C28</f>
        <v>0</v>
      </c>
      <c r="F26" s="3" t="str">
        <f aca="false">IF(AND(C26=0,E26=0),"-",IF(C26&gt;E26,"W",IF(C26&lt;E26,"L","T")))</f>
        <v>-</v>
      </c>
      <c r="G26" s="3" t="n">
        <f aca="false">IF(F26="W",1,IF(F26="T",0.5,0))</f>
        <v>0</v>
      </c>
      <c r="H26" s="3" t="n">
        <f aca="false">IF(F26="L",1,IF(F26="T",0.5,0))</f>
        <v>0</v>
      </c>
      <c r="I26" s="3" t="n">
        <f aca="false">C26</f>
        <v>0</v>
      </c>
    </row>
    <row r="27" customFormat="false" ht="15" hidden="false" customHeight="true" outlineLevel="0" collapsed="false">
      <c r="A27" s="3" t="n">
        <v>3</v>
      </c>
      <c r="B27" s="17" t="str">
        <f aca="false">VLOOKUP(A27,Roster!$A$3:$B$18,2,FALSE())</f>
        <v>Player 3</v>
      </c>
      <c r="C27" s="18"/>
      <c r="D27" s="12" t="n">
        <v>1</v>
      </c>
      <c r="E27" s="12" t="n">
        <f aca="false">C25</f>
        <v>0</v>
      </c>
      <c r="F27" s="3" t="str">
        <f aca="false">IF(AND(C27=0,E27=0),"-",IF(C27&gt;E27,"W",IF(C27&lt;E27,"L","T")))</f>
        <v>-</v>
      </c>
      <c r="G27" s="3" t="n">
        <f aca="false">IF(F27="W",1,IF(F27="T",0.5,0))</f>
        <v>0</v>
      </c>
      <c r="H27" s="3" t="n">
        <f aca="false">IF(F27="L",1,IF(F27="T",0.5,0))</f>
        <v>0</v>
      </c>
      <c r="I27" s="3" t="n">
        <f aca="false">C27</f>
        <v>0</v>
      </c>
    </row>
    <row r="28" customFormat="false" ht="15" hidden="false" customHeight="true" outlineLevel="0" collapsed="false">
      <c r="A28" s="3" t="n">
        <v>4</v>
      </c>
      <c r="B28" s="17" t="str">
        <f aca="false">VLOOKUP(A28,Roster!$A$3:$B$18,2,FALSE())</f>
        <v>Player 4</v>
      </c>
      <c r="C28" s="18"/>
      <c r="D28" s="12" t="n">
        <v>2</v>
      </c>
      <c r="E28" s="12" t="n">
        <f aca="false">C26</f>
        <v>0</v>
      </c>
      <c r="F28" s="3" t="str">
        <f aca="false">IF(AND(C28=0,E28=0),"-",IF(C28&gt;E28,"W",IF(C28&lt;E28,"L","T")))</f>
        <v>-</v>
      </c>
      <c r="G28" s="3" t="n">
        <f aca="false">IF(F28="W",1,IF(F28="T",0.5,0))</f>
        <v>0</v>
      </c>
      <c r="H28" s="3" t="n">
        <f aca="false">IF(F28="L",1,IF(F28="T",0.5,0))</f>
        <v>0</v>
      </c>
      <c r="I28" s="3" t="n">
        <f aca="false">C28</f>
        <v>0</v>
      </c>
    </row>
    <row r="29" customFormat="false" ht="15" hidden="false" customHeight="true" outlineLevel="0" collapsed="false">
      <c r="A29" s="3" t="n">
        <v>5</v>
      </c>
      <c r="B29" s="17" t="str">
        <f aca="false">VLOOKUP(A29,Roster!$A$3:$B$18,2,FALSE())</f>
        <v>Player 5</v>
      </c>
      <c r="C29" s="18"/>
      <c r="D29" s="12" t="n">
        <v>7</v>
      </c>
      <c r="E29" s="12" t="n">
        <f aca="false">C31</f>
        <v>0</v>
      </c>
      <c r="F29" s="3" t="str">
        <f aca="false">IF(AND(C29=0,E29=0),"-",IF(C29&gt;E29,"W",IF(C29&lt;E29,"L","T")))</f>
        <v>-</v>
      </c>
      <c r="G29" s="3" t="n">
        <f aca="false">IF(F29="W",1,IF(F29="T",0.5,0))</f>
        <v>0</v>
      </c>
      <c r="H29" s="3" t="n">
        <f aca="false">IF(F29="L",1,IF(F29="T",0.5,0))</f>
        <v>0</v>
      </c>
      <c r="I29" s="3" t="n">
        <f aca="false">C29</f>
        <v>0</v>
      </c>
    </row>
    <row r="30" customFormat="false" ht="15" hidden="false" customHeight="true" outlineLevel="0" collapsed="false">
      <c r="A30" s="3" t="n">
        <v>6</v>
      </c>
      <c r="B30" s="17" t="str">
        <f aca="false">VLOOKUP(A30,Roster!$A$3:$B$18,2,FALSE())</f>
        <v>Player 6</v>
      </c>
      <c r="C30" s="18"/>
      <c r="D30" s="12" t="n">
        <v>8</v>
      </c>
      <c r="E30" s="12" t="n">
        <f aca="false">C32</f>
        <v>0</v>
      </c>
      <c r="F30" s="3" t="str">
        <f aca="false">IF(AND(C30=0,E30=0),"-",IF(C30&gt;E30,"W",IF(C30&lt;E30,"L","T")))</f>
        <v>-</v>
      </c>
      <c r="G30" s="3" t="n">
        <f aca="false">IF(F30="W",1,IF(F30="T",0.5,0))</f>
        <v>0</v>
      </c>
      <c r="H30" s="3" t="n">
        <f aca="false">IF(F30="L",1,IF(F30="T",0.5,0))</f>
        <v>0</v>
      </c>
      <c r="I30" s="3" t="n">
        <f aca="false">C30</f>
        <v>0</v>
      </c>
    </row>
    <row r="31" customFormat="false" ht="15" hidden="false" customHeight="true" outlineLevel="0" collapsed="false">
      <c r="A31" s="3" t="n">
        <v>7</v>
      </c>
      <c r="B31" s="17" t="str">
        <f aca="false">VLOOKUP(A31,Roster!$A$3:$B$18,2,FALSE())</f>
        <v>Player 7</v>
      </c>
      <c r="C31" s="18"/>
      <c r="D31" s="12" t="n">
        <v>5</v>
      </c>
      <c r="E31" s="12" t="n">
        <f aca="false">C29</f>
        <v>0</v>
      </c>
      <c r="F31" s="3" t="str">
        <f aca="false">IF(AND(C31=0,E31=0),"-",IF(C31&gt;E31,"W",IF(C31&lt;E31,"L","T")))</f>
        <v>-</v>
      </c>
      <c r="G31" s="3" t="n">
        <f aca="false">IF(F31="W",1,IF(F31="T",0.5,0))</f>
        <v>0</v>
      </c>
      <c r="H31" s="3" t="n">
        <f aca="false">IF(F31="L",1,IF(F31="T",0.5,0))</f>
        <v>0</v>
      </c>
      <c r="I31" s="3" t="n">
        <f aca="false">C31</f>
        <v>0</v>
      </c>
    </row>
    <row r="32" customFormat="false" ht="15" hidden="false" customHeight="true" outlineLevel="0" collapsed="false">
      <c r="A32" s="3" t="n">
        <v>8</v>
      </c>
      <c r="B32" s="17" t="str">
        <f aca="false">VLOOKUP(A32,Roster!$A$3:$B$18,2,FALSE())</f>
        <v>Player 8</v>
      </c>
      <c r="C32" s="18"/>
      <c r="D32" s="12" t="n">
        <v>6</v>
      </c>
      <c r="E32" s="12" t="n">
        <f aca="false">C30</f>
        <v>0</v>
      </c>
      <c r="F32" s="3" t="str">
        <f aca="false">IF(AND(C32=0,E32=0),"-",IF(C32&gt;E32,"W",IF(C32&lt;E32,"L","T")))</f>
        <v>-</v>
      </c>
      <c r="G32" s="3" t="n">
        <f aca="false">IF(F32="W",1,IF(F32="T",0.5,0))</f>
        <v>0</v>
      </c>
      <c r="H32" s="3" t="n">
        <f aca="false">IF(F32="L",1,IF(F32="T",0.5,0))</f>
        <v>0</v>
      </c>
      <c r="I32" s="3" t="n">
        <f aca="false">C32</f>
        <v>0</v>
      </c>
    </row>
    <row r="33" customFormat="false" ht="15" hidden="false" customHeight="true" outlineLevel="0" collapsed="false">
      <c r="A33" s="3" t="n">
        <v>9</v>
      </c>
      <c r="B33" s="17" t="str">
        <f aca="false">VLOOKUP(A33,Roster!$A$3:$B$18,2,FALSE())</f>
        <v>Player 9</v>
      </c>
      <c r="C33" s="18"/>
      <c r="D33" s="12" t="n">
        <v>11</v>
      </c>
      <c r="E33" s="12" t="n">
        <f aca="false">C35</f>
        <v>0</v>
      </c>
      <c r="F33" s="3" t="str">
        <f aca="false">IF(AND(C33=0,E33=0),"-",IF(C33&gt;E33,"W",IF(C33&lt;E33,"L","T")))</f>
        <v>-</v>
      </c>
      <c r="G33" s="3" t="n">
        <f aca="false">IF(F33="W",1,IF(F33="T",0.5,0))</f>
        <v>0</v>
      </c>
      <c r="H33" s="3" t="n">
        <f aca="false">IF(F33="L",1,IF(F33="T",0.5,0))</f>
        <v>0</v>
      </c>
      <c r="I33" s="3" t="n">
        <f aca="false">C33</f>
        <v>0</v>
      </c>
    </row>
    <row r="34" customFormat="false" ht="15" hidden="false" customHeight="true" outlineLevel="0" collapsed="false">
      <c r="A34" s="3" t="n">
        <v>10</v>
      </c>
      <c r="B34" s="17" t="str">
        <f aca="false">VLOOKUP(A34,Roster!$A$3:$B$18,2,FALSE())</f>
        <v>Player 10</v>
      </c>
      <c r="C34" s="18"/>
      <c r="D34" s="12" t="n">
        <v>12</v>
      </c>
      <c r="E34" s="12" t="n">
        <f aca="false">C36</f>
        <v>0</v>
      </c>
      <c r="F34" s="3" t="str">
        <f aca="false">IF(AND(C34=0,E34=0),"-",IF(C34&gt;E34,"W",IF(C34&lt;E34,"L","T")))</f>
        <v>-</v>
      </c>
      <c r="G34" s="3" t="n">
        <f aca="false">IF(F34="W",1,IF(F34="T",0.5,0))</f>
        <v>0</v>
      </c>
      <c r="H34" s="3" t="n">
        <f aca="false">IF(F34="L",1,IF(F34="T",0.5,0))</f>
        <v>0</v>
      </c>
      <c r="I34" s="3" t="n">
        <f aca="false">C34</f>
        <v>0</v>
      </c>
    </row>
    <row r="35" customFormat="false" ht="15" hidden="false" customHeight="true" outlineLevel="0" collapsed="false">
      <c r="A35" s="3" t="n">
        <v>11</v>
      </c>
      <c r="B35" s="17" t="str">
        <f aca="false">VLOOKUP(A35,Roster!$A$3:$B$18,2,FALSE())</f>
        <v>Player 11</v>
      </c>
      <c r="C35" s="18"/>
      <c r="D35" s="12" t="n">
        <v>9</v>
      </c>
      <c r="E35" s="12" t="n">
        <f aca="false">C33</f>
        <v>0</v>
      </c>
      <c r="F35" s="3" t="str">
        <f aca="false">IF(AND(C35=0,E35=0),"-",IF(C35&gt;E35,"W",IF(C35&lt;E35,"L","T")))</f>
        <v>-</v>
      </c>
      <c r="G35" s="3" t="n">
        <f aca="false">IF(F35="W",1,IF(F35="T",0.5,0))</f>
        <v>0</v>
      </c>
      <c r="H35" s="3" t="n">
        <f aca="false">IF(F35="L",1,IF(F35="T",0.5,0))</f>
        <v>0</v>
      </c>
      <c r="I35" s="3" t="n">
        <f aca="false">C35</f>
        <v>0</v>
      </c>
    </row>
    <row r="36" customFormat="false" ht="15" hidden="false" customHeight="true" outlineLevel="0" collapsed="false">
      <c r="A36" s="3" t="n">
        <v>12</v>
      </c>
      <c r="B36" s="17" t="str">
        <f aca="false">VLOOKUP(A36,Roster!$A$3:$B$18,2,FALSE())</f>
        <v>Player 12</v>
      </c>
      <c r="C36" s="18"/>
      <c r="D36" s="12" t="n">
        <v>10</v>
      </c>
      <c r="E36" s="12" t="n">
        <f aca="false">C34</f>
        <v>0</v>
      </c>
      <c r="F36" s="3" t="str">
        <f aca="false">IF(AND(C36=0,E36=0),"-",IF(C36&gt;E36,"W",IF(C36&lt;E36,"L","T")))</f>
        <v>-</v>
      </c>
      <c r="G36" s="3" t="n">
        <f aca="false">IF(F36="W",1,IF(F36="T",0.5,0))</f>
        <v>0</v>
      </c>
      <c r="H36" s="3" t="n">
        <f aca="false">IF(F36="L",1,IF(F36="T",0.5,0))</f>
        <v>0</v>
      </c>
      <c r="I36" s="3" t="n">
        <f aca="false">C36</f>
        <v>0</v>
      </c>
    </row>
    <row r="37" customFormat="false" ht="15" hidden="false" customHeight="true" outlineLevel="0" collapsed="false">
      <c r="A37" s="3" t="n">
        <v>13</v>
      </c>
      <c r="B37" s="17" t="str">
        <f aca="false">VLOOKUP(A37,Roster!$A$3:$B$18,2,FALSE())</f>
        <v>Player 13</v>
      </c>
      <c r="C37" s="18"/>
      <c r="D37" s="12" t="n">
        <v>15</v>
      </c>
      <c r="E37" s="12" t="n">
        <f aca="false">C39</f>
        <v>0</v>
      </c>
      <c r="F37" s="3" t="str">
        <f aca="false">IF(AND(C37=0,E37=0),"-",IF(C37&gt;E37,"W",IF(C37&lt;E37,"L","T")))</f>
        <v>-</v>
      </c>
      <c r="G37" s="3" t="n">
        <f aca="false">IF(F37="W",1,IF(F37="T",0.5,0))</f>
        <v>0</v>
      </c>
      <c r="H37" s="3" t="n">
        <f aca="false">IF(F37="L",1,IF(F37="T",0.5,0))</f>
        <v>0</v>
      </c>
      <c r="I37" s="3" t="n">
        <f aca="false">C37</f>
        <v>0</v>
      </c>
    </row>
    <row r="38" customFormat="false" ht="15" hidden="false" customHeight="true" outlineLevel="0" collapsed="false">
      <c r="A38" s="3" t="n">
        <v>14</v>
      </c>
      <c r="B38" s="17" t="str">
        <f aca="false">VLOOKUP(A38,Roster!$A$3:$B$18,2,FALSE())</f>
        <v>Player 14</v>
      </c>
      <c r="C38" s="18"/>
      <c r="D38" s="12" t="n">
        <v>16</v>
      </c>
      <c r="E38" s="12" t="n">
        <f aca="false">C40</f>
        <v>0</v>
      </c>
      <c r="F38" s="3" t="str">
        <f aca="false">IF(AND(C38=0,E38=0),"-",IF(C38&gt;E38,"W",IF(C38&lt;E38,"L","T")))</f>
        <v>-</v>
      </c>
      <c r="G38" s="3" t="n">
        <f aca="false">IF(F38="W",1,IF(F38="T",0.5,0))</f>
        <v>0</v>
      </c>
      <c r="H38" s="3" t="n">
        <f aca="false">IF(F38="L",1,IF(F38="T",0.5,0))</f>
        <v>0</v>
      </c>
      <c r="I38" s="3" t="n">
        <f aca="false">C38</f>
        <v>0</v>
      </c>
    </row>
    <row r="39" customFormat="false" ht="15" hidden="false" customHeight="true" outlineLevel="0" collapsed="false">
      <c r="A39" s="3" t="n">
        <v>15</v>
      </c>
      <c r="B39" s="17" t="str">
        <f aca="false">VLOOKUP(A39,Roster!$A$3:$B$18,2,FALSE())</f>
        <v>Player 15</v>
      </c>
      <c r="C39" s="18"/>
      <c r="D39" s="12" t="n">
        <v>13</v>
      </c>
      <c r="E39" s="12" t="n">
        <f aca="false">C37</f>
        <v>0</v>
      </c>
      <c r="F39" s="3" t="str">
        <f aca="false">IF(AND(C39=0,E39=0),"-",IF(C39&gt;E39,"W",IF(C39&lt;E39,"L","T")))</f>
        <v>-</v>
      </c>
      <c r="G39" s="3" t="n">
        <f aca="false">IF(F39="W",1,IF(F39="T",0.5,0))</f>
        <v>0</v>
      </c>
      <c r="H39" s="3" t="n">
        <f aca="false">IF(F39="L",1,IF(F39="T",0.5,0))</f>
        <v>0</v>
      </c>
      <c r="I39" s="3" t="n">
        <f aca="false">C39</f>
        <v>0</v>
      </c>
    </row>
    <row r="40" customFormat="false" ht="15" hidden="false" customHeight="true" outlineLevel="0" collapsed="false">
      <c r="A40" s="3" t="n">
        <v>16</v>
      </c>
      <c r="B40" s="17" t="str">
        <f aca="false">VLOOKUP(A40,Roster!$A$3:$B$18,2,FALSE())</f>
        <v>Player 16</v>
      </c>
      <c r="C40" s="18"/>
      <c r="D40" s="12" t="n">
        <v>14</v>
      </c>
      <c r="E40" s="12" t="n">
        <f aca="false">C38</f>
        <v>0</v>
      </c>
      <c r="F40" s="3" t="str">
        <f aca="false">IF(AND(C40=0,E40=0),"-",IF(C40&gt;E40,"W",IF(C40&lt;E40,"L","T")))</f>
        <v>-</v>
      </c>
      <c r="G40" s="3" t="n">
        <f aca="false">IF(F40="W",1,IF(F40="T",0.5,0))</f>
        <v>0</v>
      </c>
      <c r="H40" s="3" t="n">
        <f aca="false">IF(F40="L",1,IF(F40="T",0.5,0))</f>
        <v>0</v>
      </c>
      <c r="I40" s="3" t="n">
        <f aca="false">C40</f>
        <v>0</v>
      </c>
    </row>
    <row r="42" customFormat="false" ht="15" hidden="false" customHeight="true" outlineLevel="0" collapsed="false">
      <c r="A42" s="20" t="s">
        <v>92</v>
      </c>
      <c r="B42" s="20"/>
      <c r="C42" s="20"/>
      <c r="D42" s="20"/>
      <c r="E42" s="20"/>
      <c r="F42" s="20"/>
      <c r="G42" s="20"/>
      <c r="H42" s="20"/>
      <c r="I42" s="20"/>
    </row>
    <row r="43" customFormat="false" ht="15" hidden="false" customHeight="true" outlineLevel="0" collapsed="false">
      <c r="A43" s="16" t="s">
        <v>1</v>
      </c>
      <c r="B43" s="16" t="s">
        <v>2</v>
      </c>
      <c r="C43" s="16" t="s">
        <v>63</v>
      </c>
      <c r="D43" s="16" t="s">
        <v>64</v>
      </c>
      <c r="E43" s="16" t="s">
        <v>65</v>
      </c>
      <c r="F43" s="16" t="s">
        <v>66</v>
      </c>
      <c r="G43" s="16" t="s">
        <v>88</v>
      </c>
      <c r="H43" s="16" t="s">
        <v>89</v>
      </c>
      <c r="I43" s="16" t="s">
        <v>90</v>
      </c>
    </row>
    <row r="44" customFormat="false" ht="15" hidden="false" customHeight="true" outlineLevel="0" collapsed="false">
      <c r="A44" s="3" t="n">
        <v>1</v>
      </c>
      <c r="B44" s="17" t="str">
        <f aca="false">VLOOKUP(A44,Roster!$A$3:$B$18,2,FALSE())</f>
        <v>Player 1</v>
      </c>
      <c r="C44" s="18"/>
      <c r="D44" s="12" t="n">
        <v>2</v>
      </c>
      <c r="E44" s="12" t="n">
        <f aca="false">C45</f>
        <v>0</v>
      </c>
      <c r="F44" s="3" t="str">
        <f aca="false">IF(AND(C44=0,E44=0),"-",IF(C44&gt;E44,"W",IF(C44&lt;E44,"L","T")))</f>
        <v>-</v>
      </c>
      <c r="G44" s="3" t="n">
        <f aca="false">IF(F44="W",1,IF(F44="T",0.5,0))</f>
        <v>0</v>
      </c>
      <c r="H44" s="3" t="n">
        <f aca="false">IF(F44="L",1,IF(F44="T",0.5,0))</f>
        <v>0</v>
      </c>
      <c r="I44" s="3" t="n">
        <f aca="false">C44</f>
        <v>0</v>
      </c>
    </row>
    <row r="45" customFormat="false" ht="15" hidden="false" customHeight="true" outlineLevel="0" collapsed="false">
      <c r="A45" s="3" t="n">
        <v>2</v>
      </c>
      <c r="B45" s="17" t="str">
        <f aca="false">VLOOKUP(A45,Roster!$A$3:$B$18,2,FALSE())</f>
        <v>Player 2</v>
      </c>
      <c r="C45" s="18"/>
      <c r="D45" s="12" t="n">
        <v>1</v>
      </c>
      <c r="E45" s="12" t="n">
        <f aca="false">C44</f>
        <v>0</v>
      </c>
      <c r="F45" s="3" t="str">
        <f aca="false">IF(AND(C45=0,E45=0),"-",IF(C45&gt;E45,"W",IF(C45&lt;E45,"L","T")))</f>
        <v>-</v>
      </c>
      <c r="G45" s="3" t="n">
        <f aca="false">IF(F45="W",1,IF(F45="T",0.5,0))</f>
        <v>0</v>
      </c>
      <c r="H45" s="3" t="n">
        <f aca="false">IF(F45="L",1,IF(F45="T",0.5,0))</f>
        <v>0</v>
      </c>
      <c r="I45" s="3" t="n">
        <f aca="false">C45</f>
        <v>0</v>
      </c>
    </row>
    <row r="46" customFormat="false" ht="15" hidden="false" customHeight="true" outlineLevel="0" collapsed="false">
      <c r="A46" s="3" t="n">
        <v>3</v>
      </c>
      <c r="B46" s="17" t="str">
        <f aca="false">VLOOKUP(A46,Roster!$A$3:$B$18,2,FALSE())</f>
        <v>Player 3</v>
      </c>
      <c r="C46" s="18"/>
      <c r="D46" s="12" t="n">
        <v>4</v>
      </c>
      <c r="E46" s="12" t="n">
        <f aca="false">C47</f>
        <v>0</v>
      </c>
      <c r="F46" s="3" t="str">
        <f aca="false">IF(AND(C46=0,E46=0),"-",IF(C46&gt;E46,"W",IF(C46&lt;E46,"L","T")))</f>
        <v>-</v>
      </c>
      <c r="G46" s="3" t="n">
        <f aca="false">IF(F46="W",1,IF(F46="T",0.5,0))</f>
        <v>0</v>
      </c>
      <c r="H46" s="3" t="n">
        <f aca="false">IF(F46="L",1,IF(F46="T",0.5,0))</f>
        <v>0</v>
      </c>
      <c r="I46" s="3" t="n">
        <f aca="false">C46</f>
        <v>0</v>
      </c>
    </row>
    <row r="47" customFormat="false" ht="15" hidden="false" customHeight="true" outlineLevel="0" collapsed="false">
      <c r="A47" s="3" t="n">
        <v>4</v>
      </c>
      <c r="B47" s="17" t="str">
        <f aca="false">VLOOKUP(A47,Roster!$A$3:$B$18,2,FALSE())</f>
        <v>Player 4</v>
      </c>
      <c r="C47" s="18"/>
      <c r="D47" s="12" t="n">
        <v>3</v>
      </c>
      <c r="E47" s="12" t="n">
        <f aca="false">C46</f>
        <v>0</v>
      </c>
      <c r="F47" s="3" t="str">
        <f aca="false">IF(AND(C47=0,E47=0),"-",IF(C47&gt;E47,"W",IF(C47&lt;E47,"L","T")))</f>
        <v>-</v>
      </c>
      <c r="G47" s="3" t="n">
        <f aca="false">IF(F47="W",1,IF(F47="T",0.5,0))</f>
        <v>0</v>
      </c>
      <c r="H47" s="3" t="n">
        <f aca="false">IF(F47="L",1,IF(F47="T",0.5,0))</f>
        <v>0</v>
      </c>
      <c r="I47" s="3" t="n">
        <f aca="false">C47</f>
        <v>0</v>
      </c>
    </row>
    <row r="48" customFormat="false" ht="15" hidden="false" customHeight="true" outlineLevel="0" collapsed="false">
      <c r="A48" s="3" t="n">
        <v>5</v>
      </c>
      <c r="B48" s="17" t="str">
        <f aca="false">VLOOKUP(A48,Roster!$A$3:$B$18,2,FALSE())</f>
        <v>Player 5</v>
      </c>
      <c r="C48" s="18"/>
      <c r="D48" s="12" t="n">
        <v>6</v>
      </c>
      <c r="E48" s="12" t="n">
        <f aca="false">C49</f>
        <v>0</v>
      </c>
      <c r="F48" s="3" t="str">
        <f aca="false">IF(AND(C48=0,E48=0),"-",IF(C48&gt;E48,"W",IF(C48&lt;E48,"L","T")))</f>
        <v>-</v>
      </c>
      <c r="G48" s="3" t="n">
        <f aca="false">IF(F48="W",1,IF(F48="T",0.5,0))</f>
        <v>0</v>
      </c>
      <c r="H48" s="3" t="n">
        <f aca="false">IF(F48="L",1,IF(F48="T",0.5,0))</f>
        <v>0</v>
      </c>
      <c r="I48" s="3" t="n">
        <f aca="false">C48</f>
        <v>0</v>
      </c>
    </row>
    <row r="49" customFormat="false" ht="15" hidden="false" customHeight="true" outlineLevel="0" collapsed="false">
      <c r="A49" s="3" t="n">
        <v>6</v>
      </c>
      <c r="B49" s="17" t="str">
        <f aca="false">VLOOKUP(A49,Roster!$A$3:$B$18,2,FALSE())</f>
        <v>Player 6</v>
      </c>
      <c r="C49" s="18"/>
      <c r="D49" s="12" t="n">
        <v>5</v>
      </c>
      <c r="E49" s="12" t="n">
        <f aca="false">C48</f>
        <v>0</v>
      </c>
      <c r="F49" s="3" t="str">
        <f aca="false">IF(AND(C49=0,E49=0),"-",IF(C49&gt;E49,"W",IF(C49&lt;E49,"L","T")))</f>
        <v>-</v>
      </c>
      <c r="G49" s="3" t="n">
        <f aca="false">IF(F49="W",1,IF(F49="T",0.5,0))</f>
        <v>0</v>
      </c>
      <c r="H49" s="3" t="n">
        <f aca="false">IF(F49="L",1,IF(F49="T",0.5,0))</f>
        <v>0</v>
      </c>
      <c r="I49" s="3" t="n">
        <f aca="false">C49</f>
        <v>0</v>
      </c>
    </row>
    <row r="50" customFormat="false" ht="15" hidden="false" customHeight="true" outlineLevel="0" collapsed="false">
      <c r="A50" s="3" t="n">
        <v>7</v>
      </c>
      <c r="B50" s="17" t="str">
        <f aca="false">VLOOKUP(A50,Roster!$A$3:$B$18,2,FALSE())</f>
        <v>Player 7</v>
      </c>
      <c r="C50" s="18"/>
      <c r="D50" s="12" t="n">
        <v>8</v>
      </c>
      <c r="E50" s="12" t="n">
        <f aca="false">C51</f>
        <v>0</v>
      </c>
      <c r="F50" s="3" t="str">
        <f aca="false">IF(AND(C50=0,E50=0),"-",IF(C50&gt;E50,"W",IF(C50&lt;E50,"L","T")))</f>
        <v>-</v>
      </c>
      <c r="G50" s="3" t="n">
        <f aca="false">IF(F50="W",1,IF(F50="T",0.5,0))</f>
        <v>0</v>
      </c>
      <c r="H50" s="3" t="n">
        <f aca="false">IF(F50="L",1,IF(F50="T",0.5,0))</f>
        <v>0</v>
      </c>
      <c r="I50" s="3" t="n">
        <f aca="false">C50</f>
        <v>0</v>
      </c>
    </row>
    <row r="51" customFormat="false" ht="15" hidden="false" customHeight="true" outlineLevel="0" collapsed="false">
      <c r="A51" s="3" t="n">
        <v>8</v>
      </c>
      <c r="B51" s="17" t="str">
        <f aca="false">VLOOKUP(A51,Roster!$A$3:$B$18,2,FALSE())</f>
        <v>Player 8</v>
      </c>
      <c r="C51" s="18"/>
      <c r="D51" s="12" t="n">
        <v>7</v>
      </c>
      <c r="E51" s="12" t="n">
        <f aca="false">C50</f>
        <v>0</v>
      </c>
      <c r="F51" s="3" t="str">
        <f aca="false">IF(AND(C51=0,E51=0),"-",IF(C51&gt;E51,"W",IF(C51&lt;E51,"L","T")))</f>
        <v>-</v>
      </c>
      <c r="G51" s="3" t="n">
        <f aca="false">IF(F51="W",1,IF(F51="T",0.5,0))</f>
        <v>0</v>
      </c>
      <c r="H51" s="3" t="n">
        <f aca="false">IF(F51="L",1,IF(F51="T",0.5,0))</f>
        <v>0</v>
      </c>
      <c r="I51" s="3" t="n">
        <f aca="false">C51</f>
        <v>0</v>
      </c>
    </row>
    <row r="52" customFormat="false" ht="15" hidden="false" customHeight="true" outlineLevel="0" collapsed="false">
      <c r="A52" s="3" t="n">
        <v>9</v>
      </c>
      <c r="B52" s="17" t="str">
        <f aca="false">VLOOKUP(A52,Roster!$A$3:$B$18,2,FALSE())</f>
        <v>Player 9</v>
      </c>
      <c r="C52" s="18"/>
      <c r="D52" s="12" t="n">
        <v>10</v>
      </c>
      <c r="E52" s="12" t="n">
        <f aca="false">C53</f>
        <v>0</v>
      </c>
      <c r="F52" s="3" t="str">
        <f aca="false">IF(AND(C52=0,E52=0),"-",IF(C52&gt;E52,"W",IF(C52&lt;E52,"L","T")))</f>
        <v>-</v>
      </c>
      <c r="G52" s="3" t="n">
        <f aca="false">IF(F52="W",1,IF(F52="T",0.5,0))</f>
        <v>0</v>
      </c>
      <c r="H52" s="3" t="n">
        <f aca="false">IF(F52="L",1,IF(F52="T",0.5,0))</f>
        <v>0</v>
      </c>
      <c r="I52" s="3" t="n">
        <f aca="false">C52</f>
        <v>0</v>
      </c>
    </row>
    <row r="53" customFormat="false" ht="15" hidden="false" customHeight="true" outlineLevel="0" collapsed="false">
      <c r="A53" s="3" t="n">
        <v>10</v>
      </c>
      <c r="B53" s="17" t="str">
        <f aca="false">VLOOKUP(A53,Roster!$A$3:$B$18,2,FALSE())</f>
        <v>Player 10</v>
      </c>
      <c r="C53" s="18"/>
      <c r="D53" s="12" t="n">
        <v>9</v>
      </c>
      <c r="E53" s="12" t="n">
        <f aca="false">C52</f>
        <v>0</v>
      </c>
      <c r="F53" s="3" t="str">
        <f aca="false">IF(AND(C53=0,E53=0),"-",IF(C53&gt;E53,"W",IF(C53&lt;E53,"L","T")))</f>
        <v>-</v>
      </c>
      <c r="G53" s="3" t="n">
        <f aca="false">IF(F53="W",1,IF(F53="T",0.5,0))</f>
        <v>0</v>
      </c>
      <c r="H53" s="3" t="n">
        <f aca="false">IF(F53="L",1,IF(F53="T",0.5,0))</f>
        <v>0</v>
      </c>
      <c r="I53" s="3" t="n">
        <f aca="false">C53</f>
        <v>0</v>
      </c>
    </row>
    <row r="54" customFormat="false" ht="15" hidden="false" customHeight="true" outlineLevel="0" collapsed="false">
      <c r="A54" s="3" t="n">
        <v>11</v>
      </c>
      <c r="B54" s="17" t="str">
        <f aca="false">VLOOKUP(A54,Roster!$A$3:$B$18,2,FALSE())</f>
        <v>Player 11</v>
      </c>
      <c r="C54" s="18"/>
      <c r="D54" s="12" t="n">
        <v>12</v>
      </c>
      <c r="E54" s="12" t="n">
        <f aca="false">C55</f>
        <v>0</v>
      </c>
      <c r="F54" s="3" t="str">
        <f aca="false">IF(AND(C54=0,E54=0),"-",IF(C54&gt;E54,"W",IF(C54&lt;E54,"L","T")))</f>
        <v>-</v>
      </c>
      <c r="G54" s="3" t="n">
        <f aca="false">IF(F54="W",1,IF(F54="T",0.5,0))</f>
        <v>0</v>
      </c>
      <c r="H54" s="3" t="n">
        <f aca="false">IF(F54="L",1,IF(F54="T",0.5,0))</f>
        <v>0</v>
      </c>
      <c r="I54" s="3" t="n">
        <f aca="false">C54</f>
        <v>0</v>
      </c>
    </row>
    <row r="55" customFormat="false" ht="15" hidden="false" customHeight="true" outlineLevel="0" collapsed="false">
      <c r="A55" s="3" t="n">
        <v>12</v>
      </c>
      <c r="B55" s="17" t="str">
        <f aca="false">VLOOKUP(A55,Roster!$A$3:$B$18,2,FALSE())</f>
        <v>Player 12</v>
      </c>
      <c r="C55" s="18"/>
      <c r="D55" s="12" t="n">
        <v>11</v>
      </c>
      <c r="E55" s="12" t="n">
        <f aca="false">C54</f>
        <v>0</v>
      </c>
      <c r="F55" s="3" t="str">
        <f aca="false">IF(AND(C55=0,E55=0),"-",IF(C55&gt;E55,"W",IF(C55&lt;E55,"L","T")))</f>
        <v>-</v>
      </c>
      <c r="G55" s="3" t="n">
        <f aca="false">IF(F55="W",1,IF(F55="T",0.5,0))</f>
        <v>0</v>
      </c>
      <c r="H55" s="3" t="n">
        <f aca="false">IF(F55="L",1,IF(F55="T",0.5,0))</f>
        <v>0</v>
      </c>
      <c r="I55" s="3" t="n">
        <f aca="false">C55</f>
        <v>0</v>
      </c>
    </row>
    <row r="56" customFormat="false" ht="15" hidden="false" customHeight="true" outlineLevel="0" collapsed="false">
      <c r="A56" s="3" t="n">
        <v>13</v>
      </c>
      <c r="B56" s="17" t="str">
        <f aca="false">VLOOKUP(A56,Roster!$A$3:$B$18,2,FALSE())</f>
        <v>Player 13</v>
      </c>
      <c r="C56" s="18"/>
      <c r="D56" s="12" t="n">
        <v>14</v>
      </c>
      <c r="E56" s="12" t="n">
        <f aca="false">C57</f>
        <v>0</v>
      </c>
      <c r="F56" s="3" t="str">
        <f aca="false">IF(AND(C56=0,E56=0),"-",IF(C56&gt;E56,"W",IF(C56&lt;E56,"L","T")))</f>
        <v>-</v>
      </c>
      <c r="G56" s="3" t="n">
        <f aca="false">IF(F56="W",1,IF(F56="T",0.5,0))</f>
        <v>0</v>
      </c>
      <c r="H56" s="3" t="n">
        <f aca="false">IF(F56="L",1,IF(F56="T",0.5,0))</f>
        <v>0</v>
      </c>
      <c r="I56" s="3" t="n">
        <f aca="false">C56</f>
        <v>0</v>
      </c>
    </row>
    <row r="57" customFormat="false" ht="15" hidden="false" customHeight="true" outlineLevel="0" collapsed="false">
      <c r="A57" s="3" t="n">
        <v>14</v>
      </c>
      <c r="B57" s="17" t="str">
        <f aca="false">VLOOKUP(A57,Roster!$A$3:$B$18,2,FALSE())</f>
        <v>Player 14</v>
      </c>
      <c r="C57" s="18"/>
      <c r="D57" s="12" t="n">
        <v>13</v>
      </c>
      <c r="E57" s="12" t="n">
        <f aca="false">C56</f>
        <v>0</v>
      </c>
      <c r="F57" s="3" t="str">
        <f aca="false">IF(AND(C57=0,E57=0),"-",IF(C57&gt;E57,"W",IF(C57&lt;E57,"L","T")))</f>
        <v>-</v>
      </c>
      <c r="G57" s="3" t="n">
        <f aca="false">IF(F57="W",1,IF(F57="T",0.5,0))</f>
        <v>0</v>
      </c>
      <c r="H57" s="3" t="n">
        <f aca="false">IF(F57="L",1,IF(F57="T",0.5,0))</f>
        <v>0</v>
      </c>
      <c r="I57" s="3" t="n">
        <f aca="false">C57</f>
        <v>0</v>
      </c>
    </row>
    <row r="58" customFormat="false" ht="15" hidden="false" customHeight="true" outlineLevel="0" collapsed="false">
      <c r="A58" s="3" t="n">
        <v>15</v>
      </c>
      <c r="B58" s="17" t="str">
        <f aca="false">VLOOKUP(A58,Roster!$A$3:$B$18,2,FALSE())</f>
        <v>Player 15</v>
      </c>
      <c r="C58" s="18"/>
      <c r="D58" s="12" t="n">
        <v>16</v>
      </c>
      <c r="E58" s="12" t="n">
        <f aca="false">C59</f>
        <v>0</v>
      </c>
      <c r="F58" s="3" t="str">
        <f aca="false">IF(AND(C58=0,E58=0),"-",IF(C58&gt;E58,"W",IF(C58&lt;E58,"L","T")))</f>
        <v>-</v>
      </c>
      <c r="G58" s="3" t="n">
        <f aca="false">IF(F58="W",1,IF(F58="T",0.5,0))</f>
        <v>0</v>
      </c>
      <c r="H58" s="3" t="n">
        <f aca="false">IF(F58="L",1,IF(F58="T",0.5,0))</f>
        <v>0</v>
      </c>
      <c r="I58" s="3" t="n">
        <f aca="false">C58</f>
        <v>0</v>
      </c>
    </row>
    <row r="59" customFormat="false" ht="15" hidden="false" customHeight="true" outlineLevel="0" collapsed="false">
      <c r="A59" s="3" t="n">
        <v>16</v>
      </c>
      <c r="B59" s="17" t="str">
        <f aca="false">VLOOKUP(A59,Roster!$A$3:$B$18,2,FALSE())</f>
        <v>Player 16</v>
      </c>
      <c r="C59" s="18"/>
      <c r="D59" s="12" t="n">
        <v>15</v>
      </c>
      <c r="E59" s="12" t="n">
        <f aca="false">C58</f>
        <v>0</v>
      </c>
      <c r="F59" s="3" t="str">
        <f aca="false">IF(AND(C59=0,E59=0),"-",IF(C59&gt;E59,"W",IF(C59&lt;E59,"L","T")))</f>
        <v>-</v>
      </c>
      <c r="G59" s="3" t="n">
        <f aca="false">IF(F59="W",1,IF(F59="T",0.5,0))</f>
        <v>0</v>
      </c>
      <c r="H59" s="3" t="n">
        <f aca="false">IF(F59="L",1,IF(F59="T",0.5,0))</f>
        <v>0</v>
      </c>
      <c r="I59" s="3" t="n">
        <f aca="false">C59</f>
        <v>0</v>
      </c>
    </row>
    <row r="61" customFormat="false" ht="15" hidden="false" customHeight="true" outlineLevel="0" collapsed="false">
      <c r="A61" s="20" t="s">
        <v>93</v>
      </c>
      <c r="B61" s="20"/>
      <c r="C61" s="20"/>
      <c r="D61" s="20"/>
      <c r="E61" s="20"/>
      <c r="F61" s="20"/>
      <c r="G61" s="20"/>
      <c r="H61" s="20"/>
      <c r="I61" s="20"/>
    </row>
    <row r="62" customFormat="false" ht="15" hidden="false" customHeight="true" outlineLevel="0" collapsed="false">
      <c r="A62" s="16" t="s">
        <v>1</v>
      </c>
      <c r="B62" s="16" t="s">
        <v>2</v>
      </c>
      <c r="C62" s="16" t="s">
        <v>63</v>
      </c>
      <c r="D62" s="16" t="s">
        <v>64</v>
      </c>
      <c r="E62" s="16" t="s">
        <v>65</v>
      </c>
      <c r="F62" s="16" t="s">
        <v>66</v>
      </c>
      <c r="G62" s="16" t="s">
        <v>88</v>
      </c>
      <c r="H62" s="16" t="s">
        <v>89</v>
      </c>
      <c r="I62" s="16" t="s">
        <v>90</v>
      </c>
    </row>
    <row r="63" customFormat="false" ht="15" hidden="false" customHeight="true" outlineLevel="0" collapsed="false">
      <c r="A63" s="3" t="n">
        <v>1</v>
      </c>
      <c r="B63" s="17" t="str">
        <f aca="false">VLOOKUP(A63,Roster!$A$3:$B$18,2,FALSE())</f>
        <v>Player 1</v>
      </c>
      <c r="C63" s="18"/>
      <c r="D63" s="12" t="n">
        <v>4</v>
      </c>
      <c r="E63" s="12" t="n">
        <f aca="false">C66</f>
        <v>0</v>
      </c>
      <c r="F63" s="3" t="str">
        <f aca="false">IF(AND(C63=0,E63=0),"-",IF(C63&gt;E63,"W",IF(C63&lt;E63,"L","T")))</f>
        <v>-</v>
      </c>
      <c r="G63" s="3" t="n">
        <f aca="false">IF(F63="W",1,IF(F63="T",0.5,0))</f>
        <v>0</v>
      </c>
      <c r="H63" s="3" t="n">
        <f aca="false">IF(F63="L",1,IF(F63="T",0.5,0))</f>
        <v>0</v>
      </c>
      <c r="I63" s="3" t="n">
        <f aca="false">C63</f>
        <v>0</v>
      </c>
    </row>
    <row r="64" customFormat="false" ht="15" hidden="false" customHeight="true" outlineLevel="0" collapsed="false">
      <c r="A64" s="3" t="n">
        <v>2</v>
      </c>
      <c r="B64" s="17" t="str">
        <f aca="false">VLOOKUP(A64,Roster!$A$3:$B$18,2,FALSE())</f>
        <v>Player 2</v>
      </c>
      <c r="C64" s="18"/>
      <c r="D64" s="12" t="n">
        <v>3</v>
      </c>
      <c r="E64" s="12" t="n">
        <f aca="false">C65</f>
        <v>0</v>
      </c>
      <c r="F64" s="3" t="str">
        <f aca="false">IF(AND(C64=0,E64=0),"-",IF(C64&gt;E64,"W",IF(C64&lt;E64,"L","T")))</f>
        <v>-</v>
      </c>
      <c r="G64" s="3" t="n">
        <f aca="false">IF(F64="W",1,IF(F64="T",0.5,0))</f>
        <v>0</v>
      </c>
      <c r="H64" s="3" t="n">
        <f aca="false">IF(F64="L",1,IF(F64="T",0.5,0))</f>
        <v>0</v>
      </c>
      <c r="I64" s="3" t="n">
        <f aca="false">C64</f>
        <v>0</v>
      </c>
    </row>
    <row r="65" customFormat="false" ht="15" hidden="false" customHeight="true" outlineLevel="0" collapsed="false">
      <c r="A65" s="3" t="n">
        <v>3</v>
      </c>
      <c r="B65" s="17" t="str">
        <f aca="false">VLOOKUP(A65,Roster!$A$3:$B$18,2,FALSE())</f>
        <v>Player 3</v>
      </c>
      <c r="C65" s="18"/>
      <c r="D65" s="12" t="n">
        <v>2</v>
      </c>
      <c r="E65" s="12" t="n">
        <f aca="false">C64</f>
        <v>0</v>
      </c>
      <c r="F65" s="3" t="str">
        <f aca="false">IF(AND(C65=0,E65=0),"-",IF(C65&gt;E65,"W",IF(C65&lt;E65,"L","T")))</f>
        <v>-</v>
      </c>
      <c r="G65" s="3" t="n">
        <f aca="false">IF(F65="W",1,IF(F65="T",0.5,0))</f>
        <v>0</v>
      </c>
      <c r="H65" s="3" t="n">
        <f aca="false">IF(F65="L",1,IF(F65="T",0.5,0))</f>
        <v>0</v>
      </c>
      <c r="I65" s="3" t="n">
        <f aca="false">C65</f>
        <v>0</v>
      </c>
    </row>
    <row r="66" customFormat="false" ht="15" hidden="false" customHeight="true" outlineLevel="0" collapsed="false">
      <c r="A66" s="3" t="n">
        <v>4</v>
      </c>
      <c r="B66" s="17" t="str">
        <f aca="false">VLOOKUP(A66,Roster!$A$3:$B$18,2,FALSE())</f>
        <v>Player 4</v>
      </c>
      <c r="C66" s="18"/>
      <c r="D66" s="12" t="n">
        <v>1</v>
      </c>
      <c r="E66" s="12" t="n">
        <f aca="false">C63</f>
        <v>0</v>
      </c>
      <c r="F66" s="3" t="str">
        <f aca="false">IF(AND(C66=0,E66=0),"-",IF(C66&gt;E66,"W",IF(C66&lt;E66,"L","T")))</f>
        <v>-</v>
      </c>
      <c r="G66" s="3" t="n">
        <f aca="false">IF(F66="W",1,IF(F66="T",0.5,0))</f>
        <v>0</v>
      </c>
      <c r="H66" s="3" t="n">
        <f aca="false">IF(F66="L",1,IF(F66="T",0.5,0))</f>
        <v>0</v>
      </c>
      <c r="I66" s="3" t="n">
        <f aca="false">C66</f>
        <v>0</v>
      </c>
    </row>
    <row r="67" customFormat="false" ht="15" hidden="false" customHeight="true" outlineLevel="0" collapsed="false">
      <c r="A67" s="3" t="n">
        <v>5</v>
      </c>
      <c r="B67" s="17" t="str">
        <f aca="false">VLOOKUP(A67,Roster!$A$3:$B$18,2,FALSE())</f>
        <v>Player 5</v>
      </c>
      <c r="C67" s="18"/>
      <c r="D67" s="12" t="n">
        <v>8</v>
      </c>
      <c r="E67" s="12" t="n">
        <f aca="false">C70</f>
        <v>0</v>
      </c>
      <c r="F67" s="3" t="str">
        <f aca="false">IF(AND(C67=0,E67=0),"-",IF(C67&gt;E67,"W",IF(C67&lt;E67,"L","T")))</f>
        <v>-</v>
      </c>
      <c r="G67" s="3" t="n">
        <f aca="false">IF(F67="W",1,IF(F67="T",0.5,0))</f>
        <v>0</v>
      </c>
      <c r="H67" s="3" t="n">
        <f aca="false">IF(F67="L",1,IF(F67="T",0.5,0))</f>
        <v>0</v>
      </c>
      <c r="I67" s="3" t="n">
        <f aca="false">C67</f>
        <v>0</v>
      </c>
    </row>
    <row r="68" customFormat="false" ht="15" hidden="false" customHeight="true" outlineLevel="0" collapsed="false">
      <c r="A68" s="3" t="n">
        <v>6</v>
      </c>
      <c r="B68" s="17" t="str">
        <f aca="false">VLOOKUP(A68,Roster!$A$3:$B$18,2,FALSE())</f>
        <v>Player 6</v>
      </c>
      <c r="C68" s="18"/>
      <c r="D68" s="12" t="n">
        <v>7</v>
      </c>
      <c r="E68" s="12" t="n">
        <f aca="false">C69</f>
        <v>0</v>
      </c>
      <c r="F68" s="3" t="str">
        <f aca="false">IF(AND(C68=0,E68=0),"-",IF(C68&gt;E68,"W",IF(C68&lt;E68,"L","T")))</f>
        <v>-</v>
      </c>
      <c r="G68" s="3" t="n">
        <f aca="false">IF(F68="W",1,IF(F68="T",0.5,0))</f>
        <v>0</v>
      </c>
      <c r="H68" s="3" t="n">
        <f aca="false">IF(F68="L",1,IF(F68="T",0.5,0))</f>
        <v>0</v>
      </c>
      <c r="I68" s="3" t="n">
        <f aca="false">C68</f>
        <v>0</v>
      </c>
    </row>
    <row r="69" customFormat="false" ht="15" hidden="false" customHeight="true" outlineLevel="0" collapsed="false">
      <c r="A69" s="3" t="n">
        <v>7</v>
      </c>
      <c r="B69" s="17" t="str">
        <f aca="false">VLOOKUP(A69,Roster!$A$3:$B$18,2,FALSE())</f>
        <v>Player 7</v>
      </c>
      <c r="C69" s="18"/>
      <c r="D69" s="12" t="n">
        <v>6</v>
      </c>
      <c r="E69" s="12" t="n">
        <f aca="false">C68</f>
        <v>0</v>
      </c>
      <c r="F69" s="3" t="str">
        <f aca="false">IF(AND(C69=0,E69=0),"-",IF(C69&gt;E69,"W",IF(C69&lt;E69,"L","T")))</f>
        <v>-</v>
      </c>
      <c r="G69" s="3" t="n">
        <f aca="false">IF(F69="W",1,IF(F69="T",0.5,0))</f>
        <v>0</v>
      </c>
      <c r="H69" s="3" t="n">
        <f aca="false">IF(F69="L",1,IF(F69="T",0.5,0))</f>
        <v>0</v>
      </c>
      <c r="I69" s="3" t="n">
        <f aca="false">C69</f>
        <v>0</v>
      </c>
    </row>
    <row r="70" customFormat="false" ht="15" hidden="false" customHeight="true" outlineLevel="0" collapsed="false">
      <c r="A70" s="3" t="n">
        <v>8</v>
      </c>
      <c r="B70" s="17" t="str">
        <f aca="false">VLOOKUP(A70,Roster!$A$3:$B$18,2,FALSE())</f>
        <v>Player 8</v>
      </c>
      <c r="C70" s="18"/>
      <c r="D70" s="12" t="n">
        <v>5</v>
      </c>
      <c r="E70" s="12" t="n">
        <f aca="false">C67</f>
        <v>0</v>
      </c>
      <c r="F70" s="3" t="str">
        <f aca="false">IF(AND(C70=0,E70=0),"-",IF(C70&gt;E70,"W",IF(C70&lt;E70,"L","T")))</f>
        <v>-</v>
      </c>
      <c r="G70" s="3" t="n">
        <f aca="false">IF(F70="W",1,IF(F70="T",0.5,0))</f>
        <v>0</v>
      </c>
      <c r="H70" s="3" t="n">
        <f aca="false">IF(F70="L",1,IF(F70="T",0.5,0))</f>
        <v>0</v>
      </c>
      <c r="I70" s="3" t="n">
        <f aca="false">C70</f>
        <v>0</v>
      </c>
    </row>
    <row r="71" customFormat="false" ht="15" hidden="false" customHeight="true" outlineLevel="0" collapsed="false">
      <c r="A71" s="3" t="n">
        <v>9</v>
      </c>
      <c r="B71" s="17" t="str">
        <f aca="false">VLOOKUP(A71,Roster!$A$3:$B$18,2,FALSE())</f>
        <v>Player 9</v>
      </c>
      <c r="C71" s="18"/>
      <c r="D71" s="12" t="n">
        <v>12</v>
      </c>
      <c r="E71" s="12" t="n">
        <f aca="false">C74</f>
        <v>0</v>
      </c>
      <c r="F71" s="3" t="str">
        <f aca="false">IF(AND(C71=0,E71=0),"-",IF(C71&gt;E71,"W",IF(C71&lt;E71,"L","T")))</f>
        <v>-</v>
      </c>
      <c r="G71" s="3" t="n">
        <f aca="false">IF(F71="W",1,IF(F71="T",0.5,0))</f>
        <v>0</v>
      </c>
      <c r="H71" s="3" t="n">
        <f aca="false">IF(F71="L",1,IF(F71="T",0.5,0))</f>
        <v>0</v>
      </c>
      <c r="I71" s="3" t="n">
        <f aca="false">C71</f>
        <v>0</v>
      </c>
    </row>
    <row r="72" customFormat="false" ht="15" hidden="false" customHeight="true" outlineLevel="0" collapsed="false">
      <c r="A72" s="3" t="n">
        <v>10</v>
      </c>
      <c r="B72" s="17" t="str">
        <f aca="false">VLOOKUP(A72,Roster!$A$3:$B$18,2,FALSE())</f>
        <v>Player 10</v>
      </c>
      <c r="C72" s="18"/>
      <c r="D72" s="12" t="n">
        <v>11</v>
      </c>
      <c r="E72" s="12" t="n">
        <f aca="false">C73</f>
        <v>0</v>
      </c>
      <c r="F72" s="3" t="str">
        <f aca="false">IF(AND(C72=0,E72=0),"-",IF(C72&gt;E72,"W",IF(C72&lt;E72,"L","T")))</f>
        <v>-</v>
      </c>
      <c r="G72" s="3" t="n">
        <f aca="false">IF(F72="W",1,IF(F72="T",0.5,0))</f>
        <v>0</v>
      </c>
      <c r="H72" s="3" t="n">
        <f aca="false">IF(F72="L",1,IF(F72="T",0.5,0))</f>
        <v>0</v>
      </c>
      <c r="I72" s="3" t="n">
        <f aca="false">C72</f>
        <v>0</v>
      </c>
    </row>
    <row r="73" customFormat="false" ht="15" hidden="false" customHeight="true" outlineLevel="0" collapsed="false">
      <c r="A73" s="3" t="n">
        <v>11</v>
      </c>
      <c r="B73" s="17" t="str">
        <f aca="false">VLOOKUP(A73,Roster!$A$3:$B$18,2,FALSE())</f>
        <v>Player 11</v>
      </c>
      <c r="C73" s="18"/>
      <c r="D73" s="12" t="n">
        <v>10</v>
      </c>
      <c r="E73" s="12" t="n">
        <f aca="false">C72</f>
        <v>0</v>
      </c>
      <c r="F73" s="3" t="str">
        <f aca="false">IF(AND(C73=0,E73=0),"-",IF(C73&gt;E73,"W",IF(C73&lt;E73,"L","T")))</f>
        <v>-</v>
      </c>
      <c r="G73" s="3" t="n">
        <f aca="false">IF(F73="W",1,IF(F73="T",0.5,0))</f>
        <v>0</v>
      </c>
      <c r="H73" s="3" t="n">
        <f aca="false">IF(F73="L",1,IF(F73="T",0.5,0))</f>
        <v>0</v>
      </c>
      <c r="I73" s="3" t="n">
        <f aca="false">C73</f>
        <v>0</v>
      </c>
    </row>
    <row r="74" customFormat="false" ht="15" hidden="false" customHeight="true" outlineLevel="0" collapsed="false">
      <c r="A74" s="3" t="n">
        <v>12</v>
      </c>
      <c r="B74" s="17" t="str">
        <f aca="false">VLOOKUP(A74,Roster!$A$3:$B$18,2,FALSE())</f>
        <v>Player 12</v>
      </c>
      <c r="C74" s="18"/>
      <c r="D74" s="12" t="n">
        <v>9</v>
      </c>
      <c r="E74" s="12" t="n">
        <f aca="false">C71</f>
        <v>0</v>
      </c>
      <c r="F74" s="3" t="str">
        <f aca="false">IF(AND(C74=0,E74=0),"-",IF(C74&gt;E74,"W",IF(C74&lt;E74,"L","T")))</f>
        <v>-</v>
      </c>
      <c r="G74" s="3" t="n">
        <f aca="false">IF(F74="W",1,IF(F74="T",0.5,0))</f>
        <v>0</v>
      </c>
      <c r="H74" s="3" t="n">
        <f aca="false">IF(F74="L",1,IF(F74="T",0.5,0))</f>
        <v>0</v>
      </c>
      <c r="I74" s="3" t="n">
        <f aca="false">C74</f>
        <v>0</v>
      </c>
    </row>
    <row r="75" customFormat="false" ht="15" hidden="false" customHeight="true" outlineLevel="0" collapsed="false">
      <c r="A75" s="3" t="n">
        <v>13</v>
      </c>
      <c r="B75" s="17" t="str">
        <f aca="false">VLOOKUP(A75,Roster!$A$3:$B$18,2,FALSE())</f>
        <v>Player 13</v>
      </c>
      <c r="C75" s="18"/>
      <c r="D75" s="12" t="n">
        <v>16</v>
      </c>
      <c r="E75" s="12" t="n">
        <f aca="false">C78</f>
        <v>0</v>
      </c>
      <c r="F75" s="3" t="str">
        <f aca="false">IF(AND(C75=0,E75=0),"-",IF(C75&gt;E75,"W",IF(C75&lt;E75,"L","T")))</f>
        <v>-</v>
      </c>
      <c r="G75" s="3" t="n">
        <f aca="false">IF(F75="W",1,IF(F75="T",0.5,0))</f>
        <v>0</v>
      </c>
      <c r="H75" s="3" t="n">
        <f aca="false">IF(F75="L",1,IF(F75="T",0.5,0))</f>
        <v>0</v>
      </c>
      <c r="I75" s="3" t="n">
        <f aca="false">C75</f>
        <v>0</v>
      </c>
    </row>
    <row r="76" customFormat="false" ht="15" hidden="false" customHeight="true" outlineLevel="0" collapsed="false">
      <c r="A76" s="3" t="n">
        <v>14</v>
      </c>
      <c r="B76" s="17" t="str">
        <f aca="false">VLOOKUP(A76,Roster!$A$3:$B$18,2,FALSE())</f>
        <v>Player 14</v>
      </c>
      <c r="C76" s="18"/>
      <c r="D76" s="12" t="n">
        <v>15</v>
      </c>
      <c r="E76" s="12" t="n">
        <f aca="false">C77</f>
        <v>0</v>
      </c>
      <c r="F76" s="3" t="str">
        <f aca="false">IF(AND(C76=0,E76=0),"-",IF(C76&gt;E76,"W",IF(C76&lt;E76,"L","T")))</f>
        <v>-</v>
      </c>
      <c r="G76" s="3" t="n">
        <f aca="false">IF(F76="W",1,IF(F76="T",0.5,0))</f>
        <v>0</v>
      </c>
      <c r="H76" s="3" t="n">
        <f aca="false">IF(F76="L",1,IF(F76="T",0.5,0))</f>
        <v>0</v>
      </c>
      <c r="I76" s="3" t="n">
        <f aca="false">C76</f>
        <v>0</v>
      </c>
    </row>
    <row r="77" customFormat="false" ht="15" hidden="false" customHeight="true" outlineLevel="0" collapsed="false">
      <c r="A77" s="3" t="n">
        <v>15</v>
      </c>
      <c r="B77" s="17" t="str">
        <f aca="false">VLOOKUP(A77,Roster!$A$3:$B$18,2,FALSE())</f>
        <v>Player 15</v>
      </c>
      <c r="C77" s="18"/>
      <c r="D77" s="12" t="n">
        <v>14</v>
      </c>
      <c r="E77" s="12" t="n">
        <f aca="false">C76</f>
        <v>0</v>
      </c>
      <c r="F77" s="3" t="str">
        <f aca="false">IF(AND(C77=0,E77=0),"-",IF(C77&gt;E77,"W",IF(C77&lt;E77,"L","T")))</f>
        <v>-</v>
      </c>
      <c r="G77" s="3" t="n">
        <f aca="false">IF(F77="W",1,IF(F77="T",0.5,0))</f>
        <v>0</v>
      </c>
      <c r="H77" s="3" t="n">
        <f aca="false">IF(F77="L",1,IF(F77="T",0.5,0))</f>
        <v>0</v>
      </c>
      <c r="I77" s="3" t="n">
        <f aca="false">C77</f>
        <v>0</v>
      </c>
    </row>
    <row r="78" customFormat="false" ht="15" hidden="false" customHeight="true" outlineLevel="0" collapsed="false">
      <c r="A78" s="3" t="n">
        <v>16</v>
      </c>
      <c r="B78" s="17" t="str">
        <f aca="false">VLOOKUP(A78,Roster!$A$3:$B$18,2,FALSE())</f>
        <v>Player 16</v>
      </c>
      <c r="C78" s="18"/>
      <c r="D78" s="12" t="n">
        <v>13</v>
      </c>
      <c r="E78" s="12" t="n">
        <f aca="false">C75</f>
        <v>0</v>
      </c>
      <c r="F78" s="3" t="str">
        <f aca="false">IF(AND(C78=0,E78=0),"-",IF(C78&gt;E78,"W",IF(C78&lt;E78,"L","T")))</f>
        <v>-</v>
      </c>
      <c r="G78" s="3" t="n">
        <f aca="false">IF(F78="W",1,IF(F78="T",0.5,0))</f>
        <v>0</v>
      </c>
      <c r="H78" s="3" t="n">
        <f aca="false">IF(F78="L",1,IF(F78="T",0.5,0))</f>
        <v>0</v>
      </c>
      <c r="I78" s="3" t="n">
        <f aca="false">C78</f>
        <v>0</v>
      </c>
    </row>
    <row r="80" customFormat="false" ht="15" hidden="false" customHeight="true" outlineLevel="0" collapsed="false">
      <c r="A80" s="20" t="s">
        <v>94</v>
      </c>
      <c r="B80" s="20"/>
      <c r="C80" s="20"/>
      <c r="D80" s="20"/>
      <c r="E80" s="20"/>
      <c r="F80" s="20"/>
      <c r="G80" s="20"/>
      <c r="H80" s="20"/>
      <c r="I80" s="20"/>
    </row>
    <row r="81" customFormat="false" ht="15" hidden="false" customHeight="true" outlineLevel="0" collapsed="false">
      <c r="A81" s="16" t="s">
        <v>1</v>
      </c>
      <c r="B81" s="16" t="s">
        <v>2</v>
      </c>
      <c r="C81" s="16" t="s">
        <v>63</v>
      </c>
      <c r="D81" s="16" t="s">
        <v>64</v>
      </c>
      <c r="E81" s="16" t="s">
        <v>65</v>
      </c>
      <c r="F81" s="16" t="s">
        <v>66</v>
      </c>
      <c r="G81" s="16" t="s">
        <v>88</v>
      </c>
      <c r="H81" s="16" t="s">
        <v>89</v>
      </c>
      <c r="I81" s="16" t="s">
        <v>90</v>
      </c>
    </row>
    <row r="82" customFormat="false" ht="15" hidden="false" customHeight="true" outlineLevel="0" collapsed="false">
      <c r="A82" s="3" t="n">
        <v>1</v>
      </c>
      <c r="B82" s="17" t="str">
        <f aca="false">VLOOKUP(A82,Roster!$A$3:$B$18,2,FALSE())</f>
        <v>Player 1</v>
      </c>
      <c r="C82" s="18"/>
      <c r="D82" s="12" t="n">
        <v>3</v>
      </c>
      <c r="E82" s="12" t="n">
        <f aca="false">C84</f>
        <v>0</v>
      </c>
      <c r="F82" s="3" t="str">
        <f aca="false">IF(AND(C82=0,E82=0),"-",IF(C82&gt;E82,"W",IF(C82&lt;E82,"L","T")))</f>
        <v>-</v>
      </c>
      <c r="G82" s="3" t="n">
        <f aca="false">IF(F82="W",1,IF(F82="T",0.5,0))</f>
        <v>0</v>
      </c>
      <c r="H82" s="3" t="n">
        <f aca="false">IF(F82="L",1,IF(F82="T",0.5,0))</f>
        <v>0</v>
      </c>
      <c r="I82" s="3" t="n">
        <f aca="false">C82</f>
        <v>0</v>
      </c>
    </row>
    <row r="83" customFormat="false" ht="15" hidden="false" customHeight="true" outlineLevel="0" collapsed="false">
      <c r="A83" s="3" t="n">
        <v>2</v>
      </c>
      <c r="B83" s="17" t="str">
        <f aca="false">VLOOKUP(A83,Roster!$A$3:$B$18,2,FALSE())</f>
        <v>Player 2</v>
      </c>
      <c r="C83" s="18"/>
      <c r="D83" s="12" t="n">
        <v>4</v>
      </c>
      <c r="E83" s="12" t="n">
        <f aca="false">C85</f>
        <v>0</v>
      </c>
      <c r="F83" s="3" t="str">
        <f aca="false">IF(AND(C83=0,E83=0),"-",IF(C83&gt;E83,"W",IF(C83&lt;E83,"L","T")))</f>
        <v>-</v>
      </c>
      <c r="G83" s="3" t="n">
        <f aca="false">IF(F83="W",1,IF(F83="T",0.5,0))</f>
        <v>0</v>
      </c>
      <c r="H83" s="3" t="n">
        <f aca="false">IF(F83="L",1,IF(F83="T",0.5,0))</f>
        <v>0</v>
      </c>
      <c r="I83" s="3" t="n">
        <f aca="false">C83</f>
        <v>0</v>
      </c>
    </row>
    <row r="84" customFormat="false" ht="15" hidden="false" customHeight="true" outlineLevel="0" collapsed="false">
      <c r="A84" s="3" t="n">
        <v>3</v>
      </c>
      <c r="B84" s="17" t="str">
        <f aca="false">VLOOKUP(A84,Roster!$A$3:$B$18,2,FALSE())</f>
        <v>Player 3</v>
      </c>
      <c r="C84" s="18"/>
      <c r="D84" s="12" t="n">
        <v>1</v>
      </c>
      <c r="E84" s="12" t="n">
        <f aca="false">C82</f>
        <v>0</v>
      </c>
      <c r="F84" s="3" t="str">
        <f aca="false">IF(AND(C84=0,E84=0),"-",IF(C84&gt;E84,"W",IF(C84&lt;E84,"L","T")))</f>
        <v>-</v>
      </c>
      <c r="G84" s="3" t="n">
        <f aca="false">IF(F84="W",1,IF(F84="T",0.5,0))</f>
        <v>0</v>
      </c>
      <c r="H84" s="3" t="n">
        <f aca="false">IF(F84="L",1,IF(F84="T",0.5,0))</f>
        <v>0</v>
      </c>
      <c r="I84" s="3" t="n">
        <f aca="false">C84</f>
        <v>0</v>
      </c>
    </row>
    <row r="85" customFormat="false" ht="15" hidden="false" customHeight="true" outlineLevel="0" collapsed="false">
      <c r="A85" s="3" t="n">
        <v>4</v>
      </c>
      <c r="B85" s="17" t="str">
        <f aca="false">VLOOKUP(A85,Roster!$A$3:$B$18,2,FALSE())</f>
        <v>Player 4</v>
      </c>
      <c r="C85" s="18"/>
      <c r="D85" s="12" t="n">
        <v>2</v>
      </c>
      <c r="E85" s="12" t="n">
        <f aca="false">C83</f>
        <v>0</v>
      </c>
      <c r="F85" s="3" t="str">
        <f aca="false">IF(AND(C85=0,E85=0),"-",IF(C85&gt;E85,"W",IF(C85&lt;E85,"L","T")))</f>
        <v>-</v>
      </c>
      <c r="G85" s="3" t="n">
        <f aca="false">IF(F85="W",1,IF(F85="T",0.5,0))</f>
        <v>0</v>
      </c>
      <c r="H85" s="3" t="n">
        <f aca="false">IF(F85="L",1,IF(F85="T",0.5,0))</f>
        <v>0</v>
      </c>
      <c r="I85" s="3" t="n">
        <f aca="false">C85</f>
        <v>0</v>
      </c>
    </row>
    <row r="86" customFormat="false" ht="15" hidden="false" customHeight="true" outlineLevel="0" collapsed="false">
      <c r="A86" s="3" t="n">
        <v>5</v>
      </c>
      <c r="B86" s="17" t="str">
        <f aca="false">VLOOKUP(A86,Roster!$A$3:$B$18,2,FALSE())</f>
        <v>Player 5</v>
      </c>
      <c r="C86" s="18"/>
      <c r="D86" s="12" t="n">
        <v>7</v>
      </c>
      <c r="E86" s="12" t="n">
        <f aca="false">C88</f>
        <v>0</v>
      </c>
      <c r="F86" s="3" t="str">
        <f aca="false">IF(AND(C86=0,E86=0),"-",IF(C86&gt;E86,"W",IF(C86&lt;E86,"L","T")))</f>
        <v>-</v>
      </c>
      <c r="G86" s="3" t="n">
        <f aca="false">IF(F86="W",1,IF(F86="T",0.5,0))</f>
        <v>0</v>
      </c>
      <c r="H86" s="3" t="n">
        <f aca="false">IF(F86="L",1,IF(F86="T",0.5,0))</f>
        <v>0</v>
      </c>
      <c r="I86" s="3" t="n">
        <f aca="false">C86</f>
        <v>0</v>
      </c>
    </row>
    <row r="87" customFormat="false" ht="15" hidden="false" customHeight="true" outlineLevel="0" collapsed="false">
      <c r="A87" s="3" t="n">
        <v>6</v>
      </c>
      <c r="B87" s="17" t="str">
        <f aca="false">VLOOKUP(A87,Roster!$A$3:$B$18,2,FALSE())</f>
        <v>Player 6</v>
      </c>
      <c r="C87" s="18"/>
      <c r="D87" s="12" t="n">
        <v>8</v>
      </c>
      <c r="E87" s="12" t="n">
        <f aca="false">C89</f>
        <v>0</v>
      </c>
      <c r="F87" s="3" t="str">
        <f aca="false">IF(AND(C87=0,E87=0),"-",IF(C87&gt;E87,"W",IF(C87&lt;E87,"L","T")))</f>
        <v>-</v>
      </c>
      <c r="G87" s="3" t="n">
        <f aca="false">IF(F87="W",1,IF(F87="T",0.5,0))</f>
        <v>0</v>
      </c>
      <c r="H87" s="3" t="n">
        <f aca="false">IF(F87="L",1,IF(F87="T",0.5,0))</f>
        <v>0</v>
      </c>
      <c r="I87" s="3" t="n">
        <f aca="false">C87</f>
        <v>0</v>
      </c>
    </row>
    <row r="88" customFormat="false" ht="15" hidden="false" customHeight="true" outlineLevel="0" collapsed="false">
      <c r="A88" s="3" t="n">
        <v>7</v>
      </c>
      <c r="B88" s="17" t="str">
        <f aca="false">VLOOKUP(A88,Roster!$A$3:$B$18,2,FALSE())</f>
        <v>Player 7</v>
      </c>
      <c r="C88" s="18"/>
      <c r="D88" s="12" t="n">
        <v>5</v>
      </c>
      <c r="E88" s="12" t="n">
        <f aca="false">C86</f>
        <v>0</v>
      </c>
      <c r="F88" s="3" t="str">
        <f aca="false">IF(AND(C88=0,E88=0),"-",IF(C88&gt;E88,"W",IF(C88&lt;E88,"L","T")))</f>
        <v>-</v>
      </c>
      <c r="G88" s="3" t="n">
        <f aca="false">IF(F88="W",1,IF(F88="T",0.5,0))</f>
        <v>0</v>
      </c>
      <c r="H88" s="3" t="n">
        <f aca="false">IF(F88="L",1,IF(F88="T",0.5,0))</f>
        <v>0</v>
      </c>
      <c r="I88" s="3" t="n">
        <f aca="false">C88</f>
        <v>0</v>
      </c>
    </row>
    <row r="89" customFormat="false" ht="15" hidden="false" customHeight="true" outlineLevel="0" collapsed="false">
      <c r="A89" s="3" t="n">
        <v>8</v>
      </c>
      <c r="B89" s="17" t="str">
        <f aca="false">VLOOKUP(A89,Roster!$A$3:$B$18,2,FALSE())</f>
        <v>Player 8</v>
      </c>
      <c r="C89" s="18"/>
      <c r="D89" s="12" t="n">
        <v>6</v>
      </c>
      <c r="E89" s="12" t="n">
        <f aca="false">C87</f>
        <v>0</v>
      </c>
      <c r="F89" s="3" t="str">
        <f aca="false">IF(AND(C89=0,E89=0),"-",IF(C89&gt;E89,"W",IF(C89&lt;E89,"L","T")))</f>
        <v>-</v>
      </c>
      <c r="G89" s="3" t="n">
        <f aca="false">IF(F89="W",1,IF(F89="T",0.5,0))</f>
        <v>0</v>
      </c>
      <c r="H89" s="3" t="n">
        <f aca="false">IF(F89="L",1,IF(F89="T",0.5,0))</f>
        <v>0</v>
      </c>
      <c r="I89" s="3" t="n">
        <f aca="false">C89</f>
        <v>0</v>
      </c>
    </row>
    <row r="90" customFormat="false" ht="15" hidden="false" customHeight="true" outlineLevel="0" collapsed="false">
      <c r="A90" s="3" t="n">
        <v>9</v>
      </c>
      <c r="B90" s="17" t="str">
        <f aca="false">VLOOKUP(A90,Roster!$A$3:$B$18,2,FALSE())</f>
        <v>Player 9</v>
      </c>
      <c r="C90" s="18"/>
      <c r="D90" s="12" t="n">
        <v>11</v>
      </c>
      <c r="E90" s="12" t="n">
        <f aca="false">C92</f>
        <v>0</v>
      </c>
      <c r="F90" s="3" t="str">
        <f aca="false">IF(AND(C90=0,E90=0),"-",IF(C90&gt;E90,"W",IF(C90&lt;E90,"L","T")))</f>
        <v>-</v>
      </c>
      <c r="G90" s="3" t="n">
        <f aca="false">IF(F90="W",1,IF(F90="T",0.5,0))</f>
        <v>0</v>
      </c>
      <c r="H90" s="3" t="n">
        <f aca="false">IF(F90="L",1,IF(F90="T",0.5,0))</f>
        <v>0</v>
      </c>
      <c r="I90" s="3" t="n">
        <f aca="false">C90</f>
        <v>0</v>
      </c>
    </row>
    <row r="91" customFormat="false" ht="15" hidden="false" customHeight="true" outlineLevel="0" collapsed="false">
      <c r="A91" s="3" t="n">
        <v>10</v>
      </c>
      <c r="B91" s="17" t="str">
        <f aca="false">VLOOKUP(A91,Roster!$A$3:$B$18,2,FALSE())</f>
        <v>Player 10</v>
      </c>
      <c r="C91" s="18"/>
      <c r="D91" s="12" t="n">
        <v>12</v>
      </c>
      <c r="E91" s="12" t="n">
        <f aca="false">C93</f>
        <v>0</v>
      </c>
      <c r="F91" s="3" t="str">
        <f aca="false">IF(AND(C91=0,E91=0),"-",IF(C91&gt;E91,"W",IF(C91&lt;E91,"L","T")))</f>
        <v>-</v>
      </c>
      <c r="G91" s="3" t="n">
        <f aca="false">IF(F91="W",1,IF(F91="T",0.5,0))</f>
        <v>0</v>
      </c>
      <c r="H91" s="3" t="n">
        <f aca="false">IF(F91="L",1,IF(F91="T",0.5,0))</f>
        <v>0</v>
      </c>
      <c r="I91" s="3" t="n">
        <f aca="false">C91</f>
        <v>0</v>
      </c>
    </row>
    <row r="92" customFormat="false" ht="15" hidden="false" customHeight="true" outlineLevel="0" collapsed="false">
      <c r="A92" s="3" t="n">
        <v>11</v>
      </c>
      <c r="B92" s="17" t="str">
        <f aca="false">VLOOKUP(A92,Roster!$A$3:$B$18,2,FALSE())</f>
        <v>Player 11</v>
      </c>
      <c r="C92" s="18"/>
      <c r="D92" s="12" t="n">
        <v>9</v>
      </c>
      <c r="E92" s="12" t="n">
        <f aca="false">C90</f>
        <v>0</v>
      </c>
      <c r="F92" s="3" t="str">
        <f aca="false">IF(AND(C92=0,E92=0),"-",IF(C92&gt;E92,"W",IF(C92&lt;E92,"L","T")))</f>
        <v>-</v>
      </c>
      <c r="G92" s="3" t="n">
        <f aca="false">IF(F92="W",1,IF(F92="T",0.5,0))</f>
        <v>0</v>
      </c>
      <c r="H92" s="3" t="n">
        <f aca="false">IF(F92="L",1,IF(F92="T",0.5,0))</f>
        <v>0</v>
      </c>
      <c r="I92" s="3" t="n">
        <f aca="false">C92</f>
        <v>0</v>
      </c>
    </row>
    <row r="93" customFormat="false" ht="15" hidden="false" customHeight="true" outlineLevel="0" collapsed="false">
      <c r="A93" s="3" t="n">
        <v>12</v>
      </c>
      <c r="B93" s="17" t="str">
        <f aca="false">VLOOKUP(A93,Roster!$A$3:$B$18,2,FALSE())</f>
        <v>Player 12</v>
      </c>
      <c r="C93" s="18"/>
      <c r="D93" s="12" t="n">
        <v>10</v>
      </c>
      <c r="E93" s="12" t="n">
        <f aca="false">C91</f>
        <v>0</v>
      </c>
      <c r="F93" s="3" t="str">
        <f aca="false">IF(AND(C93=0,E93=0),"-",IF(C93&gt;E93,"W",IF(C93&lt;E93,"L","T")))</f>
        <v>-</v>
      </c>
      <c r="G93" s="3" t="n">
        <f aca="false">IF(F93="W",1,IF(F93="T",0.5,0))</f>
        <v>0</v>
      </c>
      <c r="H93" s="3" t="n">
        <f aca="false">IF(F93="L",1,IF(F93="T",0.5,0))</f>
        <v>0</v>
      </c>
      <c r="I93" s="3" t="n">
        <f aca="false">C93</f>
        <v>0</v>
      </c>
    </row>
    <row r="94" customFormat="false" ht="15" hidden="false" customHeight="true" outlineLevel="0" collapsed="false">
      <c r="A94" s="3" t="n">
        <v>13</v>
      </c>
      <c r="B94" s="17" t="str">
        <f aca="false">VLOOKUP(A94,Roster!$A$3:$B$18,2,FALSE())</f>
        <v>Player 13</v>
      </c>
      <c r="C94" s="18"/>
      <c r="D94" s="12" t="n">
        <v>15</v>
      </c>
      <c r="E94" s="12" t="n">
        <f aca="false">C96</f>
        <v>0</v>
      </c>
      <c r="F94" s="3" t="str">
        <f aca="false">IF(AND(C94=0,E94=0),"-",IF(C94&gt;E94,"W",IF(C94&lt;E94,"L","T")))</f>
        <v>-</v>
      </c>
      <c r="G94" s="3" t="n">
        <f aca="false">IF(F94="W",1,IF(F94="T",0.5,0))</f>
        <v>0</v>
      </c>
      <c r="H94" s="3" t="n">
        <f aca="false">IF(F94="L",1,IF(F94="T",0.5,0))</f>
        <v>0</v>
      </c>
      <c r="I94" s="3" t="n">
        <f aca="false">C94</f>
        <v>0</v>
      </c>
    </row>
    <row r="95" customFormat="false" ht="15" hidden="false" customHeight="true" outlineLevel="0" collapsed="false">
      <c r="A95" s="3" t="n">
        <v>14</v>
      </c>
      <c r="B95" s="17" t="str">
        <f aca="false">VLOOKUP(A95,Roster!$A$3:$B$18,2,FALSE())</f>
        <v>Player 14</v>
      </c>
      <c r="C95" s="18"/>
      <c r="D95" s="12" t="n">
        <v>16</v>
      </c>
      <c r="E95" s="12" t="n">
        <f aca="false">C97</f>
        <v>0</v>
      </c>
      <c r="F95" s="3" t="str">
        <f aca="false">IF(AND(C95=0,E95=0),"-",IF(C95&gt;E95,"W",IF(C95&lt;E95,"L","T")))</f>
        <v>-</v>
      </c>
      <c r="G95" s="3" t="n">
        <f aca="false">IF(F95="W",1,IF(F95="T",0.5,0))</f>
        <v>0</v>
      </c>
      <c r="H95" s="3" t="n">
        <f aca="false">IF(F95="L",1,IF(F95="T",0.5,0))</f>
        <v>0</v>
      </c>
      <c r="I95" s="3" t="n">
        <f aca="false">C95</f>
        <v>0</v>
      </c>
    </row>
    <row r="96" customFormat="false" ht="15" hidden="false" customHeight="true" outlineLevel="0" collapsed="false">
      <c r="A96" s="3" t="n">
        <v>15</v>
      </c>
      <c r="B96" s="17" t="str">
        <f aca="false">VLOOKUP(A96,Roster!$A$3:$B$18,2,FALSE())</f>
        <v>Player 15</v>
      </c>
      <c r="C96" s="18"/>
      <c r="D96" s="12" t="n">
        <v>13</v>
      </c>
      <c r="E96" s="12" t="n">
        <f aca="false">C94</f>
        <v>0</v>
      </c>
      <c r="F96" s="3" t="str">
        <f aca="false">IF(AND(C96=0,E96=0),"-",IF(C96&gt;E96,"W",IF(C96&lt;E96,"L","T")))</f>
        <v>-</v>
      </c>
      <c r="G96" s="3" t="n">
        <f aca="false">IF(F96="W",1,IF(F96="T",0.5,0))</f>
        <v>0</v>
      </c>
      <c r="H96" s="3" t="n">
        <f aca="false">IF(F96="L",1,IF(F96="T",0.5,0))</f>
        <v>0</v>
      </c>
      <c r="I96" s="3" t="n">
        <f aca="false">C96</f>
        <v>0</v>
      </c>
    </row>
    <row r="97" customFormat="false" ht="15" hidden="false" customHeight="true" outlineLevel="0" collapsed="false">
      <c r="A97" s="3" t="n">
        <v>16</v>
      </c>
      <c r="B97" s="17" t="str">
        <f aca="false">VLOOKUP(A97,Roster!$A$3:$B$18,2,FALSE())</f>
        <v>Player 16</v>
      </c>
      <c r="C97" s="18"/>
      <c r="D97" s="12" t="n">
        <v>14</v>
      </c>
      <c r="E97" s="12" t="n">
        <f aca="false">C95</f>
        <v>0</v>
      </c>
      <c r="F97" s="3" t="str">
        <f aca="false">IF(AND(C97=0,E97=0),"-",IF(C97&gt;E97,"W",IF(C97&lt;E97,"L","T")))</f>
        <v>-</v>
      </c>
      <c r="G97" s="3" t="n">
        <f aca="false">IF(F97="W",1,IF(F97="T",0.5,0))</f>
        <v>0</v>
      </c>
      <c r="H97" s="3" t="n">
        <f aca="false">IF(F97="L",1,IF(F97="T",0.5,0))</f>
        <v>0</v>
      </c>
      <c r="I97" s="3" t="n">
        <f aca="false">C97</f>
        <v>0</v>
      </c>
    </row>
    <row r="99" customFormat="false" ht="15" hidden="false" customHeight="true" outlineLevel="0" collapsed="false">
      <c r="A99" s="20" t="s">
        <v>95</v>
      </c>
      <c r="B99" s="20"/>
      <c r="C99" s="20"/>
      <c r="D99" s="20"/>
      <c r="E99" s="20"/>
      <c r="F99" s="20"/>
      <c r="G99" s="20"/>
      <c r="H99" s="20"/>
      <c r="I99" s="20"/>
    </row>
    <row r="100" customFormat="false" ht="15" hidden="false" customHeight="true" outlineLevel="0" collapsed="false">
      <c r="A100" s="16" t="s">
        <v>1</v>
      </c>
      <c r="B100" s="16" t="s">
        <v>2</v>
      </c>
      <c r="C100" s="16" t="s">
        <v>63</v>
      </c>
      <c r="D100" s="16" t="s">
        <v>64</v>
      </c>
      <c r="E100" s="16" t="s">
        <v>65</v>
      </c>
      <c r="F100" s="16" t="s">
        <v>66</v>
      </c>
      <c r="G100" s="16" t="s">
        <v>88</v>
      </c>
      <c r="H100" s="16" t="s">
        <v>89</v>
      </c>
      <c r="I100" s="16" t="s">
        <v>90</v>
      </c>
    </row>
    <row r="101" customFormat="false" ht="15" hidden="false" customHeight="true" outlineLevel="0" collapsed="false">
      <c r="A101" s="3" t="n">
        <v>1</v>
      </c>
      <c r="B101" s="17" t="str">
        <f aca="false">VLOOKUP(A101,Roster!$A$3:$B$18,2,FALSE())</f>
        <v>Player 1</v>
      </c>
      <c r="C101" s="18"/>
      <c r="D101" s="12" t="n">
        <v>2</v>
      </c>
      <c r="E101" s="12" t="n">
        <f aca="false">C102</f>
        <v>0</v>
      </c>
      <c r="F101" s="3" t="str">
        <f aca="false">IF(AND(C101=0,E101=0),"-",IF(C101&gt;E101,"W",IF(C101&lt;E101,"L","T")))</f>
        <v>-</v>
      </c>
      <c r="G101" s="3" t="n">
        <f aca="false">IF(F101="W",1,IF(F101="T",0.5,0))</f>
        <v>0</v>
      </c>
      <c r="H101" s="3" t="n">
        <f aca="false">IF(F101="L",1,IF(F101="T",0.5,0))</f>
        <v>0</v>
      </c>
      <c r="I101" s="3" t="n">
        <f aca="false">C101</f>
        <v>0</v>
      </c>
    </row>
    <row r="102" customFormat="false" ht="15" hidden="false" customHeight="true" outlineLevel="0" collapsed="false">
      <c r="A102" s="3" t="n">
        <v>2</v>
      </c>
      <c r="B102" s="17" t="str">
        <f aca="false">VLOOKUP(A102,Roster!$A$3:$B$18,2,FALSE())</f>
        <v>Player 2</v>
      </c>
      <c r="C102" s="18"/>
      <c r="D102" s="12" t="n">
        <v>1</v>
      </c>
      <c r="E102" s="12" t="n">
        <f aca="false">C101</f>
        <v>0</v>
      </c>
      <c r="F102" s="3" t="str">
        <f aca="false">IF(AND(C102=0,E102=0),"-",IF(C102&gt;E102,"W",IF(C102&lt;E102,"L","T")))</f>
        <v>-</v>
      </c>
      <c r="G102" s="3" t="n">
        <f aca="false">IF(F102="W",1,IF(F102="T",0.5,0))</f>
        <v>0</v>
      </c>
      <c r="H102" s="3" t="n">
        <f aca="false">IF(F102="L",1,IF(F102="T",0.5,0))</f>
        <v>0</v>
      </c>
      <c r="I102" s="3" t="n">
        <f aca="false">C102</f>
        <v>0</v>
      </c>
    </row>
    <row r="103" customFormat="false" ht="15" hidden="false" customHeight="true" outlineLevel="0" collapsed="false">
      <c r="A103" s="3" t="n">
        <v>3</v>
      </c>
      <c r="B103" s="17" t="str">
        <f aca="false">VLOOKUP(A103,Roster!$A$3:$B$18,2,FALSE())</f>
        <v>Player 3</v>
      </c>
      <c r="C103" s="18"/>
      <c r="D103" s="12" t="n">
        <v>4</v>
      </c>
      <c r="E103" s="12" t="n">
        <f aca="false">C104</f>
        <v>0</v>
      </c>
      <c r="F103" s="3" t="str">
        <f aca="false">IF(AND(C103=0,E103=0),"-",IF(C103&gt;E103,"W",IF(C103&lt;E103,"L","T")))</f>
        <v>-</v>
      </c>
      <c r="G103" s="3" t="n">
        <f aca="false">IF(F103="W",1,IF(F103="T",0.5,0))</f>
        <v>0</v>
      </c>
      <c r="H103" s="3" t="n">
        <f aca="false">IF(F103="L",1,IF(F103="T",0.5,0))</f>
        <v>0</v>
      </c>
      <c r="I103" s="3" t="n">
        <f aca="false">C103</f>
        <v>0</v>
      </c>
    </row>
    <row r="104" customFormat="false" ht="15" hidden="false" customHeight="true" outlineLevel="0" collapsed="false">
      <c r="A104" s="3" t="n">
        <v>4</v>
      </c>
      <c r="B104" s="17" t="str">
        <f aca="false">VLOOKUP(A104,Roster!$A$3:$B$18,2,FALSE())</f>
        <v>Player 4</v>
      </c>
      <c r="C104" s="18"/>
      <c r="D104" s="12" t="n">
        <v>3</v>
      </c>
      <c r="E104" s="12" t="n">
        <f aca="false">C103</f>
        <v>0</v>
      </c>
      <c r="F104" s="3" t="str">
        <f aca="false">IF(AND(C104=0,E104=0),"-",IF(C104&gt;E104,"W",IF(C104&lt;E104,"L","T")))</f>
        <v>-</v>
      </c>
      <c r="G104" s="3" t="n">
        <f aca="false">IF(F104="W",1,IF(F104="T",0.5,0))</f>
        <v>0</v>
      </c>
      <c r="H104" s="3" t="n">
        <f aca="false">IF(F104="L",1,IF(F104="T",0.5,0))</f>
        <v>0</v>
      </c>
      <c r="I104" s="3" t="n">
        <f aca="false">C104</f>
        <v>0</v>
      </c>
    </row>
    <row r="105" customFormat="false" ht="15" hidden="false" customHeight="true" outlineLevel="0" collapsed="false">
      <c r="A105" s="3" t="n">
        <v>5</v>
      </c>
      <c r="B105" s="17" t="str">
        <f aca="false">VLOOKUP(A105,Roster!$A$3:$B$18,2,FALSE())</f>
        <v>Player 5</v>
      </c>
      <c r="C105" s="18"/>
      <c r="D105" s="12" t="n">
        <v>6</v>
      </c>
      <c r="E105" s="12" t="n">
        <f aca="false">C106</f>
        <v>0</v>
      </c>
      <c r="F105" s="3" t="str">
        <f aca="false">IF(AND(C105=0,E105=0),"-",IF(C105&gt;E105,"W",IF(C105&lt;E105,"L","T")))</f>
        <v>-</v>
      </c>
      <c r="G105" s="3" t="n">
        <f aca="false">IF(F105="W",1,IF(F105="T",0.5,0))</f>
        <v>0</v>
      </c>
      <c r="H105" s="3" t="n">
        <f aca="false">IF(F105="L",1,IF(F105="T",0.5,0))</f>
        <v>0</v>
      </c>
      <c r="I105" s="3" t="n">
        <f aca="false">C105</f>
        <v>0</v>
      </c>
    </row>
    <row r="106" customFormat="false" ht="15" hidden="false" customHeight="true" outlineLevel="0" collapsed="false">
      <c r="A106" s="3" t="n">
        <v>6</v>
      </c>
      <c r="B106" s="17" t="str">
        <f aca="false">VLOOKUP(A106,Roster!$A$3:$B$18,2,FALSE())</f>
        <v>Player 6</v>
      </c>
      <c r="C106" s="18"/>
      <c r="D106" s="12" t="n">
        <v>5</v>
      </c>
      <c r="E106" s="12" t="n">
        <f aca="false">C105</f>
        <v>0</v>
      </c>
      <c r="F106" s="3" t="str">
        <f aca="false">IF(AND(C106=0,E106=0),"-",IF(C106&gt;E106,"W",IF(C106&lt;E106,"L","T")))</f>
        <v>-</v>
      </c>
      <c r="G106" s="3" t="n">
        <f aca="false">IF(F106="W",1,IF(F106="T",0.5,0))</f>
        <v>0</v>
      </c>
      <c r="H106" s="3" t="n">
        <f aca="false">IF(F106="L",1,IF(F106="T",0.5,0))</f>
        <v>0</v>
      </c>
      <c r="I106" s="3" t="n">
        <f aca="false">C106</f>
        <v>0</v>
      </c>
    </row>
    <row r="107" customFormat="false" ht="15" hidden="false" customHeight="true" outlineLevel="0" collapsed="false">
      <c r="A107" s="3" t="n">
        <v>7</v>
      </c>
      <c r="B107" s="17" t="str">
        <f aca="false">VLOOKUP(A107,Roster!$A$3:$B$18,2,FALSE())</f>
        <v>Player 7</v>
      </c>
      <c r="C107" s="18"/>
      <c r="D107" s="12" t="n">
        <v>8</v>
      </c>
      <c r="E107" s="12" t="n">
        <f aca="false">C108</f>
        <v>0</v>
      </c>
      <c r="F107" s="3" t="str">
        <f aca="false">IF(AND(C107=0,E107=0),"-",IF(C107&gt;E107,"W",IF(C107&lt;E107,"L","T")))</f>
        <v>-</v>
      </c>
      <c r="G107" s="3" t="n">
        <f aca="false">IF(F107="W",1,IF(F107="T",0.5,0))</f>
        <v>0</v>
      </c>
      <c r="H107" s="3" t="n">
        <f aca="false">IF(F107="L",1,IF(F107="T",0.5,0))</f>
        <v>0</v>
      </c>
      <c r="I107" s="3" t="n">
        <f aca="false">C107</f>
        <v>0</v>
      </c>
    </row>
    <row r="108" customFormat="false" ht="15" hidden="false" customHeight="true" outlineLevel="0" collapsed="false">
      <c r="A108" s="3" t="n">
        <v>8</v>
      </c>
      <c r="B108" s="17" t="str">
        <f aca="false">VLOOKUP(A108,Roster!$A$3:$B$18,2,FALSE())</f>
        <v>Player 8</v>
      </c>
      <c r="C108" s="18"/>
      <c r="D108" s="12" t="n">
        <v>7</v>
      </c>
      <c r="E108" s="12" t="n">
        <f aca="false">C107</f>
        <v>0</v>
      </c>
      <c r="F108" s="3" t="str">
        <f aca="false">IF(AND(C108=0,E108=0),"-",IF(C108&gt;E108,"W",IF(C108&lt;E108,"L","T")))</f>
        <v>-</v>
      </c>
      <c r="G108" s="3" t="n">
        <f aca="false">IF(F108="W",1,IF(F108="T",0.5,0))</f>
        <v>0</v>
      </c>
      <c r="H108" s="3" t="n">
        <f aca="false">IF(F108="L",1,IF(F108="T",0.5,0))</f>
        <v>0</v>
      </c>
      <c r="I108" s="3" t="n">
        <f aca="false">C108</f>
        <v>0</v>
      </c>
    </row>
    <row r="109" customFormat="false" ht="15" hidden="false" customHeight="true" outlineLevel="0" collapsed="false">
      <c r="A109" s="3" t="n">
        <v>9</v>
      </c>
      <c r="B109" s="17" t="str">
        <f aca="false">VLOOKUP(A109,Roster!$A$3:$B$18,2,FALSE())</f>
        <v>Player 9</v>
      </c>
      <c r="C109" s="18"/>
      <c r="D109" s="12" t="n">
        <v>10</v>
      </c>
      <c r="E109" s="12" t="n">
        <f aca="false">C110</f>
        <v>0</v>
      </c>
      <c r="F109" s="3" t="str">
        <f aca="false">IF(AND(C109=0,E109=0),"-",IF(C109&gt;E109,"W",IF(C109&lt;E109,"L","T")))</f>
        <v>-</v>
      </c>
      <c r="G109" s="3" t="n">
        <f aca="false">IF(F109="W",1,IF(F109="T",0.5,0))</f>
        <v>0</v>
      </c>
      <c r="H109" s="3" t="n">
        <f aca="false">IF(F109="L",1,IF(F109="T",0.5,0))</f>
        <v>0</v>
      </c>
      <c r="I109" s="3" t="n">
        <f aca="false">C109</f>
        <v>0</v>
      </c>
    </row>
    <row r="110" customFormat="false" ht="15" hidden="false" customHeight="true" outlineLevel="0" collapsed="false">
      <c r="A110" s="3" t="n">
        <v>10</v>
      </c>
      <c r="B110" s="17" t="str">
        <f aca="false">VLOOKUP(A110,Roster!$A$3:$B$18,2,FALSE())</f>
        <v>Player 10</v>
      </c>
      <c r="C110" s="18"/>
      <c r="D110" s="12" t="n">
        <v>9</v>
      </c>
      <c r="E110" s="12" t="n">
        <f aca="false">C109</f>
        <v>0</v>
      </c>
      <c r="F110" s="3" t="str">
        <f aca="false">IF(AND(C110=0,E110=0),"-",IF(C110&gt;E110,"W",IF(C110&lt;E110,"L","T")))</f>
        <v>-</v>
      </c>
      <c r="G110" s="3" t="n">
        <f aca="false">IF(F110="W",1,IF(F110="T",0.5,0))</f>
        <v>0</v>
      </c>
      <c r="H110" s="3" t="n">
        <f aca="false">IF(F110="L",1,IF(F110="T",0.5,0))</f>
        <v>0</v>
      </c>
      <c r="I110" s="3" t="n">
        <f aca="false">C110</f>
        <v>0</v>
      </c>
    </row>
    <row r="111" customFormat="false" ht="15" hidden="false" customHeight="true" outlineLevel="0" collapsed="false">
      <c r="A111" s="3" t="n">
        <v>11</v>
      </c>
      <c r="B111" s="17" t="str">
        <f aca="false">VLOOKUP(A111,Roster!$A$3:$B$18,2,FALSE())</f>
        <v>Player 11</v>
      </c>
      <c r="C111" s="18"/>
      <c r="D111" s="12" t="n">
        <v>12</v>
      </c>
      <c r="E111" s="12" t="n">
        <f aca="false">C112</f>
        <v>0</v>
      </c>
      <c r="F111" s="3" t="str">
        <f aca="false">IF(AND(C111=0,E111=0),"-",IF(C111&gt;E111,"W",IF(C111&lt;E111,"L","T")))</f>
        <v>-</v>
      </c>
      <c r="G111" s="3" t="n">
        <f aca="false">IF(F111="W",1,IF(F111="T",0.5,0))</f>
        <v>0</v>
      </c>
      <c r="H111" s="3" t="n">
        <f aca="false">IF(F111="L",1,IF(F111="T",0.5,0))</f>
        <v>0</v>
      </c>
      <c r="I111" s="3" t="n">
        <f aca="false">C111</f>
        <v>0</v>
      </c>
    </row>
    <row r="112" customFormat="false" ht="15" hidden="false" customHeight="true" outlineLevel="0" collapsed="false">
      <c r="A112" s="3" t="n">
        <v>12</v>
      </c>
      <c r="B112" s="17" t="str">
        <f aca="false">VLOOKUP(A112,Roster!$A$3:$B$18,2,FALSE())</f>
        <v>Player 12</v>
      </c>
      <c r="C112" s="18"/>
      <c r="D112" s="12" t="n">
        <v>11</v>
      </c>
      <c r="E112" s="12" t="n">
        <f aca="false">C111</f>
        <v>0</v>
      </c>
      <c r="F112" s="3" t="str">
        <f aca="false">IF(AND(C112=0,E112=0),"-",IF(C112&gt;E112,"W",IF(C112&lt;E112,"L","T")))</f>
        <v>-</v>
      </c>
      <c r="G112" s="3" t="n">
        <f aca="false">IF(F112="W",1,IF(F112="T",0.5,0))</f>
        <v>0</v>
      </c>
      <c r="H112" s="3" t="n">
        <f aca="false">IF(F112="L",1,IF(F112="T",0.5,0))</f>
        <v>0</v>
      </c>
      <c r="I112" s="3" t="n">
        <f aca="false">C112</f>
        <v>0</v>
      </c>
    </row>
    <row r="113" customFormat="false" ht="15" hidden="false" customHeight="true" outlineLevel="0" collapsed="false">
      <c r="A113" s="3" t="n">
        <v>13</v>
      </c>
      <c r="B113" s="17" t="str">
        <f aca="false">VLOOKUP(A113,Roster!$A$3:$B$18,2,FALSE())</f>
        <v>Player 13</v>
      </c>
      <c r="C113" s="18"/>
      <c r="D113" s="12" t="n">
        <v>14</v>
      </c>
      <c r="E113" s="12" t="n">
        <f aca="false">C114</f>
        <v>0</v>
      </c>
      <c r="F113" s="3" t="str">
        <f aca="false">IF(AND(C113=0,E113=0),"-",IF(C113&gt;E113,"W",IF(C113&lt;E113,"L","T")))</f>
        <v>-</v>
      </c>
      <c r="G113" s="3" t="n">
        <f aca="false">IF(F113="W",1,IF(F113="T",0.5,0))</f>
        <v>0</v>
      </c>
      <c r="H113" s="3" t="n">
        <f aca="false">IF(F113="L",1,IF(F113="T",0.5,0))</f>
        <v>0</v>
      </c>
      <c r="I113" s="3" t="n">
        <f aca="false">C113</f>
        <v>0</v>
      </c>
    </row>
    <row r="114" customFormat="false" ht="15" hidden="false" customHeight="true" outlineLevel="0" collapsed="false">
      <c r="A114" s="3" t="n">
        <v>14</v>
      </c>
      <c r="B114" s="17" t="str">
        <f aca="false">VLOOKUP(A114,Roster!$A$3:$B$18,2,FALSE())</f>
        <v>Player 14</v>
      </c>
      <c r="C114" s="18"/>
      <c r="D114" s="12" t="n">
        <v>13</v>
      </c>
      <c r="E114" s="12" t="n">
        <f aca="false">C113</f>
        <v>0</v>
      </c>
      <c r="F114" s="3" t="str">
        <f aca="false">IF(AND(C114=0,E114=0),"-",IF(C114&gt;E114,"W",IF(C114&lt;E114,"L","T")))</f>
        <v>-</v>
      </c>
      <c r="G114" s="3" t="n">
        <f aca="false">IF(F114="W",1,IF(F114="T",0.5,0))</f>
        <v>0</v>
      </c>
      <c r="H114" s="3" t="n">
        <f aca="false">IF(F114="L",1,IF(F114="T",0.5,0))</f>
        <v>0</v>
      </c>
      <c r="I114" s="3" t="n">
        <f aca="false">C114</f>
        <v>0</v>
      </c>
    </row>
    <row r="115" customFormat="false" ht="15" hidden="false" customHeight="true" outlineLevel="0" collapsed="false">
      <c r="A115" s="3" t="n">
        <v>15</v>
      </c>
      <c r="B115" s="17" t="str">
        <f aca="false">VLOOKUP(A115,Roster!$A$3:$B$18,2,FALSE())</f>
        <v>Player 15</v>
      </c>
      <c r="C115" s="18"/>
      <c r="D115" s="12" t="n">
        <v>16</v>
      </c>
      <c r="E115" s="12" t="n">
        <f aca="false">C116</f>
        <v>0</v>
      </c>
      <c r="F115" s="3" t="str">
        <f aca="false">IF(AND(C115=0,E115=0),"-",IF(C115&gt;E115,"W",IF(C115&lt;E115,"L","T")))</f>
        <v>-</v>
      </c>
      <c r="G115" s="3" t="n">
        <f aca="false">IF(F115="W",1,IF(F115="T",0.5,0))</f>
        <v>0</v>
      </c>
      <c r="H115" s="3" t="n">
        <f aca="false">IF(F115="L",1,IF(F115="T",0.5,0))</f>
        <v>0</v>
      </c>
      <c r="I115" s="3" t="n">
        <f aca="false">C115</f>
        <v>0</v>
      </c>
    </row>
    <row r="116" customFormat="false" ht="15" hidden="false" customHeight="true" outlineLevel="0" collapsed="false">
      <c r="A116" s="3" t="n">
        <v>16</v>
      </c>
      <c r="B116" s="17" t="str">
        <f aca="false">VLOOKUP(A116,Roster!$A$3:$B$18,2,FALSE())</f>
        <v>Player 16</v>
      </c>
      <c r="C116" s="18"/>
      <c r="D116" s="12" t="n">
        <v>15</v>
      </c>
      <c r="E116" s="12" t="n">
        <f aca="false">C115</f>
        <v>0</v>
      </c>
      <c r="F116" s="3" t="str">
        <f aca="false">IF(AND(C116=0,E116=0),"-",IF(C116&gt;E116,"W",IF(C116&lt;E116,"L","T")))</f>
        <v>-</v>
      </c>
      <c r="G116" s="3" t="n">
        <f aca="false">IF(F116="W",1,IF(F116="T",0.5,0))</f>
        <v>0</v>
      </c>
      <c r="H116" s="3" t="n">
        <f aca="false">IF(F116="L",1,IF(F116="T",0.5,0))</f>
        <v>0</v>
      </c>
      <c r="I116" s="3" t="n">
        <f aca="false">C116</f>
        <v>0</v>
      </c>
    </row>
  </sheetData>
  <mergeCells count="7">
    <mergeCell ref="A1:I1"/>
    <mergeCell ref="A4:I4"/>
    <mergeCell ref="A23:I23"/>
    <mergeCell ref="A42:I42"/>
    <mergeCell ref="A61:I61"/>
    <mergeCell ref="A80:I80"/>
    <mergeCell ref="A99:I9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3FB950"/>
    <pageSetUpPr fitToPage="false"/>
  </sheetPr>
  <dimension ref="A1:L96"/>
  <sheetViews>
    <sheetView showFormulas="false" showGridLines="true" showRowColHeaders="true" showZeros="true" rightToLeft="false" tabSelected="false" showOutlineSymbols="true" defaultGridColor="true" view="normal" topLeftCell="A52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8"/>
    <col collapsed="false" customWidth="true" hidden="false" outlineLevel="0" max="8" min="3" style="0" width="8"/>
    <col collapsed="false" customWidth="true" hidden="false" outlineLevel="0" max="9" min="9" style="0" width="10"/>
    <col collapsed="false" customWidth="true" hidden="false" outlineLevel="0" max="11" min="10" style="0" width="9"/>
    <col collapsed="false" customWidth="true" hidden="false" outlineLevel="0" max="12" min="12" style="0" width="8"/>
  </cols>
  <sheetData>
    <row r="1" customFormat="false" ht="15" hidden="false" customHeight="true" outlineLevel="0" collapsed="false">
      <c r="A1" s="21" t="s">
        <v>96</v>
      </c>
      <c r="B1" s="21"/>
      <c r="C1" s="21"/>
      <c r="D1" s="21"/>
      <c r="E1" s="21"/>
      <c r="F1" s="21"/>
      <c r="G1" s="21"/>
      <c r="H1" s="21"/>
      <c r="I1" s="21"/>
      <c r="J1" s="21"/>
      <c r="K1" s="21"/>
    </row>
    <row r="2" customFormat="false" ht="15" hidden="false" customHeight="true" outlineLevel="0" collapsed="false">
      <c r="A2" s="22" t="s">
        <v>97</v>
      </c>
      <c r="B2" s="22" t="s">
        <v>98</v>
      </c>
      <c r="C2" s="22" t="s">
        <v>99</v>
      </c>
      <c r="D2" s="22" t="s">
        <v>100</v>
      </c>
      <c r="E2" s="22" t="s">
        <v>101</v>
      </c>
      <c r="F2" s="22" t="s">
        <v>102</v>
      </c>
      <c r="G2" s="22" t="s">
        <v>103</v>
      </c>
      <c r="H2" s="22" t="s">
        <v>104</v>
      </c>
      <c r="I2" s="22" t="s">
        <v>105</v>
      </c>
      <c r="J2" s="22" t="s">
        <v>106</v>
      </c>
      <c r="K2" s="22" t="s">
        <v>107</v>
      </c>
    </row>
    <row r="3" customFormat="false" ht="15" hidden="false" customHeight="true" outlineLevel="0" collapsed="false">
      <c r="A3" s="23" t="n">
        <v>1</v>
      </c>
      <c r="B3" s="24" t="str">
        <f aca="false">INDEX(Helper!$B$2:$B$17,MATCH(LARGE(Helper!$AH$2:$AH$17,1),Helper!$AH$2:$AH$17,0))</f>
        <v>Player 1</v>
      </c>
      <c r="C3" s="25" t="n">
        <f aca="false">INDEX(Helper!$C$2:$C$17,MATCH(LARGE(Helper!$AH$2:$AH$17,1),Helper!$AH$2:$AH$17,0))</f>
        <v>14</v>
      </c>
      <c r="D3" s="25" t="n">
        <f aca="false">INDEX(Helper!$D$2:$D$17,MATCH(LARGE(Helper!$AH$2:$AH$17,1),Helper!$AH$2:$AH$17,0))</f>
        <v>0</v>
      </c>
      <c r="E3" s="25" t="n">
        <f aca="false">INDEX(Helper!$E$2:$E$17,MATCH(LARGE(Helper!$AH$2:$AH$17,1),Helper!$AH$2:$AH$17,0))</f>
        <v>0</v>
      </c>
      <c r="F3" s="25" t="n">
        <f aca="false">INDEX(Helper!$F$2:$F$17,MATCH(LARGE(Helper!$AH$2:$AH$17,1),Helper!$AH$2:$AH$17,0))</f>
        <v>0</v>
      </c>
      <c r="G3" s="25" t="n">
        <f aca="false">INDEX(Helper!$G$2:$G$17,MATCH(LARGE(Helper!$AH$2:$AH$17,1),Helper!$AH$2:$AH$17,0))</f>
        <v>0</v>
      </c>
      <c r="H3" s="25" t="n">
        <f aca="false">INDEX(Helper!$H$2:$H$17,MATCH(LARGE(Helper!$AH$2:$AH$17,1),Helper!$AH$2:$AH$17,0))</f>
        <v>0</v>
      </c>
      <c r="I3" s="22" t="n">
        <f aca="false">INDEX(Helper!$I$2:$I$17,MATCH(LARGE(Helper!$AH$2:$AH$17,1),Helper!$AH$2:$AH$17,0))</f>
        <v>14</v>
      </c>
      <c r="J3" s="25" t="n">
        <f aca="false">INDEX(Helper!$J$2:$J$17,MATCH(LARGE(Helper!$AH$2:$AH$17,1),Helper!$AH$2:$AH$17,0))</f>
        <v>1</v>
      </c>
      <c r="K3" s="25" t="n">
        <f aca="false">MAX(C3:H3)</f>
        <v>14</v>
      </c>
    </row>
    <row r="4" customFormat="false" ht="15" hidden="false" customHeight="true" outlineLevel="0" collapsed="false">
      <c r="A4" s="26" t="n">
        <v>2</v>
      </c>
      <c r="B4" s="24" t="str">
        <f aca="false">INDEX(Helper!$B$2:$B$17,MATCH(LARGE(Helper!$AH$2:$AH$17,2),Helper!$AH$2:$AH$17,0))</f>
        <v>Player 16</v>
      </c>
      <c r="C4" s="25" t="n">
        <f aca="false">INDEX(Helper!$C$2:$C$17,MATCH(LARGE(Helper!$AH$2:$AH$17,2),Helper!$AH$2:$AH$17,0))</f>
        <v>0</v>
      </c>
      <c r="D4" s="25" t="n">
        <f aca="false">INDEX(Helper!$D$2:$D$17,MATCH(LARGE(Helper!$AH$2:$AH$17,2),Helper!$AH$2:$AH$17,0))</f>
        <v>0</v>
      </c>
      <c r="E4" s="25" t="n">
        <f aca="false">INDEX(Helper!$E$2:$E$17,MATCH(LARGE(Helper!$AH$2:$AH$17,2),Helper!$AH$2:$AH$17,0))</f>
        <v>0</v>
      </c>
      <c r="F4" s="25" t="n">
        <f aca="false">INDEX(Helper!$F$2:$F$17,MATCH(LARGE(Helper!$AH$2:$AH$17,2),Helper!$AH$2:$AH$17,0))</f>
        <v>0</v>
      </c>
      <c r="G4" s="25" t="n">
        <f aca="false">INDEX(Helper!$G$2:$G$17,MATCH(LARGE(Helper!$AH$2:$AH$17,2),Helper!$AH$2:$AH$17,0))</f>
        <v>0</v>
      </c>
      <c r="H4" s="25" t="n">
        <f aca="false">INDEX(Helper!$H$2:$H$17,MATCH(LARGE(Helper!$AH$2:$AH$17,2),Helper!$AH$2:$AH$17,0))</f>
        <v>0</v>
      </c>
      <c r="I4" s="22" t="n">
        <f aca="false">INDEX(Helper!$I$2:$I$17,MATCH(LARGE(Helper!$AH$2:$AH$17,2),Helper!$AH$2:$AH$17,0))</f>
        <v>0</v>
      </c>
      <c r="J4" s="25" t="n">
        <f aca="false">INDEX(Helper!$J$2:$J$17,MATCH(LARGE(Helper!$AH$2:$AH$17,2),Helper!$AH$2:$AH$17,0))</f>
        <v>0</v>
      </c>
      <c r="K4" s="25" t="n">
        <f aca="false">MAX(C4:H4)</f>
        <v>0</v>
      </c>
    </row>
    <row r="5" customFormat="false" ht="15" hidden="false" customHeight="true" outlineLevel="0" collapsed="false">
      <c r="A5" s="27" t="n">
        <v>3</v>
      </c>
      <c r="B5" s="24" t="str">
        <f aca="false">INDEX(Helper!$B$2:$B$17,MATCH(LARGE(Helper!$AH$2:$AH$17,3),Helper!$AH$2:$AH$17,0))</f>
        <v>Player 15</v>
      </c>
      <c r="C5" s="25" t="n">
        <f aca="false">INDEX(Helper!$C$2:$C$17,MATCH(LARGE(Helper!$AH$2:$AH$17,3),Helper!$AH$2:$AH$17,0))</f>
        <v>0</v>
      </c>
      <c r="D5" s="25" t="n">
        <f aca="false">INDEX(Helper!$D$2:$D$17,MATCH(LARGE(Helper!$AH$2:$AH$17,3),Helper!$AH$2:$AH$17,0))</f>
        <v>0</v>
      </c>
      <c r="E5" s="25" t="n">
        <f aca="false">INDEX(Helper!$E$2:$E$17,MATCH(LARGE(Helper!$AH$2:$AH$17,3),Helper!$AH$2:$AH$17,0))</f>
        <v>0</v>
      </c>
      <c r="F5" s="25" t="n">
        <f aca="false">INDEX(Helper!$F$2:$F$17,MATCH(LARGE(Helper!$AH$2:$AH$17,3),Helper!$AH$2:$AH$17,0))</f>
        <v>0</v>
      </c>
      <c r="G5" s="25" t="n">
        <f aca="false">INDEX(Helper!$G$2:$G$17,MATCH(LARGE(Helper!$AH$2:$AH$17,3),Helper!$AH$2:$AH$17,0))</f>
        <v>0</v>
      </c>
      <c r="H5" s="25" t="n">
        <f aca="false">INDEX(Helper!$H$2:$H$17,MATCH(LARGE(Helper!$AH$2:$AH$17,3),Helper!$AH$2:$AH$17,0))</f>
        <v>0</v>
      </c>
      <c r="I5" s="22" t="n">
        <f aca="false">INDEX(Helper!$I$2:$I$17,MATCH(LARGE(Helper!$AH$2:$AH$17,3),Helper!$AH$2:$AH$17,0))</f>
        <v>0</v>
      </c>
      <c r="J5" s="25" t="n">
        <f aca="false">INDEX(Helper!$J$2:$J$17,MATCH(LARGE(Helper!$AH$2:$AH$17,3),Helper!$AH$2:$AH$17,0))</f>
        <v>0</v>
      </c>
      <c r="K5" s="25" t="n">
        <f aca="false">MAX(C5:H5)</f>
        <v>0</v>
      </c>
    </row>
    <row r="6" customFormat="false" ht="15" hidden="false" customHeight="true" outlineLevel="0" collapsed="false">
      <c r="A6" s="28" t="n">
        <v>4</v>
      </c>
      <c r="B6" s="24" t="str">
        <f aca="false">INDEX(Helper!$B$2:$B$17,MATCH(LARGE(Helper!$AH$2:$AH$17,4),Helper!$AH$2:$AH$17,0))</f>
        <v>Player 14</v>
      </c>
      <c r="C6" s="25" t="n">
        <f aca="false">INDEX(Helper!$C$2:$C$17,MATCH(LARGE(Helper!$AH$2:$AH$17,4),Helper!$AH$2:$AH$17,0))</f>
        <v>0</v>
      </c>
      <c r="D6" s="25" t="n">
        <f aca="false">INDEX(Helper!$D$2:$D$17,MATCH(LARGE(Helper!$AH$2:$AH$17,4),Helper!$AH$2:$AH$17,0))</f>
        <v>0</v>
      </c>
      <c r="E6" s="25" t="n">
        <f aca="false">INDEX(Helper!$E$2:$E$17,MATCH(LARGE(Helper!$AH$2:$AH$17,4),Helper!$AH$2:$AH$17,0))</f>
        <v>0</v>
      </c>
      <c r="F6" s="25" t="n">
        <f aca="false">INDEX(Helper!$F$2:$F$17,MATCH(LARGE(Helper!$AH$2:$AH$17,4),Helper!$AH$2:$AH$17,0))</f>
        <v>0</v>
      </c>
      <c r="G6" s="25" t="n">
        <f aca="false">INDEX(Helper!$G$2:$G$17,MATCH(LARGE(Helper!$AH$2:$AH$17,4),Helper!$AH$2:$AH$17,0))</f>
        <v>0</v>
      </c>
      <c r="H6" s="25" t="n">
        <f aca="false">INDEX(Helper!$H$2:$H$17,MATCH(LARGE(Helper!$AH$2:$AH$17,4),Helper!$AH$2:$AH$17,0))</f>
        <v>0</v>
      </c>
      <c r="I6" s="22" t="n">
        <f aca="false">INDEX(Helper!$I$2:$I$17,MATCH(LARGE(Helper!$AH$2:$AH$17,4),Helper!$AH$2:$AH$17,0))</f>
        <v>0</v>
      </c>
      <c r="J6" s="25" t="n">
        <f aca="false">INDEX(Helper!$J$2:$J$17,MATCH(LARGE(Helper!$AH$2:$AH$17,4),Helper!$AH$2:$AH$17,0))</f>
        <v>0</v>
      </c>
      <c r="K6" s="25" t="n">
        <f aca="false">MAX(C6:H6)</f>
        <v>0</v>
      </c>
    </row>
    <row r="7" customFormat="false" ht="15" hidden="false" customHeight="true" outlineLevel="0" collapsed="false">
      <c r="A7" s="28" t="n">
        <v>5</v>
      </c>
      <c r="B7" s="24" t="str">
        <f aca="false">INDEX(Helper!$B$2:$B$17,MATCH(LARGE(Helper!$AH$2:$AH$17,5),Helper!$AH$2:$AH$17,0))</f>
        <v>Player 13</v>
      </c>
      <c r="C7" s="25" t="n">
        <f aca="false">INDEX(Helper!$C$2:$C$17,MATCH(LARGE(Helper!$AH$2:$AH$17,5),Helper!$AH$2:$AH$17,0))</f>
        <v>0</v>
      </c>
      <c r="D7" s="25" t="n">
        <f aca="false">INDEX(Helper!$D$2:$D$17,MATCH(LARGE(Helper!$AH$2:$AH$17,5),Helper!$AH$2:$AH$17,0))</f>
        <v>0</v>
      </c>
      <c r="E7" s="25" t="n">
        <f aca="false">INDEX(Helper!$E$2:$E$17,MATCH(LARGE(Helper!$AH$2:$AH$17,5),Helper!$AH$2:$AH$17,0))</f>
        <v>0</v>
      </c>
      <c r="F7" s="25" t="n">
        <f aca="false">INDEX(Helper!$F$2:$F$17,MATCH(LARGE(Helper!$AH$2:$AH$17,5),Helper!$AH$2:$AH$17,0))</f>
        <v>0</v>
      </c>
      <c r="G7" s="25" t="n">
        <f aca="false">INDEX(Helper!$G$2:$G$17,MATCH(LARGE(Helper!$AH$2:$AH$17,5),Helper!$AH$2:$AH$17,0))</f>
        <v>0</v>
      </c>
      <c r="H7" s="25" t="n">
        <f aca="false">INDEX(Helper!$H$2:$H$17,MATCH(LARGE(Helper!$AH$2:$AH$17,5),Helper!$AH$2:$AH$17,0))</f>
        <v>0</v>
      </c>
      <c r="I7" s="22" t="n">
        <f aca="false">INDEX(Helper!$I$2:$I$17,MATCH(LARGE(Helper!$AH$2:$AH$17,5),Helper!$AH$2:$AH$17,0))</f>
        <v>0</v>
      </c>
      <c r="J7" s="25" t="n">
        <f aca="false">INDEX(Helper!$J$2:$J$17,MATCH(LARGE(Helper!$AH$2:$AH$17,5),Helper!$AH$2:$AH$17,0))</f>
        <v>0</v>
      </c>
      <c r="K7" s="25" t="n">
        <f aca="false">MAX(C7:H7)</f>
        <v>0</v>
      </c>
    </row>
    <row r="8" customFormat="false" ht="15" hidden="false" customHeight="true" outlineLevel="0" collapsed="false">
      <c r="A8" s="28" t="n">
        <v>6</v>
      </c>
      <c r="B8" s="24" t="str">
        <f aca="false">INDEX(Helper!$B$2:$B$17,MATCH(LARGE(Helper!$AH$2:$AH$17,6),Helper!$AH$2:$AH$17,0))</f>
        <v>Player 12</v>
      </c>
      <c r="C8" s="25" t="n">
        <f aca="false">INDEX(Helper!$C$2:$C$17,MATCH(LARGE(Helper!$AH$2:$AH$17,6),Helper!$AH$2:$AH$17,0))</f>
        <v>0</v>
      </c>
      <c r="D8" s="25" t="n">
        <f aca="false">INDEX(Helper!$D$2:$D$17,MATCH(LARGE(Helper!$AH$2:$AH$17,6),Helper!$AH$2:$AH$17,0))</f>
        <v>0</v>
      </c>
      <c r="E8" s="25" t="n">
        <f aca="false">INDEX(Helper!$E$2:$E$17,MATCH(LARGE(Helper!$AH$2:$AH$17,6),Helper!$AH$2:$AH$17,0))</f>
        <v>0</v>
      </c>
      <c r="F8" s="25" t="n">
        <f aca="false">INDEX(Helper!$F$2:$F$17,MATCH(LARGE(Helper!$AH$2:$AH$17,6),Helper!$AH$2:$AH$17,0))</f>
        <v>0</v>
      </c>
      <c r="G8" s="25" t="n">
        <f aca="false">INDEX(Helper!$G$2:$G$17,MATCH(LARGE(Helper!$AH$2:$AH$17,6),Helper!$AH$2:$AH$17,0))</f>
        <v>0</v>
      </c>
      <c r="H8" s="25" t="n">
        <f aca="false">INDEX(Helper!$H$2:$H$17,MATCH(LARGE(Helper!$AH$2:$AH$17,6),Helper!$AH$2:$AH$17,0))</f>
        <v>0</v>
      </c>
      <c r="I8" s="22" t="n">
        <f aca="false">INDEX(Helper!$I$2:$I$17,MATCH(LARGE(Helper!$AH$2:$AH$17,6),Helper!$AH$2:$AH$17,0))</f>
        <v>0</v>
      </c>
      <c r="J8" s="25" t="n">
        <f aca="false">INDEX(Helper!$J$2:$J$17,MATCH(LARGE(Helper!$AH$2:$AH$17,6),Helper!$AH$2:$AH$17,0))</f>
        <v>0</v>
      </c>
      <c r="K8" s="25" t="n">
        <f aca="false">MAX(C8:H8)</f>
        <v>0</v>
      </c>
    </row>
    <row r="9" customFormat="false" ht="15" hidden="false" customHeight="true" outlineLevel="0" collapsed="false">
      <c r="A9" s="28" t="n">
        <v>7</v>
      </c>
      <c r="B9" s="24" t="str">
        <f aca="false">INDEX(Helper!$B$2:$B$17,MATCH(LARGE(Helper!$AH$2:$AH$17,7),Helper!$AH$2:$AH$17,0))</f>
        <v>Player 11</v>
      </c>
      <c r="C9" s="25" t="n">
        <f aca="false">INDEX(Helper!$C$2:$C$17,MATCH(LARGE(Helper!$AH$2:$AH$17,7),Helper!$AH$2:$AH$17,0))</f>
        <v>0</v>
      </c>
      <c r="D9" s="25" t="n">
        <f aca="false">INDEX(Helper!$D$2:$D$17,MATCH(LARGE(Helper!$AH$2:$AH$17,7),Helper!$AH$2:$AH$17,0))</f>
        <v>0</v>
      </c>
      <c r="E9" s="25" t="n">
        <f aca="false">INDEX(Helper!$E$2:$E$17,MATCH(LARGE(Helper!$AH$2:$AH$17,7),Helper!$AH$2:$AH$17,0))</f>
        <v>0</v>
      </c>
      <c r="F9" s="25" t="n">
        <f aca="false">INDEX(Helper!$F$2:$F$17,MATCH(LARGE(Helper!$AH$2:$AH$17,7),Helper!$AH$2:$AH$17,0))</f>
        <v>0</v>
      </c>
      <c r="G9" s="25" t="n">
        <f aca="false">INDEX(Helper!$G$2:$G$17,MATCH(LARGE(Helper!$AH$2:$AH$17,7),Helper!$AH$2:$AH$17,0))</f>
        <v>0</v>
      </c>
      <c r="H9" s="25" t="n">
        <f aca="false">INDEX(Helper!$H$2:$H$17,MATCH(LARGE(Helper!$AH$2:$AH$17,7),Helper!$AH$2:$AH$17,0))</f>
        <v>0</v>
      </c>
      <c r="I9" s="22" t="n">
        <f aca="false">INDEX(Helper!$I$2:$I$17,MATCH(LARGE(Helper!$AH$2:$AH$17,7),Helper!$AH$2:$AH$17,0))</f>
        <v>0</v>
      </c>
      <c r="J9" s="25" t="n">
        <f aca="false">INDEX(Helper!$J$2:$J$17,MATCH(LARGE(Helper!$AH$2:$AH$17,7),Helper!$AH$2:$AH$17,0))</f>
        <v>0</v>
      </c>
      <c r="K9" s="25" t="n">
        <f aca="false">MAX(C9:H9)</f>
        <v>0</v>
      </c>
    </row>
    <row r="10" customFormat="false" ht="15" hidden="false" customHeight="true" outlineLevel="0" collapsed="false">
      <c r="A10" s="28" t="n">
        <v>8</v>
      </c>
      <c r="B10" s="24" t="str">
        <f aca="false">INDEX(Helper!$B$2:$B$17,MATCH(LARGE(Helper!$AH$2:$AH$17,8),Helper!$AH$2:$AH$17,0))</f>
        <v>Player 10</v>
      </c>
      <c r="C10" s="25" t="n">
        <f aca="false">INDEX(Helper!$C$2:$C$17,MATCH(LARGE(Helper!$AH$2:$AH$17,8),Helper!$AH$2:$AH$17,0))</f>
        <v>0</v>
      </c>
      <c r="D10" s="25" t="n">
        <f aca="false">INDEX(Helper!$D$2:$D$17,MATCH(LARGE(Helper!$AH$2:$AH$17,8),Helper!$AH$2:$AH$17,0))</f>
        <v>0</v>
      </c>
      <c r="E10" s="25" t="n">
        <f aca="false">INDEX(Helper!$E$2:$E$17,MATCH(LARGE(Helper!$AH$2:$AH$17,8),Helper!$AH$2:$AH$17,0))</f>
        <v>0</v>
      </c>
      <c r="F10" s="25" t="n">
        <f aca="false">INDEX(Helper!$F$2:$F$17,MATCH(LARGE(Helper!$AH$2:$AH$17,8),Helper!$AH$2:$AH$17,0))</f>
        <v>0</v>
      </c>
      <c r="G10" s="25" t="n">
        <f aca="false">INDEX(Helper!$G$2:$G$17,MATCH(LARGE(Helper!$AH$2:$AH$17,8),Helper!$AH$2:$AH$17,0))</f>
        <v>0</v>
      </c>
      <c r="H10" s="25" t="n">
        <f aca="false">INDEX(Helper!$H$2:$H$17,MATCH(LARGE(Helper!$AH$2:$AH$17,8),Helper!$AH$2:$AH$17,0))</f>
        <v>0</v>
      </c>
      <c r="I10" s="22" t="n">
        <f aca="false">INDEX(Helper!$I$2:$I$17,MATCH(LARGE(Helper!$AH$2:$AH$17,8),Helper!$AH$2:$AH$17,0))</f>
        <v>0</v>
      </c>
      <c r="J10" s="25" t="n">
        <f aca="false">INDEX(Helper!$J$2:$J$17,MATCH(LARGE(Helper!$AH$2:$AH$17,8),Helper!$AH$2:$AH$17,0))</f>
        <v>0</v>
      </c>
      <c r="K10" s="25" t="n">
        <f aca="false">MAX(C10:H10)</f>
        <v>0</v>
      </c>
    </row>
    <row r="11" customFormat="false" ht="15" hidden="false" customHeight="true" outlineLevel="0" collapsed="false">
      <c r="A11" s="28" t="n">
        <v>9</v>
      </c>
      <c r="B11" s="24" t="str">
        <f aca="false">INDEX(Helper!$B$2:$B$17,MATCH(LARGE(Helper!$AH$2:$AH$17,9),Helper!$AH$2:$AH$17,0))</f>
        <v>Player 9</v>
      </c>
      <c r="C11" s="25" t="n">
        <f aca="false">INDEX(Helper!$C$2:$C$17,MATCH(LARGE(Helper!$AH$2:$AH$17,9),Helper!$AH$2:$AH$17,0))</f>
        <v>0</v>
      </c>
      <c r="D11" s="25" t="n">
        <f aca="false">INDEX(Helper!$D$2:$D$17,MATCH(LARGE(Helper!$AH$2:$AH$17,9),Helper!$AH$2:$AH$17,0))</f>
        <v>0</v>
      </c>
      <c r="E11" s="25" t="n">
        <f aca="false">INDEX(Helper!$E$2:$E$17,MATCH(LARGE(Helper!$AH$2:$AH$17,9),Helper!$AH$2:$AH$17,0))</f>
        <v>0</v>
      </c>
      <c r="F11" s="25" t="n">
        <f aca="false">INDEX(Helper!$F$2:$F$17,MATCH(LARGE(Helper!$AH$2:$AH$17,9),Helper!$AH$2:$AH$17,0))</f>
        <v>0</v>
      </c>
      <c r="G11" s="25" t="n">
        <f aca="false">INDEX(Helper!$G$2:$G$17,MATCH(LARGE(Helper!$AH$2:$AH$17,9),Helper!$AH$2:$AH$17,0))</f>
        <v>0</v>
      </c>
      <c r="H11" s="25" t="n">
        <f aca="false">INDEX(Helper!$H$2:$H$17,MATCH(LARGE(Helper!$AH$2:$AH$17,9),Helper!$AH$2:$AH$17,0))</f>
        <v>0</v>
      </c>
      <c r="I11" s="22" t="n">
        <f aca="false">INDEX(Helper!$I$2:$I$17,MATCH(LARGE(Helper!$AH$2:$AH$17,9),Helper!$AH$2:$AH$17,0))</f>
        <v>0</v>
      </c>
      <c r="J11" s="25" t="n">
        <f aca="false">INDEX(Helper!$J$2:$J$17,MATCH(LARGE(Helper!$AH$2:$AH$17,9),Helper!$AH$2:$AH$17,0))</f>
        <v>0</v>
      </c>
      <c r="K11" s="25" t="n">
        <f aca="false">MAX(C11:H11)</f>
        <v>0</v>
      </c>
    </row>
    <row r="12" customFormat="false" ht="15" hidden="false" customHeight="true" outlineLevel="0" collapsed="false">
      <c r="A12" s="28" t="n">
        <v>10</v>
      </c>
      <c r="B12" s="24" t="str">
        <f aca="false">INDEX(Helper!$B$2:$B$17,MATCH(LARGE(Helper!$AH$2:$AH$17,10),Helper!$AH$2:$AH$17,0))</f>
        <v>Player 8</v>
      </c>
      <c r="C12" s="25" t="n">
        <f aca="false">INDEX(Helper!$C$2:$C$17,MATCH(LARGE(Helper!$AH$2:$AH$17,10),Helper!$AH$2:$AH$17,0))</f>
        <v>0</v>
      </c>
      <c r="D12" s="25" t="n">
        <f aca="false">INDEX(Helper!$D$2:$D$17,MATCH(LARGE(Helper!$AH$2:$AH$17,10),Helper!$AH$2:$AH$17,0))</f>
        <v>0</v>
      </c>
      <c r="E12" s="25" t="n">
        <f aca="false">INDEX(Helper!$E$2:$E$17,MATCH(LARGE(Helper!$AH$2:$AH$17,10),Helper!$AH$2:$AH$17,0))</f>
        <v>0</v>
      </c>
      <c r="F12" s="25" t="n">
        <f aca="false">INDEX(Helper!$F$2:$F$17,MATCH(LARGE(Helper!$AH$2:$AH$17,10),Helper!$AH$2:$AH$17,0))</f>
        <v>0</v>
      </c>
      <c r="G12" s="25" t="n">
        <f aca="false">INDEX(Helper!$G$2:$G$17,MATCH(LARGE(Helper!$AH$2:$AH$17,10),Helper!$AH$2:$AH$17,0))</f>
        <v>0</v>
      </c>
      <c r="H12" s="25" t="n">
        <f aca="false">INDEX(Helper!$H$2:$H$17,MATCH(LARGE(Helper!$AH$2:$AH$17,10),Helper!$AH$2:$AH$17,0))</f>
        <v>0</v>
      </c>
      <c r="I12" s="22" t="n">
        <f aca="false">INDEX(Helper!$I$2:$I$17,MATCH(LARGE(Helper!$AH$2:$AH$17,10),Helper!$AH$2:$AH$17,0))</f>
        <v>0</v>
      </c>
      <c r="J12" s="25" t="n">
        <f aca="false">INDEX(Helper!$J$2:$J$17,MATCH(LARGE(Helper!$AH$2:$AH$17,10),Helper!$AH$2:$AH$17,0))</f>
        <v>0</v>
      </c>
      <c r="K12" s="25" t="n">
        <f aca="false">MAX(C12:H12)</f>
        <v>0</v>
      </c>
    </row>
    <row r="13" customFormat="false" ht="15" hidden="false" customHeight="true" outlineLevel="0" collapsed="false">
      <c r="A13" s="28" t="n">
        <v>11</v>
      </c>
      <c r="B13" s="24" t="str">
        <f aca="false">INDEX(Helper!$B$2:$B$17,MATCH(LARGE(Helper!$AH$2:$AH$17,11),Helper!$AH$2:$AH$17,0))</f>
        <v>Player 7</v>
      </c>
      <c r="C13" s="25" t="n">
        <f aca="false">INDEX(Helper!$C$2:$C$17,MATCH(LARGE(Helper!$AH$2:$AH$17,11),Helper!$AH$2:$AH$17,0))</f>
        <v>0</v>
      </c>
      <c r="D13" s="25" t="n">
        <f aca="false">INDEX(Helper!$D$2:$D$17,MATCH(LARGE(Helper!$AH$2:$AH$17,11),Helper!$AH$2:$AH$17,0))</f>
        <v>0</v>
      </c>
      <c r="E13" s="25" t="n">
        <f aca="false">INDEX(Helper!$E$2:$E$17,MATCH(LARGE(Helper!$AH$2:$AH$17,11),Helper!$AH$2:$AH$17,0))</f>
        <v>0</v>
      </c>
      <c r="F13" s="25" t="n">
        <f aca="false">INDEX(Helper!$F$2:$F$17,MATCH(LARGE(Helper!$AH$2:$AH$17,11),Helper!$AH$2:$AH$17,0))</f>
        <v>0</v>
      </c>
      <c r="G13" s="25" t="n">
        <f aca="false">INDEX(Helper!$G$2:$G$17,MATCH(LARGE(Helper!$AH$2:$AH$17,11),Helper!$AH$2:$AH$17,0))</f>
        <v>0</v>
      </c>
      <c r="H13" s="25" t="n">
        <f aca="false">INDEX(Helper!$H$2:$H$17,MATCH(LARGE(Helper!$AH$2:$AH$17,11),Helper!$AH$2:$AH$17,0))</f>
        <v>0</v>
      </c>
      <c r="I13" s="22" t="n">
        <f aca="false">INDEX(Helper!$I$2:$I$17,MATCH(LARGE(Helper!$AH$2:$AH$17,11),Helper!$AH$2:$AH$17,0))</f>
        <v>0</v>
      </c>
      <c r="J13" s="25" t="n">
        <f aca="false">INDEX(Helper!$J$2:$J$17,MATCH(LARGE(Helper!$AH$2:$AH$17,11),Helper!$AH$2:$AH$17,0))</f>
        <v>0</v>
      </c>
      <c r="K13" s="25" t="n">
        <f aca="false">MAX(C13:H13)</f>
        <v>0</v>
      </c>
    </row>
    <row r="14" customFormat="false" ht="15" hidden="false" customHeight="true" outlineLevel="0" collapsed="false">
      <c r="A14" s="28" t="n">
        <v>12</v>
      </c>
      <c r="B14" s="24" t="str">
        <f aca="false">INDEX(Helper!$B$2:$B$17,MATCH(LARGE(Helper!$AH$2:$AH$17,12),Helper!$AH$2:$AH$17,0))</f>
        <v>Player 6</v>
      </c>
      <c r="C14" s="25" t="n">
        <f aca="false">INDEX(Helper!$C$2:$C$17,MATCH(LARGE(Helper!$AH$2:$AH$17,12),Helper!$AH$2:$AH$17,0))</f>
        <v>0</v>
      </c>
      <c r="D14" s="25" t="n">
        <f aca="false">INDEX(Helper!$D$2:$D$17,MATCH(LARGE(Helper!$AH$2:$AH$17,12),Helper!$AH$2:$AH$17,0))</f>
        <v>0</v>
      </c>
      <c r="E14" s="25" t="n">
        <f aca="false">INDEX(Helper!$E$2:$E$17,MATCH(LARGE(Helper!$AH$2:$AH$17,12),Helper!$AH$2:$AH$17,0))</f>
        <v>0</v>
      </c>
      <c r="F14" s="25" t="n">
        <f aca="false">INDEX(Helper!$F$2:$F$17,MATCH(LARGE(Helper!$AH$2:$AH$17,12),Helper!$AH$2:$AH$17,0))</f>
        <v>0</v>
      </c>
      <c r="G14" s="25" t="n">
        <f aca="false">INDEX(Helper!$G$2:$G$17,MATCH(LARGE(Helper!$AH$2:$AH$17,12),Helper!$AH$2:$AH$17,0))</f>
        <v>0</v>
      </c>
      <c r="H14" s="25" t="n">
        <f aca="false">INDEX(Helper!$H$2:$H$17,MATCH(LARGE(Helper!$AH$2:$AH$17,12),Helper!$AH$2:$AH$17,0))</f>
        <v>0</v>
      </c>
      <c r="I14" s="22" t="n">
        <f aca="false">INDEX(Helper!$I$2:$I$17,MATCH(LARGE(Helper!$AH$2:$AH$17,12),Helper!$AH$2:$AH$17,0))</f>
        <v>0</v>
      </c>
      <c r="J14" s="25" t="n">
        <f aca="false">INDEX(Helper!$J$2:$J$17,MATCH(LARGE(Helper!$AH$2:$AH$17,12),Helper!$AH$2:$AH$17,0))</f>
        <v>0</v>
      </c>
      <c r="K14" s="25" t="n">
        <f aca="false">MAX(C14:H14)</f>
        <v>0</v>
      </c>
    </row>
    <row r="15" customFormat="false" ht="15" hidden="false" customHeight="true" outlineLevel="0" collapsed="false">
      <c r="A15" s="28" t="n">
        <v>13</v>
      </c>
      <c r="B15" s="24" t="str">
        <f aca="false">INDEX(Helper!$B$2:$B$17,MATCH(LARGE(Helper!$AH$2:$AH$17,13),Helper!$AH$2:$AH$17,0))</f>
        <v>Player 5</v>
      </c>
      <c r="C15" s="25" t="n">
        <f aca="false">INDEX(Helper!$C$2:$C$17,MATCH(LARGE(Helper!$AH$2:$AH$17,13),Helper!$AH$2:$AH$17,0))</f>
        <v>0</v>
      </c>
      <c r="D15" s="25" t="n">
        <f aca="false">INDEX(Helper!$D$2:$D$17,MATCH(LARGE(Helper!$AH$2:$AH$17,13),Helper!$AH$2:$AH$17,0))</f>
        <v>0</v>
      </c>
      <c r="E15" s="25" t="n">
        <f aca="false">INDEX(Helper!$E$2:$E$17,MATCH(LARGE(Helper!$AH$2:$AH$17,13),Helper!$AH$2:$AH$17,0))</f>
        <v>0</v>
      </c>
      <c r="F15" s="25" t="n">
        <f aca="false">INDEX(Helper!$F$2:$F$17,MATCH(LARGE(Helper!$AH$2:$AH$17,13),Helper!$AH$2:$AH$17,0))</f>
        <v>0</v>
      </c>
      <c r="G15" s="25" t="n">
        <f aca="false">INDEX(Helper!$G$2:$G$17,MATCH(LARGE(Helper!$AH$2:$AH$17,13),Helper!$AH$2:$AH$17,0))</f>
        <v>0</v>
      </c>
      <c r="H15" s="25" t="n">
        <f aca="false">INDEX(Helper!$H$2:$H$17,MATCH(LARGE(Helper!$AH$2:$AH$17,13),Helper!$AH$2:$AH$17,0))</f>
        <v>0</v>
      </c>
      <c r="I15" s="22" t="n">
        <f aca="false">INDEX(Helper!$I$2:$I$17,MATCH(LARGE(Helper!$AH$2:$AH$17,13),Helper!$AH$2:$AH$17,0))</f>
        <v>0</v>
      </c>
      <c r="J15" s="25" t="n">
        <f aca="false">INDEX(Helper!$J$2:$J$17,MATCH(LARGE(Helper!$AH$2:$AH$17,13),Helper!$AH$2:$AH$17,0))</f>
        <v>0</v>
      </c>
      <c r="K15" s="25" t="n">
        <f aca="false">MAX(C15:H15)</f>
        <v>0</v>
      </c>
    </row>
    <row r="16" customFormat="false" ht="15" hidden="false" customHeight="true" outlineLevel="0" collapsed="false">
      <c r="A16" s="28" t="n">
        <v>14</v>
      </c>
      <c r="B16" s="24" t="str">
        <f aca="false">INDEX(Helper!$B$2:$B$17,MATCH(LARGE(Helper!$AH$2:$AH$17,14),Helper!$AH$2:$AH$17,0))</f>
        <v>Player 4</v>
      </c>
      <c r="C16" s="25" t="n">
        <f aca="false">INDEX(Helper!$C$2:$C$17,MATCH(LARGE(Helper!$AH$2:$AH$17,14),Helper!$AH$2:$AH$17,0))</f>
        <v>0</v>
      </c>
      <c r="D16" s="25" t="n">
        <f aca="false">INDEX(Helper!$D$2:$D$17,MATCH(LARGE(Helper!$AH$2:$AH$17,14),Helper!$AH$2:$AH$17,0))</f>
        <v>0</v>
      </c>
      <c r="E16" s="25" t="n">
        <f aca="false">INDEX(Helper!$E$2:$E$17,MATCH(LARGE(Helper!$AH$2:$AH$17,14),Helper!$AH$2:$AH$17,0))</f>
        <v>0</v>
      </c>
      <c r="F16" s="25" t="n">
        <f aca="false">INDEX(Helper!$F$2:$F$17,MATCH(LARGE(Helper!$AH$2:$AH$17,14),Helper!$AH$2:$AH$17,0))</f>
        <v>0</v>
      </c>
      <c r="G16" s="25" t="n">
        <f aca="false">INDEX(Helper!$G$2:$G$17,MATCH(LARGE(Helper!$AH$2:$AH$17,14),Helper!$AH$2:$AH$17,0))</f>
        <v>0</v>
      </c>
      <c r="H16" s="25" t="n">
        <f aca="false">INDEX(Helper!$H$2:$H$17,MATCH(LARGE(Helper!$AH$2:$AH$17,14),Helper!$AH$2:$AH$17,0))</f>
        <v>0</v>
      </c>
      <c r="I16" s="22" t="n">
        <f aca="false">INDEX(Helper!$I$2:$I$17,MATCH(LARGE(Helper!$AH$2:$AH$17,14),Helper!$AH$2:$AH$17,0))</f>
        <v>0</v>
      </c>
      <c r="J16" s="25" t="n">
        <f aca="false">INDEX(Helper!$J$2:$J$17,MATCH(LARGE(Helper!$AH$2:$AH$17,14),Helper!$AH$2:$AH$17,0))</f>
        <v>0</v>
      </c>
      <c r="K16" s="25" t="n">
        <f aca="false">MAX(C16:H16)</f>
        <v>0</v>
      </c>
    </row>
    <row r="17" customFormat="false" ht="15" hidden="false" customHeight="true" outlineLevel="0" collapsed="false">
      <c r="A17" s="28" t="n">
        <v>15</v>
      </c>
      <c r="B17" s="24" t="str">
        <f aca="false">INDEX(Helper!$B$2:$B$17,MATCH(LARGE(Helper!$AH$2:$AH$17,15),Helper!$AH$2:$AH$17,0))</f>
        <v>Player 3</v>
      </c>
      <c r="C17" s="25" t="n">
        <f aca="false">INDEX(Helper!$C$2:$C$17,MATCH(LARGE(Helper!$AH$2:$AH$17,15),Helper!$AH$2:$AH$17,0))</f>
        <v>0</v>
      </c>
      <c r="D17" s="25" t="n">
        <f aca="false">INDEX(Helper!$D$2:$D$17,MATCH(LARGE(Helper!$AH$2:$AH$17,15),Helper!$AH$2:$AH$17,0))</f>
        <v>0</v>
      </c>
      <c r="E17" s="25" t="n">
        <f aca="false">INDEX(Helper!$E$2:$E$17,MATCH(LARGE(Helper!$AH$2:$AH$17,15),Helper!$AH$2:$AH$17,0))</f>
        <v>0</v>
      </c>
      <c r="F17" s="25" t="n">
        <f aca="false">INDEX(Helper!$F$2:$F$17,MATCH(LARGE(Helper!$AH$2:$AH$17,15),Helper!$AH$2:$AH$17,0))</f>
        <v>0</v>
      </c>
      <c r="G17" s="25" t="n">
        <f aca="false">INDEX(Helper!$G$2:$G$17,MATCH(LARGE(Helper!$AH$2:$AH$17,15),Helper!$AH$2:$AH$17,0))</f>
        <v>0</v>
      </c>
      <c r="H17" s="25" t="n">
        <f aca="false">INDEX(Helper!$H$2:$H$17,MATCH(LARGE(Helper!$AH$2:$AH$17,15),Helper!$AH$2:$AH$17,0))</f>
        <v>0</v>
      </c>
      <c r="I17" s="22" t="n">
        <f aca="false">INDEX(Helper!$I$2:$I$17,MATCH(LARGE(Helper!$AH$2:$AH$17,15),Helper!$AH$2:$AH$17,0))</f>
        <v>0</v>
      </c>
      <c r="J17" s="25" t="n">
        <f aca="false">INDEX(Helper!$J$2:$J$17,MATCH(LARGE(Helper!$AH$2:$AH$17,15),Helper!$AH$2:$AH$17,0))</f>
        <v>0</v>
      </c>
      <c r="K17" s="25" t="n">
        <f aca="false">MAX(C17:H17)</f>
        <v>0</v>
      </c>
    </row>
    <row r="18" customFormat="false" ht="15" hidden="false" customHeight="true" outlineLevel="0" collapsed="false">
      <c r="A18" s="28" t="n">
        <v>16</v>
      </c>
      <c r="B18" s="24" t="str">
        <f aca="false">INDEX(Helper!$B$2:$B$17,MATCH(LARGE(Helper!$AH$2:$AH$17,16),Helper!$AH$2:$AH$17,0))</f>
        <v>Player 2</v>
      </c>
      <c r="C18" s="25" t="n">
        <f aca="false">INDEX(Helper!$C$2:$C$17,MATCH(LARGE(Helper!$AH$2:$AH$17,16),Helper!$AH$2:$AH$17,0))</f>
        <v>0</v>
      </c>
      <c r="D18" s="25" t="n">
        <f aca="false">INDEX(Helper!$D$2:$D$17,MATCH(LARGE(Helper!$AH$2:$AH$17,16),Helper!$AH$2:$AH$17,0))</f>
        <v>0</v>
      </c>
      <c r="E18" s="25" t="n">
        <f aca="false">INDEX(Helper!$E$2:$E$17,MATCH(LARGE(Helper!$AH$2:$AH$17,16),Helper!$AH$2:$AH$17,0))</f>
        <v>0</v>
      </c>
      <c r="F18" s="25" t="n">
        <f aca="false">INDEX(Helper!$F$2:$F$17,MATCH(LARGE(Helper!$AH$2:$AH$17,16),Helper!$AH$2:$AH$17,0))</f>
        <v>0</v>
      </c>
      <c r="G18" s="25" t="n">
        <f aca="false">INDEX(Helper!$G$2:$G$17,MATCH(LARGE(Helper!$AH$2:$AH$17,16),Helper!$AH$2:$AH$17,0))</f>
        <v>0</v>
      </c>
      <c r="H18" s="25" t="n">
        <f aca="false">INDEX(Helper!$H$2:$H$17,MATCH(LARGE(Helper!$AH$2:$AH$17,16),Helper!$AH$2:$AH$17,0))</f>
        <v>0</v>
      </c>
      <c r="I18" s="22" t="n">
        <f aca="false">INDEX(Helper!$I$2:$I$17,MATCH(LARGE(Helper!$AH$2:$AH$17,16),Helper!$AH$2:$AH$17,0))</f>
        <v>0</v>
      </c>
      <c r="J18" s="25" t="n">
        <f aca="false">INDEX(Helper!$J$2:$J$17,MATCH(LARGE(Helper!$AH$2:$AH$17,16),Helper!$AH$2:$AH$17,0))</f>
        <v>0</v>
      </c>
      <c r="K18" s="25" t="n">
        <f aca="false">MAX(C18:H18)</f>
        <v>0</v>
      </c>
    </row>
    <row r="20" customFormat="false" ht="15" hidden="false" customHeight="true" outlineLevel="0" collapsed="false">
      <c r="A20" s="29" t="s">
        <v>108</v>
      </c>
      <c r="B20" s="29"/>
      <c r="C20" s="29"/>
      <c r="D20" s="29"/>
      <c r="E20" s="29"/>
      <c r="F20" s="29"/>
      <c r="G20" s="29"/>
      <c r="H20" s="29"/>
      <c r="I20" s="29"/>
      <c r="J20" s="29"/>
      <c r="K20" s="29"/>
    </row>
    <row r="21" customFormat="false" ht="15" hidden="false" customHeight="true" outlineLevel="0" collapsed="false">
      <c r="A21" s="30" t="s">
        <v>97</v>
      </c>
      <c r="B21" s="30" t="s">
        <v>98</v>
      </c>
      <c r="C21" s="30" t="s">
        <v>109</v>
      </c>
      <c r="D21" s="30" t="s">
        <v>110</v>
      </c>
      <c r="E21" s="30" t="s">
        <v>111</v>
      </c>
      <c r="F21" s="30" t="s">
        <v>112</v>
      </c>
      <c r="G21" s="30" t="s">
        <v>113</v>
      </c>
      <c r="H21" s="30" t="s">
        <v>114</v>
      </c>
      <c r="I21" s="30" t="s">
        <v>105</v>
      </c>
      <c r="J21" s="30" t="s">
        <v>106</v>
      </c>
      <c r="K21" s="30" t="s">
        <v>107</v>
      </c>
    </row>
    <row r="22" customFormat="false" ht="15" hidden="false" customHeight="true" outlineLevel="0" collapsed="false">
      <c r="A22" s="23" t="n">
        <v>1</v>
      </c>
      <c r="B22" s="24" t="str">
        <f aca="false">INDEX(Helper!$B$2:$B$17,MATCH(LARGE(Helper!$AJ$2:$AJ$17,1),Helper!$AJ$2:$AJ$17,0))</f>
        <v>Player 16</v>
      </c>
      <c r="C22" s="25" t="n">
        <f aca="false">INDEX(Helper!$L$2:$L$17,MATCH(LARGE(Helper!$AJ$2:$AJ$17,1),Helper!$AJ$2:$AJ$17,0))</f>
        <v>0</v>
      </c>
      <c r="D22" s="25" t="n">
        <f aca="false">INDEX(Helper!$M$2:$M$17,MATCH(LARGE(Helper!$AJ$2:$AJ$17,1),Helper!$AJ$2:$AJ$17,0))</f>
        <v>0</v>
      </c>
      <c r="E22" s="25" t="n">
        <f aca="false">INDEX(Helper!$N$2:$N$17,MATCH(LARGE(Helper!$AJ$2:$AJ$17,1),Helper!$AJ$2:$AJ$17,0))</f>
        <v>0</v>
      </c>
      <c r="F22" s="25" t="n">
        <f aca="false">INDEX(Helper!$O$2:$O$17,MATCH(LARGE(Helper!$AJ$2:$AJ$17,1),Helper!$AJ$2:$AJ$17,0))</f>
        <v>0</v>
      </c>
      <c r="G22" s="25" t="n">
        <f aca="false">INDEX(Helper!$P$2:$P$17,MATCH(LARGE(Helper!$AJ$2:$AJ$17,1),Helper!$AJ$2:$AJ$17,0))</f>
        <v>0</v>
      </c>
      <c r="H22" s="25" t="n">
        <f aca="false">INDEX(Helper!$Q$2:$Q$17,MATCH(LARGE(Helper!$AJ$2:$AJ$17,1),Helper!$AJ$2:$AJ$17,0))</f>
        <v>0</v>
      </c>
      <c r="I22" s="30" t="n">
        <f aca="false">INDEX(Helper!$R$2:$R$17,MATCH(LARGE(Helper!$AJ$2:$AJ$17,1),Helper!$AJ$2:$AJ$17,0))</f>
        <v>0</v>
      </c>
      <c r="J22" s="25" t="n">
        <f aca="false">INDEX(Helper!$S$2:$S$17,MATCH(LARGE(Helper!$AJ$2:$AJ$17,1),Helper!$AJ$2:$AJ$17,0))</f>
        <v>0</v>
      </c>
      <c r="K22" s="25" t="n">
        <f aca="false">MAX(C22:H22)</f>
        <v>0</v>
      </c>
    </row>
    <row r="23" customFormat="false" ht="15" hidden="false" customHeight="true" outlineLevel="0" collapsed="false">
      <c r="A23" s="26" t="n">
        <v>2</v>
      </c>
      <c r="B23" s="24" t="str">
        <f aca="false">INDEX(Helper!$B$2:$B$17,MATCH(LARGE(Helper!$AJ$2:$AJ$17,2),Helper!$AJ$2:$AJ$17,0))</f>
        <v>Player 15</v>
      </c>
      <c r="C23" s="25" t="n">
        <f aca="false">INDEX(Helper!$L$2:$L$17,MATCH(LARGE(Helper!$AJ$2:$AJ$17,2),Helper!$AJ$2:$AJ$17,0))</f>
        <v>0</v>
      </c>
      <c r="D23" s="25" t="n">
        <f aca="false">INDEX(Helper!$M$2:$M$17,MATCH(LARGE(Helper!$AJ$2:$AJ$17,2),Helper!$AJ$2:$AJ$17,0))</f>
        <v>0</v>
      </c>
      <c r="E23" s="25" t="n">
        <f aca="false">INDEX(Helper!$N$2:$N$17,MATCH(LARGE(Helper!$AJ$2:$AJ$17,2),Helper!$AJ$2:$AJ$17,0))</f>
        <v>0</v>
      </c>
      <c r="F23" s="25" t="n">
        <f aca="false">INDEX(Helper!$O$2:$O$17,MATCH(LARGE(Helper!$AJ$2:$AJ$17,2),Helper!$AJ$2:$AJ$17,0))</f>
        <v>0</v>
      </c>
      <c r="G23" s="25" t="n">
        <f aca="false">INDEX(Helper!$P$2:$P$17,MATCH(LARGE(Helper!$AJ$2:$AJ$17,2),Helper!$AJ$2:$AJ$17,0))</f>
        <v>0</v>
      </c>
      <c r="H23" s="25" t="n">
        <f aca="false">INDEX(Helper!$Q$2:$Q$17,MATCH(LARGE(Helper!$AJ$2:$AJ$17,2),Helper!$AJ$2:$AJ$17,0))</f>
        <v>0</v>
      </c>
      <c r="I23" s="30" t="n">
        <f aca="false">INDEX(Helper!$R$2:$R$17,MATCH(LARGE(Helper!$AJ$2:$AJ$17,2),Helper!$AJ$2:$AJ$17,0))</f>
        <v>0</v>
      </c>
      <c r="J23" s="25" t="n">
        <f aca="false">INDEX(Helper!$S$2:$S$17,MATCH(LARGE(Helper!$AJ$2:$AJ$17,2),Helper!$AJ$2:$AJ$17,0))</f>
        <v>0</v>
      </c>
      <c r="K23" s="25" t="n">
        <f aca="false">MAX(C23:H23)</f>
        <v>0</v>
      </c>
    </row>
    <row r="24" customFormat="false" ht="15" hidden="false" customHeight="true" outlineLevel="0" collapsed="false">
      <c r="A24" s="27" t="n">
        <v>3</v>
      </c>
      <c r="B24" s="24" t="str">
        <f aca="false">INDEX(Helper!$B$2:$B$17,MATCH(LARGE(Helper!$AJ$2:$AJ$17,3),Helper!$AJ$2:$AJ$17,0))</f>
        <v>Player 14</v>
      </c>
      <c r="C24" s="25" t="n">
        <f aca="false">INDEX(Helper!$L$2:$L$17,MATCH(LARGE(Helper!$AJ$2:$AJ$17,3),Helper!$AJ$2:$AJ$17,0))</f>
        <v>0</v>
      </c>
      <c r="D24" s="25" t="n">
        <f aca="false">INDEX(Helper!$M$2:$M$17,MATCH(LARGE(Helper!$AJ$2:$AJ$17,3),Helper!$AJ$2:$AJ$17,0))</f>
        <v>0</v>
      </c>
      <c r="E24" s="25" t="n">
        <f aca="false">INDEX(Helper!$N$2:$N$17,MATCH(LARGE(Helper!$AJ$2:$AJ$17,3),Helper!$AJ$2:$AJ$17,0))</f>
        <v>0</v>
      </c>
      <c r="F24" s="25" t="n">
        <f aca="false">INDEX(Helper!$O$2:$O$17,MATCH(LARGE(Helper!$AJ$2:$AJ$17,3),Helper!$AJ$2:$AJ$17,0))</f>
        <v>0</v>
      </c>
      <c r="G24" s="25" t="n">
        <f aca="false">INDEX(Helper!$P$2:$P$17,MATCH(LARGE(Helper!$AJ$2:$AJ$17,3),Helper!$AJ$2:$AJ$17,0))</f>
        <v>0</v>
      </c>
      <c r="H24" s="25" t="n">
        <f aca="false">INDEX(Helper!$Q$2:$Q$17,MATCH(LARGE(Helper!$AJ$2:$AJ$17,3),Helper!$AJ$2:$AJ$17,0))</f>
        <v>0</v>
      </c>
      <c r="I24" s="30" t="n">
        <f aca="false">INDEX(Helper!$R$2:$R$17,MATCH(LARGE(Helper!$AJ$2:$AJ$17,3),Helper!$AJ$2:$AJ$17,0))</f>
        <v>0</v>
      </c>
      <c r="J24" s="25" t="n">
        <f aca="false">INDEX(Helper!$S$2:$S$17,MATCH(LARGE(Helper!$AJ$2:$AJ$17,3),Helper!$AJ$2:$AJ$17,0))</f>
        <v>0</v>
      </c>
      <c r="K24" s="25" t="n">
        <f aca="false">MAX(C24:H24)</f>
        <v>0</v>
      </c>
    </row>
    <row r="25" customFormat="false" ht="15" hidden="false" customHeight="true" outlineLevel="0" collapsed="false">
      <c r="A25" s="28" t="n">
        <v>4</v>
      </c>
      <c r="B25" s="24" t="str">
        <f aca="false">INDEX(Helper!$B$2:$B$17,MATCH(LARGE(Helper!$AJ$2:$AJ$17,4),Helper!$AJ$2:$AJ$17,0))</f>
        <v>Player 13</v>
      </c>
      <c r="C25" s="25" t="n">
        <f aca="false">INDEX(Helper!$L$2:$L$17,MATCH(LARGE(Helper!$AJ$2:$AJ$17,4),Helper!$AJ$2:$AJ$17,0))</f>
        <v>0</v>
      </c>
      <c r="D25" s="25" t="n">
        <f aca="false">INDEX(Helper!$M$2:$M$17,MATCH(LARGE(Helper!$AJ$2:$AJ$17,4),Helper!$AJ$2:$AJ$17,0))</f>
        <v>0</v>
      </c>
      <c r="E25" s="25" t="n">
        <f aca="false">INDEX(Helper!$N$2:$N$17,MATCH(LARGE(Helper!$AJ$2:$AJ$17,4),Helper!$AJ$2:$AJ$17,0))</f>
        <v>0</v>
      </c>
      <c r="F25" s="25" t="n">
        <f aca="false">INDEX(Helper!$O$2:$O$17,MATCH(LARGE(Helper!$AJ$2:$AJ$17,4),Helper!$AJ$2:$AJ$17,0))</f>
        <v>0</v>
      </c>
      <c r="G25" s="25" t="n">
        <f aca="false">INDEX(Helper!$P$2:$P$17,MATCH(LARGE(Helper!$AJ$2:$AJ$17,4),Helper!$AJ$2:$AJ$17,0))</f>
        <v>0</v>
      </c>
      <c r="H25" s="25" t="n">
        <f aca="false">INDEX(Helper!$Q$2:$Q$17,MATCH(LARGE(Helper!$AJ$2:$AJ$17,4),Helper!$AJ$2:$AJ$17,0))</f>
        <v>0</v>
      </c>
      <c r="I25" s="30" t="n">
        <f aca="false">INDEX(Helper!$R$2:$R$17,MATCH(LARGE(Helper!$AJ$2:$AJ$17,4),Helper!$AJ$2:$AJ$17,0))</f>
        <v>0</v>
      </c>
      <c r="J25" s="25" t="n">
        <f aca="false">INDEX(Helper!$S$2:$S$17,MATCH(LARGE(Helper!$AJ$2:$AJ$17,4),Helper!$AJ$2:$AJ$17,0))</f>
        <v>0</v>
      </c>
      <c r="K25" s="25" t="n">
        <f aca="false">MAX(C25:H25)</f>
        <v>0</v>
      </c>
    </row>
    <row r="26" customFormat="false" ht="15" hidden="false" customHeight="true" outlineLevel="0" collapsed="false">
      <c r="A26" s="28" t="n">
        <v>5</v>
      </c>
      <c r="B26" s="24" t="str">
        <f aca="false">INDEX(Helper!$B$2:$B$17,MATCH(LARGE(Helper!$AJ$2:$AJ$17,5),Helper!$AJ$2:$AJ$17,0))</f>
        <v>Player 12</v>
      </c>
      <c r="C26" s="25" t="n">
        <f aca="false">INDEX(Helper!$L$2:$L$17,MATCH(LARGE(Helper!$AJ$2:$AJ$17,5),Helper!$AJ$2:$AJ$17,0))</f>
        <v>0</v>
      </c>
      <c r="D26" s="25" t="n">
        <f aca="false">INDEX(Helper!$M$2:$M$17,MATCH(LARGE(Helper!$AJ$2:$AJ$17,5),Helper!$AJ$2:$AJ$17,0))</f>
        <v>0</v>
      </c>
      <c r="E26" s="25" t="n">
        <f aca="false">INDEX(Helper!$N$2:$N$17,MATCH(LARGE(Helper!$AJ$2:$AJ$17,5),Helper!$AJ$2:$AJ$17,0))</f>
        <v>0</v>
      </c>
      <c r="F26" s="25" t="n">
        <f aca="false">INDEX(Helper!$O$2:$O$17,MATCH(LARGE(Helper!$AJ$2:$AJ$17,5),Helper!$AJ$2:$AJ$17,0))</f>
        <v>0</v>
      </c>
      <c r="G26" s="25" t="n">
        <f aca="false">INDEX(Helper!$P$2:$P$17,MATCH(LARGE(Helper!$AJ$2:$AJ$17,5),Helper!$AJ$2:$AJ$17,0))</f>
        <v>0</v>
      </c>
      <c r="H26" s="25" t="n">
        <f aca="false">INDEX(Helper!$Q$2:$Q$17,MATCH(LARGE(Helper!$AJ$2:$AJ$17,5),Helper!$AJ$2:$AJ$17,0))</f>
        <v>0</v>
      </c>
      <c r="I26" s="30" t="n">
        <f aca="false">INDEX(Helper!$R$2:$R$17,MATCH(LARGE(Helper!$AJ$2:$AJ$17,5),Helper!$AJ$2:$AJ$17,0))</f>
        <v>0</v>
      </c>
      <c r="J26" s="25" t="n">
        <f aca="false">INDEX(Helper!$S$2:$S$17,MATCH(LARGE(Helper!$AJ$2:$AJ$17,5),Helper!$AJ$2:$AJ$17,0))</f>
        <v>0</v>
      </c>
      <c r="K26" s="25" t="n">
        <f aca="false">MAX(C26:H26)</f>
        <v>0</v>
      </c>
    </row>
    <row r="27" customFormat="false" ht="15" hidden="false" customHeight="true" outlineLevel="0" collapsed="false">
      <c r="A27" s="28" t="n">
        <v>6</v>
      </c>
      <c r="B27" s="24" t="str">
        <f aca="false">INDEX(Helper!$B$2:$B$17,MATCH(LARGE(Helper!$AJ$2:$AJ$17,6),Helper!$AJ$2:$AJ$17,0))</f>
        <v>Player 11</v>
      </c>
      <c r="C27" s="25" t="n">
        <f aca="false">INDEX(Helper!$L$2:$L$17,MATCH(LARGE(Helper!$AJ$2:$AJ$17,6),Helper!$AJ$2:$AJ$17,0))</f>
        <v>0</v>
      </c>
      <c r="D27" s="25" t="n">
        <f aca="false">INDEX(Helper!$M$2:$M$17,MATCH(LARGE(Helper!$AJ$2:$AJ$17,6),Helper!$AJ$2:$AJ$17,0))</f>
        <v>0</v>
      </c>
      <c r="E27" s="25" t="n">
        <f aca="false">INDEX(Helper!$N$2:$N$17,MATCH(LARGE(Helper!$AJ$2:$AJ$17,6),Helper!$AJ$2:$AJ$17,0))</f>
        <v>0</v>
      </c>
      <c r="F27" s="25" t="n">
        <f aca="false">INDEX(Helper!$O$2:$O$17,MATCH(LARGE(Helper!$AJ$2:$AJ$17,6),Helper!$AJ$2:$AJ$17,0))</f>
        <v>0</v>
      </c>
      <c r="G27" s="25" t="n">
        <f aca="false">INDEX(Helper!$P$2:$P$17,MATCH(LARGE(Helper!$AJ$2:$AJ$17,6),Helper!$AJ$2:$AJ$17,0))</f>
        <v>0</v>
      </c>
      <c r="H27" s="25" t="n">
        <f aca="false">INDEX(Helper!$Q$2:$Q$17,MATCH(LARGE(Helper!$AJ$2:$AJ$17,6),Helper!$AJ$2:$AJ$17,0))</f>
        <v>0</v>
      </c>
      <c r="I27" s="30" t="n">
        <f aca="false">INDEX(Helper!$R$2:$R$17,MATCH(LARGE(Helper!$AJ$2:$AJ$17,6),Helper!$AJ$2:$AJ$17,0))</f>
        <v>0</v>
      </c>
      <c r="J27" s="25" t="n">
        <f aca="false">INDEX(Helper!$S$2:$S$17,MATCH(LARGE(Helper!$AJ$2:$AJ$17,6),Helper!$AJ$2:$AJ$17,0))</f>
        <v>0</v>
      </c>
      <c r="K27" s="25" t="n">
        <f aca="false">MAX(C27:H27)</f>
        <v>0</v>
      </c>
    </row>
    <row r="28" customFormat="false" ht="15" hidden="false" customHeight="true" outlineLevel="0" collapsed="false">
      <c r="A28" s="28" t="n">
        <v>7</v>
      </c>
      <c r="B28" s="24" t="str">
        <f aca="false">INDEX(Helper!$B$2:$B$17,MATCH(LARGE(Helper!$AJ$2:$AJ$17,7),Helper!$AJ$2:$AJ$17,0))</f>
        <v>Player 10</v>
      </c>
      <c r="C28" s="25" t="n">
        <f aca="false">INDEX(Helper!$L$2:$L$17,MATCH(LARGE(Helper!$AJ$2:$AJ$17,7),Helper!$AJ$2:$AJ$17,0))</f>
        <v>0</v>
      </c>
      <c r="D28" s="25" t="n">
        <f aca="false">INDEX(Helper!$M$2:$M$17,MATCH(LARGE(Helper!$AJ$2:$AJ$17,7),Helper!$AJ$2:$AJ$17,0))</f>
        <v>0</v>
      </c>
      <c r="E28" s="25" t="n">
        <f aca="false">INDEX(Helper!$N$2:$N$17,MATCH(LARGE(Helper!$AJ$2:$AJ$17,7),Helper!$AJ$2:$AJ$17,0))</f>
        <v>0</v>
      </c>
      <c r="F28" s="25" t="n">
        <f aca="false">INDEX(Helper!$O$2:$O$17,MATCH(LARGE(Helper!$AJ$2:$AJ$17,7),Helper!$AJ$2:$AJ$17,0))</f>
        <v>0</v>
      </c>
      <c r="G28" s="25" t="n">
        <f aca="false">INDEX(Helper!$P$2:$P$17,MATCH(LARGE(Helper!$AJ$2:$AJ$17,7),Helper!$AJ$2:$AJ$17,0))</f>
        <v>0</v>
      </c>
      <c r="H28" s="25" t="n">
        <f aca="false">INDEX(Helper!$Q$2:$Q$17,MATCH(LARGE(Helper!$AJ$2:$AJ$17,7),Helper!$AJ$2:$AJ$17,0))</f>
        <v>0</v>
      </c>
      <c r="I28" s="30" t="n">
        <f aca="false">INDEX(Helper!$R$2:$R$17,MATCH(LARGE(Helper!$AJ$2:$AJ$17,7),Helper!$AJ$2:$AJ$17,0))</f>
        <v>0</v>
      </c>
      <c r="J28" s="25" t="n">
        <f aca="false">INDEX(Helper!$S$2:$S$17,MATCH(LARGE(Helper!$AJ$2:$AJ$17,7),Helper!$AJ$2:$AJ$17,0))</f>
        <v>0</v>
      </c>
      <c r="K28" s="25" t="n">
        <f aca="false">MAX(C28:H28)</f>
        <v>0</v>
      </c>
    </row>
    <row r="29" customFormat="false" ht="15" hidden="false" customHeight="true" outlineLevel="0" collapsed="false">
      <c r="A29" s="28" t="n">
        <v>8</v>
      </c>
      <c r="B29" s="24" t="str">
        <f aca="false">INDEX(Helper!$B$2:$B$17,MATCH(LARGE(Helper!$AJ$2:$AJ$17,8),Helper!$AJ$2:$AJ$17,0))</f>
        <v>Player 9</v>
      </c>
      <c r="C29" s="25" t="n">
        <f aca="false">INDEX(Helper!$L$2:$L$17,MATCH(LARGE(Helper!$AJ$2:$AJ$17,8),Helper!$AJ$2:$AJ$17,0))</f>
        <v>0</v>
      </c>
      <c r="D29" s="25" t="n">
        <f aca="false">INDEX(Helper!$M$2:$M$17,MATCH(LARGE(Helper!$AJ$2:$AJ$17,8),Helper!$AJ$2:$AJ$17,0))</f>
        <v>0</v>
      </c>
      <c r="E29" s="25" t="n">
        <f aca="false">INDEX(Helper!$N$2:$N$17,MATCH(LARGE(Helper!$AJ$2:$AJ$17,8),Helper!$AJ$2:$AJ$17,0))</f>
        <v>0</v>
      </c>
      <c r="F29" s="25" t="n">
        <f aca="false">INDEX(Helper!$O$2:$O$17,MATCH(LARGE(Helper!$AJ$2:$AJ$17,8),Helper!$AJ$2:$AJ$17,0))</f>
        <v>0</v>
      </c>
      <c r="G29" s="25" t="n">
        <f aca="false">INDEX(Helper!$P$2:$P$17,MATCH(LARGE(Helper!$AJ$2:$AJ$17,8),Helper!$AJ$2:$AJ$17,0))</f>
        <v>0</v>
      </c>
      <c r="H29" s="25" t="n">
        <f aca="false">INDEX(Helper!$Q$2:$Q$17,MATCH(LARGE(Helper!$AJ$2:$AJ$17,8),Helper!$AJ$2:$AJ$17,0))</f>
        <v>0</v>
      </c>
      <c r="I29" s="30" t="n">
        <f aca="false">INDEX(Helper!$R$2:$R$17,MATCH(LARGE(Helper!$AJ$2:$AJ$17,8),Helper!$AJ$2:$AJ$17,0))</f>
        <v>0</v>
      </c>
      <c r="J29" s="25" t="n">
        <f aca="false">INDEX(Helper!$S$2:$S$17,MATCH(LARGE(Helper!$AJ$2:$AJ$17,8),Helper!$AJ$2:$AJ$17,0))</f>
        <v>0</v>
      </c>
      <c r="K29" s="25" t="n">
        <f aca="false">MAX(C29:H29)</f>
        <v>0</v>
      </c>
    </row>
    <row r="30" customFormat="false" ht="15" hidden="false" customHeight="true" outlineLevel="0" collapsed="false">
      <c r="A30" s="28" t="n">
        <v>9</v>
      </c>
      <c r="B30" s="24" t="str">
        <f aca="false">INDEX(Helper!$B$2:$B$17,MATCH(LARGE(Helper!$AJ$2:$AJ$17,9),Helper!$AJ$2:$AJ$17,0))</f>
        <v>Player 8</v>
      </c>
      <c r="C30" s="25" t="n">
        <f aca="false">INDEX(Helper!$L$2:$L$17,MATCH(LARGE(Helper!$AJ$2:$AJ$17,9),Helper!$AJ$2:$AJ$17,0))</f>
        <v>0</v>
      </c>
      <c r="D30" s="25" t="n">
        <f aca="false">INDEX(Helper!$M$2:$M$17,MATCH(LARGE(Helper!$AJ$2:$AJ$17,9),Helper!$AJ$2:$AJ$17,0))</f>
        <v>0</v>
      </c>
      <c r="E30" s="25" t="n">
        <f aca="false">INDEX(Helper!$N$2:$N$17,MATCH(LARGE(Helper!$AJ$2:$AJ$17,9),Helper!$AJ$2:$AJ$17,0))</f>
        <v>0</v>
      </c>
      <c r="F30" s="25" t="n">
        <f aca="false">INDEX(Helper!$O$2:$O$17,MATCH(LARGE(Helper!$AJ$2:$AJ$17,9),Helper!$AJ$2:$AJ$17,0))</f>
        <v>0</v>
      </c>
      <c r="G30" s="25" t="n">
        <f aca="false">INDEX(Helper!$P$2:$P$17,MATCH(LARGE(Helper!$AJ$2:$AJ$17,9),Helper!$AJ$2:$AJ$17,0))</f>
        <v>0</v>
      </c>
      <c r="H30" s="25" t="n">
        <f aca="false">INDEX(Helper!$Q$2:$Q$17,MATCH(LARGE(Helper!$AJ$2:$AJ$17,9),Helper!$AJ$2:$AJ$17,0))</f>
        <v>0</v>
      </c>
      <c r="I30" s="30" t="n">
        <f aca="false">INDEX(Helper!$R$2:$R$17,MATCH(LARGE(Helper!$AJ$2:$AJ$17,9),Helper!$AJ$2:$AJ$17,0))</f>
        <v>0</v>
      </c>
      <c r="J30" s="25" t="n">
        <f aca="false">INDEX(Helper!$S$2:$S$17,MATCH(LARGE(Helper!$AJ$2:$AJ$17,9),Helper!$AJ$2:$AJ$17,0))</f>
        <v>0</v>
      </c>
      <c r="K30" s="25" t="n">
        <f aca="false">MAX(C30:H30)</f>
        <v>0</v>
      </c>
    </row>
    <row r="31" customFormat="false" ht="15" hidden="false" customHeight="true" outlineLevel="0" collapsed="false">
      <c r="A31" s="28" t="n">
        <v>10</v>
      </c>
      <c r="B31" s="24" t="str">
        <f aca="false">INDEX(Helper!$B$2:$B$17,MATCH(LARGE(Helper!$AJ$2:$AJ$17,10),Helper!$AJ$2:$AJ$17,0))</f>
        <v>Player 7</v>
      </c>
      <c r="C31" s="25" t="n">
        <f aca="false">INDEX(Helper!$L$2:$L$17,MATCH(LARGE(Helper!$AJ$2:$AJ$17,10),Helper!$AJ$2:$AJ$17,0))</f>
        <v>0</v>
      </c>
      <c r="D31" s="25" t="n">
        <f aca="false">INDEX(Helper!$M$2:$M$17,MATCH(LARGE(Helper!$AJ$2:$AJ$17,10),Helper!$AJ$2:$AJ$17,0))</f>
        <v>0</v>
      </c>
      <c r="E31" s="25" t="n">
        <f aca="false">INDEX(Helper!$N$2:$N$17,MATCH(LARGE(Helper!$AJ$2:$AJ$17,10),Helper!$AJ$2:$AJ$17,0))</f>
        <v>0</v>
      </c>
      <c r="F31" s="25" t="n">
        <f aca="false">INDEX(Helper!$O$2:$O$17,MATCH(LARGE(Helper!$AJ$2:$AJ$17,10),Helper!$AJ$2:$AJ$17,0))</f>
        <v>0</v>
      </c>
      <c r="G31" s="25" t="n">
        <f aca="false">INDEX(Helper!$P$2:$P$17,MATCH(LARGE(Helper!$AJ$2:$AJ$17,10),Helper!$AJ$2:$AJ$17,0))</f>
        <v>0</v>
      </c>
      <c r="H31" s="25" t="n">
        <f aca="false">INDEX(Helper!$Q$2:$Q$17,MATCH(LARGE(Helper!$AJ$2:$AJ$17,10),Helper!$AJ$2:$AJ$17,0))</f>
        <v>0</v>
      </c>
      <c r="I31" s="30" t="n">
        <f aca="false">INDEX(Helper!$R$2:$R$17,MATCH(LARGE(Helper!$AJ$2:$AJ$17,10),Helper!$AJ$2:$AJ$17,0))</f>
        <v>0</v>
      </c>
      <c r="J31" s="25" t="n">
        <f aca="false">INDEX(Helper!$S$2:$S$17,MATCH(LARGE(Helper!$AJ$2:$AJ$17,10),Helper!$AJ$2:$AJ$17,0))</f>
        <v>0</v>
      </c>
      <c r="K31" s="25" t="n">
        <f aca="false">MAX(C31:H31)</f>
        <v>0</v>
      </c>
    </row>
    <row r="32" customFormat="false" ht="15" hidden="false" customHeight="true" outlineLevel="0" collapsed="false">
      <c r="A32" s="28" t="n">
        <v>11</v>
      </c>
      <c r="B32" s="24" t="str">
        <f aca="false">INDEX(Helper!$B$2:$B$17,MATCH(LARGE(Helper!$AJ$2:$AJ$17,11),Helper!$AJ$2:$AJ$17,0))</f>
        <v>Player 6</v>
      </c>
      <c r="C32" s="25" t="n">
        <f aca="false">INDEX(Helper!$L$2:$L$17,MATCH(LARGE(Helper!$AJ$2:$AJ$17,11),Helper!$AJ$2:$AJ$17,0))</f>
        <v>0</v>
      </c>
      <c r="D32" s="25" t="n">
        <f aca="false">INDEX(Helper!$M$2:$M$17,MATCH(LARGE(Helper!$AJ$2:$AJ$17,11),Helper!$AJ$2:$AJ$17,0))</f>
        <v>0</v>
      </c>
      <c r="E32" s="25" t="n">
        <f aca="false">INDEX(Helper!$N$2:$N$17,MATCH(LARGE(Helper!$AJ$2:$AJ$17,11),Helper!$AJ$2:$AJ$17,0))</f>
        <v>0</v>
      </c>
      <c r="F32" s="25" t="n">
        <f aca="false">INDEX(Helper!$O$2:$O$17,MATCH(LARGE(Helper!$AJ$2:$AJ$17,11),Helper!$AJ$2:$AJ$17,0))</f>
        <v>0</v>
      </c>
      <c r="G32" s="25" t="n">
        <f aca="false">INDEX(Helper!$P$2:$P$17,MATCH(LARGE(Helper!$AJ$2:$AJ$17,11),Helper!$AJ$2:$AJ$17,0))</f>
        <v>0</v>
      </c>
      <c r="H32" s="25" t="n">
        <f aca="false">INDEX(Helper!$Q$2:$Q$17,MATCH(LARGE(Helper!$AJ$2:$AJ$17,11),Helper!$AJ$2:$AJ$17,0))</f>
        <v>0</v>
      </c>
      <c r="I32" s="30" t="n">
        <f aca="false">INDEX(Helper!$R$2:$R$17,MATCH(LARGE(Helper!$AJ$2:$AJ$17,11),Helper!$AJ$2:$AJ$17,0))</f>
        <v>0</v>
      </c>
      <c r="J32" s="25" t="n">
        <f aca="false">INDEX(Helper!$S$2:$S$17,MATCH(LARGE(Helper!$AJ$2:$AJ$17,11),Helper!$AJ$2:$AJ$17,0))</f>
        <v>0</v>
      </c>
      <c r="K32" s="25" t="n">
        <f aca="false">MAX(C32:H32)</f>
        <v>0</v>
      </c>
    </row>
    <row r="33" customFormat="false" ht="15" hidden="false" customHeight="true" outlineLevel="0" collapsed="false">
      <c r="A33" s="28" t="n">
        <v>12</v>
      </c>
      <c r="B33" s="24" t="str">
        <f aca="false">INDEX(Helper!$B$2:$B$17,MATCH(LARGE(Helper!$AJ$2:$AJ$17,12),Helper!$AJ$2:$AJ$17,0))</f>
        <v>Player 5</v>
      </c>
      <c r="C33" s="25" t="n">
        <f aca="false">INDEX(Helper!$L$2:$L$17,MATCH(LARGE(Helper!$AJ$2:$AJ$17,12),Helper!$AJ$2:$AJ$17,0))</f>
        <v>0</v>
      </c>
      <c r="D33" s="25" t="n">
        <f aca="false">INDEX(Helper!$M$2:$M$17,MATCH(LARGE(Helper!$AJ$2:$AJ$17,12),Helper!$AJ$2:$AJ$17,0))</f>
        <v>0</v>
      </c>
      <c r="E33" s="25" t="n">
        <f aca="false">INDEX(Helper!$N$2:$N$17,MATCH(LARGE(Helper!$AJ$2:$AJ$17,12),Helper!$AJ$2:$AJ$17,0))</f>
        <v>0</v>
      </c>
      <c r="F33" s="25" t="n">
        <f aca="false">INDEX(Helper!$O$2:$O$17,MATCH(LARGE(Helper!$AJ$2:$AJ$17,12),Helper!$AJ$2:$AJ$17,0))</f>
        <v>0</v>
      </c>
      <c r="G33" s="25" t="n">
        <f aca="false">INDEX(Helper!$P$2:$P$17,MATCH(LARGE(Helper!$AJ$2:$AJ$17,12),Helper!$AJ$2:$AJ$17,0))</f>
        <v>0</v>
      </c>
      <c r="H33" s="25" t="n">
        <f aca="false">INDEX(Helper!$Q$2:$Q$17,MATCH(LARGE(Helper!$AJ$2:$AJ$17,12),Helper!$AJ$2:$AJ$17,0))</f>
        <v>0</v>
      </c>
      <c r="I33" s="30" t="n">
        <f aca="false">INDEX(Helper!$R$2:$R$17,MATCH(LARGE(Helper!$AJ$2:$AJ$17,12),Helper!$AJ$2:$AJ$17,0))</f>
        <v>0</v>
      </c>
      <c r="J33" s="25" t="n">
        <f aca="false">INDEX(Helper!$S$2:$S$17,MATCH(LARGE(Helper!$AJ$2:$AJ$17,12),Helper!$AJ$2:$AJ$17,0))</f>
        <v>0</v>
      </c>
      <c r="K33" s="25" t="n">
        <f aca="false">MAX(C33:H33)</f>
        <v>0</v>
      </c>
    </row>
    <row r="34" customFormat="false" ht="15" hidden="false" customHeight="true" outlineLevel="0" collapsed="false">
      <c r="A34" s="28" t="n">
        <v>13</v>
      </c>
      <c r="B34" s="24" t="str">
        <f aca="false">INDEX(Helper!$B$2:$B$17,MATCH(LARGE(Helper!$AJ$2:$AJ$17,13),Helper!$AJ$2:$AJ$17,0))</f>
        <v>Player 4</v>
      </c>
      <c r="C34" s="25" t="n">
        <f aca="false">INDEX(Helper!$L$2:$L$17,MATCH(LARGE(Helper!$AJ$2:$AJ$17,13),Helper!$AJ$2:$AJ$17,0))</f>
        <v>0</v>
      </c>
      <c r="D34" s="25" t="n">
        <f aca="false">INDEX(Helper!$M$2:$M$17,MATCH(LARGE(Helper!$AJ$2:$AJ$17,13),Helper!$AJ$2:$AJ$17,0))</f>
        <v>0</v>
      </c>
      <c r="E34" s="25" t="n">
        <f aca="false">INDEX(Helper!$N$2:$N$17,MATCH(LARGE(Helper!$AJ$2:$AJ$17,13),Helper!$AJ$2:$AJ$17,0))</f>
        <v>0</v>
      </c>
      <c r="F34" s="25" t="n">
        <f aca="false">INDEX(Helper!$O$2:$O$17,MATCH(LARGE(Helper!$AJ$2:$AJ$17,13),Helper!$AJ$2:$AJ$17,0))</f>
        <v>0</v>
      </c>
      <c r="G34" s="25" t="n">
        <f aca="false">INDEX(Helper!$P$2:$P$17,MATCH(LARGE(Helper!$AJ$2:$AJ$17,13),Helper!$AJ$2:$AJ$17,0))</f>
        <v>0</v>
      </c>
      <c r="H34" s="25" t="n">
        <f aca="false">INDEX(Helper!$Q$2:$Q$17,MATCH(LARGE(Helper!$AJ$2:$AJ$17,13),Helper!$AJ$2:$AJ$17,0))</f>
        <v>0</v>
      </c>
      <c r="I34" s="30" t="n">
        <f aca="false">INDEX(Helper!$R$2:$R$17,MATCH(LARGE(Helper!$AJ$2:$AJ$17,13),Helper!$AJ$2:$AJ$17,0))</f>
        <v>0</v>
      </c>
      <c r="J34" s="25" t="n">
        <f aca="false">INDEX(Helper!$S$2:$S$17,MATCH(LARGE(Helper!$AJ$2:$AJ$17,13),Helper!$AJ$2:$AJ$17,0))</f>
        <v>0</v>
      </c>
      <c r="K34" s="25" t="n">
        <f aca="false">MAX(C34:H34)</f>
        <v>0</v>
      </c>
    </row>
    <row r="35" customFormat="false" ht="15" hidden="false" customHeight="true" outlineLevel="0" collapsed="false">
      <c r="A35" s="28" t="n">
        <v>14</v>
      </c>
      <c r="B35" s="24" t="str">
        <f aca="false">INDEX(Helper!$B$2:$B$17,MATCH(LARGE(Helper!$AJ$2:$AJ$17,14),Helper!$AJ$2:$AJ$17,0))</f>
        <v>Player 3</v>
      </c>
      <c r="C35" s="25" t="n">
        <f aca="false">INDEX(Helper!$L$2:$L$17,MATCH(LARGE(Helper!$AJ$2:$AJ$17,14),Helper!$AJ$2:$AJ$17,0))</f>
        <v>0</v>
      </c>
      <c r="D35" s="25" t="n">
        <f aca="false">INDEX(Helper!$M$2:$M$17,MATCH(LARGE(Helper!$AJ$2:$AJ$17,14),Helper!$AJ$2:$AJ$17,0))</f>
        <v>0</v>
      </c>
      <c r="E35" s="25" t="n">
        <f aca="false">INDEX(Helper!$N$2:$N$17,MATCH(LARGE(Helper!$AJ$2:$AJ$17,14),Helper!$AJ$2:$AJ$17,0))</f>
        <v>0</v>
      </c>
      <c r="F35" s="25" t="n">
        <f aca="false">INDEX(Helper!$O$2:$O$17,MATCH(LARGE(Helper!$AJ$2:$AJ$17,14),Helper!$AJ$2:$AJ$17,0))</f>
        <v>0</v>
      </c>
      <c r="G35" s="25" t="n">
        <f aca="false">INDEX(Helper!$P$2:$P$17,MATCH(LARGE(Helper!$AJ$2:$AJ$17,14),Helper!$AJ$2:$AJ$17,0))</f>
        <v>0</v>
      </c>
      <c r="H35" s="25" t="n">
        <f aca="false">INDEX(Helper!$Q$2:$Q$17,MATCH(LARGE(Helper!$AJ$2:$AJ$17,14),Helper!$AJ$2:$AJ$17,0))</f>
        <v>0</v>
      </c>
      <c r="I35" s="30" t="n">
        <f aca="false">INDEX(Helper!$R$2:$R$17,MATCH(LARGE(Helper!$AJ$2:$AJ$17,14),Helper!$AJ$2:$AJ$17,0))</f>
        <v>0</v>
      </c>
      <c r="J35" s="25" t="n">
        <f aca="false">INDEX(Helper!$S$2:$S$17,MATCH(LARGE(Helper!$AJ$2:$AJ$17,14),Helper!$AJ$2:$AJ$17,0))</f>
        <v>0</v>
      </c>
      <c r="K35" s="25" t="n">
        <f aca="false">MAX(C35:H35)</f>
        <v>0</v>
      </c>
    </row>
    <row r="36" customFormat="false" ht="15" hidden="false" customHeight="true" outlineLevel="0" collapsed="false">
      <c r="A36" s="28" t="n">
        <v>15</v>
      </c>
      <c r="B36" s="24" t="str">
        <f aca="false">INDEX(Helper!$B$2:$B$17,MATCH(LARGE(Helper!$AJ$2:$AJ$17,15),Helper!$AJ$2:$AJ$17,0))</f>
        <v>Player 2</v>
      </c>
      <c r="C36" s="25" t="n">
        <f aca="false">INDEX(Helper!$L$2:$L$17,MATCH(LARGE(Helper!$AJ$2:$AJ$17,15),Helper!$AJ$2:$AJ$17,0))</f>
        <v>0</v>
      </c>
      <c r="D36" s="25" t="n">
        <f aca="false">INDEX(Helper!$M$2:$M$17,MATCH(LARGE(Helper!$AJ$2:$AJ$17,15),Helper!$AJ$2:$AJ$17,0))</f>
        <v>0</v>
      </c>
      <c r="E36" s="25" t="n">
        <f aca="false">INDEX(Helper!$N$2:$N$17,MATCH(LARGE(Helper!$AJ$2:$AJ$17,15),Helper!$AJ$2:$AJ$17,0))</f>
        <v>0</v>
      </c>
      <c r="F36" s="25" t="n">
        <f aca="false">INDEX(Helper!$O$2:$O$17,MATCH(LARGE(Helper!$AJ$2:$AJ$17,15),Helper!$AJ$2:$AJ$17,0))</f>
        <v>0</v>
      </c>
      <c r="G36" s="25" t="n">
        <f aca="false">INDEX(Helper!$P$2:$P$17,MATCH(LARGE(Helper!$AJ$2:$AJ$17,15),Helper!$AJ$2:$AJ$17,0))</f>
        <v>0</v>
      </c>
      <c r="H36" s="25" t="n">
        <f aca="false">INDEX(Helper!$Q$2:$Q$17,MATCH(LARGE(Helper!$AJ$2:$AJ$17,15),Helper!$AJ$2:$AJ$17,0))</f>
        <v>0</v>
      </c>
      <c r="I36" s="30" t="n">
        <f aca="false">INDEX(Helper!$R$2:$R$17,MATCH(LARGE(Helper!$AJ$2:$AJ$17,15),Helper!$AJ$2:$AJ$17,0))</f>
        <v>0</v>
      </c>
      <c r="J36" s="25" t="n">
        <f aca="false">INDEX(Helper!$S$2:$S$17,MATCH(LARGE(Helper!$AJ$2:$AJ$17,15),Helper!$AJ$2:$AJ$17,0))</f>
        <v>0</v>
      </c>
      <c r="K36" s="25" t="n">
        <f aca="false">MAX(C36:H36)</f>
        <v>0</v>
      </c>
    </row>
    <row r="37" customFormat="false" ht="15" hidden="false" customHeight="true" outlineLevel="0" collapsed="false">
      <c r="A37" s="28" t="n">
        <v>16</v>
      </c>
      <c r="B37" s="24" t="str">
        <f aca="false">INDEX(Helper!$B$2:$B$17,MATCH(LARGE(Helper!$AJ$2:$AJ$17,16),Helper!$AJ$2:$AJ$17,0))</f>
        <v>Player 1</v>
      </c>
      <c r="C37" s="25" t="n">
        <f aca="false">INDEX(Helper!$L$2:$L$17,MATCH(LARGE(Helper!$AJ$2:$AJ$17,16),Helper!$AJ$2:$AJ$17,0))</f>
        <v>0</v>
      </c>
      <c r="D37" s="25" t="n">
        <f aca="false">INDEX(Helper!$M$2:$M$17,MATCH(LARGE(Helper!$AJ$2:$AJ$17,16),Helper!$AJ$2:$AJ$17,0))</f>
        <v>0</v>
      </c>
      <c r="E37" s="25" t="n">
        <f aca="false">INDEX(Helper!$N$2:$N$17,MATCH(LARGE(Helper!$AJ$2:$AJ$17,16),Helper!$AJ$2:$AJ$17,0))</f>
        <v>0</v>
      </c>
      <c r="F37" s="25" t="n">
        <f aca="false">INDEX(Helper!$O$2:$O$17,MATCH(LARGE(Helper!$AJ$2:$AJ$17,16),Helper!$AJ$2:$AJ$17,0))</f>
        <v>0</v>
      </c>
      <c r="G37" s="25" t="n">
        <f aca="false">INDEX(Helper!$P$2:$P$17,MATCH(LARGE(Helper!$AJ$2:$AJ$17,16),Helper!$AJ$2:$AJ$17,0))</f>
        <v>0</v>
      </c>
      <c r="H37" s="25" t="n">
        <f aca="false">INDEX(Helper!$Q$2:$Q$17,MATCH(LARGE(Helper!$AJ$2:$AJ$17,16),Helper!$AJ$2:$AJ$17,0))</f>
        <v>0</v>
      </c>
      <c r="I37" s="30" t="n">
        <f aca="false">INDEX(Helper!$R$2:$R$17,MATCH(LARGE(Helper!$AJ$2:$AJ$17,16),Helper!$AJ$2:$AJ$17,0))</f>
        <v>0</v>
      </c>
      <c r="J37" s="25" t="n">
        <f aca="false">INDEX(Helper!$S$2:$S$17,MATCH(LARGE(Helper!$AJ$2:$AJ$17,16),Helper!$AJ$2:$AJ$17,0))</f>
        <v>0</v>
      </c>
      <c r="K37" s="25" t="n">
        <f aca="false">MAX(C37:H37)</f>
        <v>0</v>
      </c>
    </row>
    <row r="39" customFormat="false" ht="15" hidden="false" customHeight="true" outlineLevel="0" collapsed="false">
      <c r="A39" s="31" t="s">
        <v>115</v>
      </c>
      <c r="B39" s="31"/>
      <c r="C39" s="31"/>
      <c r="D39" s="31"/>
      <c r="E39" s="31"/>
      <c r="F39" s="31"/>
      <c r="G39" s="31"/>
      <c r="H39" s="31"/>
      <c r="I39" s="31"/>
      <c r="J39" s="31"/>
      <c r="K39" s="31"/>
      <c r="L39" s="31"/>
    </row>
    <row r="40" customFormat="false" ht="15" hidden="false" customHeight="true" outlineLevel="0" collapsed="false">
      <c r="A40" s="32" t="s">
        <v>116</v>
      </c>
      <c r="B40" s="32"/>
      <c r="C40" s="32"/>
      <c r="D40" s="32"/>
      <c r="E40" s="32"/>
      <c r="F40" s="32"/>
      <c r="G40" s="32"/>
      <c r="H40" s="32"/>
      <c r="I40" s="32"/>
      <c r="J40" s="32"/>
      <c r="K40" s="32"/>
      <c r="L40" s="32"/>
    </row>
    <row r="41" customFormat="false" ht="15" hidden="false" customHeight="true" outlineLevel="0" collapsed="false">
      <c r="A41" s="33" t="s">
        <v>97</v>
      </c>
      <c r="B41" s="33" t="s">
        <v>98</v>
      </c>
      <c r="C41" s="33" t="s">
        <v>117</v>
      </c>
      <c r="D41" s="33" t="s">
        <v>118</v>
      </c>
      <c r="E41" s="33" t="s">
        <v>119</v>
      </c>
      <c r="F41" s="33" t="s">
        <v>120</v>
      </c>
      <c r="G41" s="33" t="s">
        <v>121</v>
      </c>
      <c r="H41" s="33" t="s">
        <v>122</v>
      </c>
      <c r="I41" s="33" t="s">
        <v>88</v>
      </c>
      <c r="J41" s="33" t="s">
        <v>89</v>
      </c>
      <c r="K41" s="33" t="s">
        <v>123</v>
      </c>
      <c r="L41" s="33" t="s">
        <v>124</v>
      </c>
    </row>
    <row r="42" customFormat="false" ht="15" hidden="false" customHeight="true" outlineLevel="0" collapsed="false">
      <c r="A42" s="23" t="n">
        <v>1</v>
      </c>
      <c r="B42" s="24" t="str">
        <f aca="false">INDEX(Helper!$B$2:$B$5,MATCH(LARGE(Helper!$AL$2:$AL$5,1),Helper!$AL$2:$AL$5,0))</f>
        <v>Player 4</v>
      </c>
      <c r="C42" s="25" t="str">
        <f aca="false">INDEX(Helper!$U$2:$U$5,MATCH(LARGE(Helper!$AL$2:$AL$5,1),Helper!$AL$2:$AL$5,0))</f>
        <v>-</v>
      </c>
      <c r="D42" s="25" t="str">
        <f aca="false">INDEX(Helper!$V$2:$V$5,MATCH(LARGE(Helper!$AL$2:$AL$5,1),Helper!$AL$2:$AL$5,0))</f>
        <v>-</v>
      </c>
      <c r="E42" s="25" t="str">
        <f aca="false">INDEX(Helper!$W$2:$W$5,MATCH(LARGE(Helper!$AL$2:$AL$5,1),Helper!$AL$2:$AL$5,0))</f>
        <v>-</v>
      </c>
      <c r="F42" s="25" t="str">
        <f aca="false">INDEX(Helper!$X$2:$X$5,MATCH(LARGE(Helper!$AL$2:$AL$5,1),Helper!$AL$2:$AL$5,0))</f>
        <v>-</v>
      </c>
      <c r="G42" s="25" t="str">
        <f aca="false">INDEX(Helper!$Y$2:$Y$5,MATCH(LARGE(Helper!$AL$2:$AL$5,1),Helper!$AL$2:$AL$5,0))</f>
        <v>-</v>
      </c>
      <c r="H42" s="25" t="str">
        <f aca="false">INDEX(Helper!$Z$2:$Z$5,MATCH(LARGE(Helper!$AL$2:$AL$5,1),Helper!$AL$2:$AL$5,0))</f>
        <v>-</v>
      </c>
      <c r="I42" s="33" t="n">
        <f aca="false">INDEX(Helper!$AA$2:$AA$5,MATCH(LARGE(Helper!$AL$2:$AL$5,1),Helper!$AL$2:$AL$5,0))</f>
        <v>0</v>
      </c>
      <c r="J42" s="25" t="n">
        <f aca="false">INDEX(Helper!$AB$2:$AB$5,MATCH(LARGE(Helper!$AL$2:$AL$5,1),Helper!$AL$2:$AL$5,0))</f>
        <v>0</v>
      </c>
      <c r="K42" s="25" t="n">
        <f aca="false">INDEX(Helper!$AC$2:$AC$5,MATCH(LARGE(Helper!$AL$2:$AL$5,1),Helper!$AL$2:$AL$5,0))</f>
        <v>0</v>
      </c>
      <c r="L42" s="34" t="n">
        <f aca="false">IFERROR(I42/(I42+J42),0)</f>
        <v>0</v>
      </c>
    </row>
    <row r="43" customFormat="false" ht="15" hidden="false" customHeight="true" outlineLevel="0" collapsed="false">
      <c r="A43" s="26" t="n">
        <v>2</v>
      </c>
      <c r="B43" s="24" t="str">
        <f aca="false">INDEX(Helper!$B$2:$B$5,MATCH(LARGE(Helper!$AL$2:$AL$5,2),Helper!$AL$2:$AL$5,0))</f>
        <v>Player 3</v>
      </c>
      <c r="C43" s="25" t="str">
        <f aca="false">INDEX(Helper!$U$2:$U$5,MATCH(LARGE(Helper!$AL$2:$AL$5,2),Helper!$AL$2:$AL$5,0))</f>
        <v>-</v>
      </c>
      <c r="D43" s="25" t="str">
        <f aca="false">INDEX(Helper!$V$2:$V$5,MATCH(LARGE(Helper!$AL$2:$AL$5,2),Helper!$AL$2:$AL$5,0))</f>
        <v>-</v>
      </c>
      <c r="E43" s="25" t="str">
        <f aca="false">INDEX(Helper!$W$2:$W$5,MATCH(LARGE(Helper!$AL$2:$AL$5,2),Helper!$AL$2:$AL$5,0))</f>
        <v>-</v>
      </c>
      <c r="F43" s="25" t="str">
        <f aca="false">INDEX(Helper!$X$2:$X$5,MATCH(LARGE(Helper!$AL$2:$AL$5,2),Helper!$AL$2:$AL$5,0))</f>
        <v>-</v>
      </c>
      <c r="G43" s="25" t="str">
        <f aca="false">INDEX(Helper!$Y$2:$Y$5,MATCH(LARGE(Helper!$AL$2:$AL$5,2),Helper!$AL$2:$AL$5,0))</f>
        <v>-</v>
      </c>
      <c r="H43" s="25" t="str">
        <f aca="false">INDEX(Helper!$Z$2:$Z$5,MATCH(LARGE(Helper!$AL$2:$AL$5,2),Helper!$AL$2:$AL$5,0))</f>
        <v>-</v>
      </c>
      <c r="I43" s="33" t="n">
        <f aca="false">INDEX(Helper!$AA$2:$AA$5,MATCH(LARGE(Helper!$AL$2:$AL$5,2),Helper!$AL$2:$AL$5,0))</f>
        <v>0</v>
      </c>
      <c r="J43" s="25" t="n">
        <f aca="false">INDEX(Helper!$AB$2:$AB$5,MATCH(LARGE(Helper!$AL$2:$AL$5,2),Helper!$AL$2:$AL$5,0))</f>
        <v>0</v>
      </c>
      <c r="K43" s="25" t="n">
        <f aca="false">INDEX(Helper!$AC$2:$AC$5,MATCH(LARGE(Helper!$AL$2:$AL$5,2),Helper!$AL$2:$AL$5,0))</f>
        <v>0</v>
      </c>
      <c r="L43" s="34" t="n">
        <f aca="false">IFERROR(I43/(I43+J43),0)</f>
        <v>0</v>
      </c>
    </row>
    <row r="44" customFormat="false" ht="15" hidden="false" customHeight="true" outlineLevel="0" collapsed="false">
      <c r="A44" s="27" t="n">
        <v>3</v>
      </c>
      <c r="B44" s="24" t="str">
        <f aca="false">INDEX(Helper!$B$2:$B$5,MATCH(LARGE(Helper!$AL$2:$AL$5,3),Helper!$AL$2:$AL$5,0))</f>
        <v>Player 2</v>
      </c>
      <c r="C44" s="25" t="str">
        <f aca="false">INDEX(Helper!$U$2:$U$5,MATCH(LARGE(Helper!$AL$2:$AL$5,3),Helper!$AL$2:$AL$5,0))</f>
        <v>-</v>
      </c>
      <c r="D44" s="25" t="str">
        <f aca="false">INDEX(Helper!$V$2:$V$5,MATCH(LARGE(Helper!$AL$2:$AL$5,3),Helper!$AL$2:$AL$5,0))</f>
        <v>-</v>
      </c>
      <c r="E44" s="25" t="str">
        <f aca="false">INDEX(Helper!$W$2:$W$5,MATCH(LARGE(Helper!$AL$2:$AL$5,3),Helper!$AL$2:$AL$5,0))</f>
        <v>-</v>
      </c>
      <c r="F44" s="25" t="str">
        <f aca="false">INDEX(Helper!$X$2:$X$5,MATCH(LARGE(Helper!$AL$2:$AL$5,3),Helper!$AL$2:$AL$5,0))</f>
        <v>-</v>
      </c>
      <c r="G44" s="25" t="str">
        <f aca="false">INDEX(Helper!$Y$2:$Y$5,MATCH(LARGE(Helper!$AL$2:$AL$5,3),Helper!$AL$2:$AL$5,0))</f>
        <v>-</v>
      </c>
      <c r="H44" s="25" t="str">
        <f aca="false">INDEX(Helper!$Z$2:$Z$5,MATCH(LARGE(Helper!$AL$2:$AL$5,3),Helper!$AL$2:$AL$5,0))</f>
        <v>-</v>
      </c>
      <c r="I44" s="33" t="n">
        <f aca="false">INDEX(Helper!$AA$2:$AA$5,MATCH(LARGE(Helper!$AL$2:$AL$5,3),Helper!$AL$2:$AL$5,0))</f>
        <v>0</v>
      </c>
      <c r="J44" s="25" t="n">
        <f aca="false">INDEX(Helper!$AB$2:$AB$5,MATCH(LARGE(Helper!$AL$2:$AL$5,3),Helper!$AL$2:$AL$5,0))</f>
        <v>0</v>
      </c>
      <c r="K44" s="25" t="n">
        <f aca="false">INDEX(Helper!$AC$2:$AC$5,MATCH(LARGE(Helper!$AL$2:$AL$5,3),Helper!$AL$2:$AL$5,0))</f>
        <v>0</v>
      </c>
      <c r="L44" s="34" t="n">
        <f aca="false">IFERROR(I44/(I44+J44),0)</f>
        <v>0</v>
      </c>
    </row>
    <row r="45" customFormat="false" ht="15" hidden="false" customHeight="true" outlineLevel="0" collapsed="false">
      <c r="A45" s="28" t="n">
        <v>4</v>
      </c>
      <c r="B45" s="24" t="str">
        <f aca="false">INDEX(Helper!$B$2:$B$5,MATCH(LARGE(Helper!$AL$2:$AL$5,4),Helper!$AL$2:$AL$5,0))</f>
        <v>Player 1</v>
      </c>
      <c r="C45" s="25" t="str">
        <f aca="false">INDEX(Helper!$U$2:$U$5,MATCH(LARGE(Helper!$AL$2:$AL$5,4),Helper!$AL$2:$AL$5,0))</f>
        <v>-</v>
      </c>
      <c r="D45" s="25" t="str">
        <f aca="false">INDEX(Helper!$V$2:$V$5,MATCH(LARGE(Helper!$AL$2:$AL$5,4),Helper!$AL$2:$AL$5,0))</f>
        <v>-</v>
      </c>
      <c r="E45" s="25" t="str">
        <f aca="false">INDEX(Helper!$W$2:$W$5,MATCH(LARGE(Helper!$AL$2:$AL$5,4),Helper!$AL$2:$AL$5,0))</f>
        <v>-</v>
      </c>
      <c r="F45" s="25" t="str">
        <f aca="false">INDEX(Helper!$X$2:$X$5,MATCH(LARGE(Helper!$AL$2:$AL$5,4),Helper!$AL$2:$AL$5,0))</f>
        <v>-</v>
      </c>
      <c r="G45" s="25" t="str">
        <f aca="false">INDEX(Helper!$Y$2:$Y$5,MATCH(LARGE(Helper!$AL$2:$AL$5,4),Helper!$AL$2:$AL$5,0))</f>
        <v>-</v>
      </c>
      <c r="H45" s="25" t="str">
        <f aca="false">INDEX(Helper!$Z$2:$Z$5,MATCH(LARGE(Helper!$AL$2:$AL$5,4),Helper!$AL$2:$AL$5,0))</f>
        <v>-</v>
      </c>
      <c r="I45" s="33" t="n">
        <f aca="false">INDEX(Helper!$AA$2:$AA$5,MATCH(LARGE(Helper!$AL$2:$AL$5,4),Helper!$AL$2:$AL$5,0))</f>
        <v>0</v>
      </c>
      <c r="J45" s="25" t="n">
        <f aca="false">INDEX(Helper!$AB$2:$AB$5,MATCH(LARGE(Helper!$AL$2:$AL$5,4),Helper!$AL$2:$AL$5,0))</f>
        <v>0</v>
      </c>
      <c r="K45" s="25" t="n">
        <f aca="false">INDEX(Helper!$AC$2:$AC$5,MATCH(LARGE(Helper!$AL$2:$AL$5,4),Helper!$AL$2:$AL$5,0))</f>
        <v>0</v>
      </c>
      <c r="L45" s="34" t="n">
        <f aca="false">IFERROR(I45/(I45+J45),0)</f>
        <v>0</v>
      </c>
    </row>
    <row r="47" customFormat="false" ht="15" hidden="false" customHeight="true" outlineLevel="0" collapsed="false">
      <c r="A47" s="32" t="s">
        <v>125</v>
      </c>
      <c r="B47" s="32"/>
      <c r="C47" s="32"/>
      <c r="D47" s="32"/>
      <c r="E47" s="32"/>
      <c r="F47" s="32"/>
      <c r="G47" s="32"/>
      <c r="H47" s="32"/>
      <c r="I47" s="32"/>
      <c r="J47" s="32"/>
      <c r="K47" s="32"/>
      <c r="L47" s="32"/>
    </row>
    <row r="48" customFormat="false" ht="15" hidden="false" customHeight="true" outlineLevel="0" collapsed="false">
      <c r="A48" s="33" t="s">
        <v>97</v>
      </c>
      <c r="B48" s="33" t="s">
        <v>98</v>
      </c>
      <c r="C48" s="33" t="s">
        <v>117</v>
      </c>
      <c r="D48" s="33" t="s">
        <v>118</v>
      </c>
      <c r="E48" s="33" t="s">
        <v>119</v>
      </c>
      <c r="F48" s="33" t="s">
        <v>120</v>
      </c>
      <c r="G48" s="33" t="s">
        <v>121</v>
      </c>
      <c r="H48" s="33" t="s">
        <v>122</v>
      </c>
      <c r="I48" s="33" t="s">
        <v>88</v>
      </c>
      <c r="J48" s="33" t="s">
        <v>89</v>
      </c>
      <c r="K48" s="33" t="s">
        <v>123</v>
      </c>
      <c r="L48" s="33" t="s">
        <v>124</v>
      </c>
    </row>
    <row r="49" customFormat="false" ht="15" hidden="false" customHeight="true" outlineLevel="0" collapsed="false">
      <c r="A49" s="23" t="n">
        <v>1</v>
      </c>
      <c r="B49" s="24" t="str">
        <f aca="false">INDEX(Helper!$B$6:$B$9,MATCH(LARGE(Helper!$AL$6:$AL$9,1),Helper!$AL$6:$AL$9,0))</f>
        <v>Player 8</v>
      </c>
      <c r="C49" s="25" t="str">
        <f aca="false">INDEX(Helper!$U$6:$U$9,MATCH(LARGE(Helper!$AL$6:$AL$9,1),Helper!$AL$6:$AL$9,0))</f>
        <v>-</v>
      </c>
      <c r="D49" s="25" t="str">
        <f aca="false">INDEX(Helper!$V$6:$V$9,MATCH(LARGE(Helper!$AL$6:$AL$9,1),Helper!$AL$6:$AL$9,0))</f>
        <v>-</v>
      </c>
      <c r="E49" s="25" t="str">
        <f aca="false">INDEX(Helper!$W$6:$W$9,MATCH(LARGE(Helper!$AL$6:$AL$9,1),Helper!$AL$6:$AL$9,0))</f>
        <v>-</v>
      </c>
      <c r="F49" s="25" t="str">
        <f aca="false">INDEX(Helper!$X$6:$X$9,MATCH(LARGE(Helper!$AL$6:$AL$9,1),Helper!$AL$6:$AL$9,0))</f>
        <v>-</v>
      </c>
      <c r="G49" s="25" t="str">
        <f aca="false">INDEX(Helper!$Y$6:$Y$9,MATCH(LARGE(Helper!$AL$6:$AL$9,1),Helper!$AL$6:$AL$9,0))</f>
        <v>-</v>
      </c>
      <c r="H49" s="25" t="str">
        <f aca="false">INDEX(Helper!$Z$6:$Z$9,MATCH(LARGE(Helper!$AL$6:$AL$9,1),Helper!$AL$6:$AL$9,0))</f>
        <v>-</v>
      </c>
      <c r="I49" s="33" t="n">
        <f aca="false">INDEX(Helper!$AA$6:$AA$9,MATCH(LARGE(Helper!$AL$6:$AL$9,1),Helper!$AL$6:$AL$9,0))</f>
        <v>0</v>
      </c>
      <c r="J49" s="25" t="n">
        <f aca="false">INDEX(Helper!$AB$6:$AB$9,MATCH(LARGE(Helper!$AL$6:$AL$9,1),Helper!$AL$6:$AL$9,0))</f>
        <v>0</v>
      </c>
      <c r="K49" s="25" t="n">
        <f aca="false">INDEX(Helper!$AC$6:$AC$9,MATCH(LARGE(Helper!$AL$6:$AL$9,1),Helper!$AL$6:$AL$9,0))</f>
        <v>0</v>
      </c>
      <c r="L49" s="34" t="n">
        <f aca="false">IFERROR(I49/(I49+J49),0)</f>
        <v>0</v>
      </c>
    </row>
    <row r="50" customFormat="false" ht="15" hidden="false" customHeight="true" outlineLevel="0" collapsed="false">
      <c r="A50" s="26" t="n">
        <v>2</v>
      </c>
      <c r="B50" s="24" t="str">
        <f aca="false">INDEX(Helper!$B$6:$B$9,MATCH(LARGE(Helper!$AL$6:$AL$9,2),Helper!$AL$6:$AL$9,0))</f>
        <v>Player 7</v>
      </c>
      <c r="C50" s="25" t="str">
        <f aca="false">INDEX(Helper!$U$6:$U$9,MATCH(LARGE(Helper!$AL$6:$AL$9,2),Helper!$AL$6:$AL$9,0))</f>
        <v>-</v>
      </c>
      <c r="D50" s="25" t="str">
        <f aca="false">INDEX(Helper!$V$6:$V$9,MATCH(LARGE(Helper!$AL$6:$AL$9,2),Helper!$AL$6:$AL$9,0))</f>
        <v>-</v>
      </c>
      <c r="E50" s="25" t="str">
        <f aca="false">INDEX(Helper!$W$6:$W$9,MATCH(LARGE(Helper!$AL$6:$AL$9,2),Helper!$AL$6:$AL$9,0))</f>
        <v>-</v>
      </c>
      <c r="F50" s="25" t="str">
        <f aca="false">INDEX(Helper!$X$6:$X$9,MATCH(LARGE(Helper!$AL$6:$AL$9,2),Helper!$AL$6:$AL$9,0))</f>
        <v>-</v>
      </c>
      <c r="G50" s="25" t="str">
        <f aca="false">INDEX(Helper!$Y$6:$Y$9,MATCH(LARGE(Helper!$AL$6:$AL$9,2),Helper!$AL$6:$AL$9,0))</f>
        <v>-</v>
      </c>
      <c r="H50" s="25" t="str">
        <f aca="false">INDEX(Helper!$Z$6:$Z$9,MATCH(LARGE(Helper!$AL$6:$AL$9,2),Helper!$AL$6:$AL$9,0))</f>
        <v>-</v>
      </c>
      <c r="I50" s="33" t="n">
        <f aca="false">INDEX(Helper!$AA$6:$AA$9,MATCH(LARGE(Helper!$AL$6:$AL$9,2),Helper!$AL$6:$AL$9,0))</f>
        <v>0</v>
      </c>
      <c r="J50" s="25" t="n">
        <f aca="false">INDEX(Helper!$AB$6:$AB$9,MATCH(LARGE(Helper!$AL$6:$AL$9,2),Helper!$AL$6:$AL$9,0))</f>
        <v>0</v>
      </c>
      <c r="K50" s="25" t="n">
        <f aca="false">INDEX(Helper!$AC$6:$AC$9,MATCH(LARGE(Helper!$AL$6:$AL$9,2),Helper!$AL$6:$AL$9,0))</f>
        <v>0</v>
      </c>
      <c r="L50" s="34" t="n">
        <f aca="false">IFERROR(I50/(I50+J50),0)</f>
        <v>0</v>
      </c>
    </row>
    <row r="51" customFormat="false" ht="15" hidden="false" customHeight="true" outlineLevel="0" collapsed="false">
      <c r="A51" s="27" t="n">
        <v>3</v>
      </c>
      <c r="B51" s="24" t="str">
        <f aca="false">INDEX(Helper!$B$6:$B$9,MATCH(LARGE(Helper!$AL$6:$AL$9,3),Helper!$AL$6:$AL$9,0))</f>
        <v>Player 6</v>
      </c>
      <c r="C51" s="25" t="str">
        <f aca="false">INDEX(Helper!$U$6:$U$9,MATCH(LARGE(Helper!$AL$6:$AL$9,3),Helper!$AL$6:$AL$9,0))</f>
        <v>-</v>
      </c>
      <c r="D51" s="25" t="str">
        <f aca="false">INDEX(Helper!$V$6:$V$9,MATCH(LARGE(Helper!$AL$6:$AL$9,3),Helper!$AL$6:$AL$9,0))</f>
        <v>-</v>
      </c>
      <c r="E51" s="25" t="str">
        <f aca="false">INDEX(Helper!$W$6:$W$9,MATCH(LARGE(Helper!$AL$6:$AL$9,3),Helper!$AL$6:$AL$9,0))</f>
        <v>-</v>
      </c>
      <c r="F51" s="25" t="str">
        <f aca="false">INDEX(Helper!$X$6:$X$9,MATCH(LARGE(Helper!$AL$6:$AL$9,3),Helper!$AL$6:$AL$9,0))</f>
        <v>-</v>
      </c>
      <c r="G51" s="25" t="str">
        <f aca="false">INDEX(Helper!$Y$6:$Y$9,MATCH(LARGE(Helper!$AL$6:$AL$9,3),Helper!$AL$6:$AL$9,0))</f>
        <v>-</v>
      </c>
      <c r="H51" s="25" t="str">
        <f aca="false">INDEX(Helper!$Z$6:$Z$9,MATCH(LARGE(Helper!$AL$6:$AL$9,3),Helper!$AL$6:$AL$9,0))</f>
        <v>-</v>
      </c>
      <c r="I51" s="33" t="n">
        <f aca="false">INDEX(Helper!$AA$6:$AA$9,MATCH(LARGE(Helper!$AL$6:$AL$9,3),Helper!$AL$6:$AL$9,0))</f>
        <v>0</v>
      </c>
      <c r="J51" s="25" t="n">
        <f aca="false">INDEX(Helper!$AB$6:$AB$9,MATCH(LARGE(Helper!$AL$6:$AL$9,3),Helper!$AL$6:$AL$9,0))</f>
        <v>0</v>
      </c>
      <c r="K51" s="25" t="n">
        <f aca="false">INDEX(Helper!$AC$6:$AC$9,MATCH(LARGE(Helper!$AL$6:$AL$9,3),Helper!$AL$6:$AL$9,0))</f>
        <v>0</v>
      </c>
      <c r="L51" s="34" t="n">
        <f aca="false">IFERROR(I51/(I51+J51),0)</f>
        <v>0</v>
      </c>
    </row>
    <row r="52" customFormat="false" ht="15" hidden="false" customHeight="true" outlineLevel="0" collapsed="false">
      <c r="A52" s="28" t="n">
        <v>4</v>
      </c>
      <c r="B52" s="24" t="str">
        <f aca="false">INDEX(Helper!$B$6:$B$9,MATCH(LARGE(Helper!$AL$6:$AL$9,4),Helper!$AL$6:$AL$9,0))</f>
        <v>Player 5</v>
      </c>
      <c r="C52" s="25" t="str">
        <f aca="false">INDEX(Helper!$U$6:$U$9,MATCH(LARGE(Helper!$AL$6:$AL$9,4),Helper!$AL$6:$AL$9,0))</f>
        <v>-</v>
      </c>
      <c r="D52" s="25" t="str">
        <f aca="false">INDEX(Helper!$V$6:$V$9,MATCH(LARGE(Helper!$AL$6:$AL$9,4),Helper!$AL$6:$AL$9,0))</f>
        <v>-</v>
      </c>
      <c r="E52" s="25" t="str">
        <f aca="false">INDEX(Helper!$W$6:$W$9,MATCH(LARGE(Helper!$AL$6:$AL$9,4),Helper!$AL$6:$AL$9,0))</f>
        <v>-</v>
      </c>
      <c r="F52" s="25" t="str">
        <f aca="false">INDEX(Helper!$X$6:$X$9,MATCH(LARGE(Helper!$AL$6:$AL$9,4),Helper!$AL$6:$AL$9,0))</f>
        <v>-</v>
      </c>
      <c r="G52" s="25" t="str">
        <f aca="false">INDEX(Helper!$Y$6:$Y$9,MATCH(LARGE(Helper!$AL$6:$AL$9,4),Helper!$AL$6:$AL$9,0))</f>
        <v>-</v>
      </c>
      <c r="H52" s="25" t="str">
        <f aca="false">INDEX(Helper!$Z$6:$Z$9,MATCH(LARGE(Helper!$AL$6:$AL$9,4),Helper!$AL$6:$AL$9,0))</f>
        <v>-</v>
      </c>
      <c r="I52" s="33" t="n">
        <f aca="false">INDEX(Helper!$AA$6:$AA$9,MATCH(LARGE(Helper!$AL$6:$AL$9,4),Helper!$AL$6:$AL$9,0))</f>
        <v>0</v>
      </c>
      <c r="J52" s="25" t="n">
        <f aca="false">INDEX(Helper!$AB$6:$AB$9,MATCH(LARGE(Helper!$AL$6:$AL$9,4),Helper!$AL$6:$AL$9,0))</f>
        <v>0</v>
      </c>
      <c r="K52" s="25" t="n">
        <f aca="false">INDEX(Helper!$AC$6:$AC$9,MATCH(LARGE(Helper!$AL$6:$AL$9,4),Helper!$AL$6:$AL$9,0))</f>
        <v>0</v>
      </c>
      <c r="L52" s="34" t="n">
        <f aca="false">IFERROR(I52/(I52+J52),0)</f>
        <v>0</v>
      </c>
    </row>
    <row r="54" customFormat="false" ht="15" hidden="false" customHeight="true" outlineLevel="0" collapsed="false">
      <c r="A54" s="32" t="s">
        <v>126</v>
      </c>
      <c r="B54" s="32"/>
      <c r="C54" s="32"/>
      <c r="D54" s="32"/>
      <c r="E54" s="32"/>
      <c r="F54" s="32"/>
      <c r="G54" s="32"/>
      <c r="H54" s="32"/>
      <c r="I54" s="32"/>
      <c r="J54" s="32"/>
      <c r="K54" s="32"/>
      <c r="L54" s="32"/>
    </row>
    <row r="55" customFormat="false" ht="15" hidden="false" customHeight="true" outlineLevel="0" collapsed="false">
      <c r="A55" s="33" t="s">
        <v>97</v>
      </c>
      <c r="B55" s="33" t="s">
        <v>98</v>
      </c>
      <c r="C55" s="33" t="s">
        <v>117</v>
      </c>
      <c r="D55" s="33" t="s">
        <v>118</v>
      </c>
      <c r="E55" s="33" t="s">
        <v>119</v>
      </c>
      <c r="F55" s="33" t="s">
        <v>120</v>
      </c>
      <c r="G55" s="33" t="s">
        <v>121</v>
      </c>
      <c r="H55" s="33" t="s">
        <v>122</v>
      </c>
      <c r="I55" s="33" t="s">
        <v>88</v>
      </c>
      <c r="J55" s="33" t="s">
        <v>89</v>
      </c>
      <c r="K55" s="33" t="s">
        <v>123</v>
      </c>
      <c r="L55" s="33" t="s">
        <v>124</v>
      </c>
    </row>
    <row r="56" customFormat="false" ht="15" hidden="false" customHeight="true" outlineLevel="0" collapsed="false">
      <c r="A56" s="23" t="n">
        <v>1</v>
      </c>
      <c r="B56" s="24" t="str">
        <f aca="false">INDEX(Helper!$B$10:$B$13,MATCH(LARGE(Helper!$AL$10:$AL$13,1),Helper!$AL$10:$AL$13,0))</f>
        <v>Player 12</v>
      </c>
      <c r="C56" s="25" t="str">
        <f aca="false">INDEX(Helper!$U$10:$U$13,MATCH(LARGE(Helper!$AL$10:$AL$13,1),Helper!$AL$10:$AL$13,0))</f>
        <v>-</v>
      </c>
      <c r="D56" s="25" t="str">
        <f aca="false">INDEX(Helper!$V$10:$V$13,MATCH(LARGE(Helper!$AL$10:$AL$13,1),Helper!$AL$10:$AL$13,0))</f>
        <v>-</v>
      </c>
      <c r="E56" s="25" t="str">
        <f aca="false">INDEX(Helper!$W$10:$W$13,MATCH(LARGE(Helper!$AL$10:$AL$13,1),Helper!$AL$10:$AL$13,0))</f>
        <v>-</v>
      </c>
      <c r="F56" s="25" t="str">
        <f aca="false">INDEX(Helper!$X$10:$X$13,MATCH(LARGE(Helper!$AL$10:$AL$13,1),Helper!$AL$10:$AL$13,0))</f>
        <v>-</v>
      </c>
      <c r="G56" s="25" t="str">
        <f aca="false">INDEX(Helper!$Y$10:$Y$13,MATCH(LARGE(Helper!$AL$10:$AL$13,1),Helper!$AL$10:$AL$13,0))</f>
        <v>-</v>
      </c>
      <c r="H56" s="25" t="str">
        <f aca="false">INDEX(Helper!$Z$10:$Z$13,MATCH(LARGE(Helper!$AL$10:$AL$13,1),Helper!$AL$10:$AL$13,0))</f>
        <v>-</v>
      </c>
      <c r="I56" s="33" t="n">
        <f aca="false">INDEX(Helper!$AA$10:$AA$13,MATCH(LARGE(Helper!$AL$10:$AL$13,1),Helper!$AL$10:$AL$13,0))</f>
        <v>0</v>
      </c>
      <c r="J56" s="25" t="n">
        <f aca="false">INDEX(Helper!$AB$10:$AB$13,MATCH(LARGE(Helper!$AL$10:$AL$13,1),Helper!$AL$10:$AL$13,0))</f>
        <v>0</v>
      </c>
      <c r="K56" s="25" t="n">
        <f aca="false">INDEX(Helper!$AC$10:$AC$13,MATCH(LARGE(Helper!$AL$10:$AL$13,1),Helper!$AL$10:$AL$13,0))</f>
        <v>0</v>
      </c>
      <c r="L56" s="34" t="n">
        <f aca="false">IFERROR(I56/(I56+J56),0)</f>
        <v>0</v>
      </c>
    </row>
    <row r="57" customFormat="false" ht="15" hidden="false" customHeight="true" outlineLevel="0" collapsed="false">
      <c r="A57" s="26" t="n">
        <v>2</v>
      </c>
      <c r="B57" s="24" t="str">
        <f aca="false">INDEX(Helper!$B$10:$B$13,MATCH(LARGE(Helper!$AL$10:$AL$13,2),Helper!$AL$10:$AL$13,0))</f>
        <v>Player 11</v>
      </c>
      <c r="C57" s="25" t="str">
        <f aca="false">INDEX(Helper!$U$10:$U$13,MATCH(LARGE(Helper!$AL$10:$AL$13,2),Helper!$AL$10:$AL$13,0))</f>
        <v>-</v>
      </c>
      <c r="D57" s="25" t="str">
        <f aca="false">INDEX(Helper!$V$10:$V$13,MATCH(LARGE(Helper!$AL$10:$AL$13,2),Helper!$AL$10:$AL$13,0))</f>
        <v>-</v>
      </c>
      <c r="E57" s="25" t="str">
        <f aca="false">INDEX(Helper!$W$10:$W$13,MATCH(LARGE(Helper!$AL$10:$AL$13,2),Helper!$AL$10:$AL$13,0))</f>
        <v>-</v>
      </c>
      <c r="F57" s="25" t="str">
        <f aca="false">INDEX(Helper!$X$10:$X$13,MATCH(LARGE(Helper!$AL$10:$AL$13,2),Helper!$AL$10:$AL$13,0))</f>
        <v>-</v>
      </c>
      <c r="G57" s="25" t="str">
        <f aca="false">INDEX(Helper!$Y$10:$Y$13,MATCH(LARGE(Helper!$AL$10:$AL$13,2),Helper!$AL$10:$AL$13,0))</f>
        <v>-</v>
      </c>
      <c r="H57" s="25" t="str">
        <f aca="false">INDEX(Helper!$Z$10:$Z$13,MATCH(LARGE(Helper!$AL$10:$AL$13,2),Helper!$AL$10:$AL$13,0))</f>
        <v>-</v>
      </c>
      <c r="I57" s="33" t="n">
        <f aca="false">INDEX(Helper!$AA$10:$AA$13,MATCH(LARGE(Helper!$AL$10:$AL$13,2),Helper!$AL$10:$AL$13,0))</f>
        <v>0</v>
      </c>
      <c r="J57" s="25" t="n">
        <f aca="false">INDEX(Helper!$AB$10:$AB$13,MATCH(LARGE(Helper!$AL$10:$AL$13,2),Helper!$AL$10:$AL$13,0))</f>
        <v>0</v>
      </c>
      <c r="K57" s="25" t="n">
        <f aca="false">INDEX(Helper!$AC$10:$AC$13,MATCH(LARGE(Helper!$AL$10:$AL$13,2),Helper!$AL$10:$AL$13,0))</f>
        <v>0</v>
      </c>
      <c r="L57" s="34" t="n">
        <f aca="false">IFERROR(I57/(I57+J57),0)</f>
        <v>0</v>
      </c>
    </row>
    <row r="58" customFormat="false" ht="15" hidden="false" customHeight="true" outlineLevel="0" collapsed="false">
      <c r="A58" s="27" t="n">
        <v>3</v>
      </c>
      <c r="B58" s="24" t="str">
        <f aca="false">INDEX(Helper!$B$10:$B$13,MATCH(LARGE(Helper!$AL$10:$AL$13,3),Helper!$AL$10:$AL$13,0))</f>
        <v>Player 10</v>
      </c>
      <c r="C58" s="25" t="str">
        <f aca="false">INDEX(Helper!$U$10:$U$13,MATCH(LARGE(Helper!$AL$10:$AL$13,3),Helper!$AL$10:$AL$13,0))</f>
        <v>-</v>
      </c>
      <c r="D58" s="25" t="str">
        <f aca="false">INDEX(Helper!$V$10:$V$13,MATCH(LARGE(Helper!$AL$10:$AL$13,3),Helper!$AL$10:$AL$13,0))</f>
        <v>-</v>
      </c>
      <c r="E58" s="25" t="str">
        <f aca="false">INDEX(Helper!$W$10:$W$13,MATCH(LARGE(Helper!$AL$10:$AL$13,3),Helper!$AL$10:$AL$13,0))</f>
        <v>-</v>
      </c>
      <c r="F58" s="25" t="str">
        <f aca="false">INDEX(Helper!$X$10:$X$13,MATCH(LARGE(Helper!$AL$10:$AL$13,3),Helper!$AL$10:$AL$13,0))</f>
        <v>-</v>
      </c>
      <c r="G58" s="25" t="str">
        <f aca="false">INDEX(Helper!$Y$10:$Y$13,MATCH(LARGE(Helper!$AL$10:$AL$13,3),Helper!$AL$10:$AL$13,0))</f>
        <v>-</v>
      </c>
      <c r="H58" s="25" t="str">
        <f aca="false">INDEX(Helper!$Z$10:$Z$13,MATCH(LARGE(Helper!$AL$10:$AL$13,3),Helper!$AL$10:$AL$13,0))</f>
        <v>-</v>
      </c>
      <c r="I58" s="33" t="n">
        <f aca="false">INDEX(Helper!$AA$10:$AA$13,MATCH(LARGE(Helper!$AL$10:$AL$13,3),Helper!$AL$10:$AL$13,0))</f>
        <v>0</v>
      </c>
      <c r="J58" s="25" t="n">
        <f aca="false">INDEX(Helper!$AB$10:$AB$13,MATCH(LARGE(Helper!$AL$10:$AL$13,3),Helper!$AL$10:$AL$13,0))</f>
        <v>0</v>
      </c>
      <c r="K58" s="25" t="n">
        <f aca="false">INDEX(Helper!$AC$10:$AC$13,MATCH(LARGE(Helper!$AL$10:$AL$13,3),Helper!$AL$10:$AL$13,0))</f>
        <v>0</v>
      </c>
      <c r="L58" s="34" t="n">
        <f aca="false">IFERROR(I58/(I58+J58),0)</f>
        <v>0</v>
      </c>
    </row>
    <row r="59" customFormat="false" ht="15" hidden="false" customHeight="true" outlineLevel="0" collapsed="false">
      <c r="A59" s="28" t="n">
        <v>4</v>
      </c>
      <c r="B59" s="24" t="str">
        <f aca="false">INDEX(Helper!$B$10:$B$13,MATCH(LARGE(Helper!$AL$10:$AL$13,4),Helper!$AL$10:$AL$13,0))</f>
        <v>Player 9</v>
      </c>
      <c r="C59" s="25" t="str">
        <f aca="false">INDEX(Helper!$U$10:$U$13,MATCH(LARGE(Helper!$AL$10:$AL$13,4),Helper!$AL$10:$AL$13,0))</f>
        <v>-</v>
      </c>
      <c r="D59" s="25" t="str">
        <f aca="false">INDEX(Helper!$V$10:$V$13,MATCH(LARGE(Helper!$AL$10:$AL$13,4),Helper!$AL$10:$AL$13,0))</f>
        <v>-</v>
      </c>
      <c r="E59" s="25" t="str">
        <f aca="false">INDEX(Helper!$W$10:$W$13,MATCH(LARGE(Helper!$AL$10:$AL$13,4),Helper!$AL$10:$AL$13,0))</f>
        <v>-</v>
      </c>
      <c r="F59" s="25" t="str">
        <f aca="false">INDEX(Helper!$X$10:$X$13,MATCH(LARGE(Helper!$AL$10:$AL$13,4),Helper!$AL$10:$AL$13,0))</f>
        <v>-</v>
      </c>
      <c r="G59" s="25" t="str">
        <f aca="false">INDEX(Helper!$Y$10:$Y$13,MATCH(LARGE(Helper!$AL$10:$AL$13,4),Helper!$AL$10:$AL$13,0))</f>
        <v>-</v>
      </c>
      <c r="H59" s="25" t="str">
        <f aca="false">INDEX(Helper!$Z$10:$Z$13,MATCH(LARGE(Helper!$AL$10:$AL$13,4),Helper!$AL$10:$AL$13,0))</f>
        <v>-</v>
      </c>
      <c r="I59" s="33" t="n">
        <f aca="false">INDEX(Helper!$AA$10:$AA$13,MATCH(LARGE(Helper!$AL$10:$AL$13,4),Helper!$AL$10:$AL$13,0))</f>
        <v>0</v>
      </c>
      <c r="J59" s="25" t="n">
        <f aca="false">INDEX(Helper!$AB$10:$AB$13,MATCH(LARGE(Helper!$AL$10:$AL$13,4),Helper!$AL$10:$AL$13,0))</f>
        <v>0</v>
      </c>
      <c r="K59" s="25" t="n">
        <f aca="false">INDEX(Helper!$AC$10:$AC$13,MATCH(LARGE(Helper!$AL$10:$AL$13,4),Helper!$AL$10:$AL$13,0))</f>
        <v>0</v>
      </c>
      <c r="L59" s="34" t="n">
        <f aca="false">IFERROR(I59/(I59+J59),0)</f>
        <v>0</v>
      </c>
    </row>
    <row r="61" customFormat="false" ht="15" hidden="false" customHeight="true" outlineLevel="0" collapsed="false">
      <c r="A61" s="32" t="s">
        <v>127</v>
      </c>
      <c r="B61" s="32"/>
      <c r="C61" s="32"/>
      <c r="D61" s="32"/>
      <c r="E61" s="32"/>
      <c r="F61" s="32"/>
      <c r="G61" s="32"/>
      <c r="H61" s="32"/>
      <c r="I61" s="32"/>
      <c r="J61" s="32"/>
      <c r="K61" s="32"/>
      <c r="L61" s="32"/>
    </row>
    <row r="62" customFormat="false" ht="15" hidden="false" customHeight="true" outlineLevel="0" collapsed="false">
      <c r="A62" s="33" t="s">
        <v>97</v>
      </c>
      <c r="B62" s="33" t="s">
        <v>98</v>
      </c>
      <c r="C62" s="33" t="s">
        <v>117</v>
      </c>
      <c r="D62" s="33" t="s">
        <v>118</v>
      </c>
      <c r="E62" s="33" t="s">
        <v>119</v>
      </c>
      <c r="F62" s="33" t="s">
        <v>120</v>
      </c>
      <c r="G62" s="33" t="s">
        <v>121</v>
      </c>
      <c r="H62" s="33" t="s">
        <v>122</v>
      </c>
      <c r="I62" s="33" t="s">
        <v>88</v>
      </c>
      <c r="J62" s="33" t="s">
        <v>89</v>
      </c>
      <c r="K62" s="33" t="s">
        <v>123</v>
      </c>
      <c r="L62" s="33" t="s">
        <v>124</v>
      </c>
    </row>
    <row r="63" customFormat="false" ht="15" hidden="false" customHeight="true" outlineLevel="0" collapsed="false">
      <c r="A63" s="23" t="n">
        <v>1</v>
      </c>
      <c r="B63" s="24" t="str">
        <f aca="false">INDEX(Helper!$B$14:$B$17,MATCH(LARGE(Helper!$AL$14:$AL$17,1),Helper!$AL$14:$AL$17,0))</f>
        <v>Player 16</v>
      </c>
      <c r="C63" s="25" t="str">
        <f aca="false">INDEX(Helper!$U$14:$U$17,MATCH(LARGE(Helper!$AL$14:$AL$17,1),Helper!$AL$14:$AL$17,0))</f>
        <v>-</v>
      </c>
      <c r="D63" s="25" t="str">
        <f aca="false">INDEX(Helper!$V$14:$V$17,MATCH(LARGE(Helper!$AL$14:$AL$17,1),Helper!$AL$14:$AL$17,0))</f>
        <v>-</v>
      </c>
      <c r="E63" s="25" t="str">
        <f aca="false">INDEX(Helper!$W$14:$W$17,MATCH(LARGE(Helper!$AL$14:$AL$17,1),Helper!$AL$14:$AL$17,0))</f>
        <v>-</v>
      </c>
      <c r="F63" s="25" t="str">
        <f aca="false">INDEX(Helper!$X$14:$X$17,MATCH(LARGE(Helper!$AL$14:$AL$17,1),Helper!$AL$14:$AL$17,0))</f>
        <v>-</v>
      </c>
      <c r="G63" s="25" t="str">
        <f aca="false">INDEX(Helper!$Y$14:$Y$17,MATCH(LARGE(Helper!$AL$14:$AL$17,1),Helper!$AL$14:$AL$17,0))</f>
        <v>-</v>
      </c>
      <c r="H63" s="25" t="str">
        <f aca="false">INDEX(Helper!$Z$14:$Z$17,MATCH(LARGE(Helper!$AL$14:$AL$17,1),Helper!$AL$14:$AL$17,0))</f>
        <v>-</v>
      </c>
      <c r="I63" s="33" t="n">
        <f aca="false">INDEX(Helper!$AA$14:$AA$17,MATCH(LARGE(Helper!$AL$14:$AL$17,1),Helper!$AL$14:$AL$17,0))</f>
        <v>0</v>
      </c>
      <c r="J63" s="25" t="n">
        <f aca="false">INDEX(Helper!$AB$14:$AB$17,MATCH(LARGE(Helper!$AL$14:$AL$17,1),Helper!$AL$14:$AL$17,0))</f>
        <v>0</v>
      </c>
      <c r="K63" s="25" t="n">
        <f aca="false">INDEX(Helper!$AC$14:$AC$17,MATCH(LARGE(Helper!$AL$14:$AL$17,1),Helper!$AL$14:$AL$17,0))</f>
        <v>0</v>
      </c>
      <c r="L63" s="34" t="n">
        <f aca="false">IFERROR(I63/(I63+J63),0)</f>
        <v>0</v>
      </c>
    </row>
    <row r="64" customFormat="false" ht="15" hidden="false" customHeight="true" outlineLevel="0" collapsed="false">
      <c r="A64" s="26" t="n">
        <v>2</v>
      </c>
      <c r="B64" s="24" t="str">
        <f aca="false">INDEX(Helper!$B$14:$B$17,MATCH(LARGE(Helper!$AL$14:$AL$17,2),Helper!$AL$14:$AL$17,0))</f>
        <v>Player 15</v>
      </c>
      <c r="C64" s="25" t="str">
        <f aca="false">INDEX(Helper!$U$14:$U$17,MATCH(LARGE(Helper!$AL$14:$AL$17,2),Helper!$AL$14:$AL$17,0))</f>
        <v>-</v>
      </c>
      <c r="D64" s="25" t="str">
        <f aca="false">INDEX(Helper!$V$14:$V$17,MATCH(LARGE(Helper!$AL$14:$AL$17,2),Helper!$AL$14:$AL$17,0))</f>
        <v>-</v>
      </c>
      <c r="E64" s="25" t="str">
        <f aca="false">INDEX(Helper!$W$14:$W$17,MATCH(LARGE(Helper!$AL$14:$AL$17,2),Helper!$AL$14:$AL$17,0))</f>
        <v>-</v>
      </c>
      <c r="F64" s="25" t="str">
        <f aca="false">INDEX(Helper!$X$14:$X$17,MATCH(LARGE(Helper!$AL$14:$AL$17,2),Helper!$AL$14:$AL$17,0))</f>
        <v>-</v>
      </c>
      <c r="G64" s="25" t="str">
        <f aca="false">INDEX(Helper!$Y$14:$Y$17,MATCH(LARGE(Helper!$AL$14:$AL$17,2),Helper!$AL$14:$AL$17,0))</f>
        <v>-</v>
      </c>
      <c r="H64" s="25" t="str">
        <f aca="false">INDEX(Helper!$Z$14:$Z$17,MATCH(LARGE(Helper!$AL$14:$AL$17,2),Helper!$AL$14:$AL$17,0))</f>
        <v>-</v>
      </c>
      <c r="I64" s="33" t="n">
        <f aca="false">INDEX(Helper!$AA$14:$AA$17,MATCH(LARGE(Helper!$AL$14:$AL$17,2),Helper!$AL$14:$AL$17,0))</f>
        <v>0</v>
      </c>
      <c r="J64" s="25" t="n">
        <f aca="false">INDEX(Helper!$AB$14:$AB$17,MATCH(LARGE(Helper!$AL$14:$AL$17,2),Helper!$AL$14:$AL$17,0))</f>
        <v>0</v>
      </c>
      <c r="K64" s="25" t="n">
        <f aca="false">INDEX(Helper!$AC$14:$AC$17,MATCH(LARGE(Helper!$AL$14:$AL$17,2),Helper!$AL$14:$AL$17,0))</f>
        <v>0</v>
      </c>
      <c r="L64" s="34" t="n">
        <f aca="false">IFERROR(I64/(I64+J64),0)</f>
        <v>0</v>
      </c>
    </row>
    <row r="65" customFormat="false" ht="15" hidden="false" customHeight="true" outlineLevel="0" collapsed="false">
      <c r="A65" s="27" t="n">
        <v>3</v>
      </c>
      <c r="B65" s="24" t="str">
        <f aca="false">INDEX(Helper!$B$14:$B$17,MATCH(LARGE(Helper!$AL$14:$AL$17,3),Helper!$AL$14:$AL$17,0))</f>
        <v>Player 14</v>
      </c>
      <c r="C65" s="25" t="str">
        <f aca="false">INDEX(Helper!$U$14:$U$17,MATCH(LARGE(Helper!$AL$14:$AL$17,3),Helper!$AL$14:$AL$17,0))</f>
        <v>-</v>
      </c>
      <c r="D65" s="25" t="str">
        <f aca="false">INDEX(Helper!$V$14:$V$17,MATCH(LARGE(Helper!$AL$14:$AL$17,3),Helper!$AL$14:$AL$17,0))</f>
        <v>-</v>
      </c>
      <c r="E65" s="25" t="str">
        <f aca="false">INDEX(Helper!$W$14:$W$17,MATCH(LARGE(Helper!$AL$14:$AL$17,3),Helper!$AL$14:$AL$17,0))</f>
        <v>-</v>
      </c>
      <c r="F65" s="25" t="str">
        <f aca="false">INDEX(Helper!$X$14:$X$17,MATCH(LARGE(Helper!$AL$14:$AL$17,3),Helper!$AL$14:$AL$17,0))</f>
        <v>-</v>
      </c>
      <c r="G65" s="25" t="str">
        <f aca="false">INDEX(Helper!$Y$14:$Y$17,MATCH(LARGE(Helper!$AL$14:$AL$17,3),Helper!$AL$14:$AL$17,0))</f>
        <v>-</v>
      </c>
      <c r="H65" s="25" t="str">
        <f aca="false">INDEX(Helper!$Z$14:$Z$17,MATCH(LARGE(Helper!$AL$14:$AL$17,3),Helper!$AL$14:$AL$17,0))</f>
        <v>-</v>
      </c>
      <c r="I65" s="33" t="n">
        <f aca="false">INDEX(Helper!$AA$14:$AA$17,MATCH(LARGE(Helper!$AL$14:$AL$17,3),Helper!$AL$14:$AL$17,0))</f>
        <v>0</v>
      </c>
      <c r="J65" s="25" t="n">
        <f aca="false">INDEX(Helper!$AB$14:$AB$17,MATCH(LARGE(Helper!$AL$14:$AL$17,3),Helper!$AL$14:$AL$17,0))</f>
        <v>0</v>
      </c>
      <c r="K65" s="25" t="n">
        <f aca="false">INDEX(Helper!$AC$14:$AC$17,MATCH(LARGE(Helper!$AL$14:$AL$17,3),Helper!$AL$14:$AL$17,0))</f>
        <v>0</v>
      </c>
      <c r="L65" s="34" t="n">
        <f aca="false">IFERROR(I65/(I65+J65),0)</f>
        <v>0</v>
      </c>
    </row>
    <row r="66" customFormat="false" ht="15" hidden="false" customHeight="true" outlineLevel="0" collapsed="false">
      <c r="A66" s="28" t="n">
        <v>4</v>
      </c>
      <c r="B66" s="24" t="str">
        <f aca="false">INDEX(Helper!$B$14:$B$17,MATCH(LARGE(Helper!$AL$14:$AL$17,4),Helper!$AL$14:$AL$17,0))</f>
        <v>Player 13</v>
      </c>
      <c r="C66" s="25" t="str">
        <f aca="false">INDEX(Helper!$U$14:$U$17,MATCH(LARGE(Helper!$AL$14:$AL$17,4),Helper!$AL$14:$AL$17,0))</f>
        <v>-</v>
      </c>
      <c r="D66" s="25" t="str">
        <f aca="false">INDEX(Helper!$V$14:$V$17,MATCH(LARGE(Helper!$AL$14:$AL$17,4),Helper!$AL$14:$AL$17,0))</f>
        <v>-</v>
      </c>
      <c r="E66" s="25" t="str">
        <f aca="false">INDEX(Helper!$W$14:$W$17,MATCH(LARGE(Helper!$AL$14:$AL$17,4),Helper!$AL$14:$AL$17,0))</f>
        <v>-</v>
      </c>
      <c r="F66" s="25" t="str">
        <f aca="false">INDEX(Helper!$X$14:$X$17,MATCH(LARGE(Helper!$AL$14:$AL$17,4),Helper!$AL$14:$AL$17,0))</f>
        <v>-</v>
      </c>
      <c r="G66" s="25" t="str">
        <f aca="false">INDEX(Helper!$Y$14:$Y$17,MATCH(LARGE(Helper!$AL$14:$AL$17,4),Helper!$AL$14:$AL$17,0))</f>
        <v>-</v>
      </c>
      <c r="H66" s="25" t="str">
        <f aca="false">INDEX(Helper!$Z$14:$Z$17,MATCH(LARGE(Helper!$AL$14:$AL$17,4),Helper!$AL$14:$AL$17,0))</f>
        <v>-</v>
      </c>
      <c r="I66" s="33" t="n">
        <f aca="false">INDEX(Helper!$AA$14:$AA$17,MATCH(LARGE(Helper!$AL$14:$AL$17,4),Helper!$AL$14:$AL$17,0))</f>
        <v>0</v>
      </c>
      <c r="J66" s="25" t="n">
        <f aca="false">INDEX(Helper!$AB$14:$AB$17,MATCH(LARGE(Helper!$AL$14:$AL$17,4),Helper!$AL$14:$AL$17,0))</f>
        <v>0</v>
      </c>
      <c r="K66" s="25" t="n">
        <f aca="false">INDEX(Helper!$AC$14:$AC$17,MATCH(LARGE(Helper!$AL$14:$AL$17,4),Helper!$AL$14:$AL$17,0))</f>
        <v>0</v>
      </c>
      <c r="L66" s="34" t="n">
        <f aca="false">IFERROR(I66/(I66+J66),0)</f>
        <v>0</v>
      </c>
    </row>
    <row r="69" customFormat="false" ht="15" hidden="false" customHeight="true" outlineLevel="0" collapsed="false">
      <c r="A69" s="35" t="s">
        <v>128</v>
      </c>
      <c r="B69" s="35"/>
      <c r="C69" s="35"/>
      <c r="D69" s="35"/>
      <c r="E69" s="35"/>
      <c r="F69" s="35"/>
      <c r="G69" s="35"/>
      <c r="H69" s="35"/>
      <c r="I69" s="35"/>
    </row>
    <row r="70" customFormat="false" ht="21.75" hidden="false" customHeight="true" outlineLevel="0" collapsed="false">
      <c r="A70" s="36" t="s">
        <v>97</v>
      </c>
      <c r="B70" s="36" t="s">
        <v>98</v>
      </c>
      <c r="C70" s="36" t="s">
        <v>129</v>
      </c>
      <c r="D70" s="36" t="s">
        <v>130</v>
      </c>
      <c r="E70" s="36" t="s">
        <v>131</v>
      </c>
      <c r="F70" s="36" t="s">
        <v>132</v>
      </c>
      <c r="G70" s="36" t="s">
        <v>133</v>
      </c>
      <c r="H70" s="36" t="s">
        <v>134</v>
      </c>
      <c r="I70" s="36"/>
    </row>
    <row r="71" customFormat="false" ht="15" hidden="false" customHeight="true" outlineLevel="0" collapsed="false">
      <c r="A71" s="23" t="n">
        <v>1</v>
      </c>
      <c r="B71" s="24" t="str">
        <f aca="false">INDEX(Helper!$B$2:$B$17,MATCH(LARGE(Helper!$AM$2:$AM$17,1),Helper!$AM$2:$AM$17,0))</f>
        <v>Player 1</v>
      </c>
      <c r="C71" s="25" t="n">
        <f aca="false">INDEX(Helper!$I$2:$I$17,MATCH(LARGE(Helper!$AM$2:$AM$17,1),Helper!$AM$2:$AM$17,0))</f>
        <v>14</v>
      </c>
      <c r="D71" s="25" t="n">
        <f aca="false">INDEX(Helper!$R$2:$R$17,MATCH(LARGE(Helper!$AM$2:$AM$17,1),Helper!$AM$2:$AM$17,0))</f>
        <v>0</v>
      </c>
      <c r="E71" s="25" t="n">
        <f aca="false">INDEX(Helper!$AC$2:$AC$17,MATCH(LARGE(Helper!$AM$2:$AM$17,1),Helper!$AM$2:$AM$17,0))</f>
        <v>0</v>
      </c>
      <c r="F71" s="22" t="n">
        <f aca="false">INDEX(Helper!$AE$2:$AE$17,MATCH(LARGE(Helper!$AM$2:$AM$17,1),Helper!$AM$2:$AM$17,0))</f>
        <v>14</v>
      </c>
      <c r="G71" s="25" t="n">
        <f aca="false">RANK(C71,$C$71:$C$86,0)</f>
        <v>1</v>
      </c>
      <c r="H71" s="25" t="n">
        <f aca="false">RANK(D71,$D$71:$D$86,0)</f>
        <v>1</v>
      </c>
    </row>
    <row r="72" customFormat="false" ht="15" hidden="false" customHeight="true" outlineLevel="0" collapsed="false">
      <c r="A72" s="26" t="n">
        <v>2</v>
      </c>
      <c r="B72" s="24" t="str">
        <f aca="false">INDEX(Helper!$B$2:$B$17,MATCH(LARGE(Helper!$AM$2:$AM$17,2),Helper!$AM$2:$AM$17,0))</f>
        <v>Player 16</v>
      </c>
      <c r="C72" s="25" t="n">
        <f aca="false">INDEX(Helper!$I$2:$I$17,MATCH(LARGE(Helper!$AM$2:$AM$17,2),Helper!$AM$2:$AM$17,0))</f>
        <v>0</v>
      </c>
      <c r="D72" s="25" t="n">
        <f aca="false">INDEX(Helper!$R$2:$R$17,MATCH(LARGE(Helper!$AM$2:$AM$17,2),Helper!$AM$2:$AM$17,0))</f>
        <v>0</v>
      </c>
      <c r="E72" s="25" t="n">
        <f aca="false">INDEX(Helper!$AC$2:$AC$17,MATCH(LARGE(Helper!$AM$2:$AM$17,2),Helper!$AM$2:$AM$17,0))</f>
        <v>0</v>
      </c>
      <c r="F72" s="22" t="n">
        <f aca="false">INDEX(Helper!$AE$2:$AE$17,MATCH(LARGE(Helper!$AM$2:$AM$17,2),Helper!$AM$2:$AM$17,0))</f>
        <v>0</v>
      </c>
      <c r="G72" s="25" t="n">
        <f aca="false">RANK(C72,$C$72:$C$87,0)</f>
        <v>1</v>
      </c>
      <c r="H72" s="25" t="n">
        <f aca="false">RANK(D72,$D$72:$D$87,0)</f>
        <v>1</v>
      </c>
    </row>
    <row r="73" customFormat="false" ht="15" hidden="false" customHeight="true" outlineLevel="0" collapsed="false">
      <c r="A73" s="27" t="n">
        <v>3</v>
      </c>
      <c r="B73" s="24" t="str">
        <f aca="false">INDEX(Helper!$B$2:$B$17,MATCH(LARGE(Helper!$AM$2:$AM$17,3),Helper!$AM$2:$AM$17,0))</f>
        <v>Player 15</v>
      </c>
      <c r="C73" s="25" t="n">
        <f aca="false">INDEX(Helper!$I$2:$I$17,MATCH(LARGE(Helper!$AM$2:$AM$17,3),Helper!$AM$2:$AM$17,0))</f>
        <v>0</v>
      </c>
      <c r="D73" s="25" t="n">
        <f aca="false">INDEX(Helper!$R$2:$R$17,MATCH(LARGE(Helper!$AM$2:$AM$17,3),Helper!$AM$2:$AM$17,0))</f>
        <v>0</v>
      </c>
      <c r="E73" s="25" t="n">
        <f aca="false">INDEX(Helper!$AC$2:$AC$17,MATCH(LARGE(Helper!$AM$2:$AM$17,3),Helper!$AM$2:$AM$17,0))</f>
        <v>0</v>
      </c>
      <c r="F73" s="22" t="n">
        <f aca="false">INDEX(Helper!$AE$2:$AE$17,MATCH(LARGE(Helper!$AM$2:$AM$17,3),Helper!$AM$2:$AM$17,0))</f>
        <v>0</v>
      </c>
      <c r="G73" s="25" t="n">
        <f aca="false">RANK(C73,$C$73:$C$88,0)</f>
        <v>1</v>
      </c>
      <c r="H73" s="25" t="n">
        <f aca="false">RANK(D73,$D$73:$D$88,0)</f>
        <v>1</v>
      </c>
    </row>
    <row r="74" customFormat="false" ht="15" hidden="false" customHeight="true" outlineLevel="0" collapsed="false">
      <c r="A74" s="28" t="n">
        <v>4</v>
      </c>
      <c r="B74" s="24" t="str">
        <f aca="false">INDEX(Helper!$B$2:$B$17,MATCH(LARGE(Helper!$AM$2:$AM$17,4),Helper!$AM$2:$AM$17,0))</f>
        <v>Player 14</v>
      </c>
      <c r="C74" s="25" t="n">
        <f aca="false">INDEX(Helper!$I$2:$I$17,MATCH(LARGE(Helper!$AM$2:$AM$17,4),Helper!$AM$2:$AM$17,0))</f>
        <v>0</v>
      </c>
      <c r="D74" s="25" t="n">
        <f aca="false">INDEX(Helper!$R$2:$R$17,MATCH(LARGE(Helper!$AM$2:$AM$17,4),Helper!$AM$2:$AM$17,0))</f>
        <v>0</v>
      </c>
      <c r="E74" s="25" t="n">
        <f aca="false">INDEX(Helper!$AC$2:$AC$17,MATCH(LARGE(Helper!$AM$2:$AM$17,4),Helper!$AM$2:$AM$17,0))</f>
        <v>0</v>
      </c>
      <c r="F74" s="22" t="n">
        <f aca="false">INDEX(Helper!$AE$2:$AE$17,MATCH(LARGE(Helper!$AM$2:$AM$17,4),Helper!$AM$2:$AM$17,0))</f>
        <v>0</v>
      </c>
      <c r="G74" s="25" t="n">
        <f aca="false">RANK(C74,$C$74:$C$89,0)</f>
        <v>1</v>
      </c>
      <c r="H74" s="25" t="n">
        <f aca="false">RANK(D74,$D$74:$D$89,0)</f>
        <v>1</v>
      </c>
    </row>
    <row r="75" customFormat="false" ht="15" hidden="false" customHeight="true" outlineLevel="0" collapsed="false">
      <c r="A75" s="28" t="n">
        <v>5</v>
      </c>
      <c r="B75" s="24" t="str">
        <f aca="false">INDEX(Helper!$B$2:$B$17,MATCH(LARGE(Helper!$AM$2:$AM$17,5),Helper!$AM$2:$AM$17,0))</f>
        <v>Player 13</v>
      </c>
      <c r="C75" s="25" t="n">
        <f aca="false">INDEX(Helper!$I$2:$I$17,MATCH(LARGE(Helper!$AM$2:$AM$17,5),Helper!$AM$2:$AM$17,0))</f>
        <v>0</v>
      </c>
      <c r="D75" s="25" t="n">
        <f aca="false">INDEX(Helper!$R$2:$R$17,MATCH(LARGE(Helper!$AM$2:$AM$17,5),Helper!$AM$2:$AM$17,0))</f>
        <v>0</v>
      </c>
      <c r="E75" s="25" t="n">
        <f aca="false">INDEX(Helper!$AC$2:$AC$17,MATCH(LARGE(Helper!$AM$2:$AM$17,5),Helper!$AM$2:$AM$17,0))</f>
        <v>0</v>
      </c>
      <c r="F75" s="22" t="n">
        <f aca="false">INDEX(Helper!$AE$2:$AE$17,MATCH(LARGE(Helper!$AM$2:$AM$17,5),Helper!$AM$2:$AM$17,0))</f>
        <v>0</v>
      </c>
      <c r="G75" s="25" t="n">
        <f aca="false">RANK(C75,$C$75:$C$90,0)</f>
        <v>1</v>
      </c>
      <c r="H75" s="25" t="n">
        <f aca="false">RANK(D75,$D$75:$D$90,0)</f>
        <v>1</v>
      </c>
    </row>
    <row r="76" customFormat="false" ht="15" hidden="false" customHeight="true" outlineLevel="0" collapsed="false">
      <c r="A76" s="28" t="n">
        <v>6</v>
      </c>
      <c r="B76" s="24" t="str">
        <f aca="false">INDEX(Helper!$B$2:$B$17,MATCH(LARGE(Helper!$AM$2:$AM$17,6),Helper!$AM$2:$AM$17,0))</f>
        <v>Player 12</v>
      </c>
      <c r="C76" s="25" t="n">
        <f aca="false">INDEX(Helper!$I$2:$I$17,MATCH(LARGE(Helper!$AM$2:$AM$17,6),Helper!$AM$2:$AM$17,0))</f>
        <v>0</v>
      </c>
      <c r="D76" s="25" t="n">
        <f aca="false">INDEX(Helper!$R$2:$R$17,MATCH(LARGE(Helper!$AM$2:$AM$17,6),Helper!$AM$2:$AM$17,0))</f>
        <v>0</v>
      </c>
      <c r="E76" s="25" t="n">
        <f aca="false">INDEX(Helper!$AC$2:$AC$17,MATCH(LARGE(Helper!$AM$2:$AM$17,6),Helper!$AM$2:$AM$17,0))</f>
        <v>0</v>
      </c>
      <c r="F76" s="22" t="n">
        <f aca="false">INDEX(Helper!$AE$2:$AE$17,MATCH(LARGE(Helper!$AM$2:$AM$17,6),Helper!$AM$2:$AM$17,0))</f>
        <v>0</v>
      </c>
      <c r="G76" s="25" t="n">
        <f aca="false">RANK(C76,$C$76:$C$91,0)</f>
        <v>1</v>
      </c>
      <c r="H76" s="25" t="n">
        <f aca="false">RANK(D76,$D$76:$D$91,0)</f>
        <v>1</v>
      </c>
    </row>
    <row r="77" customFormat="false" ht="15" hidden="false" customHeight="true" outlineLevel="0" collapsed="false">
      <c r="A77" s="28" t="n">
        <v>7</v>
      </c>
      <c r="B77" s="24" t="str">
        <f aca="false">INDEX(Helper!$B$2:$B$17,MATCH(LARGE(Helper!$AM$2:$AM$17,7),Helper!$AM$2:$AM$17,0))</f>
        <v>Player 11</v>
      </c>
      <c r="C77" s="25" t="n">
        <f aca="false">INDEX(Helper!$I$2:$I$17,MATCH(LARGE(Helper!$AM$2:$AM$17,7),Helper!$AM$2:$AM$17,0))</f>
        <v>0</v>
      </c>
      <c r="D77" s="25" t="n">
        <f aca="false">INDEX(Helper!$R$2:$R$17,MATCH(LARGE(Helper!$AM$2:$AM$17,7),Helper!$AM$2:$AM$17,0))</f>
        <v>0</v>
      </c>
      <c r="E77" s="25" t="n">
        <f aca="false">INDEX(Helper!$AC$2:$AC$17,MATCH(LARGE(Helper!$AM$2:$AM$17,7),Helper!$AM$2:$AM$17,0))</f>
        <v>0</v>
      </c>
      <c r="F77" s="22" t="n">
        <f aca="false">INDEX(Helper!$AE$2:$AE$17,MATCH(LARGE(Helper!$AM$2:$AM$17,7),Helper!$AM$2:$AM$17,0))</f>
        <v>0</v>
      </c>
      <c r="G77" s="25" t="n">
        <f aca="false">RANK(C77,$C$77:$C$92,0)</f>
        <v>1</v>
      </c>
      <c r="H77" s="25" t="n">
        <f aca="false">RANK(D77,$D$77:$D$92,0)</f>
        <v>1</v>
      </c>
    </row>
    <row r="78" customFormat="false" ht="15" hidden="false" customHeight="true" outlineLevel="0" collapsed="false">
      <c r="A78" s="28" t="n">
        <v>8</v>
      </c>
      <c r="B78" s="24" t="str">
        <f aca="false">INDEX(Helper!$B$2:$B$17,MATCH(LARGE(Helper!$AM$2:$AM$17,8),Helper!$AM$2:$AM$17,0))</f>
        <v>Player 10</v>
      </c>
      <c r="C78" s="25" t="n">
        <f aca="false">INDEX(Helper!$I$2:$I$17,MATCH(LARGE(Helper!$AM$2:$AM$17,8),Helper!$AM$2:$AM$17,0))</f>
        <v>0</v>
      </c>
      <c r="D78" s="25" t="n">
        <f aca="false">INDEX(Helper!$R$2:$R$17,MATCH(LARGE(Helper!$AM$2:$AM$17,8),Helper!$AM$2:$AM$17,0))</f>
        <v>0</v>
      </c>
      <c r="E78" s="25" t="n">
        <f aca="false">INDEX(Helper!$AC$2:$AC$17,MATCH(LARGE(Helper!$AM$2:$AM$17,8),Helper!$AM$2:$AM$17,0))</f>
        <v>0</v>
      </c>
      <c r="F78" s="22" t="n">
        <f aca="false">INDEX(Helper!$AE$2:$AE$17,MATCH(LARGE(Helper!$AM$2:$AM$17,8),Helper!$AM$2:$AM$17,0))</f>
        <v>0</v>
      </c>
      <c r="G78" s="25" t="n">
        <f aca="false">RANK(C78,$C$78:$C$93,0)</f>
        <v>1</v>
      </c>
      <c r="H78" s="25" t="n">
        <f aca="false">RANK(D78,$D$78:$D$93,0)</f>
        <v>1</v>
      </c>
    </row>
    <row r="79" customFormat="false" ht="15" hidden="false" customHeight="true" outlineLevel="0" collapsed="false">
      <c r="A79" s="28" t="n">
        <v>9</v>
      </c>
      <c r="B79" s="24" t="str">
        <f aca="false">INDEX(Helper!$B$2:$B$17,MATCH(LARGE(Helper!$AM$2:$AM$17,9),Helper!$AM$2:$AM$17,0))</f>
        <v>Player 9</v>
      </c>
      <c r="C79" s="25" t="n">
        <f aca="false">INDEX(Helper!$I$2:$I$17,MATCH(LARGE(Helper!$AM$2:$AM$17,9),Helper!$AM$2:$AM$17,0))</f>
        <v>0</v>
      </c>
      <c r="D79" s="25" t="n">
        <f aca="false">INDEX(Helper!$R$2:$R$17,MATCH(LARGE(Helper!$AM$2:$AM$17,9),Helper!$AM$2:$AM$17,0))</f>
        <v>0</v>
      </c>
      <c r="E79" s="25" t="n">
        <f aca="false">INDEX(Helper!$AC$2:$AC$17,MATCH(LARGE(Helper!$AM$2:$AM$17,9),Helper!$AM$2:$AM$17,0))</f>
        <v>0</v>
      </c>
      <c r="F79" s="22" t="n">
        <f aca="false">INDEX(Helper!$AE$2:$AE$17,MATCH(LARGE(Helper!$AM$2:$AM$17,9),Helper!$AM$2:$AM$17,0))</f>
        <v>0</v>
      </c>
      <c r="G79" s="25" t="n">
        <f aca="false">RANK(C79,$C$79:$C$94,0)</f>
        <v>1</v>
      </c>
      <c r="H79" s="25" t="n">
        <f aca="false">RANK(D79,$D$79:$D$94,0)</f>
        <v>1</v>
      </c>
    </row>
    <row r="80" customFormat="false" ht="15" hidden="false" customHeight="true" outlineLevel="0" collapsed="false">
      <c r="A80" s="28" t="n">
        <v>10</v>
      </c>
      <c r="B80" s="24" t="str">
        <f aca="false">INDEX(Helper!$B$2:$B$17,MATCH(LARGE(Helper!$AM$2:$AM$17,10),Helper!$AM$2:$AM$17,0))</f>
        <v>Player 8</v>
      </c>
      <c r="C80" s="25" t="n">
        <f aca="false">INDEX(Helper!$I$2:$I$17,MATCH(LARGE(Helper!$AM$2:$AM$17,10),Helper!$AM$2:$AM$17,0))</f>
        <v>0</v>
      </c>
      <c r="D80" s="25" t="n">
        <f aca="false">INDEX(Helper!$R$2:$R$17,MATCH(LARGE(Helper!$AM$2:$AM$17,10),Helper!$AM$2:$AM$17,0))</f>
        <v>0</v>
      </c>
      <c r="E80" s="25" t="n">
        <f aca="false">INDEX(Helper!$AC$2:$AC$17,MATCH(LARGE(Helper!$AM$2:$AM$17,10),Helper!$AM$2:$AM$17,0))</f>
        <v>0</v>
      </c>
      <c r="F80" s="22" t="n">
        <f aca="false">INDEX(Helper!$AE$2:$AE$17,MATCH(LARGE(Helper!$AM$2:$AM$17,10),Helper!$AM$2:$AM$17,0))</f>
        <v>0</v>
      </c>
      <c r="G80" s="25" t="n">
        <f aca="false">RANK(C80,$C$80:$C$95,0)</f>
        <v>1</v>
      </c>
      <c r="H80" s="25" t="n">
        <f aca="false">RANK(D80,$D$80:$D$95,0)</f>
        <v>1</v>
      </c>
    </row>
    <row r="81" customFormat="false" ht="15" hidden="false" customHeight="true" outlineLevel="0" collapsed="false">
      <c r="A81" s="28" t="n">
        <v>11</v>
      </c>
      <c r="B81" s="24" t="str">
        <f aca="false">INDEX(Helper!$B$2:$B$17,MATCH(LARGE(Helper!$AM$2:$AM$17,11),Helper!$AM$2:$AM$17,0))</f>
        <v>Player 7</v>
      </c>
      <c r="C81" s="25" t="n">
        <f aca="false">INDEX(Helper!$I$2:$I$17,MATCH(LARGE(Helper!$AM$2:$AM$17,11),Helper!$AM$2:$AM$17,0))</f>
        <v>0</v>
      </c>
      <c r="D81" s="25" t="n">
        <f aca="false">INDEX(Helper!$R$2:$R$17,MATCH(LARGE(Helper!$AM$2:$AM$17,11),Helper!$AM$2:$AM$17,0))</f>
        <v>0</v>
      </c>
      <c r="E81" s="25" t="n">
        <f aca="false">INDEX(Helper!$AC$2:$AC$17,MATCH(LARGE(Helper!$AM$2:$AM$17,11),Helper!$AM$2:$AM$17,0))</f>
        <v>0</v>
      </c>
      <c r="F81" s="22" t="n">
        <f aca="false">INDEX(Helper!$AE$2:$AE$17,MATCH(LARGE(Helper!$AM$2:$AM$17,11),Helper!$AM$2:$AM$17,0))</f>
        <v>0</v>
      </c>
      <c r="G81" s="25" t="n">
        <f aca="false">RANK(C81,$C$81:$C$96,0)</f>
        <v>1</v>
      </c>
      <c r="H81" s="25" t="n">
        <f aca="false">RANK(D81,$D$81:$D$96,0)</f>
        <v>1</v>
      </c>
    </row>
    <row r="82" customFormat="false" ht="15" hidden="false" customHeight="true" outlineLevel="0" collapsed="false">
      <c r="A82" s="28" t="n">
        <v>12</v>
      </c>
      <c r="B82" s="24" t="str">
        <f aca="false">INDEX(Helper!$B$2:$B$17,MATCH(LARGE(Helper!$AM$2:$AM$17,12),Helper!$AM$2:$AM$17,0))</f>
        <v>Player 6</v>
      </c>
      <c r="C82" s="25" t="n">
        <f aca="false">INDEX(Helper!$I$2:$I$17,MATCH(LARGE(Helper!$AM$2:$AM$17,12),Helper!$AM$2:$AM$17,0))</f>
        <v>0</v>
      </c>
      <c r="D82" s="25" t="n">
        <f aca="false">INDEX(Helper!$R$2:$R$17,MATCH(LARGE(Helper!$AM$2:$AM$17,12),Helper!$AM$2:$AM$17,0))</f>
        <v>0</v>
      </c>
      <c r="E82" s="25" t="n">
        <f aca="false">INDEX(Helper!$AC$2:$AC$17,MATCH(LARGE(Helper!$AM$2:$AM$17,12),Helper!$AM$2:$AM$17,0))</f>
        <v>0</v>
      </c>
      <c r="F82" s="22" t="n">
        <f aca="false">INDEX(Helper!$AE$2:$AE$17,MATCH(LARGE(Helper!$AM$2:$AM$17,12),Helper!$AM$2:$AM$17,0))</f>
        <v>0</v>
      </c>
      <c r="G82" s="25" t="n">
        <f aca="false">RANK(C82,$C$82:$C$97,0)</f>
        <v>1</v>
      </c>
      <c r="H82" s="25" t="n">
        <f aca="false">RANK(D82,$D$82:$D$97,0)</f>
        <v>1</v>
      </c>
    </row>
    <row r="83" customFormat="false" ht="15" hidden="false" customHeight="true" outlineLevel="0" collapsed="false">
      <c r="A83" s="28" t="n">
        <v>13</v>
      </c>
      <c r="B83" s="24" t="str">
        <f aca="false">INDEX(Helper!$B$2:$B$17,MATCH(LARGE(Helper!$AM$2:$AM$17,13),Helper!$AM$2:$AM$17,0))</f>
        <v>Player 5</v>
      </c>
      <c r="C83" s="25" t="n">
        <f aca="false">INDEX(Helper!$I$2:$I$17,MATCH(LARGE(Helper!$AM$2:$AM$17,13),Helper!$AM$2:$AM$17,0))</f>
        <v>0</v>
      </c>
      <c r="D83" s="25" t="n">
        <f aca="false">INDEX(Helper!$R$2:$R$17,MATCH(LARGE(Helper!$AM$2:$AM$17,13),Helper!$AM$2:$AM$17,0))</f>
        <v>0</v>
      </c>
      <c r="E83" s="25" t="n">
        <f aca="false">INDEX(Helper!$AC$2:$AC$17,MATCH(LARGE(Helper!$AM$2:$AM$17,13),Helper!$AM$2:$AM$17,0))</f>
        <v>0</v>
      </c>
      <c r="F83" s="22" t="n">
        <f aca="false">INDEX(Helper!$AE$2:$AE$17,MATCH(LARGE(Helper!$AM$2:$AM$17,13),Helper!$AM$2:$AM$17,0))</f>
        <v>0</v>
      </c>
      <c r="G83" s="25" t="n">
        <f aca="false">RANK(C83,$C$83:$C$98,0)</f>
        <v>1</v>
      </c>
      <c r="H83" s="25" t="n">
        <f aca="false">RANK(D83,$D$83:$D$98,0)</f>
        <v>1</v>
      </c>
    </row>
    <row r="84" customFormat="false" ht="15" hidden="false" customHeight="true" outlineLevel="0" collapsed="false">
      <c r="A84" s="28" t="n">
        <v>14</v>
      </c>
      <c r="B84" s="24" t="str">
        <f aca="false">INDEX(Helper!$B$2:$B$17,MATCH(LARGE(Helper!$AM$2:$AM$17,14),Helper!$AM$2:$AM$17,0))</f>
        <v>Player 4</v>
      </c>
      <c r="C84" s="25" t="n">
        <f aca="false">INDEX(Helper!$I$2:$I$17,MATCH(LARGE(Helper!$AM$2:$AM$17,14),Helper!$AM$2:$AM$17,0))</f>
        <v>0</v>
      </c>
      <c r="D84" s="25" t="n">
        <f aca="false">INDEX(Helper!$R$2:$R$17,MATCH(LARGE(Helper!$AM$2:$AM$17,14),Helper!$AM$2:$AM$17,0))</f>
        <v>0</v>
      </c>
      <c r="E84" s="25" t="n">
        <f aca="false">INDEX(Helper!$AC$2:$AC$17,MATCH(LARGE(Helper!$AM$2:$AM$17,14),Helper!$AM$2:$AM$17,0))</f>
        <v>0</v>
      </c>
      <c r="F84" s="22" t="n">
        <f aca="false">INDEX(Helper!$AE$2:$AE$17,MATCH(LARGE(Helper!$AM$2:$AM$17,14),Helper!$AM$2:$AM$17,0))</f>
        <v>0</v>
      </c>
      <c r="G84" s="25" t="n">
        <f aca="false">RANK(C84,$C$84:$C$99,0)</f>
        <v>1</v>
      </c>
      <c r="H84" s="25" t="n">
        <f aca="false">RANK(D84,$D$84:$D$99,0)</f>
        <v>1</v>
      </c>
    </row>
    <row r="85" customFormat="false" ht="15" hidden="false" customHeight="true" outlineLevel="0" collapsed="false">
      <c r="A85" s="28" t="n">
        <v>15</v>
      </c>
      <c r="B85" s="24" t="str">
        <f aca="false">INDEX(Helper!$B$2:$B$17,MATCH(LARGE(Helper!$AM$2:$AM$17,15),Helper!$AM$2:$AM$17,0))</f>
        <v>Player 3</v>
      </c>
      <c r="C85" s="25" t="n">
        <f aca="false">INDEX(Helper!$I$2:$I$17,MATCH(LARGE(Helper!$AM$2:$AM$17,15),Helper!$AM$2:$AM$17,0))</f>
        <v>0</v>
      </c>
      <c r="D85" s="25" t="n">
        <f aca="false">INDEX(Helper!$R$2:$R$17,MATCH(LARGE(Helper!$AM$2:$AM$17,15),Helper!$AM$2:$AM$17,0))</f>
        <v>0</v>
      </c>
      <c r="E85" s="25" t="n">
        <f aca="false">INDEX(Helper!$AC$2:$AC$17,MATCH(LARGE(Helper!$AM$2:$AM$17,15),Helper!$AM$2:$AM$17,0))</f>
        <v>0</v>
      </c>
      <c r="F85" s="22" t="n">
        <f aca="false">INDEX(Helper!$AE$2:$AE$17,MATCH(LARGE(Helper!$AM$2:$AM$17,15),Helper!$AM$2:$AM$17,0))</f>
        <v>0</v>
      </c>
      <c r="G85" s="25" t="n">
        <f aca="false">RANK(C85,$C$85:$C$100,0)</f>
        <v>1</v>
      </c>
      <c r="H85" s="25" t="n">
        <f aca="false">RANK(D85,$D$85:$D$100,0)</f>
        <v>1</v>
      </c>
    </row>
    <row r="86" customFormat="false" ht="15" hidden="false" customHeight="true" outlineLevel="0" collapsed="false">
      <c r="A86" s="28" t="n">
        <v>16</v>
      </c>
      <c r="B86" s="24" t="str">
        <f aca="false">INDEX(Helper!$B$2:$B$17,MATCH(LARGE(Helper!$AM$2:$AM$17,16),Helper!$AM$2:$AM$17,0))</f>
        <v>Player 2</v>
      </c>
      <c r="C86" s="25" t="n">
        <f aca="false">INDEX(Helper!$I$2:$I$17,MATCH(LARGE(Helper!$AM$2:$AM$17,16),Helper!$AM$2:$AM$17,0))</f>
        <v>0</v>
      </c>
      <c r="D86" s="25" t="n">
        <f aca="false">INDEX(Helper!$R$2:$R$17,MATCH(LARGE(Helper!$AM$2:$AM$17,16),Helper!$AM$2:$AM$17,0))</f>
        <v>0</v>
      </c>
      <c r="E86" s="25" t="n">
        <f aca="false">INDEX(Helper!$AC$2:$AC$17,MATCH(LARGE(Helper!$AM$2:$AM$17,16),Helper!$AM$2:$AM$17,0))</f>
        <v>0</v>
      </c>
      <c r="F86" s="22" t="n">
        <f aca="false">INDEX(Helper!$AE$2:$AE$17,MATCH(LARGE(Helper!$AM$2:$AM$17,16),Helper!$AM$2:$AM$17,0))</f>
        <v>0</v>
      </c>
      <c r="G86" s="25" t="n">
        <f aca="false">RANK(C86,$C$86:$C$101,0)</f>
        <v>1</v>
      </c>
      <c r="H86" s="25" t="n">
        <f aca="false">RANK(D86,$D$86:$D$101,0)</f>
        <v>1</v>
      </c>
    </row>
    <row r="89" customFormat="false" ht="15" hidden="false" customHeight="true" outlineLevel="0" collapsed="false">
      <c r="A89" s="35" t="s">
        <v>135</v>
      </c>
      <c r="B89" s="35"/>
      <c r="C89" s="35"/>
    </row>
    <row r="90" customFormat="false" ht="15" hidden="false" customHeight="true" outlineLevel="0" collapsed="false">
      <c r="A90" s="37" t="s">
        <v>136</v>
      </c>
      <c r="B90" s="38" t="s">
        <v>137</v>
      </c>
    </row>
    <row r="91" customFormat="false" ht="15" hidden="false" customHeight="true" outlineLevel="0" collapsed="false">
      <c r="A91" s="37" t="s">
        <v>138</v>
      </c>
      <c r="B91" s="38" t="s">
        <v>137</v>
      </c>
    </row>
    <row r="92" customFormat="false" ht="15" hidden="false" customHeight="true" outlineLevel="0" collapsed="false">
      <c r="A92" s="37" t="s">
        <v>139</v>
      </c>
      <c r="B92" s="38" t="s">
        <v>140</v>
      </c>
    </row>
    <row r="93" customFormat="false" ht="15" hidden="false" customHeight="true" outlineLevel="0" collapsed="false">
      <c r="A93" s="37" t="s">
        <v>141</v>
      </c>
      <c r="B93" s="38" t="s">
        <v>142</v>
      </c>
    </row>
    <row r="94" customFormat="false" ht="15" hidden="false" customHeight="true" outlineLevel="0" collapsed="false">
      <c r="A94" s="37" t="s">
        <v>143</v>
      </c>
      <c r="B94" s="38" t="s">
        <v>144</v>
      </c>
    </row>
    <row r="95" customFormat="false" ht="15" hidden="false" customHeight="true" outlineLevel="0" collapsed="false">
      <c r="A95" s="37" t="s">
        <v>145</v>
      </c>
      <c r="B95" s="38" t="s">
        <v>146</v>
      </c>
    </row>
    <row r="96" customFormat="false" ht="15" hidden="false" customHeight="true" outlineLevel="0" collapsed="false">
      <c r="A96" s="37" t="s">
        <v>147</v>
      </c>
      <c r="B96" s="38" t="s">
        <v>148</v>
      </c>
    </row>
  </sheetData>
  <mergeCells count="9">
    <mergeCell ref="A1:K1"/>
    <mergeCell ref="A20:K20"/>
    <mergeCell ref="A39:L39"/>
    <mergeCell ref="A40:L40"/>
    <mergeCell ref="A47:L47"/>
    <mergeCell ref="A54:L54"/>
    <mergeCell ref="A61:L61"/>
    <mergeCell ref="A69:I69"/>
    <mergeCell ref="A89:C8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D700"/>
    <pageSetUpPr fitToPage="false"/>
  </sheetPr>
  <dimension ref="A1:J50"/>
  <sheetViews>
    <sheetView showFormulas="false" showGridLines="true" showRowColHeaders="true" showZeros="true" rightToLeft="false" tabSelected="false" showOutlineSymbols="true" defaultGridColor="true" view="normal" topLeftCell="A23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18"/>
    <col collapsed="false" customWidth="true" hidden="false" outlineLevel="0" max="8" min="3" style="0" width="12"/>
  </cols>
  <sheetData>
    <row r="1" customFormat="false" ht="17.25" hidden="false" customHeight="true" outlineLevel="0" collapsed="false">
      <c r="A1" s="1" t="s">
        <v>149</v>
      </c>
      <c r="B1" s="1"/>
      <c r="C1" s="1"/>
      <c r="D1" s="1"/>
      <c r="E1" s="1"/>
      <c r="F1" s="1"/>
      <c r="G1" s="1"/>
      <c r="H1" s="39"/>
      <c r="I1" s="39"/>
      <c r="J1" s="39"/>
    </row>
    <row r="2" customFormat="false" ht="15" hidden="false" customHeight="true" outlineLevel="0" collapsed="false">
      <c r="A2" s="39"/>
      <c r="B2" s="39"/>
      <c r="C2" s="39"/>
      <c r="D2" s="39"/>
      <c r="E2" s="39"/>
      <c r="F2" s="39"/>
      <c r="G2" s="39"/>
      <c r="H2" s="39"/>
      <c r="I2" s="39"/>
      <c r="J2" s="39"/>
    </row>
    <row r="3" customFormat="false" ht="15" hidden="false" customHeight="true" outlineLevel="0" collapsed="false">
      <c r="A3" s="21" t="s">
        <v>150</v>
      </c>
      <c r="B3" s="21"/>
      <c r="C3" s="21"/>
      <c r="D3" s="21"/>
      <c r="E3" s="21"/>
      <c r="F3" s="21"/>
      <c r="G3" s="21"/>
      <c r="H3" s="39"/>
      <c r="I3" s="39"/>
      <c r="J3" s="39"/>
    </row>
    <row r="4" customFormat="false" ht="15" hidden="false" customHeight="true" outlineLevel="0" collapsed="false">
      <c r="A4" s="22" t="s">
        <v>151</v>
      </c>
      <c r="B4" s="22" t="s">
        <v>152</v>
      </c>
      <c r="C4" s="22" t="s">
        <v>153</v>
      </c>
      <c r="D4" s="22" t="s">
        <v>154</v>
      </c>
      <c r="E4" s="22" t="s">
        <v>155</v>
      </c>
      <c r="F4" s="22" t="s">
        <v>156</v>
      </c>
      <c r="G4" s="22"/>
      <c r="H4" s="39"/>
      <c r="I4" s="39"/>
      <c r="J4" s="39"/>
    </row>
    <row r="5" customFormat="false" ht="15" hidden="false" customHeight="true" outlineLevel="0" collapsed="false">
      <c r="A5" s="40" t="s">
        <v>157</v>
      </c>
      <c r="B5" s="41" t="str">
        <f aca="false">INDEX(Helper!$B$2:$B$17,MATCH(LARGE(Helper!$AH$2:$AH$17,1),Helper!$AH$2:$AH$17,0))</f>
        <v>Player 1</v>
      </c>
      <c r="C5" s="42" t="s">
        <v>137</v>
      </c>
      <c r="D5" s="3" t="s">
        <v>158</v>
      </c>
      <c r="E5" s="43" t="str">
        <f aca="false">B5</f>
        <v>Player 1</v>
      </c>
      <c r="F5" s="44" t="s">
        <v>159</v>
      </c>
      <c r="G5" s="39"/>
      <c r="H5" s="39"/>
      <c r="I5" s="39"/>
      <c r="J5" s="39"/>
    </row>
    <row r="6" customFormat="false" ht="15" hidden="false" customHeight="true" outlineLevel="0" collapsed="false">
      <c r="A6" s="40" t="s">
        <v>160</v>
      </c>
      <c r="B6" s="41" t="str">
        <f aca="false">INDEX(Helper!$B$2:$B$17,MATCH(LARGE(Helper!$AJ$2:$AJ$17,1),Helper!$AJ$2:$AJ$17,0))</f>
        <v>Player 16</v>
      </c>
      <c r="C6" s="42" t="s">
        <v>137</v>
      </c>
      <c r="D6" s="3" t="s">
        <v>161</v>
      </c>
      <c r="E6" s="43" t="str">
        <f aca="false">IF(COUNTIF($E$5:$E$5,B6)&gt;0,IF(COUNTIF($E$5:$E$5,INDEX(Helper!$B$2:$B$17,MATCH(LARGE(Helper!$AJ$2:$AJ$17,2),Helper!$AJ$2:$AJ$17,0)))&gt;0,INDEX(Helper!$B$2:$B$17,MATCH(LARGE(Helper!$AJ$2:$AJ$17,3),Helper!$AJ$2:$AJ$17,0)),INDEX(Helper!$B$2:$B$17,MATCH(LARGE(Helper!$AJ$2:$AJ$17,2),Helper!$AJ$2:$AJ$17,0))),B6)</f>
        <v>Player 16</v>
      </c>
      <c r="F6" s="44" t="str">
        <f aca="false">IF(B6=E6,"QUALIFIED","PASS → "&amp;E6)</f>
        <v>QUALIFIED</v>
      </c>
      <c r="G6" s="39"/>
      <c r="H6" s="39"/>
      <c r="I6" s="39"/>
      <c r="J6" s="39"/>
    </row>
    <row r="7" customFormat="false" ht="15" hidden="false" customHeight="true" outlineLevel="0" collapsed="false">
      <c r="A7" s="45" t="s">
        <v>162</v>
      </c>
      <c r="B7" s="41" t="str">
        <f aca="false">INDEX(Helper!$B$2:$B$5,MATCH(LARGE(Helper!$AL$2:$AL$5,1),Helper!$AL$2:$AL$5,0))</f>
        <v>Player 4</v>
      </c>
      <c r="C7" s="42" t="s">
        <v>163</v>
      </c>
      <c r="D7" s="3" t="s">
        <v>7</v>
      </c>
      <c r="E7" s="43" t="str">
        <f aca="false">IF(COUNTIF($E$5:$E$6,B7)&gt;0,IF(COUNTIF($E$5:$E$6,INDEX(Helper!$B$2:$B$5,MATCH(LARGE(Helper!$AL$2:$AL$5,2),Helper!$AL$2:$AL$5,0)))&gt;0,INDEX(Helper!$B$2:$B$5,MATCH(LARGE(Helper!$AL$2:$AL$5,3),Helper!$AL$2:$AL$5,0)),INDEX(Helper!$B$2:$B$5,MATCH(LARGE(Helper!$AL$2:$AL$5,2),Helper!$AL$2:$AL$5,0))),B7)</f>
        <v>Player 4</v>
      </c>
      <c r="F7" s="44" t="str">
        <f aca="false">IF(B7=E7,"QUALIFIED","PASS → "&amp;E7)</f>
        <v>QUALIFIED</v>
      </c>
      <c r="G7" s="39"/>
      <c r="H7" s="39"/>
      <c r="I7" s="39"/>
      <c r="J7" s="39"/>
    </row>
    <row r="8" customFormat="false" ht="15" hidden="false" customHeight="true" outlineLevel="0" collapsed="false">
      <c r="A8" s="45" t="s">
        <v>164</v>
      </c>
      <c r="B8" s="41" t="str">
        <f aca="false">INDEX(Helper!$B$6:$B$9,MATCH(LARGE(Helper!$AL$6:$AL$9,1),Helper!$AL$6:$AL$9,0))</f>
        <v>Player 8</v>
      </c>
      <c r="C8" s="42" t="s">
        <v>163</v>
      </c>
      <c r="D8" s="3" t="s">
        <v>13</v>
      </c>
      <c r="E8" s="43" t="str">
        <f aca="false">IF(COUNTIF($E$5:$E$7,B8)&gt;0,IF(COUNTIF($E$5:$E$7,INDEX(Helper!$B$6:$B$9,MATCH(LARGE(Helper!$AL$6:$AL$9,2),Helper!$AL$6:$AL$9,0)))&gt;0,INDEX(Helper!$B$6:$B$9,MATCH(LARGE(Helper!$AL$6:$AL$9,3),Helper!$AL$6:$AL$9,0)),INDEX(Helper!$B$6:$B$9,MATCH(LARGE(Helper!$AL$6:$AL$9,2),Helper!$AL$6:$AL$9,0))),B8)</f>
        <v>Player 8</v>
      </c>
      <c r="F8" s="44" t="str">
        <f aca="false">IF(B8=E8,"QUALIFIED","PASS → "&amp;E8)</f>
        <v>QUALIFIED</v>
      </c>
      <c r="G8" s="39"/>
      <c r="H8" s="39"/>
      <c r="I8" s="39"/>
      <c r="J8" s="39"/>
    </row>
    <row r="9" customFormat="false" ht="15" hidden="false" customHeight="true" outlineLevel="0" collapsed="false">
      <c r="A9" s="45" t="s">
        <v>165</v>
      </c>
      <c r="B9" s="41" t="str">
        <f aca="false">INDEX(Helper!$B$10:$B$13,MATCH(LARGE(Helper!$AL$10:$AL$13,1),Helper!$AL$10:$AL$13,0))</f>
        <v>Player 12</v>
      </c>
      <c r="C9" s="42" t="s">
        <v>163</v>
      </c>
      <c r="D9" s="3" t="s">
        <v>19</v>
      </c>
      <c r="E9" s="43" t="str">
        <f aca="false">IF(COUNTIF($E$5:$E$8,B9)&gt;0,IF(COUNTIF($E$5:$E$8,INDEX(Helper!$B$10:$B$13,MATCH(LARGE(Helper!$AL$10:$AL$13,2),Helper!$AL$10:$AL$13,0)))&gt;0,INDEX(Helper!$B$10:$B$13,MATCH(LARGE(Helper!$AL$10:$AL$13,3),Helper!$AL$10:$AL$13,0)),INDEX(Helper!$B$10:$B$13,MATCH(LARGE(Helper!$AL$10:$AL$13,2),Helper!$AL$10:$AL$13,0))),B9)</f>
        <v>Player 12</v>
      </c>
      <c r="F9" s="44" t="str">
        <f aca="false">IF(B9=E9,"QUALIFIED","PASS → "&amp;E9)</f>
        <v>QUALIFIED</v>
      </c>
      <c r="G9" s="39"/>
      <c r="H9" s="39"/>
      <c r="I9" s="39"/>
      <c r="J9" s="39"/>
    </row>
    <row r="10" customFormat="false" ht="15" hidden="false" customHeight="true" outlineLevel="0" collapsed="false">
      <c r="A10" s="45" t="s">
        <v>166</v>
      </c>
      <c r="B10" s="41" t="str">
        <f aca="false">INDEX(Helper!$B$14:$B$17,MATCH(LARGE(Helper!$AL$14:$AL$17,1),Helper!$AL$14:$AL$17,0))</f>
        <v>Player 16</v>
      </c>
      <c r="C10" s="42" t="s">
        <v>163</v>
      </c>
      <c r="D10" s="3" t="s">
        <v>25</v>
      </c>
      <c r="E10" s="43" t="str">
        <f aca="false">IF(COUNTIF($E$5:$E$9,B10)&gt;0,IF(COUNTIF($E$5:$E$9,INDEX(Helper!$B$14:$B$17,MATCH(LARGE(Helper!$AL$14:$AL$17,2),Helper!$AL$14:$AL$17,0)))&gt;0,INDEX(Helper!$B$14:$B$17,MATCH(LARGE(Helper!$AL$14:$AL$17,3),Helper!$AL$14:$AL$17,0)),INDEX(Helper!$B$14:$B$17,MATCH(LARGE(Helper!$AL$14:$AL$17,2),Helper!$AL$14:$AL$17,0))),B10)</f>
        <v>Player 15</v>
      </c>
      <c r="F10" s="44" t="str">
        <f aca="false">IF(B10=E10,"QUALIFIED","PASS → "&amp;E10)</f>
        <v>PASS → Player 15</v>
      </c>
      <c r="G10" s="39"/>
      <c r="H10" s="39"/>
      <c r="I10" s="39"/>
      <c r="J10" s="39"/>
    </row>
    <row r="11" customFormat="false" ht="15" hidden="false" customHeight="true" outlineLevel="0" collapsed="false">
      <c r="A11" s="46"/>
      <c r="B11" s="47"/>
      <c r="C11" s="47"/>
      <c r="D11" s="47"/>
      <c r="E11" s="47"/>
      <c r="F11" s="39"/>
      <c r="G11" s="39"/>
      <c r="H11" s="39"/>
      <c r="I11" s="39"/>
      <c r="J11" s="39"/>
    </row>
    <row r="12" customFormat="false" ht="15" hidden="false" customHeight="true" outlineLevel="0" collapsed="false">
      <c r="A12" s="48" t="s">
        <v>167</v>
      </c>
      <c r="B12" s="48"/>
      <c r="C12" s="48"/>
      <c r="D12" s="48"/>
      <c r="E12" s="48"/>
      <c r="F12" s="48"/>
      <c r="G12" s="48"/>
      <c r="H12" s="39"/>
      <c r="I12" s="39"/>
      <c r="J12" s="39"/>
    </row>
    <row r="13" customFormat="false" ht="15" hidden="false" customHeight="true" outlineLevel="0" collapsed="false">
      <c r="A13" s="49" t="s">
        <v>151</v>
      </c>
      <c r="B13" s="49" t="s">
        <v>98</v>
      </c>
      <c r="C13" s="49" t="s">
        <v>168</v>
      </c>
      <c r="D13" s="49" t="s">
        <v>154</v>
      </c>
      <c r="E13" s="49"/>
      <c r="F13" s="49"/>
      <c r="G13" s="49"/>
      <c r="H13" s="39"/>
      <c r="I13" s="39"/>
      <c r="J13" s="39"/>
    </row>
    <row r="14" customFormat="false" ht="15" hidden="false" customHeight="true" outlineLevel="0" collapsed="false">
      <c r="A14" s="2" t="s">
        <v>169</v>
      </c>
      <c r="B14" s="50" t="str">
        <f aca="false">INDEX(Helper!$B$2:$B$17,MATCH(LARGE(Helper!$AO$2:$AO$17,1),Helper!$AO$2:$AO$17,0))</f>
        <v>Player 14</v>
      </c>
      <c r="C14" s="3" t="n">
        <f aca="false">INDEX(Helper!$AE$2:$AE$17,MATCH(LARGE(Helper!$AO$2:$AO$17,1),Helper!$AO$2:$AO$17,0))</f>
        <v>0</v>
      </c>
      <c r="D14" s="3" t="s">
        <v>170</v>
      </c>
      <c r="E14" s="47"/>
      <c r="F14" s="39"/>
      <c r="G14" s="39"/>
      <c r="H14" s="39"/>
      <c r="I14" s="39"/>
      <c r="J14" s="39"/>
    </row>
    <row r="15" customFormat="false" ht="15" hidden="false" customHeight="true" outlineLevel="0" collapsed="false">
      <c r="A15" s="2" t="s">
        <v>171</v>
      </c>
      <c r="B15" s="50" t="str">
        <f aca="false">INDEX(Helper!$B$2:$B$17,MATCH(LARGE(Helper!$AO$2:$AO$17,2),Helper!$AO$2:$AO$17,0))</f>
        <v>Player 13</v>
      </c>
      <c r="C15" s="3" t="n">
        <f aca="false">INDEX(Helper!$AE$2:$AE$17,MATCH(LARGE(Helper!$AO$2:$AO$17,2),Helper!$AO$2:$AO$17,0))</f>
        <v>0</v>
      </c>
      <c r="D15" s="3" t="s">
        <v>170</v>
      </c>
      <c r="E15" s="47"/>
      <c r="F15" s="39"/>
      <c r="G15" s="39"/>
      <c r="H15" s="39"/>
      <c r="I15" s="39"/>
      <c r="J15" s="39"/>
    </row>
    <row r="16" customFormat="false" ht="15" hidden="false" customHeight="true" outlineLevel="0" collapsed="false">
      <c r="A16" s="46"/>
      <c r="B16" s="47"/>
      <c r="C16" s="47"/>
      <c r="D16" s="47"/>
      <c r="E16" s="47"/>
      <c r="F16" s="39"/>
      <c r="G16" s="39"/>
      <c r="H16" s="39"/>
      <c r="I16" s="39"/>
      <c r="J16" s="39"/>
    </row>
    <row r="17" customFormat="false" ht="15" hidden="false" customHeight="true" outlineLevel="0" collapsed="false">
      <c r="A17" s="35" t="s">
        <v>172</v>
      </c>
      <c r="B17" s="35"/>
      <c r="C17" s="35"/>
      <c r="D17" s="35"/>
      <c r="E17" s="35"/>
      <c r="F17" s="39"/>
      <c r="G17" s="39"/>
      <c r="H17" s="39"/>
      <c r="I17" s="39"/>
      <c r="J17" s="39"/>
    </row>
    <row r="18" customFormat="false" ht="15" hidden="false" customHeight="true" outlineLevel="0" collapsed="false">
      <c r="A18" s="51" t="s">
        <v>37</v>
      </c>
      <c r="B18" s="36" t="s">
        <v>98</v>
      </c>
      <c r="C18" s="36" t="s">
        <v>173</v>
      </c>
      <c r="D18" s="36"/>
      <c r="E18" s="36"/>
      <c r="F18" s="39"/>
      <c r="G18" s="39"/>
      <c r="H18" s="39"/>
      <c r="I18" s="39"/>
      <c r="J18" s="39"/>
    </row>
    <row r="19" customFormat="false" ht="15" hidden="false" customHeight="true" outlineLevel="0" collapsed="false">
      <c r="A19" s="3" t="n">
        <v>1</v>
      </c>
      <c r="B19" s="52" t="str">
        <f aca="false">E5</f>
        <v>Player 1</v>
      </c>
      <c r="C19" s="3" t="s">
        <v>158</v>
      </c>
      <c r="D19" s="47"/>
      <c r="E19" s="47"/>
      <c r="F19" s="39"/>
      <c r="G19" s="39"/>
      <c r="H19" s="39"/>
      <c r="I19" s="39"/>
      <c r="J19" s="39"/>
    </row>
    <row r="20" customFormat="false" ht="23.25" hidden="false" customHeight="true" outlineLevel="0" collapsed="false">
      <c r="A20" s="3" t="n">
        <v>2</v>
      </c>
      <c r="B20" s="52" t="str">
        <f aca="false">E6</f>
        <v>Player 16</v>
      </c>
      <c r="C20" s="3" t="s">
        <v>161</v>
      </c>
      <c r="D20" s="39"/>
      <c r="E20" s="39"/>
      <c r="F20" s="39"/>
      <c r="G20" s="39"/>
      <c r="H20" s="39"/>
      <c r="I20" s="39"/>
      <c r="J20" s="39"/>
    </row>
    <row r="21" customFormat="false" ht="23.25" hidden="false" customHeight="true" outlineLevel="0" collapsed="false">
      <c r="A21" s="3" t="n">
        <v>3</v>
      </c>
      <c r="B21" s="52" t="str">
        <f aca="false">E7</f>
        <v>Player 4</v>
      </c>
      <c r="C21" s="3" t="s">
        <v>174</v>
      </c>
      <c r="D21" s="39"/>
      <c r="E21" s="39"/>
      <c r="F21" s="39"/>
      <c r="G21" s="39"/>
      <c r="H21" s="39"/>
      <c r="I21" s="39"/>
      <c r="J21" s="39"/>
    </row>
    <row r="22" customFormat="false" ht="15" hidden="false" customHeight="true" outlineLevel="0" collapsed="false">
      <c r="A22" s="3" t="n">
        <v>4</v>
      </c>
      <c r="B22" s="52" t="str">
        <f aca="false">E8</f>
        <v>Player 8</v>
      </c>
      <c r="C22" s="3" t="s">
        <v>175</v>
      </c>
      <c r="D22" s="39"/>
      <c r="E22" s="39"/>
      <c r="F22" s="39"/>
      <c r="G22" s="39"/>
      <c r="H22" s="39"/>
      <c r="I22" s="39"/>
      <c r="J22" s="39"/>
    </row>
    <row r="23" customFormat="false" ht="15" hidden="false" customHeight="true" outlineLevel="0" collapsed="false">
      <c r="A23" s="3" t="n">
        <v>5</v>
      </c>
      <c r="B23" s="52" t="str">
        <f aca="false">E9</f>
        <v>Player 12</v>
      </c>
      <c r="C23" s="3" t="s">
        <v>176</v>
      </c>
      <c r="D23" s="39"/>
      <c r="E23" s="39"/>
      <c r="F23" s="39"/>
      <c r="G23" s="39"/>
      <c r="H23" s="39"/>
      <c r="I23" s="39"/>
      <c r="J23" s="39"/>
    </row>
    <row r="24" customFormat="false" ht="15" hidden="false" customHeight="true" outlineLevel="0" collapsed="false">
      <c r="A24" s="3" t="n">
        <v>6</v>
      </c>
      <c r="B24" s="52" t="str">
        <f aca="false">E10</f>
        <v>Player 15</v>
      </c>
      <c r="C24" s="3" t="s">
        <v>177</v>
      </c>
      <c r="D24" s="39"/>
      <c r="E24" s="39"/>
      <c r="F24" s="39"/>
      <c r="G24" s="39"/>
      <c r="H24" s="39"/>
      <c r="I24" s="39"/>
      <c r="J24" s="39"/>
    </row>
    <row r="25" customFormat="false" ht="15" hidden="false" customHeight="true" outlineLevel="0" collapsed="false">
      <c r="A25" s="3" t="n">
        <v>7</v>
      </c>
      <c r="B25" s="52" t="str">
        <f aca="false">B14</f>
        <v>Player 14</v>
      </c>
      <c r="C25" s="3" t="s">
        <v>169</v>
      </c>
      <c r="D25" s="39"/>
      <c r="E25" s="39"/>
      <c r="F25" s="39"/>
      <c r="G25" s="39"/>
      <c r="H25" s="39"/>
      <c r="I25" s="39"/>
      <c r="J25" s="39"/>
    </row>
    <row r="26" customFormat="false" ht="15" hidden="false" customHeight="true" outlineLevel="0" collapsed="false">
      <c r="A26" s="3" t="n">
        <v>8</v>
      </c>
      <c r="B26" s="52" t="str">
        <f aca="false">B15</f>
        <v>Player 13</v>
      </c>
      <c r="C26" s="3" t="s">
        <v>171</v>
      </c>
      <c r="D26" s="39"/>
      <c r="E26" s="39"/>
      <c r="F26" s="39"/>
      <c r="G26" s="39"/>
      <c r="H26" s="39"/>
      <c r="I26" s="39"/>
      <c r="J26" s="39"/>
    </row>
    <row r="27" customFormat="false" ht="15" hidden="false" customHeight="true" outlineLevel="0" collapsed="false">
      <c r="A27" s="47"/>
      <c r="B27" s="47"/>
      <c r="C27" s="47"/>
      <c r="D27" s="39"/>
      <c r="E27" s="39"/>
      <c r="F27" s="39"/>
      <c r="G27" s="39"/>
      <c r="H27" s="39"/>
      <c r="I27" s="39"/>
      <c r="J27" s="39"/>
    </row>
    <row r="28" customFormat="false" ht="15" hidden="false" customHeight="true" outlineLevel="0" collapsed="false">
      <c r="A28" s="21" t="s">
        <v>178</v>
      </c>
      <c r="B28" s="21"/>
      <c r="C28" s="21"/>
      <c r="D28" s="21"/>
      <c r="E28" s="21"/>
      <c r="F28" s="21"/>
      <c r="G28" s="39"/>
      <c r="H28" s="39"/>
      <c r="I28" s="39"/>
      <c r="J28" s="39"/>
    </row>
    <row r="29" customFormat="false" ht="15" hidden="false" customHeight="true" outlineLevel="0" collapsed="false">
      <c r="A29" s="22" t="s">
        <v>37</v>
      </c>
      <c r="B29" s="22" t="s">
        <v>98</v>
      </c>
      <c r="C29" s="22" t="s">
        <v>179</v>
      </c>
      <c r="D29" s="22" t="s">
        <v>180</v>
      </c>
      <c r="E29" s="22" t="s">
        <v>181</v>
      </c>
      <c r="F29" s="22" t="s">
        <v>182</v>
      </c>
      <c r="G29" s="39"/>
      <c r="H29" s="39"/>
      <c r="I29" s="39"/>
      <c r="J29" s="39"/>
    </row>
    <row r="30" customFormat="false" ht="15" hidden="false" customHeight="true" outlineLevel="0" collapsed="false">
      <c r="A30" s="3" t="n">
        <v>1</v>
      </c>
      <c r="B30" s="53" t="str">
        <f aca="false">VLOOKUP(A30,Roster!$A$3:$B$18,2,FALSE())</f>
        <v>Player 1</v>
      </c>
      <c r="C30" s="54" t="n">
        <f aca="false">IF(B30=$B$5,25,0)+IF(B30=$B$6,25,0)</f>
        <v>25</v>
      </c>
      <c r="D30" s="54" t="n">
        <f aca="false">IF(OR(B30=$B$7,B30=$B$8,B30=$B$9,B30=$B$10),10,0)</f>
        <v>0</v>
      </c>
      <c r="E30" s="54" t="n">
        <f aca="false">IF(B30='Playoff Finals'!B13,200,IF(B30='Playoff Finals'!B14,75,IF(B30='Playoff Finals'!B15,35,0)))</f>
        <v>0</v>
      </c>
      <c r="F30" s="55" t="n">
        <f aca="false">C30+D30+E30</f>
        <v>25</v>
      </c>
      <c r="G30" s="39"/>
      <c r="H30" s="39"/>
      <c r="I30" s="39"/>
      <c r="J30" s="39"/>
    </row>
    <row r="31" customFormat="false" ht="15" hidden="false" customHeight="true" outlineLevel="0" collapsed="false">
      <c r="A31" s="3" t="n">
        <v>2</v>
      </c>
      <c r="B31" s="53" t="str">
        <f aca="false">VLOOKUP(A31,Roster!$A$3:$B$18,2,FALSE())</f>
        <v>Player 2</v>
      </c>
      <c r="C31" s="54" t="n">
        <f aca="false">IF(B31=$B$5,25,0)+IF(B31=$B$6,25,0)</f>
        <v>0</v>
      </c>
      <c r="D31" s="54" t="n">
        <f aca="false">IF(OR(B31=$B$7,B31=$B$8,B31=$B$9,B31=$B$10),10,0)</f>
        <v>0</v>
      </c>
      <c r="E31" s="54" t="n">
        <f aca="false">IF(B31='Playoff Finals'!B13,200,IF(B31='Playoff Finals'!B14,75,IF(B31='Playoff Finals'!B15,35,0)))</f>
        <v>0</v>
      </c>
      <c r="F31" s="55" t="n">
        <f aca="false">C31+D31+E31</f>
        <v>0</v>
      </c>
      <c r="G31" s="39"/>
      <c r="H31" s="39"/>
      <c r="I31" s="39"/>
      <c r="J31" s="39"/>
    </row>
    <row r="32" customFormat="false" ht="15" hidden="false" customHeight="true" outlineLevel="0" collapsed="false">
      <c r="A32" s="3" t="n">
        <v>3</v>
      </c>
      <c r="B32" s="53" t="str">
        <f aca="false">VLOOKUP(A32,Roster!$A$3:$B$18,2,FALSE())</f>
        <v>Player 3</v>
      </c>
      <c r="C32" s="54" t="n">
        <f aca="false">IF(B32=$B$5,25,0)+IF(B32=$B$6,25,0)</f>
        <v>0</v>
      </c>
      <c r="D32" s="54" t="n">
        <f aca="false">IF(OR(B32=$B$7,B32=$B$8,B32=$B$9,B32=$B$10),10,0)</f>
        <v>0</v>
      </c>
      <c r="E32" s="54" t="n">
        <f aca="false">IF(B32='Playoff Finals'!B13,200,IF(B32='Playoff Finals'!B14,75,IF(B32='Playoff Finals'!B15,35,0)))</f>
        <v>0</v>
      </c>
      <c r="F32" s="55" t="n">
        <f aca="false">C32+D32+E32</f>
        <v>0</v>
      </c>
      <c r="G32" s="39"/>
      <c r="H32" s="39"/>
      <c r="I32" s="39"/>
      <c r="J32" s="39"/>
    </row>
    <row r="33" customFormat="false" ht="15" hidden="false" customHeight="true" outlineLevel="0" collapsed="false">
      <c r="A33" s="3" t="n">
        <v>4</v>
      </c>
      <c r="B33" s="53" t="str">
        <f aca="false">VLOOKUP(A33,Roster!$A$3:$B$18,2,FALSE())</f>
        <v>Player 4</v>
      </c>
      <c r="C33" s="54" t="n">
        <f aca="false">IF(B33=$B$5,25,0)+IF(B33=$B$6,25,0)</f>
        <v>0</v>
      </c>
      <c r="D33" s="54" t="n">
        <f aca="false">IF(OR(B33=$B$7,B33=$B$8,B33=$B$9,B33=$B$10),10,0)</f>
        <v>10</v>
      </c>
      <c r="E33" s="54" t="n">
        <f aca="false">IF(B33='Playoff Finals'!B13,200,IF(B33='Playoff Finals'!B14,75,IF(B33='Playoff Finals'!B15,35,0)))</f>
        <v>0</v>
      </c>
      <c r="F33" s="55" t="n">
        <f aca="false">C33+D33+E33</f>
        <v>10</v>
      </c>
      <c r="G33" s="39"/>
      <c r="H33" s="39"/>
      <c r="I33" s="39"/>
      <c r="J33" s="39"/>
    </row>
    <row r="34" customFormat="false" ht="15" hidden="false" customHeight="true" outlineLevel="0" collapsed="false">
      <c r="A34" s="3" t="n">
        <v>5</v>
      </c>
      <c r="B34" s="53" t="str">
        <f aca="false">VLOOKUP(A34,Roster!$A$3:$B$18,2,FALSE())</f>
        <v>Player 5</v>
      </c>
      <c r="C34" s="54" t="n">
        <f aca="false">IF(B34=$B$5,25,0)+IF(B34=$B$6,25,0)</f>
        <v>0</v>
      </c>
      <c r="D34" s="54" t="n">
        <f aca="false">IF(OR(B34=$B$7,B34=$B$8,B34=$B$9,B34=$B$10),10,0)</f>
        <v>0</v>
      </c>
      <c r="E34" s="54" t="n">
        <f aca="false">IF(B34='Playoff Finals'!B13,200,IF(B34='Playoff Finals'!B14,75,IF(B34='Playoff Finals'!B15,35,0)))</f>
        <v>0</v>
      </c>
      <c r="F34" s="55" t="n">
        <f aca="false">C34+D34+E34</f>
        <v>0</v>
      </c>
      <c r="G34" s="39"/>
      <c r="H34" s="39"/>
      <c r="I34" s="39"/>
      <c r="J34" s="39"/>
    </row>
    <row r="35" customFormat="false" ht="15" hidden="false" customHeight="true" outlineLevel="0" collapsed="false">
      <c r="A35" s="3" t="n">
        <v>6</v>
      </c>
      <c r="B35" s="53" t="str">
        <f aca="false">VLOOKUP(A35,Roster!$A$3:$B$18,2,FALSE())</f>
        <v>Player 6</v>
      </c>
      <c r="C35" s="54" t="n">
        <f aca="false">IF(B35=$B$5,25,0)+IF(B35=$B$6,25,0)</f>
        <v>0</v>
      </c>
      <c r="D35" s="54" t="n">
        <f aca="false">IF(OR(B35=$B$7,B35=$B$8,B35=$B$9,B35=$B$10),10,0)</f>
        <v>0</v>
      </c>
      <c r="E35" s="54" t="n">
        <f aca="false">IF(B35='Playoff Finals'!B13,200,IF(B35='Playoff Finals'!B14,75,IF(B35='Playoff Finals'!B15,35,0)))</f>
        <v>0</v>
      </c>
      <c r="F35" s="55" t="n">
        <f aca="false">C35+D35+E35</f>
        <v>0</v>
      </c>
      <c r="G35" s="39"/>
      <c r="H35" s="39"/>
      <c r="I35" s="39"/>
      <c r="J35" s="39"/>
    </row>
    <row r="36" customFormat="false" ht="15" hidden="false" customHeight="true" outlineLevel="0" collapsed="false">
      <c r="A36" s="3" t="n">
        <v>7</v>
      </c>
      <c r="B36" s="53" t="str">
        <f aca="false">VLOOKUP(A36,Roster!$A$3:$B$18,2,FALSE())</f>
        <v>Player 7</v>
      </c>
      <c r="C36" s="54" t="n">
        <f aca="false">IF(B36=$B$5,25,0)+IF(B36=$B$6,25,0)</f>
        <v>0</v>
      </c>
      <c r="D36" s="54" t="n">
        <f aca="false">IF(OR(B36=$B$7,B36=$B$8,B36=$B$9,B36=$B$10),10,0)</f>
        <v>0</v>
      </c>
      <c r="E36" s="54" t="n">
        <f aca="false">IF(B36='Playoff Finals'!B13,200,IF(B36='Playoff Finals'!B14,75,IF(B36='Playoff Finals'!B15,35,0)))</f>
        <v>0</v>
      </c>
      <c r="F36" s="55" t="n">
        <f aca="false">C36+D36+E36</f>
        <v>0</v>
      </c>
      <c r="G36" s="39"/>
      <c r="H36" s="39"/>
      <c r="I36" s="39"/>
      <c r="J36" s="39"/>
    </row>
    <row r="37" customFormat="false" ht="15" hidden="false" customHeight="true" outlineLevel="0" collapsed="false">
      <c r="A37" s="3" t="n">
        <v>8</v>
      </c>
      <c r="B37" s="53" t="str">
        <f aca="false">VLOOKUP(A37,Roster!$A$3:$B$18,2,FALSE())</f>
        <v>Player 8</v>
      </c>
      <c r="C37" s="54" t="n">
        <f aca="false">IF(B37=$B$5,25,0)+IF(B37=$B$6,25,0)</f>
        <v>0</v>
      </c>
      <c r="D37" s="54" t="n">
        <f aca="false">IF(OR(B37=$B$7,B37=$B$8,B37=$B$9,B37=$B$10),10,0)</f>
        <v>10</v>
      </c>
      <c r="E37" s="54" t="n">
        <f aca="false">IF(B37='Playoff Finals'!B13,200,IF(B37='Playoff Finals'!B14,75,IF(B37='Playoff Finals'!B15,35,0)))</f>
        <v>0</v>
      </c>
      <c r="F37" s="55" t="n">
        <f aca="false">C37+D37+E37</f>
        <v>10</v>
      </c>
      <c r="G37" s="39"/>
      <c r="H37" s="39"/>
      <c r="I37" s="39"/>
      <c r="J37" s="39"/>
    </row>
    <row r="38" customFormat="false" ht="15" hidden="false" customHeight="true" outlineLevel="0" collapsed="false">
      <c r="A38" s="3" t="n">
        <v>9</v>
      </c>
      <c r="B38" s="53" t="str">
        <f aca="false">VLOOKUP(A38,Roster!$A$3:$B$18,2,FALSE())</f>
        <v>Player 9</v>
      </c>
      <c r="C38" s="54" t="n">
        <f aca="false">IF(B38=$B$5,25,0)+IF(B38=$B$6,25,0)</f>
        <v>0</v>
      </c>
      <c r="D38" s="54" t="n">
        <f aca="false">IF(OR(B38=$B$7,B38=$B$8,B38=$B$9,B38=$B$10),10,0)</f>
        <v>0</v>
      </c>
      <c r="E38" s="54" t="n">
        <f aca="false">IF(B38='Playoff Finals'!B13,200,IF(B38='Playoff Finals'!B14,75,IF(B38='Playoff Finals'!B15,35,0)))</f>
        <v>0</v>
      </c>
      <c r="F38" s="55" t="n">
        <f aca="false">C38+D38+E38</f>
        <v>0</v>
      </c>
      <c r="G38" s="39"/>
      <c r="H38" s="39"/>
      <c r="I38" s="39"/>
      <c r="J38" s="39"/>
    </row>
    <row r="39" customFormat="false" ht="15" hidden="false" customHeight="true" outlineLevel="0" collapsed="false">
      <c r="A39" s="3" t="n">
        <v>10</v>
      </c>
      <c r="B39" s="53" t="str">
        <f aca="false">VLOOKUP(A39,Roster!$A$3:$B$18,2,FALSE())</f>
        <v>Player 10</v>
      </c>
      <c r="C39" s="54" t="n">
        <f aca="false">IF(B39=$B$5,25,0)+IF(B39=$B$6,25,0)</f>
        <v>0</v>
      </c>
      <c r="D39" s="54" t="n">
        <f aca="false">IF(OR(B39=$B$7,B39=$B$8,B39=$B$9,B39=$B$10),10,0)</f>
        <v>0</v>
      </c>
      <c r="E39" s="54" t="n">
        <f aca="false">IF(B39='Playoff Finals'!B13,200,IF(B39='Playoff Finals'!B14,75,IF(B39='Playoff Finals'!B15,35,0)))</f>
        <v>0</v>
      </c>
      <c r="F39" s="55" t="n">
        <f aca="false">C39+D39+E39</f>
        <v>0</v>
      </c>
      <c r="G39" s="39"/>
      <c r="H39" s="39"/>
      <c r="I39" s="39"/>
      <c r="J39" s="39"/>
    </row>
    <row r="40" customFormat="false" ht="15" hidden="false" customHeight="true" outlineLevel="0" collapsed="false">
      <c r="A40" s="3" t="n">
        <v>11</v>
      </c>
      <c r="B40" s="53" t="str">
        <f aca="false">VLOOKUP(A40,Roster!$A$3:$B$18,2,FALSE())</f>
        <v>Player 11</v>
      </c>
      <c r="C40" s="54" t="n">
        <f aca="false">IF(B40=$B$5,25,0)+IF(B40=$B$6,25,0)</f>
        <v>0</v>
      </c>
      <c r="D40" s="54" t="n">
        <f aca="false">IF(OR(B40=$B$7,B40=$B$8,B40=$B$9,B40=$B$10),10,0)</f>
        <v>0</v>
      </c>
      <c r="E40" s="54" t="n">
        <f aca="false">IF(B40='Playoff Finals'!B13,200,IF(B40='Playoff Finals'!B14,75,IF(B40='Playoff Finals'!B15,35,0)))</f>
        <v>0</v>
      </c>
      <c r="F40" s="55" t="n">
        <f aca="false">C40+D40+E40</f>
        <v>0</v>
      </c>
      <c r="G40" s="39"/>
      <c r="H40" s="39"/>
      <c r="I40" s="39"/>
      <c r="J40" s="39"/>
    </row>
    <row r="41" customFormat="false" ht="15" hidden="false" customHeight="true" outlineLevel="0" collapsed="false">
      <c r="A41" s="3" t="n">
        <v>12</v>
      </c>
      <c r="B41" s="53" t="str">
        <f aca="false">VLOOKUP(A41,Roster!$A$3:$B$18,2,FALSE())</f>
        <v>Player 12</v>
      </c>
      <c r="C41" s="54" t="n">
        <f aca="false">IF(B41=$B$5,25,0)+IF(B41=$B$6,25,0)</f>
        <v>0</v>
      </c>
      <c r="D41" s="54" t="n">
        <f aca="false">IF(OR(B41=$B$7,B41=$B$8,B41=$B$9,B41=$B$10),10,0)</f>
        <v>10</v>
      </c>
      <c r="E41" s="54" t="n">
        <f aca="false">IF(B41='Playoff Finals'!B13,200,IF(B41='Playoff Finals'!B14,75,IF(B41='Playoff Finals'!B15,35,0)))</f>
        <v>200</v>
      </c>
      <c r="F41" s="55" t="n">
        <f aca="false">C41+D41+E41</f>
        <v>210</v>
      </c>
      <c r="G41" s="39"/>
      <c r="H41" s="39"/>
      <c r="I41" s="39"/>
      <c r="J41" s="39"/>
    </row>
    <row r="42" customFormat="false" ht="15" hidden="false" customHeight="true" outlineLevel="0" collapsed="false">
      <c r="A42" s="3" t="n">
        <v>13</v>
      </c>
      <c r="B42" s="53" t="str">
        <f aca="false">VLOOKUP(A42,Roster!$A$3:$B$18,2,FALSE())</f>
        <v>Player 13</v>
      </c>
      <c r="C42" s="54" t="n">
        <f aca="false">IF(B42=$B$5,25,0)+IF(B42=$B$6,25,0)</f>
        <v>0</v>
      </c>
      <c r="D42" s="54" t="n">
        <f aca="false">IF(OR(B42=$B$7,B42=$B$8,B42=$B$9,B42=$B$10),10,0)</f>
        <v>0</v>
      </c>
      <c r="E42" s="54" t="n">
        <f aca="false">IF(B42='Playoff Finals'!B13,200,IF(B42='Playoff Finals'!B14,75,IF(B42='Playoff Finals'!B15,35,0)))</f>
        <v>0</v>
      </c>
      <c r="F42" s="55" t="n">
        <f aca="false">C42+D42+E42</f>
        <v>0</v>
      </c>
      <c r="G42" s="39"/>
      <c r="H42" s="39"/>
      <c r="I42" s="39"/>
      <c r="J42" s="39"/>
    </row>
    <row r="43" customFormat="false" ht="15" hidden="false" customHeight="true" outlineLevel="0" collapsed="false">
      <c r="A43" s="3" t="n">
        <v>14</v>
      </c>
      <c r="B43" s="53" t="str">
        <f aca="false">VLOOKUP(A43,Roster!$A$3:$B$18,2,FALSE())</f>
        <v>Player 14</v>
      </c>
      <c r="C43" s="54" t="n">
        <f aca="false">IF(B43=$B$5,25,0)+IF(B43=$B$6,25,0)</f>
        <v>0</v>
      </c>
      <c r="D43" s="54" t="n">
        <f aca="false">IF(OR(B43=$B$7,B43=$B$8,B43=$B$9,B43=$B$10),10,0)</f>
        <v>0</v>
      </c>
      <c r="E43" s="54" t="n">
        <f aca="false">IF(B43='Playoff Finals'!B13,200,IF(B43='Playoff Finals'!B14,75,IF(B43='Playoff Finals'!B15,35,0)))</f>
        <v>35</v>
      </c>
      <c r="F43" s="55" t="n">
        <f aca="false">C43+D43+E43</f>
        <v>35</v>
      </c>
      <c r="G43" s="39"/>
      <c r="H43" s="39"/>
      <c r="I43" s="39"/>
      <c r="J43" s="39"/>
    </row>
    <row r="44" customFormat="false" ht="15" hidden="false" customHeight="true" outlineLevel="0" collapsed="false">
      <c r="A44" s="3" t="n">
        <v>15</v>
      </c>
      <c r="B44" s="53" t="str">
        <f aca="false">VLOOKUP(A44,Roster!$A$3:$B$18,2,FALSE())</f>
        <v>Player 15</v>
      </c>
      <c r="C44" s="54" t="n">
        <f aca="false">IF(B44=$B$5,25,0)+IF(B44=$B$6,25,0)</f>
        <v>0</v>
      </c>
      <c r="D44" s="54" t="n">
        <f aca="false">IF(OR(B44=$B$7,B44=$B$8,B44=$B$9,B44=$B$10),10,0)</f>
        <v>0</v>
      </c>
      <c r="E44" s="54" t="n">
        <f aca="false">IF(B44='Playoff Finals'!B13,200,IF(B44='Playoff Finals'!B14,75,IF(B44='Playoff Finals'!B15,35,0)))</f>
        <v>75</v>
      </c>
      <c r="F44" s="55" t="n">
        <f aca="false">C44+D44+E44</f>
        <v>75</v>
      </c>
      <c r="G44" s="39"/>
      <c r="H44" s="39"/>
      <c r="I44" s="39"/>
      <c r="J44" s="39"/>
    </row>
    <row r="45" customFormat="false" ht="15" hidden="false" customHeight="true" outlineLevel="0" collapsed="false">
      <c r="A45" s="3" t="n">
        <v>16</v>
      </c>
      <c r="B45" s="53" t="str">
        <f aca="false">VLOOKUP(A45,Roster!$A$3:$B$18,2,FALSE())</f>
        <v>Player 16</v>
      </c>
      <c r="C45" s="54" t="n">
        <f aca="false">IF(B45=$B$5,25,0)+IF(B45=$B$6,25,0)</f>
        <v>25</v>
      </c>
      <c r="D45" s="54" t="n">
        <f aca="false">IF(OR(B45=$B$7,B45=$B$8,B45=$B$9,B45=$B$10),10,0)</f>
        <v>10</v>
      </c>
      <c r="E45" s="54" t="n">
        <f aca="false">IF(B45='Playoff Finals'!B13,200,IF(B45='Playoff Finals'!B14,75,IF(B45='Playoff Finals'!B15,35,0)))</f>
        <v>0</v>
      </c>
      <c r="F45" s="55" t="n">
        <f aca="false">C45+D45+E45</f>
        <v>35</v>
      </c>
      <c r="G45" s="39"/>
      <c r="H45" s="39"/>
      <c r="I45" s="39"/>
      <c r="J45" s="39"/>
    </row>
    <row r="46" customFormat="false" ht="15" hidden="false" customHeight="true" outlineLevel="0" collapsed="false">
      <c r="A46" s="56" t="s">
        <v>183</v>
      </c>
      <c r="B46" s="56"/>
      <c r="C46" s="54" t="n">
        <f aca="false">SUM(C30:C45)</f>
        <v>50</v>
      </c>
      <c r="D46" s="54" t="n">
        <f aca="false">SUM(D30:D45)</f>
        <v>40</v>
      </c>
      <c r="E46" s="54" t="n">
        <f aca="false">SUM(E30:E45)</f>
        <v>310</v>
      </c>
      <c r="F46" s="57" t="n">
        <f aca="false">SUM(F30:F45)</f>
        <v>400</v>
      </c>
      <c r="G46" s="39"/>
      <c r="H46" s="39"/>
      <c r="I46" s="39"/>
      <c r="J46" s="39"/>
    </row>
    <row r="47" customFormat="false" ht="15" hidden="false" customHeight="true" outlineLevel="0" collapsed="false">
      <c r="A47" s="47"/>
      <c r="B47" s="46"/>
      <c r="C47" s="58"/>
      <c r="D47" s="58"/>
      <c r="E47" s="58"/>
      <c r="F47" s="58"/>
      <c r="G47" s="39"/>
      <c r="H47" s="39"/>
      <c r="I47" s="39"/>
      <c r="J47" s="39"/>
    </row>
    <row r="48" customFormat="false" ht="15" hidden="false" customHeight="true" outlineLevel="0" collapsed="false">
      <c r="A48" s="47"/>
      <c r="B48" s="39"/>
      <c r="C48" s="58"/>
      <c r="D48" s="58"/>
      <c r="E48" s="58"/>
      <c r="F48" s="58"/>
      <c r="G48" s="39"/>
      <c r="H48" s="39"/>
      <c r="I48" s="39"/>
      <c r="J48" s="39"/>
    </row>
    <row r="49" customFormat="false" ht="15" hidden="false" customHeight="true" outlineLevel="0" collapsed="false">
      <c r="A49" s="39"/>
      <c r="B49" s="39"/>
      <c r="C49" s="39"/>
      <c r="D49" s="39"/>
      <c r="E49" s="39"/>
      <c r="F49" s="39"/>
      <c r="G49" s="39"/>
      <c r="H49" s="39"/>
      <c r="I49" s="39"/>
      <c r="J49" s="39"/>
    </row>
    <row r="50" customFormat="false" ht="15" hidden="false" customHeight="true" outlineLevel="0" collapsed="false">
      <c r="A50" s="39"/>
      <c r="B50" s="39"/>
      <c r="C50" s="39"/>
      <c r="D50" s="39"/>
      <c r="E50" s="39"/>
      <c r="F50" s="39"/>
      <c r="G50" s="39"/>
      <c r="H50" s="39"/>
      <c r="I50" s="39"/>
      <c r="J50" s="39"/>
    </row>
  </sheetData>
  <mergeCells count="6">
    <mergeCell ref="A1:G1"/>
    <mergeCell ref="A3:G3"/>
    <mergeCell ref="A12:G12"/>
    <mergeCell ref="A17:E17"/>
    <mergeCell ref="A28:F28"/>
    <mergeCell ref="A46:B4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B949E"/>
    <pageSetUpPr fitToPage="false"/>
  </sheetPr>
  <dimension ref="A1:H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30" activeCellId="0" sqref="E30"/>
    </sheetView>
  </sheetViews>
  <sheetFormatPr defaultColWidth="8.714843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20"/>
    <col collapsed="false" customWidth="true" hidden="false" outlineLevel="0" max="3" min="3" style="0" width="12"/>
    <col collapsed="false" customWidth="true" hidden="false" outlineLevel="0" max="4" min="4" style="0" width="11.57"/>
    <col collapsed="false" customWidth="true" hidden="false" outlineLevel="0" max="5" min="5" style="0" width="14"/>
    <col collapsed="false" customWidth="true" hidden="false" outlineLevel="0" max="7" min="6" style="0" width="12"/>
    <col collapsed="false" customWidth="true" hidden="false" outlineLevel="0" max="8" min="8" style="0" width="10"/>
  </cols>
  <sheetData>
    <row r="1" customFormat="false" ht="17.25" hidden="false" customHeight="true" outlineLevel="0" collapsed="false">
      <c r="A1" s="59" t="s">
        <v>184</v>
      </c>
      <c r="B1" s="59"/>
      <c r="C1" s="59"/>
      <c r="D1" s="59"/>
      <c r="E1" s="59"/>
      <c r="F1" s="59"/>
      <c r="G1" s="59"/>
    </row>
    <row r="2" customFormat="false" ht="15" hidden="false" customHeight="true" outlineLevel="0" collapsed="false">
      <c r="A2" s="14" t="s">
        <v>185</v>
      </c>
    </row>
    <row r="4" customFormat="false" ht="15" hidden="false" customHeight="true" outlineLevel="0" collapsed="false">
      <c r="A4" s="60" t="s">
        <v>37</v>
      </c>
      <c r="B4" s="30" t="s">
        <v>98</v>
      </c>
      <c r="C4" s="30" t="s">
        <v>78</v>
      </c>
      <c r="D4" s="30" t="s">
        <v>186</v>
      </c>
      <c r="E4" s="30" t="s">
        <v>187</v>
      </c>
      <c r="F4" s="30" t="s">
        <v>188</v>
      </c>
      <c r="G4" s="30" t="s">
        <v>189</v>
      </c>
      <c r="H4" s="30" t="s">
        <v>190</v>
      </c>
    </row>
    <row r="5" customFormat="false" ht="15" hidden="false" customHeight="true" outlineLevel="0" collapsed="false">
      <c r="A5" s="3" t="n">
        <v>1</v>
      </c>
      <c r="B5" s="53" t="str">
        <f aca="false">'Playoff Picture'!B19</f>
        <v>Player 1</v>
      </c>
      <c r="C5" s="18" t="n">
        <v>0</v>
      </c>
      <c r="D5" s="61" t="n">
        <f aca="false">C5+A5*0.001</f>
        <v>0.001</v>
      </c>
      <c r="E5" s="18" t="n">
        <v>0</v>
      </c>
      <c r="F5" s="18" t="n">
        <v>0</v>
      </c>
      <c r="G5" s="18" t="n">
        <v>0</v>
      </c>
      <c r="H5" s="61" t="n">
        <f aca="false">C5*10000000+(100-E5)*100000+F5*1000+G5*10+A5*0.001</f>
        <v>10000000.001</v>
      </c>
    </row>
    <row r="6" customFormat="false" ht="15" hidden="false" customHeight="true" outlineLevel="0" collapsed="false">
      <c r="A6" s="3" t="n">
        <v>2</v>
      </c>
      <c r="B6" s="53" t="str">
        <f aca="false">'Playoff Picture'!B20</f>
        <v>Player 16</v>
      </c>
      <c r="C6" s="18" t="n">
        <v>0</v>
      </c>
      <c r="D6" s="61" t="n">
        <f aca="false">C6+A6*0.001</f>
        <v>0.002</v>
      </c>
      <c r="E6" s="18" t="n">
        <v>0</v>
      </c>
      <c r="F6" s="18" t="n">
        <v>0</v>
      </c>
      <c r="G6" s="18" t="n">
        <v>0</v>
      </c>
      <c r="H6" s="61" t="n">
        <f aca="false">C6*10000000+(100-E6)*100000+F6*1000+G6*10+A6*0.001</f>
        <v>10000000.002</v>
      </c>
    </row>
    <row r="7" customFormat="false" ht="15" hidden="false" customHeight="true" outlineLevel="0" collapsed="false">
      <c r="A7" s="3" t="n">
        <v>3</v>
      </c>
      <c r="B7" s="53" t="str">
        <f aca="false">'Playoff Picture'!B21</f>
        <v>Player 4</v>
      </c>
      <c r="C7" s="18" t="n">
        <v>0</v>
      </c>
      <c r="D7" s="61" t="n">
        <f aca="false">C7+A7*0.001</f>
        <v>0.003</v>
      </c>
      <c r="E7" s="18" t="n">
        <v>0</v>
      </c>
      <c r="F7" s="18" t="n">
        <v>0</v>
      </c>
      <c r="G7" s="18" t="n">
        <v>0</v>
      </c>
      <c r="H7" s="61" t="n">
        <f aca="false">C7*10000000+(100-E7)*100000+F7*1000+G7*10+A7*0.001</f>
        <v>10000000.003</v>
      </c>
    </row>
    <row r="8" customFormat="false" ht="15" hidden="false" customHeight="true" outlineLevel="0" collapsed="false">
      <c r="A8" s="3" t="n">
        <v>4</v>
      </c>
      <c r="B8" s="53" t="str">
        <f aca="false">'Playoff Picture'!B22</f>
        <v>Player 8</v>
      </c>
      <c r="C8" s="18" t="n">
        <v>0</v>
      </c>
      <c r="D8" s="61" t="n">
        <f aca="false">C8+A8*0.001</f>
        <v>0.004</v>
      </c>
      <c r="E8" s="18" t="n">
        <v>0</v>
      </c>
      <c r="F8" s="18" t="n">
        <v>0</v>
      </c>
      <c r="G8" s="18" t="n">
        <v>0</v>
      </c>
      <c r="H8" s="61" t="n">
        <f aca="false">C8*10000000+(100-E8)*100000+F8*1000+G8*10+A8*0.001</f>
        <v>10000000.004</v>
      </c>
    </row>
    <row r="9" customFormat="false" ht="15" hidden="false" customHeight="true" outlineLevel="0" collapsed="false">
      <c r="A9" s="3" t="n">
        <v>5</v>
      </c>
      <c r="B9" s="53" t="str">
        <f aca="false">'Playoff Picture'!B23</f>
        <v>Player 12</v>
      </c>
      <c r="C9" s="18" t="n">
        <v>0</v>
      </c>
      <c r="D9" s="61" t="n">
        <f aca="false">C9+A9*0.001</f>
        <v>0.005</v>
      </c>
      <c r="E9" s="18" t="n">
        <v>0</v>
      </c>
      <c r="F9" s="18" t="n">
        <v>0</v>
      </c>
      <c r="G9" s="18" t="n">
        <v>0</v>
      </c>
      <c r="H9" s="61" t="n">
        <f aca="false">C9*10000000+(100-E9)*100000+F9*1000+G9*10+A9*0.001</f>
        <v>10000000.005</v>
      </c>
    </row>
    <row r="10" customFormat="false" ht="15" hidden="false" customHeight="true" outlineLevel="0" collapsed="false">
      <c r="A10" s="3" t="n">
        <v>6</v>
      </c>
      <c r="B10" s="53" t="str">
        <f aca="false">'Playoff Picture'!B24</f>
        <v>Player 15</v>
      </c>
      <c r="C10" s="18" t="n">
        <v>0</v>
      </c>
      <c r="D10" s="61" t="n">
        <f aca="false">C10+A10*0.001</f>
        <v>0.006</v>
      </c>
      <c r="E10" s="18" t="n">
        <v>0</v>
      </c>
      <c r="F10" s="18" t="n">
        <v>0</v>
      </c>
      <c r="G10" s="18" t="n">
        <v>0</v>
      </c>
      <c r="H10" s="61" t="n">
        <f aca="false">C10*10000000+(100-E10)*100000+F10*1000+G10*10+A10*0.001</f>
        <v>10000000.006</v>
      </c>
    </row>
    <row r="11" customFormat="false" ht="15" hidden="false" customHeight="true" outlineLevel="0" collapsed="false">
      <c r="A11" s="3" t="n">
        <v>7</v>
      </c>
      <c r="B11" s="53" t="str">
        <f aca="false">'Playoff Picture'!B25</f>
        <v>Player 14</v>
      </c>
      <c r="C11" s="18" t="n">
        <v>0</v>
      </c>
      <c r="D11" s="61" t="n">
        <f aca="false">C11+A11*0.001</f>
        <v>0.007</v>
      </c>
      <c r="E11" s="18" t="n">
        <v>0</v>
      </c>
      <c r="F11" s="18" t="n">
        <v>0</v>
      </c>
      <c r="G11" s="18" t="n">
        <v>0</v>
      </c>
      <c r="H11" s="61" t="n">
        <f aca="false">C11*10000000+(100-E11)*100000+F11*1000+G11*10+A11*0.001</f>
        <v>10000000.007</v>
      </c>
    </row>
    <row r="12" customFormat="false" ht="15" hidden="false" customHeight="true" outlineLevel="0" collapsed="false">
      <c r="A12" s="3" t="n">
        <v>8</v>
      </c>
      <c r="B12" s="53" t="str">
        <f aca="false">'Playoff Picture'!B26</f>
        <v>Player 13</v>
      </c>
      <c r="C12" s="18" t="n">
        <v>0</v>
      </c>
      <c r="D12" s="61" t="n">
        <f aca="false">C12+A12*0.001</f>
        <v>0.008</v>
      </c>
      <c r="E12" s="18" t="n">
        <v>0</v>
      </c>
      <c r="F12" s="18" t="n">
        <v>0</v>
      </c>
      <c r="G12" s="18" t="n">
        <v>0</v>
      </c>
      <c r="H12" s="61" t="n">
        <f aca="false">C12*10000000+(100-E12)*100000+F12*1000+G12*10+A12*0.001</f>
        <v>10000000.008</v>
      </c>
    </row>
    <row r="14" customFormat="false" ht="15" hidden="false" customHeight="true" outlineLevel="0" collapsed="false">
      <c r="A14" s="35" t="s">
        <v>191</v>
      </c>
      <c r="B14" s="35"/>
      <c r="C14" s="35"/>
      <c r="D14" s="35"/>
      <c r="E14" s="35"/>
      <c r="F14" s="35"/>
      <c r="G14" s="35"/>
    </row>
    <row r="15" customFormat="false" ht="15" hidden="false" customHeight="true" outlineLevel="0" collapsed="false">
      <c r="A15" s="36" t="s">
        <v>97</v>
      </c>
      <c r="B15" s="36" t="s">
        <v>98</v>
      </c>
      <c r="C15" s="36" t="s">
        <v>78</v>
      </c>
      <c r="D15" s="62"/>
      <c r="E15" s="36" t="s">
        <v>156</v>
      </c>
      <c r="F15" s="36"/>
      <c r="G15" s="36"/>
    </row>
    <row r="16" customFormat="false" ht="15" hidden="false" customHeight="true" outlineLevel="0" collapsed="false">
      <c r="A16" s="52" t="n">
        <v>1</v>
      </c>
      <c r="B16" s="52" t="str">
        <f aca="false">INDEX($B$5:$B$12,MATCH(LARGE($H$5:$H$12,1),$H$5:$H$12,0))</f>
        <v>Player 13</v>
      </c>
      <c r="C16" s="3" t="n">
        <f aca="false">INDEX($C$5:$C$12,MATCH(LARGE($H$5:$H$12,1),$H$5:$H$12,0))</f>
        <v>0</v>
      </c>
      <c r="D16" s="3"/>
      <c r="E16" s="43" t="s">
        <v>192</v>
      </c>
    </row>
    <row r="17" customFormat="false" ht="15" hidden="false" customHeight="true" outlineLevel="0" collapsed="false">
      <c r="A17" s="52" t="n">
        <v>2</v>
      </c>
      <c r="B17" s="52" t="str">
        <f aca="false">INDEX($B$5:$B$12,MATCH(LARGE($H$5:$H$12,2),$H$5:$H$12,0))</f>
        <v>Player 14</v>
      </c>
      <c r="C17" s="3" t="n">
        <f aca="false">INDEX($C$5:$C$12,MATCH(LARGE($H$5:$H$12,2),$H$5:$H$12,0))</f>
        <v>0</v>
      </c>
      <c r="D17" s="3"/>
      <c r="E17" s="43" t="s">
        <v>192</v>
      </c>
    </row>
    <row r="18" customFormat="false" ht="15" hidden="false" customHeight="true" outlineLevel="0" collapsed="false">
      <c r="A18" s="52" t="n">
        <v>3</v>
      </c>
      <c r="B18" s="52" t="str">
        <f aca="false">INDEX($B$5:$B$12,MATCH(LARGE($H$5:$H$12,3),$H$5:$H$12,0))</f>
        <v>Player 15</v>
      </c>
      <c r="C18" s="3" t="n">
        <f aca="false">INDEX($C$5:$C$12,MATCH(LARGE($H$5:$H$12,3),$H$5:$H$12,0))</f>
        <v>0</v>
      </c>
      <c r="D18" s="3"/>
      <c r="E18" s="43" t="s">
        <v>192</v>
      </c>
    </row>
    <row r="19" customFormat="false" ht="15" hidden="false" customHeight="true" outlineLevel="0" collapsed="false">
      <c r="A19" s="52" t="n">
        <v>4</v>
      </c>
      <c r="B19" s="52" t="str">
        <f aca="false">INDEX($B$5:$B$12,MATCH(LARGE($H$5:$H$12,4),$H$5:$H$12,0))</f>
        <v>Player 12</v>
      </c>
      <c r="C19" s="3" t="n">
        <f aca="false">INDEX($C$5:$C$12,MATCH(LARGE($H$5:$H$12,4),$H$5:$H$12,0))</f>
        <v>0</v>
      </c>
      <c r="D19" s="3"/>
      <c r="E19" s="43" t="s">
        <v>192</v>
      </c>
    </row>
    <row r="20" customFormat="false" ht="15" hidden="false" customHeight="true" outlineLevel="0" collapsed="false">
      <c r="A20" s="52" t="n">
        <v>5</v>
      </c>
      <c r="B20" s="52" t="str">
        <f aca="false">INDEX($B$5:$B$12,MATCH(LARGE($H$5:$H$12,5),$H$5:$H$12,0))</f>
        <v>Player 8</v>
      </c>
      <c r="C20" s="3" t="n">
        <f aca="false">INDEX($C$5:$C$12,MATCH(LARGE($H$5:$H$12,5),$H$5:$H$12,0))</f>
        <v>0</v>
      </c>
      <c r="D20" s="3"/>
      <c r="E20" s="63" t="s">
        <v>193</v>
      </c>
    </row>
    <row r="21" customFormat="false" ht="15" hidden="false" customHeight="true" outlineLevel="0" collapsed="false">
      <c r="A21" s="52" t="n">
        <v>6</v>
      </c>
      <c r="B21" s="52" t="str">
        <f aca="false">INDEX($B$5:$B$12,MATCH(LARGE($H$5:$H$12,6),$H$5:$H$12,0))</f>
        <v>Player 4</v>
      </c>
      <c r="C21" s="3" t="n">
        <f aca="false">INDEX($C$5:$C$12,MATCH(LARGE($H$5:$H$12,6),$H$5:$H$12,0))</f>
        <v>0</v>
      </c>
      <c r="D21" s="3"/>
      <c r="E21" s="63" t="s">
        <v>193</v>
      </c>
    </row>
    <row r="22" customFormat="false" ht="15" hidden="false" customHeight="true" outlineLevel="0" collapsed="false">
      <c r="A22" s="52" t="n">
        <v>7</v>
      </c>
      <c r="B22" s="52" t="str">
        <f aca="false">INDEX($B$5:$B$12,MATCH(LARGE($H$5:$H$12,7),$H$5:$H$12,0))</f>
        <v>Player 16</v>
      </c>
      <c r="C22" s="3" t="n">
        <f aca="false">INDEX($C$5:$C$12,MATCH(LARGE($H$5:$H$12,7),$H$5:$H$12,0))</f>
        <v>0</v>
      </c>
      <c r="D22" s="3"/>
      <c r="E22" s="63" t="s">
        <v>193</v>
      </c>
    </row>
    <row r="23" customFormat="false" ht="15" hidden="false" customHeight="true" outlineLevel="0" collapsed="false">
      <c r="A23" s="52" t="n">
        <v>8</v>
      </c>
      <c r="B23" s="52" t="str">
        <f aca="false">INDEX($B$5:$B$12,MATCH(LARGE($H$5:$H$12,8),$H$5:$H$12,0))</f>
        <v>Player 1</v>
      </c>
      <c r="C23" s="3" t="n">
        <f aca="false">INDEX($C$5:$C$12,MATCH(LARGE($H$5:$H$12,8),$H$5:$H$12,0))</f>
        <v>0</v>
      </c>
      <c r="D23" s="3"/>
      <c r="E23" s="63" t="s">
        <v>193</v>
      </c>
    </row>
    <row r="25" customFormat="false" ht="15" hidden="false" customHeight="true" outlineLevel="0" collapsed="false">
      <c r="A25" s="14" t="s">
        <v>194</v>
      </c>
    </row>
  </sheetData>
  <mergeCells count="2">
    <mergeCell ref="A1:G1"/>
    <mergeCell ref="A14:G1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D700"/>
    <pageSetUpPr fitToPage="false"/>
  </sheetPr>
  <dimension ref="A1:L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3" min="2" style="0" width="10"/>
    <col collapsed="false" customWidth="true" hidden="false" outlineLevel="0" max="4" min="4" style="0" width="12"/>
    <col collapsed="false" customWidth="true" hidden="false" outlineLevel="0" max="7" min="5" style="0" width="14"/>
    <col collapsed="false" customWidth="true" hidden="false" outlineLevel="0" max="9" min="8" style="0" width="12"/>
    <col collapsed="false" customWidth="true" hidden="false" outlineLevel="0" max="10" min="10" style="0" width="11.57"/>
    <col collapsed="false" customWidth="true" hidden="false" outlineLevel="0" max="11" min="11" style="0" width="14"/>
    <col collapsed="false" customWidth="true" hidden="false" outlineLevel="0" max="12" min="12" style="0" width="10"/>
  </cols>
  <sheetData>
    <row r="1" customFormat="false" ht="17.25" hidden="false" customHeight="true" outlineLevel="0" collapsed="false">
      <c r="A1" s="1" t="s">
        <v>195</v>
      </c>
      <c r="B1" s="1"/>
      <c r="C1" s="1"/>
      <c r="D1" s="1"/>
      <c r="E1" s="1"/>
      <c r="F1" s="1"/>
      <c r="G1" s="1"/>
      <c r="H1" s="1"/>
    </row>
    <row r="2" customFormat="false" ht="15" hidden="false" customHeight="true" outlineLevel="0" collapsed="false">
      <c r="A2" s="14" t="s">
        <v>196</v>
      </c>
    </row>
    <row r="4" customFormat="false" ht="15" hidden="false" customHeight="true" outlineLevel="0" collapsed="false">
      <c r="A4" s="15" t="s">
        <v>197</v>
      </c>
      <c r="B4" s="15"/>
      <c r="C4" s="15"/>
      <c r="D4" s="15"/>
      <c r="E4" s="15"/>
      <c r="F4" s="15"/>
      <c r="G4" s="15"/>
      <c r="H4" s="15"/>
    </row>
    <row r="5" customFormat="false" ht="15" hidden="false" customHeight="true" outlineLevel="0" collapsed="false">
      <c r="A5" s="36" t="s">
        <v>98</v>
      </c>
      <c r="B5" s="36" t="s">
        <v>198</v>
      </c>
      <c r="C5" s="36" t="s">
        <v>199</v>
      </c>
      <c r="D5" s="36" t="s">
        <v>200</v>
      </c>
      <c r="E5" s="36" t="s">
        <v>201</v>
      </c>
      <c r="F5" s="36" t="s">
        <v>202</v>
      </c>
      <c r="G5" s="36" t="s">
        <v>203</v>
      </c>
      <c r="H5" s="36" t="s">
        <v>204</v>
      </c>
      <c r="I5" s="36" t="s">
        <v>205</v>
      </c>
      <c r="K5" s="36" t="s">
        <v>206</v>
      </c>
      <c r="L5" s="36" t="s">
        <v>207</v>
      </c>
    </row>
    <row r="6" customFormat="false" ht="15" hidden="false" customHeight="true" outlineLevel="0" collapsed="false">
      <c r="A6" s="64" t="str">
        <f aca="false">'Playoff Wild Card'!B16</f>
        <v>Player 13</v>
      </c>
      <c r="B6" s="65" t="n">
        <f aca="false">'Playoff Wild Card'!C16</f>
        <v>0</v>
      </c>
      <c r="C6" s="18" t="n">
        <v>0</v>
      </c>
      <c r="D6" s="66" t="n">
        <f aca="false">C6*2</f>
        <v>0</v>
      </c>
      <c r="E6" s="18" t="n">
        <v>0</v>
      </c>
      <c r="F6" s="66" t="n">
        <f aca="false">E6*4</f>
        <v>0</v>
      </c>
      <c r="G6" s="18" t="n">
        <v>0</v>
      </c>
      <c r="H6" s="67" t="n">
        <f aca="false">G6*8</f>
        <v>0</v>
      </c>
      <c r="I6" s="68" t="n">
        <f aca="false">B6+D6+F6+H6</f>
        <v>0</v>
      </c>
      <c r="J6" s="69" t="n">
        <f aca="false">I6*10000000+(100-K6)*100000+(100-L6)*100+(ROW()-5)*0.001</f>
        <v>10010000.001</v>
      </c>
      <c r="K6" s="18" t="n">
        <v>0</v>
      </c>
      <c r="L6" s="3" t="n">
        <f aca="false">D22</f>
        <v>0</v>
      </c>
    </row>
    <row r="7" customFormat="false" ht="15" hidden="false" customHeight="true" outlineLevel="0" collapsed="false">
      <c r="A7" s="64" t="str">
        <f aca="false">'Playoff Wild Card'!B17</f>
        <v>Player 14</v>
      </c>
      <c r="B7" s="65" t="n">
        <f aca="false">'Playoff Wild Card'!C17</f>
        <v>0</v>
      </c>
      <c r="C7" s="18" t="n">
        <v>0</v>
      </c>
      <c r="D7" s="66" t="n">
        <f aca="false">C7*2</f>
        <v>0</v>
      </c>
      <c r="E7" s="18" t="n">
        <v>0</v>
      </c>
      <c r="F7" s="66" t="n">
        <f aca="false">E7*4</f>
        <v>0</v>
      </c>
      <c r="G7" s="18" t="n">
        <v>0</v>
      </c>
      <c r="H7" s="67" t="n">
        <f aca="false">G7*8</f>
        <v>0</v>
      </c>
      <c r="I7" s="68" t="n">
        <f aca="false">B7+D7+F7+H7</f>
        <v>0</v>
      </c>
      <c r="J7" s="69" t="n">
        <f aca="false">I7*10000000+(100-K7)*100000+(100-L7)*100+(ROW()-5)*0.001</f>
        <v>10010000.002</v>
      </c>
      <c r="K7" s="18" t="n">
        <v>0</v>
      </c>
      <c r="L7" s="3" t="n">
        <f aca="false">D23</f>
        <v>0</v>
      </c>
    </row>
    <row r="8" customFormat="false" ht="15" hidden="false" customHeight="true" outlineLevel="0" collapsed="false">
      <c r="A8" s="64" t="str">
        <f aca="false">'Playoff Wild Card'!B18</f>
        <v>Player 15</v>
      </c>
      <c r="B8" s="65" t="n">
        <f aca="false">'Playoff Wild Card'!C18</f>
        <v>0</v>
      </c>
      <c r="C8" s="18" t="n">
        <v>0</v>
      </c>
      <c r="D8" s="66" t="n">
        <f aca="false">C8*2</f>
        <v>0</v>
      </c>
      <c r="E8" s="18" t="n">
        <v>0</v>
      </c>
      <c r="F8" s="66" t="n">
        <f aca="false">E8*4</f>
        <v>0</v>
      </c>
      <c r="G8" s="18" t="n">
        <v>0</v>
      </c>
      <c r="H8" s="67" t="n">
        <f aca="false">G8*8</f>
        <v>0</v>
      </c>
      <c r="I8" s="68" t="n">
        <f aca="false">B8+D8+F8+H8</f>
        <v>0</v>
      </c>
      <c r="J8" s="69" t="n">
        <f aca="false">I8*10000000+(100-K8)*100000+(100-L8)*100+(ROW()-5)*0.001</f>
        <v>10010000.003</v>
      </c>
      <c r="K8" s="18" t="n">
        <v>0</v>
      </c>
      <c r="L8" s="3" t="n">
        <f aca="false">D24</f>
        <v>0</v>
      </c>
    </row>
    <row r="9" customFormat="false" ht="15" hidden="false" customHeight="true" outlineLevel="0" collapsed="false">
      <c r="A9" s="64" t="str">
        <f aca="false">'Playoff Wild Card'!B19</f>
        <v>Player 12</v>
      </c>
      <c r="B9" s="65" t="n">
        <f aca="false">'Playoff Wild Card'!C19</f>
        <v>0</v>
      </c>
      <c r="C9" s="18" t="n">
        <v>0</v>
      </c>
      <c r="D9" s="66" t="n">
        <f aca="false">C9*2</f>
        <v>0</v>
      </c>
      <c r="E9" s="18" t="n">
        <v>0</v>
      </c>
      <c r="F9" s="66" t="n">
        <f aca="false">E9*4</f>
        <v>0</v>
      </c>
      <c r="G9" s="18" t="n">
        <v>0</v>
      </c>
      <c r="H9" s="67" t="n">
        <f aca="false">G9*8</f>
        <v>0</v>
      </c>
      <c r="I9" s="68" t="n">
        <f aca="false">B9+D9+F9+H9</f>
        <v>0</v>
      </c>
      <c r="J9" s="69" t="n">
        <f aca="false">I9*10000000+(100-K9)*100000+(100-L9)*100+(ROW()-5)*0.001</f>
        <v>10010000.004</v>
      </c>
      <c r="K9" s="18" t="n">
        <v>0</v>
      </c>
      <c r="L9" s="3" t="n">
        <f aca="false">D25</f>
        <v>0</v>
      </c>
    </row>
    <row r="11" customFormat="false" ht="15" hidden="false" customHeight="true" outlineLevel="0" collapsed="false">
      <c r="A11" s="21" t="s">
        <v>208</v>
      </c>
      <c r="B11" s="21"/>
      <c r="C11" s="21"/>
      <c r="D11" s="21"/>
      <c r="E11" s="21"/>
      <c r="F11" s="21"/>
      <c r="G11" s="21"/>
      <c r="H11" s="21"/>
    </row>
    <row r="12" customFormat="false" ht="15" hidden="false" customHeight="true" outlineLevel="0" collapsed="false">
      <c r="A12" s="22" t="s">
        <v>209</v>
      </c>
      <c r="B12" s="22" t="s">
        <v>98</v>
      </c>
      <c r="C12" s="22" t="s">
        <v>198</v>
      </c>
      <c r="D12" s="22" t="s">
        <v>210</v>
      </c>
      <c r="E12" s="22" t="s">
        <v>211</v>
      </c>
      <c r="F12" s="22" t="s">
        <v>212</v>
      </c>
      <c r="G12" s="22" t="s">
        <v>213</v>
      </c>
      <c r="H12" s="22" t="s">
        <v>214</v>
      </c>
    </row>
    <row r="13" customFormat="false" ht="15" hidden="false" customHeight="true" outlineLevel="0" collapsed="false">
      <c r="A13" s="70" t="s">
        <v>215</v>
      </c>
      <c r="B13" s="52" t="str">
        <f aca="false">INDEX($A$6:$A$9,MATCH(LARGE($J$6:$J$9,1),$J$6:$J$9,0))</f>
        <v>Player 12</v>
      </c>
      <c r="C13" s="3" t="n">
        <f aca="false">INDEX($B$6:$B$9,MATCH(LARGE($J$6:$J$9,1),$J$6:$J$9,0))</f>
        <v>0</v>
      </c>
      <c r="D13" s="3" t="n">
        <f aca="false">INDEX($D$6:$D$9,MATCH(LARGE($J$6:$J$9,1),$J$6:$J$9,0))</f>
        <v>0</v>
      </c>
      <c r="E13" s="3" t="n">
        <f aca="false">INDEX($F$6:$F$9,MATCH(LARGE($J$6:$J$9,1),$J$6:$J$9,0))</f>
        <v>0</v>
      </c>
      <c r="F13" s="67" t="n">
        <f aca="false">INDEX($H$6:$H$9,MATCH(LARGE($J$6:$J$9,1),$J$6:$J$9,0))</f>
        <v>0</v>
      </c>
      <c r="G13" s="68" t="n">
        <f aca="false">INDEX($I$6:$I$9,MATCH(LARGE($J$6:$J$9,1),$J$6:$J$9,0))</f>
        <v>0</v>
      </c>
      <c r="H13" s="71" t="s">
        <v>142</v>
      </c>
    </row>
    <row r="14" customFormat="false" ht="15" hidden="false" customHeight="true" outlineLevel="0" collapsed="false">
      <c r="A14" s="72" t="s">
        <v>216</v>
      </c>
      <c r="B14" s="52" t="str">
        <f aca="false">INDEX($A$6:$A$9,MATCH(LARGE($J$6:$J$9,2),$J$6:$J$9,0))</f>
        <v>Player 15</v>
      </c>
      <c r="C14" s="3" t="n">
        <f aca="false">INDEX($B$6:$B$9,MATCH(LARGE($J$6:$J$9,2),$J$6:$J$9,0))</f>
        <v>0</v>
      </c>
      <c r="D14" s="3" t="n">
        <f aca="false">INDEX($D$6:$D$9,MATCH(LARGE($J$6:$J$9,2),$J$6:$J$9,0))</f>
        <v>0</v>
      </c>
      <c r="E14" s="3" t="n">
        <f aca="false">INDEX($F$6:$F$9,MATCH(LARGE($J$6:$J$9,2),$J$6:$J$9,0))</f>
        <v>0</v>
      </c>
      <c r="F14" s="67" t="n">
        <f aca="false">INDEX($H$6:$H$9,MATCH(LARGE($J$6:$J$9,2),$J$6:$J$9,0))</f>
        <v>0</v>
      </c>
      <c r="G14" s="68" t="n">
        <f aca="false">INDEX($I$6:$I$9,MATCH(LARGE($J$6:$J$9,2),$J$6:$J$9,0))</f>
        <v>0</v>
      </c>
      <c r="H14" s="71" t="s">
        <v>144</v>
      </c>
    </row>
    <row r="15" customFormat="false" ht="15" hidden="false" customHeight="true" outlineLevel="0" collapsed="false">
      <c r="A15" s="73" t="s">
        <v>217</v>
      </c>
      <c r="B15" s="52" t="str">
        <f aca="false">INDEX($A$6:$A$9,MATCH(LARGE($J$6:$J$9,3),$J$6:$J$9,0))</f>
        <v>Player 14</v>
      </c>
      <c r="C15" s="3" t="n">
        <f aca="false">INDEX($B$6:$B$9,MATCH(LARGE($J$6:$J$9,3),$J$6:$J$9,0))</f>
        <v>0</v>
      </c>
      <c r="D15" s="3" t="n">
        <f aca="false">INDEX($D$6:$D$9,MATCH(LARGE($J$6:$J$9,3),$J$6:$J$9,0))</f>
        <v>0</v>
      </c>
      <c r="E15" s="3" t="n">
        <f aca="false">INDEX($F$6:$F$9,MATCH(LARGE($J$6:$J$9,3),$J$6:$J$9,0))</f>
        <v>0</v>
      </c>
      <c r="F15" s="67" t="n">
        <f aca="false">INDEX($H$6:$H$9,MATCH(LARGE($J$6:$J$9,3),$J$6:$J$9,0))</f>
        <v>0</v>
      </c>
      <c r="G15" s="68" t="n">
        <f aca="false">INDEX($I$6:$I$9,MATCH(LARGE($J$6:$J$9,3),$J$6:$J$9,0))</f>
        <v>0</v>
      </c>
      <c r="H15" s="71" t="s">
        <v>146</v>
      </c>
    </row>
    <row r="16" customFormat="false" ht="15" hidden="false" customHeight="true" outlineLevel="0" collapsed="false">
      <c r="A16" s="74" t="s">
        <v>218</v>
      </c>
      <c r="B16" s="52" t="str">
        <f aca="false">INDEX($A$6:$A$9,MATCH(LARGE($J$6:$J$9,4),$J$6:$J$9,0))</f>
        <v>Player 13</v>
      </c>
      <c r="C16" s="3" t="n">
        <f aca="false">INDEX($B$6:$B$9,MATCH(LARGE($J$6:$J$9,4),$J$6:$J$9,0))</f>
        <v>0</v>
      </c>
      <c r="D16" s="3" t="n">
        <f aca="false">INDEX($D$6:$D$9,MATCH(LARGE($J$6:$J$9,4),$J$6:$J$9,0))</f>
        <v>0</v>
      </c>
      <c r="E16" s="3" t="n">
        <f aca="false">INDEX($F$6:$F$9,MATCH(LARGE($J$6:$J$9,4),$J$6:$J$9,0))</f>
        <v>0</v>
      </c>
      <c r="F16" s="67" t="n">
        <f aca="false">INDEX($H$6:$H$9,MATCH(LARGE($J$6:$J$9,4),$J$6:$J$9,0))</f>
        <v>0</v>
      </c>
      <c r="G16" s="68" t="n">
        <f aca="false">INDEX($I$6:$I$9,MATCH(LARGE($J$6:$J$9,4),$J$6:$J$9,0))</f>
        <v>0</v>
      </c>
      <c r="H16" s="71" t="s">
        <v>219</v>
      </c>
    </row>
    <row r="18" customFormat="false" ht="15" hidden="false" customHeight="true" outlineLevel="0" collapsed="false">
      <c r="A18" s="14" t="s">
        <v>220</v>
      </c>
    </row>
    <row r="20" customFormat="false" ht="15" hidden="false" customHeight="true" outlineLevel="0" collapsed="false">
      <c r="A20" s="35" t="s">
        <v>221</v>
      </c>
      <c r="B20" s="35"/>
      <c r="C20" s="35"/>
      <c r="D20" s="35"/>
    </row>
    <row r="21" customFormat="false" ht="21.75" hidden="false" customHeight="true" outlineLevel="0" collapsed="false">
      <c r="A21" s="49" t="s">
        <v>98</v>
      </c>
      <c r="B21" s="49" t="s">
        <v>222</v>
      </c>
      <c r="C21" s="49" t="s">
        <v>223</v>
      </c>
      <c r="D21" s="49" t="s">
        <v>224</v>
      </c>
    </row>
    <row r="22" customFormat="false" ht="15" hidden="false" customHeight="true" outlineLevel="0" collapsed="false">
      <c r="A22" s="53" t="str">
        <f aca="false">$A$6</f>
        <v>Player 13</v>
      </c>
      <c r="B22" s="18" t="n">
        <v>0</v>
      </c>
      <c r="C22" s="18" t="n">
        <v>0</v>
      </c>
      <c r="D22" s="52" t="n">
        <f aca="false">ABS(B22-C22)</f>
        <v>0</v>
      </c>
    </row>
    <row r="23" customFormat="false" ht="15" hidden="false" customHeight="true" outlineLevel="0" collapsed="false">
      <c r="A23" s="53" t="str">
        <f aca="false">$A$7</f>
        <v>Player 14</v>
      </c>
      <c r="B23" s="18" t="n">
        <v>0</v>
      </c>
      <c r="C23" s="3" t="n">
        <f aca="false">C22</f>
        <v>0</v>
      </c>
      <c r="D23" s="52" t="n">
        <f aca="false">ABS(B23-C23)</f>
        <v>0</v>
      </c>
    </row>
    <row r="24" customFormat="false" ht="15" hidden="false" customHeight="true" outlineLevel="0" collapsed="false">
      <c r="A24" s="53" t="str">
        <f aca="false">$A$8</f>
        <v>Player 15</v>
      </c>
      <c r="B24" s="18" t="n">
        <v>0</v>
      </c>
      <c r="C24" s="3" t="n">
        <f aca="false">C22</f>
        <v>0</v>
      </c>
      <c r="D24" s="52" t="n">
        <f aca="false">ABS(B24-C24)</f>
        <v>0</v>
      </c>
    </row>
    <row r="25" customFormat="false" ht="15" hidden="false" customHeight="true" outlineLevel="0" collapsed="false">
      <c r="A25" s="53" t="str">
        <f aca="false">$A$9</f>
        <v>Player 12</v>
      </c>
      <c r="B25" s="18" t="n">
        <v>0</v>
      </c>
      <c r="C25" s="3" t="n">
        <f aca="false">C22</f>
        <v>0</v>
      </c>
      <c r="D25" s="52" t="n">
        <f aca="false">ABS(B25-C25)</f>
        <v>0</v>
      </c>
    </row>
  </sheetData>
  <mergeCells count="4">
    <mergeCell ref="A1:H1"/>
    <mergeCell ref="A4:H4"/>
    <mergeCell ref="A11:H11"/>
    <mergeCell ref="A20:D2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99999"/>
    <pageSetUpPr fitToPage="false"/>
  </sheetPr>
  <dimension ref="A1:AO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zeroHeight="false" outlineLevelRow="0" outlineLevelCol="0"/>
  <sheetData>
    <row r="1" customFormat="false" ht="15" hidden="false" customHeight="true" outlineLevel="0" collapsed="false">
      <c r="A1" s="0" t="s">
        <v>38</v>
      </c>
      <c r="B1" s="0" t="s">
        <v>39</v>
      </c>
      <c r="C1" s="0" t="s">
        <v>225</v>
      </c>
      <c r="D1" s="0" t="s">
        <v>226</v>
      </c>
      <c r="E1" s="0" t="s">
        <v>227</v>
      </c>
      <c r="F1" s="0" t="s">
        <v>228</v>
      </c>
      <c r="G1" s="0" t="s">
        <v>229</v>
      </c>
      <c r="H1" s="0" t="s">
        <v>230</v>
      </c>
      <c r="I1" s="0" t="s">
        <v>231</v>
      </c>
      <c r="J1" s="0" t="s">
        <v>232</v>
      </c>
      <c r="K1" s="0" t="s">
        <v>233</v>
      </c>
      <c r="L1" s="0" t="s">
        <v>234</v>
      </c>
      <c r="M1" s="0" t="s">
        <v>235</v>
      </c>
      <c r="N1" s="0" t="s">
        <v>236</v>
      </c>
      <c r="O1" s="0" t="s">
        <v>237</v>
      </c>
      <c r="P1" s="0" t="s">
        <v>238</v>
      </c>
      <c r="Q1" s="0" t="s">
        <v>239</v>
      </c>
      <c r="R1" s="0" t="s">
        <v>240</v>
      </c>
      <c r="S1" s="0" t="s">
        <v>241</v>
      </c>
      <c r="T1" s="0" t="s">
        <v>242</v>
      </c>
      <c r="U1" s="0" t="s">
        <v>243</v>
      </c>
      <c r="V1" s="0" t="s">
        <v>244</v>
      </c>
      <c r="W1" s="0" t="s">
        <v>245</v>
      </c>
      <c r="X1" s="0" t="s">
        <v>246</v>
      </c>
      <c r="Y1" s="0" t="s">
        <v>247</v>
      </c>
      <c r="Z1" s="0" t="s">
        <v>248</v>
      </c>
      <c r="AA1" s="0" t="s">
        <v>249</v>
      </c>
      <c r="AB1" s="0" t="s">
        <v>250</v>
      </c>
      <c r="AC1" s="0" t="s">
        <v>251</v>
      </c>
      <c r="AD1" s="0" t="s">
        <v>252</v>
      </c>
      <c r="AE1" s="0" t="s">
        <v>253</v>
      </c>
      <c r="AF1" s="0" t="s">
        <v>254</v>
      </c>
      <c r="AG1" s="0" t="s">
        <v>255</v>
      </c>
      <c r="AH1" s="0" t="s">
        <v>256</v>
      </c>
      <c r="AI1" s="0" t="s">
        <v>257</v>
      </c>
      <c r="AJ1" s="0" t="s">
        <v>258</v>
      </c>
      <c r="AK1" s="0" t="s">
        <v>259</v>
      </c>
      <c r="AL1" s="0" t="s">
        <v>260</v>
      </c>
      <c r="AM1" s="0" t="s">
        <v>261</v>
      </c>
      <c r="AN1" s="0" t="s">
        <v>262</v>
      </c>
      <c r="AO1" s="0" t="s">
        <v>263</v>
      </c>
    </row>
    <row r="2" customFormat="false" ht="15" hidden="false" customHeight="true" outlineLevel="0" collapsed="false">
      <c r="A2" s="0" t="n">
        <v>1</v>
      </c>
      <c r="B2" s="0" t="str">
        <f aca="false">VLOOKUP(A2,Roster!$A$3:$B$18,2,FALSE())</f>
        <v>Player 1</v>
      </c>
      <c r="C2" s="0" t="n">
        <f aca="false">'Wk 1-6 Input'!I6</f>
        <v>14</v>
      </c>
      <c r="D2" s="0" t="n">
        <f aca="false">'Wk 1-6 Input'!I25</f>
        <v>0</v>
      </c>
      <c r="E2" s="0" t="n">
        <f aca="false">'Wk 1-6 Input'!I44</f>
        <v>0</v>
      </c>
      <c r="F2" s="0" t="n">
        <f aca="false">'Wk 1-6 Input'!I63</f>
        <v>0</v>
      </c>
      <c r="G2" s="0" t="n">
        <f aca="false">'Wk 1-6 Input'!I82</f>
        <v>0</v>
      </c>
      <c r="H2" s="0" t="n">
        <f aca="false">'Wk 1-6 Input'!I101</f>
        <v>0</v>
      </c>
      <c r="I2" s="0" t="n">
        <f aca="false">SUM(C2:H2)</f>
        <v>14</v>
      </c>
      <c r="J2" s="0" t="n">
        <f aca="false">COUNTIF('Wk 1-6 Input'!F6,"W")+COUNTIF('Wk 1-6 Input'!F25,"W")+COUNTIF('Wk 1-6 Input'!F44,"W")+COUNTIF('Wk 1-6 Input'!F63,"W")+COUNTIF('Wk 1-6 Input'!F82,"W")+COUNTIF('Wk 1-6 Input'!F101,"W")</f>
        <v>1</v>
      </c>
      <c r="K2" s="0" t="n">
        <f aca="false">I2+A2*0.0001</f>
        <v>14.0001</v>
      </c>
      <c r="L2" s="0" t="n">
        <f aca="false">'Wk 7-12 Input'!I6</f>
        <v>0</v>
      </c>
      <c r="M2" s="0" t="n">
        <f aca="false">'Wk 7-12 Input'!I25</f>
        <v>0</v>
      </c>
      <c r="N2" s="0" t="n">
        <f aca="false">'Wk 7-12 Input'!I44</f>
        <v>0</v>
      </c>
      <c r="O2" s="0" t="n">
        <f aca="false">'Wk 7-12 Input'!I63</f>
        <v>0</v>
      </c>
      <c r="P2" s="0" t="n">
        <f aca="false">'Wk 7-12 Input'!I82</f>
        <v>0</v>
      </c>
      <c r="Q2" s="0" t="n">
        <f aca="false">'Wk 7-12 Input'!I101</f>
        <v>0</v>
      </c>
      <c r="R2" s="0" t="n">
        <f aca="false">SUM(L2:Q2)</f>
        <v>0</v>
      </c>
      <c r="S2" s="0" t="n">
        <f aca="false">COUNTIF('Wk 7-12 Input'!F6,"W")+COUNTIF('Wk 7-12 Input'!F25,"W")+COUNTIF('Wk 7-12 Input'!F44,"W")+COUNTIF('Wk 7-12 Input'!F63,"W")+COUNTIF('Wk 7-12 Input'!F82,"W")+COUNTIF('Wk 7-12 Input'!F101,"W")</f>
        <v>0</v>
      </c>
      <c r="T2" s="0" t="n">
        <f aca="false">R2+A2*0.0001</f>
        <v>0.0001</v>
      </c>
      <c r="U2" s="0" t="str">
        <f aca="false">'Wk 13-18 Input'!F6</f>
        <v>-</v>
      </c>
      <c r="V2" s="0" t="str">
        <f aca="false">'Wk 13-18 Input'!F25</f>
        <v>-</v>
      </c>
      <c r="W2" s="0" t="str">
        <f aca="false">'Wk 13-18 Input'!F44</f>
        <v>-</v>
      </c>
      <c r="X2" s="0" t="str">
        <f aca="false">'Wk 13-18 Input'!F63</f>
        <v>-</v>
      </c>
      <c r="Y2" s="0" t="str">
        <f aca="false">'Wk 13-18 Input'!F82</f>
        <v>-</v>
      </c>
      <c r="Z2" s="0" t="str">
        <f aca="false">'Wk 13-18 Input'!F101</f>
        <v>-</v>
      </c>
      <c r="AA2" s="0" t="n">
        <f aca="false">COUNTIF(U2:Z2,"W")+COUNTIF(U2:Z2,"T")*0.5</f>
        <v>0</v>
      </c>
      <c r="AB2" s="0" t="n">
        <f aca="false">COUNTIF(U2:Z2,"L")+COUNTIF(U2:Z2,"T")*0.5</f>
        <v>0</v>
      </c>
      <c r="AC2" s="0" t="n">
        <f aca="false">'Wk 13-18 Input'!I6+'Wk 13-18 Input'!I25+'Wk 13-18 Input'!I44+'Wk 13-18 Input'!I63+'Wk 13-18 Input'!I82+'Wk 13-18 Input'!I101</f>
        <v>0</v>
      </c>
      <c r="AD2" s="0" t="n">
        <f aca="false">AA2+A2*0.0001</f>
        <v>0.0001</v>
      </c>
      <c r="AE2" s="0" t="n">
        <f aca="false">I2+R2+AC2</f>
        <v>14</v>
      </c>
      <c r="AF2" s="0" t="n">
        <f aca="false">AE2+A2*0.0001</f>
        <v>14.0001</v>
      </c>
      <c r="AG2" s="0" t="n">
        <f aca="false">MAX(C2:H2)</f>
        <v>14</v>
      </c>
      <c r="AH2" s="0" t="n">
        <f aca="false">I2*100000+AG2*1000+J2*10+A2*0.01</f>
        <v>1414010.01</v>
      </c>
      <c r="AI2" s="0" t="n">
        <f aca="false">MAX(L2:Q2)</f>
        <v>0</v>
      </c>
      <c r="AJ2" s="0" t="n">
        <f aca="false">R2*100000+AI2*1000+S2*10+A2*0.01</f>
        <v>0.01</v>
      </c>
      <c r="AK2" s="0" t="n">
        <f aca="false">MAX('Wk 13-18 Input'!C6,'Wk 13-18 Input'!C25,'Wk 13-18 Input'!C44,'Wk 13-18 Input'!C63,'Wk 13-18 Input'!C82,'Wk 13-18 Input'!C101)</f>
        <v>0</v>
      </c>
      <c r="AL2" s="0" t="n">
        <f aca="false">AA2*100000+AC2*1000+AK2*10+A2*0.01</f>
        <v>0.01</v>
      </c>
      <c r="AM2" s="0" t="n">
        <f aca="false">AE2*100000+(AG2+AI2+AK2)*100+A2*0.01</f>
        <v>1401400.01</v>
      </c>
      <c r="AN2" s="0" t="n">
        <f aca="false">COUNTIF('Playoff Picture'!$E$5:$E$10,B2)</f>
        <v>1</v>
      </c>
      <c r="AO2" s="0" t="n">
        <f aca="false">IF(AN2=0,AM2,0)</f>
        <v>0</v>
      </c>
    </row>
    <row r="3" customFormat="false" ht="15" hidden="false" customHeight="true" outlineLevel="0" collapsed="false">
      <c r="A3" s="0" t="n">
        <v>2</v>
      </c>
      <c r="B3" s="0" t="str">
        <f aca="false">VLOOKUP(A3,Roster!$A$3:$B$18,2,FALSE())</f>
        <v>Player 2</v>
      </c>
      <c r="C3" s="0" t="n">
        <f aca="false">'Wk 1-6 Input'!I7</f>
        <v>0</v>
      </c>
      <c r="D3" s="0" t="n">
        <f aca="false">'Wk 1-6 Input'!I26</f>
        <v>0</v>
      </c>
      <c r="E3" s="0" t="n">
        <f aca="false">'Wk 1-6 Input'!I45</f>
        <v>0</v>
      </c>
      <c r="F3" s="0" t="n">
        <f aca="false">'Wk 1-6 Input'!I64</f>
        <v>0</v>
      </c>
      <c r="G3" s="0" t="n">
        <f aca="false">'Wk 1-6 Input'!I83</f>
        <v>0</v>
      </c>
      <c r="H3" s="0" t="n">
        <f aca="false">'Wk 1-6 Input'!I102</f>
        <v>0</v>
      </c>
      <c r="I3" s="0" t="n">
        <f aca="false">SUM(C3:H3)</f>
        <v>0</v>
      </c>
      <c r="J3" s="0" t="n">
        <f aca="false">COUNTIF('Wk 1-6 Input'!F7,"W")+COUNTIF('Wk 1-6 Input'!F26,"W")+COUNTIF('Wk 1-6 Input'!F45,"W")+COUNTIF('Wk 1-6 Input'!F64,"W")+COUNTIF('Wk 1-6 Input'!F83,"W")+COUNTIF('Wk 1-6 Input'!F102,"W")</f>
        <v>0</v>
      </c>
      <c r="K3" s="0" t="n">
        <f aca="false">I3+A3*0.0001</f>
        <v>0.0002</v>
      </c>
      <c r="L3" s="0" t="n">
        <f aca="false">'Wk 7-12 Input'!I7</f>
        <v>0</v>
      </c>
      <c r="M3" s="0" t="n">
        <f aca="false">'Wk 7-12 Input'!I26</f>
        <v>0</v>
      </c>
      <c r="N3" s="0" t="n">
        <f aca="false">'Wk 7-12 Input'!I45</f>
        <v>0</v>
      </c>
      <c r="O3" s="0" t="n">
        <f aca="false">'Wk 7-12 Input'!I64</f>
        <v>0</v>
      </c>
      <c r="P3" s="0" t="n">
        <f aca="false">'Wk 7-12 Input'!I83</f>
        <v>0</v>
      </c>
      <c r="Q3" s="0" t="n">
        <f aca="false">'Wk 7-12 Input'!I102</f>
        <v>0</v>
      </c>
      <c r="R3" s="0" t="n">
        <f aca="false">SUM(L3:Q3)</f>
        <v>0</v>
      </c>
      <c r="S3" s="0" t="n">
        <f aca="false">COUNTIF('Wk 7-12 Input'!F7,"W")+COUNTIF('Wk 7-12 Input'!F26,"W")+COUNTIF('Wk 7-12 Input'!F45,"W")+COUNTIF('Wk 7-12 Input'!F64,"W")+COUNTIF('Wk 7-12 Input'!F83,"W")+COUNTIF('Wk 7-12 Input'!F102,"W")</f>
        <v>0</v>
      </c>
      <c r="T3" s="0" t="n">
        <f aca="false">R3+A3*0.0001</f>
        <v>0.0002</v>
      </c>
      <c r="U3" s="0" t="str">
        <f aca="false">'Wk 13-18 Input'!F7</f>
        <v>-</v>
      </c>
      <c r="V3" s="0" t="str">
        <f aca="false">'Wk 13-18 Input'!F26</f>
        <v>-</v>
      </c>
      <c r="W3" s="0" t="str">
        <f aca="false">'Wk 13-18 Input'!F45</f>
        <v>-</v>
      </c>
      <c r="X3" s="0" t="str">
        <f aca="false">'Wk 13-18 Input'!F64</f>
        <v>-</v>
      </c>
      <c r="Y3" s="0" t="str">
        <f aca="false">'Wk 13-18 Input'!F83</f>
        <v>-</v>
      </c>
      <c r="Z3" s="0" t="str">
        <f aca="false">'Wk 13-18 Input'!F102</f>
        <v>-</v>
      </c>
      <c r="AA3" s="0" t="n">
        <f aca="false">COUNTIF(U3:Z3,"W")+COUNTIF(U3:Z3,"T")*0.5</f>
        <v>0</v>
      </c>
      <c r="AB3" s="0" t="n">
        <f aca="false">COUNTIF(U3:Z3,"L")+COUNTIF(U3:Z3,"T")*0.5</f>
        <v>0</v>
      </c>
      <c r="AC3" s="0" t="n">
        <f aca="false">'Wk 13-18 Input'!I7+'Wk 13-18 Input'!I26+'Wk 13-18 Input'!I45+'Wk 13-18 Input'!I64+'Wk 13-18 Input'!I83+'Wk 13-18 Input'!I102</f>
        <v>0</v>
      </c>
      <c r="AD3" s="0" t="n">
        <f aca="false">AA3+A3*0.0001</f>
        <v>0.0002</v>
      </c>
      <c r="AE3" s="0" t="n">
        <f aca="false">I3+R3+AC3</f>
        <v>0</v>
      </c>
      <c r="AF3" s="0" t="n">
        <f aca="false">AE3+A3*0.0001</f>
        <v>0.0002</v>
      </c>
      <c r="AG3" s="0" t="n">
        <f aca="false">MAX(C3:H3)</f>
        <v>0</v>
      </c>
      <c r="AH3" s="0" t="n">
        <f aca="false">I3*100000+AG3*1000+J3*10+A3*0.01</f>
        <v>0.02</v>
      </c>
      <c r="AI3" s="0" t="n">
        <f aca="false">MAX(L3:Q3)</f>
        <v>0</v>
      </c>
      <c r="AJ3" s="0" t="n">
        <f aca="false">R3*100000+AI3*1000+S3*10+A3*0.01</f>
        <v>0.02</v>
      </c>
      <c r="AK3" s="0" t="n">
        <f aca="false">MAX('Wk 13-18 Input'!C7,'Wk 13-18 Input'!C26,'Wk 13-18 Input'!C45,'Wk 13-18 Input'!C64,'Wk 13-18 Input'!C83,'Wk 13-18 Input'!C102)</f>
        <v>0</v>
      </c>
      <c r="AL3" s="0" t="n">
        <f aca="false">AA3*100000+AC3*1000+AK3*10+A3*0.01</f>
        <v>0.02</v>
      </c>
      <c r="AM3" s="0" t="n">
        <f aca="false">AE3*100000+(AG3+AI3+AK3)*100+A3*0.01</f>
        <v>0.02</v>
      </c>
      <c r="AN3" s="0" t="n">
        <f aca="false">COUNTIF('Playoff Picture'!$E$5:$E$10,B3)</f>
        <v>0</v>
      </c>
      <c r="AO3" s="0" t="n">
        <f aca="false">IF(AN3=0,AM3,0)</f>
        <v>0.02</v>
      </c>
    </row>
    <row r="4" customFormat="false" ht="15" hidden="false" customHeight="true" outlineLevel="0" collapsed="false">
      <c r="A4" s="0" t="n">
        <v>3</v>
      </c>
      <c r="B4" s="0" t="str">
        <f aca="false">VLOOKUP(A4,Roster!$A$3:$B$18,2,FALSE())</f>
        <v>Player 3</v>
      </c>
      <c r="C4" s="0" t="n">
        <f aca="false">'Wk 1-6 Input'!I8</f>
        <v>0</v>
      </c>
      <c r="D4" s="0" t="n">
        <f aca="false">'Wk 1-6 Input'!I27</f>
        <v>0</v>
      </c>
      <c r="E4" s="0" t="n">
        <f aca="false">'Wk 1-6 Input'!I46</f>
        <v>0</v>
      </c>
      <c r="F4" s="0" t="n">
        <f aca="false">'Wk 1-6 Input'!I65</f>
        <v>0</v>
      </c>
      <c r="G4" s="0" t="n">
        <f aca="false">'Wk 1-6 Input'!I84</f>
        <v>0</v>
      </c>
      <c r="H4" s="0" t="n">
        <f aca="false">'Wk 1-6 Input'!I103</f>
        <v>0</v>
      </c>
      <c r="I4" s="0" t="n">
        <f aca="false">SUM(C4:H4)</f>
        <v>0</v>
      </c>
      <c r="J4" s="0" t="n">
        <f aca="false">COUNTIF('Wk 1-6 Input'!F8,"W")+COUNTIF('Wk 1-6 Input'!F27,"W")+COUNTIF('Wk 1-6 Input'!F46,"W")+COUNTIF('Wk 1-6 Input'!F65,"W")+COUNTIF('Wk 1-6 Input'!F84,"W")+COUNTIF('Wk 1-6 Input'!F103,"W")</f>
        <v>0</v>
      </c>
      <c r="K4" s="0" t="n">
        <f aca="false">I4+A4*0.0001</f>
        <v>0.0003</v>
      </c>
      <c r="L4" s="0" t="n">
        <f aca="false">'Wk 7-12 Input'!I8</f>
        <v>0</v>
      </c>
      <c r="M4" s="0" t="n">
        <f aca="false">'Wk 7-12 Input'!I27</f>
        <v>0</v>
      </c>
      <c r="N4" s="0" t="n">
        <f aca="false">'Wk 7-12 Input'!I46</f>
        <v>0</v>
      </c>
      <c r="O4" s="0" t="n">
        <f aca="false">'Wk 7-12 Input'!I65</f>
        <v>0</v>
      </c>
      <c r="P4" s="0" t="n">
        <f aca="false">'Wk 7-12 Input'!I84</f>
        <v>0</v>
      </c>
      <c r="Q4" s="0" t="n">
        <f aca="false">'Wk 7-12 Input'!I103</f>
        <v>0</v>
      </c>
      <c r="R4" s="0" t="n">
        <f aca="false">SUM(L4:Q4)</f>
        <v>0</v>
      </c>
      <c r="S4" s="0" t="n">
        <f aca="false">COUNTIF('Wk 7-12 Input'!F8,"W")+COUNTIF('Wk 7-12 Input'!F27,"W")+COUNTIF('Wk 7-12 Input'!F46,"W")+COUNTIF('Wk 7-12 Input'!F65,"W")+COUNTIF('Wk 7-12 Input'!F84,"W")+COUNTIF('Wk 7-12 Input'!F103,"W")</f>
        <v>0</v>
      </c>
      <c r="T4" s="0" t="n">
        <f aca="false">R4+A4*0.0001</f>
        <v>0.0003</v>
      </c>
      <c r="U4" s="0" t="str">
        <f aca="false">'Wk 13-18 Input'!F8</f>
        <v>-</v>
      </c>
      <c r="V4" s="0" t="str">
        <f aca="false">'Wk 13-18 Input'!F27</f>
        <v>-</v>
      </c>
      <c r="W4" s="0" t="str">
        <f aca="false">'Wk 13-18 Input'!F46</f>
        <v>-</v>
      </c>
      <c r="X4" s="0" t="str">
        <f aca="false">'Wk 13-18 Input'!F65</f>
        <v>-</v>
      </c>
      <c r="Y4" s="0" t="str">
        <f aca="false">'Wk 13-18 Input'!F84</f>
        <v>-</v>
      </c>
      <c r="Z4" s="0" t="str">
        <f aca="false">'Wk 13-18 Input'!F103</f>
        <v>-</v>
      </c>
      <c r="AA4" s="0" t="n">
        <f aca="false">COUNTIF(U4:Z4,"W")+COUNTIF(U4:Z4,"T")*0.5</f>
        <v>0</v>
      </c>
      <c r="AB4" s="0" t="n">
        <f aca="false">COUNTIF(U4:Z4,"L")+COUNTIF(U4:Z4,"T")*0.5</f>
        <v>0</v>
      </c>
      <c r="AC4" s="0" t="n">
        <f aca="false">'Wk 13-18 Input'!I8+'Wk 13-18 Input'!I27+'Wk 13-18 Input'!I46+'Wk 13-18 Input'!I65+'Wk 13-18 Input'!I84+'Wk 13-18 Input'!I103</f>
        <v>0</v>
      </c>
      <c r="AD4" s="0" t="n">
        <f aca="false">AA4+A4*0.0001</f>
        <v>0.0003</v>
      </c>
      <c r="AE4" s="0" t="n">
        <f aca="false">I4+R4+AC4</f>
        <v>0</v>
      </c>
      <c r="AF4" s="0" t="n">
        <f aca="false">AE4+A4*0.0001</f>
        <v>0.0003</v>
      </c>
      <c r="AG4" s="0" t="n">
        <f aca="false">MAX(C4:H4)</f>
        <v>0</v>
      </c>
      <c r="AH4" s="0" t="n">
        <f aca="false">I4*100000+AG4*1000+J4*10+A4*0.01</f>
        <v>0.03</v>
      </c>
      <c r="AI4" s="0" t="n">
        <f aca="false">MAX(L4:Q4)</f>
        <v>0</v>
      </c>
      <c r="AJ4" s="0" t="n">
        <f aca="false">R4*100000+AI4*1000+S4*10+A4*0.01</f>
        <v>0.03</v>
      </c>
      <c r="AK4" s="0" t="n">
        <f aca="false">MAX('Wk 13-18 Input'!C8,'Wk 13-18 Input'!C27,'Wk 13-18 Input'!C46,'Wk 13-18 Input'!C65,'Wk 13-18 Input'!C84,'Wk 13-18 Input'!C103)</f>
        <v>0</v>
      </c>
      <c r="AL4" s="0" t="n">
        <f aca="false">AA4*100000+AC4*1000+AK4*10+A4*0.01</f>
        <v>0.03</v>
      </c>
      <c r="AM4" s="0" t="n">
        <f aca="false">AE4*100000+(AG4+AI4+AK4)*100+A4*0.01</f>
        <v>0.03</v>
      </c>
      <c r="AN4" s="0" t="n">
        <f aca="false">COUNTIF('Playoff Picture'!$E$5:$E$10,B4)</f>
        <v>0</v>
      </c>
      <c r="AO4" s="0" t="n">
        <f aca="false">IF(AN4=0,AM4,0)</f>
        <v>0.03</v>
      </c>
    </row>
    <row r="5" customFormat="false" ht="15" hidden="false" customHeight="true" outlineLevel="0" collapsed="false">
      <c r="A5" s="0" t="n">
        <v>4</v>
      </c>
      <c r="B5" s="0" t="str">
        <f aca="false">VLOOKUP(A5,Roster!$A$3:$B$18,2,FALSE())</f>
        <v>Player 4</v>
      </c>
      <c r="C5" s="0" t="n">
        <f aca="false">'Wk 1-6 Input'!I9</f>
        <v>0</v>
      </c>
      <c r="D5" s="0" t="n">
        <f aca="false">'Wk 1-6 Input'!I28</f>
        <v>0</v>
      </c>
      <c r="E5" s="0" t="n">
        <f aca="false">'Wk 1-6 Input'!I47</f>
        <v>0</v>
      </c>
      <c r="F5" s="0" t="n">
        <f aca="false">'Wk 1-6 Input'!I66</f>
        <v>0</v>
      </c>
      <c r="G5" s="0" t="n">
        <f aca="false">'Wk 1-6 Input'!I85</f>
        <v>0</v>
      </c>
      <c r="H5" s="0" t="n">
        <f aca="false">'Wk 1-6 Input'!I104</f>
        <v>0</v>
      </c>
      <c r="I5" s="0" t="n">
        <f aca="false">SUM(C5:H5)</f>
        <v>0</v>
      </c>
      <c r="J5" s="0" t="n">
        <f aca="false">COUNTIF('Wk 1-6 Input'!F9,"W")+COUNTIF('Wk 1-6 Input'!F28,"W")+COUNTIF('Wk 1-6 Input'!F47,"W")+COUNTIF('Wk 1-6 Input'!F66,"W")+COUNTIF('Wk 1-6 Input'!F85,"W")+COUNTIF('Wk 1-6 Input'!F104,"W")</f>
        <v>0</v>
      </c>
      <c r="K5" s="0" t="n">
        <f aca="false">I5+A5*0.0001</f>
        <v>0.0004</v>
      </c>
      <c r="L5" s="0" t="n">
        <f aca="false">'Wk 7-12 Input'!I9</f>
        <v>0</v>
      </c>
      <c r="M5" s="0" t="n">
        <f aca="false">'Wk 7-12 Input'!I28</f>
        <v>0</v>
      </c>
      <c r="N5" s="0" t="n">
        <f aca="false">'Wk 7-12 Input'!I47</f>
        <v>0</v>
      </c>
      <c r="O5" s="0" t="n">
        <f aca="false">'Wk 7-12 Input'!I66</f>
        <v>0</v>
      </c>
      <c r="P5" s="0" t="n">
        <f aca="false">'Wk 7-12 Input'!I85</f>
        <v>0</v>
      </c>
      <c r="Q5" s="0" t="n">
        <f aca="false">'Wk 7-12 Input'!I104</f>
        <v>0</v>
      </c>
      <c r="R5" s="0" t="n">
        <f aca="false">SUM(L5:Q5)</f>
        <v>0</v>
      </c>
      <c r="S5" s="0" t="n">
        <f aca="false">COUNTIF('Wk 7-12 Input'!F9,"W")+COUNTIF('Wk 7-12 Input'!F28,"W")+COUNTIF('Wk 7-12 Input'!F47,"W")+COUNTIF('Wk 7-12 Input'!F66,"W")+COUNTIF('Wk 7-12 Input'!F85,"W")+COUNTIF('Wk 7-12 Input'!F104,"W")</f>
        <v>0</v>
      </c>
      <c r="T5" s="0" t="n">
        <f aca="false">R5+A5*0.0001</f>
        <v>0.0004</v>
      </c>
      <c r="U5" s="0" t="str">
        <f aca="false">'Wk 13-18 Input'!F9</f>
        <v>-</v>
      </c>
      <c r="V5" s="0" t="str">
        <f aca="false">'Wk 13-18 Input'!F28</f>
        <v>-</v>
      </c>
      <c r="W5" s="0" t="str">
        <f aca="false">'Wk 13-18 Input'!F47</f>
        <v>-</v>
      </c>
      <c r="X5" s="0" t="str">
        <f aca="false">'Wk 13-18 Input'!F66</f>
        <v>-</v>
      </c>
      <c r="Y5" s="0" t="str">
        <f aca="false">'Wk 13-18 Input'!F85</f>
        <v>-</v>
      </c>
      <c r="Z5" s="0" t="str">
        <f aca="false">'Wk 13-18 Input'!F104</f>
        <v>-</v>
      </c>
      <c r="AA5" s="0" t="n">
        <f aca="false">COUNTIF(U5:Z5,"W")+COUNTIF(U5:Z5,"T")*0.5</f>
        <v>0</v>
      </c>
      <c r="AB5" s="0" t="n">
        <f aca="false">COUNTIF(U5:Z5,"L")+COUNTIF(U5:Z5,"T")*0.5</f>
        <v>0</v>
      </c>
      <c r="AC5" s="0" t="n">
        <f aca="false">'Wk 13-18 Input'!I9+'Wk 13-18 Input'!I28+'Wk 13-18 Input'!I47+'Wk 13-18 Input'!I66+'Wk 13-18 Input'!I85+'Wk 13-18 Input'!I104</f>
        <v>0</v>
      </c>
      <c r="AD5" s="0" t="n">
        <f aca="false">AA5+A5*0.0001</f>
        <v>0.0004</v>
      </c>
      <c r="AE5" s="0" t="n">
        <f aca="false">I5+R5+AC5</f>
        <v>0</v>
      </c>
      <c r="AF5" s="0" t="n">
        <f aca="false">AE5+A5*0.0001</f>
        <v>0.0004</v>
      </c>
      <c r="AG5" s="0" t="n">
        <f aca="false">MAX(C5:H5)</f>
        <v>0</v>
      </c>
      <c r="AH5" s="0" t="n">
        <f aca="false">I5*100000+AG5*1000+J5*10+A5*0.01</f>
        <v>0.04</v>
      </c>
      <c r="AI5" s="0" t="n">
        <f aca="false">MAX(L5:Q5)</f>
        <v>0</v>
      </c>
      <c r="AJ5" s="0" t="n">
        <f aca="false">R5*100000+AI5*1000+S5*10+A5*0.01</f>
        <v>0.04</v>
      </c>
      <c r="AK5" s="0" t="n">
        <f aca="false">MAX('Wk 13-18 Input'!C9,'Wk 13-18 Input'!C28,'Wk 13-18 Input'!C47,'Wk 13-18 Input'!C66,'Wk 13-18 Input'!C85,'Wk 13-18 Input'!C104)</f>
        <v>0</v>
      </c>
      <c r="AL5" s="0" t="n">
        <f aca="false">AA5*100000+AC5*1000+AK5*10+A5*0.01</f>
        <v>0.04</v>
      </c>
      <c r="AM5" s="0" t="n">
        <f aca="false">AE5*100000+(AG5+AI5+AK5)*100+A5*0.01</f>
        <v>0.04</v>
      </c>
      <c r="AN5" s="0" t="n">
        <f aca="false">COUNTIF('Playoff Picture'!$E$5:$E$10,B5)</f>
        <v>1</v>
      </c>
      <c r="AO5" s="0" t="n">
        <f aca="false">IF(AN5=0,AM5,0)</f>
        <v>0</v>
      </c>
    </row>
    <row r="6" customFormat="false" ht="15" hidden="false" customHeight="true" outlineLevel="0" collapsed="false">
      <c r="A6" s="0" t="n">
        <v>5</v>
      </c>
      <c r="B6" s="0" t="str">
        <f aca="false">VLOOKUP(A6,Roster!$A$3:$B$18,2,FALSE())</f>
        <v>Player 5</v>
      </c>
      <c r="C6" s="0" t="n">
        <f aca="false">'Wk 1-6 Input'!I10</f>
        <v>0</v>
      </c>
      <c r="D6" s="0" t="n">
        <f aca="false">'Wk 1-6 Input'!I29</f>
        <v>0</v>
      </c>
      <c r="E6" s="0" t="n">
        <f aca="false">'Wk 1-6 Input'!I48</f>
        <v>0</v>
      </c>
      <c r="F6" s="0" t="n">
        <f aca="false">'Wk 1-6 Input'!I67</f>
        <v>0</v>
      </c>
      <c r="G6" s="0" t="n">
        <f aca="false">'Wk 1-6 Input'!I86</f>
        <v>0</v>
      </c>
      <c r="H6" s="0" t="n">
        <f aca="false">'Wk 1-6 Input'!I105</f>
        <v>0</v>
      </c>
      <c r="I6" s="0" t="n">
        <f aca="false">SUM(C6:H6)</f>
        <v>0</v>
      </c>
      <c r="J6" s="0" t="n">
        <f aca="false">COUNTIF('Wk 1-6 Input'!F10,"W")+COUNTIF('Wk 1-6 Input'!F29,"W")+COUNTIF('Wk 1-6 Input'!F48,"W")+COUNTIF('Wk 1-6 Input'!F67,"W")+COUNTIF('Wk 1-6 Input'!F86,"W")+COUNTIF('Wk 1-6 Input'!F105,"W")</f>
        <v>0</v>
      </c>
      <c r="K6" s="0" t="n">
        <f aca="false">I6+A6*0.0001</f>
        <v>0.0005</v>
      </c>
      <c r="L6" s="0" t="n">
        <f aca="false">'Wk 7-12 Input'!I10</f>
        <v>0</v>
      </c>
      <c r="M6" s="0" t="n">
        <f aca="false">'Wk 7-12 Input'!I29</f>
        <v>0</v>
      </c>
      <c r="N6" s="0" t="n">
        <f aca="false">'Wk 7-12 Input'!I48</f>
        <v>0</v>
      </c>
      <c r="O6" s="0" t="n">
        <f aca="false">'Wk 7-12 Input'!I67</f>
        <v>0</v>
      </c>
      <c r="P6" s="0" t="n">
        <f aca="false">'Wk 7-12 Input'!I86</f>
        <v>0</v>
      </c>
      <c r="Q6" s="0" t="n">
        <f aca="false">'Wk 7-12 Input'!I105</f>
        <v>0</v>
      </c>
      <c r="R6" s="0" t="n">
        <f aca="false">SUM(L6:Q6)</f>
        <v>0</v>
      </c>
      <c r="S6" s="0" t="n">
        <f aca="false">COUNTIF('Wk 7-12 Input'!F10,"W")+COUNTIF('Wk 7-12 Input'!F29,"W")+COUNTIF('Wk 7-12 Input'!F48,"W")+COUNTIF('Wk 7-12 Input'!F67,"W")+COUNTIF('Wk 7-12 Input'!F86,"W")+COUNTIF('Wk 7-12 Input'!F105,"W")</f>
        <v>0</v>
      </c>
      <c r="T6" s="0" t="n">
        <f aca="false">R6+A6*0.0001</f>
        <v>0.0005</v>
      </c>
      <c r="U6" s="0" t="str">
        <f aca="false">'Wk 13-18 Input'!F10</f>
        <v>-</v>
      </c>
      <c r="V6" s="0" t="str">
        <f aca="false">'Wk 13-18 Input'!F29</f>
        <v>-</v>
      </c>
      <c r="W6" s="0" t="str">
        <f aca="false">'Wk 13-18 Input'!F48</f>
        <v>-</v>
      </c>
      <c r="X6" s="0" t="str">
        <f aca="false">'Wk 13-18 Input'!F67</f>
        <v>-</v>
      </c>
      <c r="Y6" s="0" t="str">
        <f aca="false">'Wk 13-18 Input'!F86</f>
        <v>-</v>
      </c>
      <c r="Z6" s="0" t="str">
        <f aca="false">'Wk 13-18 Input'!F105</f>
        <v>-</v>
      </c>
      <c r="AA6" s="0" t="n">
        <f aca="false">COUNTIF(U6:Z6,"W")+COUNTIF(U6:Z6,"T")*0.5</f>
        <v>0</v>
      </c>
      <c r="AB6" s="0" t="n">
        <f aca="false">COUNTIF(U6:Z6,"L")+COUNTIF(U6:Z6,"T")*0.5</f>
        <v>0</v>
      </c>
      <c r="AC6" s="0" t="n">
        <f aca="false">'Wk 13-18 Input'!I10+'Wk 13-18 Input'!I29+'Wk 13-18 Input'!I48+'Wk 13-18 Input'!I67+'Wk 13-18 Input'!I86+'Wk 13-18 Input'!I105</f>
        <v>0</v>
      </c>
      <c r="AD6" s="0" t="n">
        <f aca="false">AA6+A6*0.0001</f>
        <v>0.0005</v>
      </c>
      <c r="AE6" s="0" t="n">
        <f aca="false">I6+R6+AC6</f>
        <v>0</v>
      </c>
      <c r="AF6" s="0" t="n">
        <f aca="false">AE6+A6*0.0001</f>
        <v>0.0005</v>
      </c>
      <c r="AG6" s="0" t="n">
        <f aca="false">MAX(C6:H6)</f>
        <v>0</v>
      </c>
      <c r="AH6" s="0" t="n">
        <f aca="false">I6*100000+AG6*1000+J6*10+A6*0.01</f>
        <v>0.05</v>
      </c>
      <c r="AI6" s="0" t="n">
        <f aca="false">MAX(L6:Q6)</f>
        <v>0</v>
      </c>
      <c r="AJ6" s="0" t="n">
        <f aca="false">R6*100000+AI6*1000+S6*10+A6*0.01</f>
        <v>0.05</v>
      </c>
      <c r="AK6" s="0" t="n">
        <f aca="false">MAX('Wk 13-18 Input'!C10,'Wk 13-18 Input'!C29,'Wk 13-18 Input'!C48,'Wk 13-18 Input'!C67,'Wk 13-18 Input'!C86,'Wk 13-18 Input'!C105)</f>
        <v>0</v>
      </c>
      <c r="AL6" s="0" t="n">
        <f aca="false">AA6*100000+AC6*1000+AK6*10+A6*0.01</f>
        <v>0.05</v>
      </c>
      <c r="AM6" s="0" t="n">
        <f aca="false">AE6*100000+(AG6+AI6+AK6)*100+A6*0.01</f>
        <v>0.05</v>
      </c>
      <c r="AN6" s="0" t="n">
        <f aca="false">COUNTIF('Playoff Picture'!$E$5:$E$10,B6)</f>
        <v>0</v>
      </c>
      <c r="AO6" s="0" t="n">
        <f aca="false">IF(AN6=0,AM6,0)</f>
        <v>0.05</v>
      </c>
    </row>
    <row r="7" customFormat="false" ht="15" hidden="false" customHeight="true" outlineLevel="0" collapsed="false">
      <c r="A7" s="0" t="n">
        <v>6</v>
      </c>
      <c r="B7" s="0" t="str">
        <f aca="false">VLOOKUP(A7,Roster!$A$3:$B$18,2,FALSE())</f>
        <v>Player 6</v>
      </c>
      <c r="C7" s="0" t="n">
        <f aca="false">'Wk 1-6 Input'!I11</f>
        <v>0</v>
      </c>
      <c r="D7" s="0" t="n">
        <f aca="false">'Wk 1-6 Input'!I30</f>
        <v>0</v>
      </c>
      <c r="E7" s="0" t="n">
        <f aca="false">'Wk 1-6 Input'!I49</f>
        <v>0</v>
      </c>
      <c r="F7" s="0" t="n">
        <f aca="false">'Wk 1-6 Input'!I68</f>
        <v>0</v>
      </c>
      <c r="G7" s="0" t="n">
        <f aca="false">'Wk 1-6 Input'!I87</f>
        <v>0</v>
      </c>
      <c r="H7" s="0" t="n">
        <f aca="false">'Wk 1-6 Input'!I106</f>
        <v>0</v>
      </c>
      <c r="I7" s="0" t="n">
        <f aca="false">SUM(C7:H7)</f>
        <v>0</v>
      </c>
      <c r="J7" s="0" t="n">
        <f aca="false">COUNTIF('Wk 1-6 Input'!F11,"W")+COUNTIF('Wk 1-6 Input'!F30,"W")+COUNTIF('Wk 1-6 Input'!F49,"W")+COUNTIF('Wk 1-6 Input'!F68,"W")+COUNTIF('Wk 1-6 Input'!F87,"W")+COUNTIF('Wk 1-6 Input'!F106,"W")</f>
        <v>0</v>
      </c>
      <c r="K7" s="0" t="n">
        <f aca="false">I7+A7*0.0001</f>
        <v>0.0006</v>
      </c>
      <c r="L7" s="0" t="n">
        <f aca="false">'Wk 7-12 Input'!I11</f>
        <v>0</v>
      </c>
      <c r="M7" s="0" t="n">
        <f aca="false">'Wk 7-12 Input'!I30</f>
        <v>0</v>
      </c>
      <c r="N7" s="0" t="n">
        <f aca="false">'Wk 7-12 Input'!I49</f>
        <v>0</v>
      </c>
      <c r="O7" s="0" t="n">
        <f aca="false">'Wk 7-12 Input'!I68</f>
        <v>0</v>
      </c>
      <c r="P7" s="0" t="n">
        <f aca="false">'Wk 7-12 Input'!I87</f>
        <v>0</v>
      </c>
      <c r="Q7" s="0" t="n">
        <f aca="false">'Wk 7-12 Input'!I106</f>
        <v>0</v>
      </c>
      <c r="R7" s="0" t="n">
        <f aca="false">SUM(L7:Q7)</f>
        <v>0</v>
      </c>
      <c r="S7" s="0" t="n">
        <f aca="false">COUNTIF('Wk 7-12 Input'!F11,"W")+COUNTIF('Wk 7-12 Input'!F30,"W")+COUNTIF('Wk 7-12 Input'!F49,"W")+COUNTIF('Wk 7-12 Input'!F68,"W")+COUNTIF('Wk 7-12 Input'!F87,"W")+COUNTIF('Wk 7-12 Input'!F106,"W")</f>
        <v>0</v>
      </c>
      <c r="T7" s="0" t="n">
        <f aca="false">R7+A7*0.0001</f>
        <v>0.0006</v>
      </c>
      <c r="U7" s="0" t="str">
        <f aca="false">'Wk 13-18 Input'!F11</f>
        <v>-</v>
      </c>
      <c r="V7" s="0" t="str">
        <f aca="false">'Wk 13-18 Input'!F30</f>
        <v>-</v>
      </c>
      <c r="W7" s="0" t="str">
        <f aca="false">'Wk 13-18 Input'!F49</f>
        <v>-</v>
      </c>
      <c r="X7" s="0" t="str">
        <f aca="false">'Wk 13-18 Input'!F68</f>
        <v>-</v>
      </c>
      <c r="Y7" s="0" t="str">
        <f aca="false">'Wk 13-18 Input'!F87</f>
        <v>-</v>
      </c>
      <c r="Z7" s="0" t="str">
        <f aca="false">'Wk 13-18 Input'!F106</f>
        <v>-</v>
      </c>
      <c r="AA7" s="0" t="n">
        <f aca="false">COUNTIF(U7:Z7,"W")+COUNTIF(U7:Z7,"T")*0.5</f>
        <v>0</v>
      </c>
      <c r="AB7" s="0" t="n">
        <f aca="false">COUNTIF(U7:Z7,"L")+COUNTIF(U7:Z7,"T")*0.5</f>
        <v>0</v>
      </c>
      <c r="AC7" s="0" t="n">
        <f aca="false">'Wk 13-18 Input'!I11+'Wk 13-18 Input'!I30+'Wk 13-18 Input'!I49+'Wk 13-18 Input'!I68+'Wk 13-18 Input'!I87+'Wk 13-18 Input'!I106</f>
        <v>0</v>
      </c>
      <c r="AD7" s="0" t="n">
        <f aca="false">AA7+A7*0.0001</f>
        <v>0.0006</v>
      </c>
      <c r="AE7" s="0" t="n">
        <f aca="false">I7+R7+AC7</f>
        <v>0</v>
      </c>
      <c r="AF7" s="0" t="n">
        <f aca="false">AE7+A7*0.0001</f>
        <v>0.0006</v>
      </c>
      <c r="AG7" s="0" t="n">
        <f aca="false">MAX(C7:H7)</f>
        <v>0</v>
      </c>
      <c r="AH7" s="0" t="n">
        <f aca="false">I7*100000+AG7*1000+J7*10+A7*0.01</f>
        <v>0.06</v>
      </c>
      <c r="AI7" s="0" t="n">
        <f aca="false">MAX(L7:Q7)</f>
        <v>0</v>
      </c>
      <c r="AJ7" s="0" t="n">
        <f aca="false">R7*100000+AI7*1000+S7*10+A7*0.01</f>
        <v>0.06</v>
      </c>
      <c r="AK7" s="0" t="n">
        <f aca="false">MAX('Wk 13-18 Input'!C11,'Wk 13-18 Input'!C30,'Wk 13-18 Input'!C49,'Wk 13-18 Input'!C68,'Wk 13-18 Input'!C87,'Wk 13-18 Input'!C106)</f>
        <v>0</v>
      </c>
      <c r="AL7" s="0" t="n">
        <f aca="false">AA7*100000+AC7*1000+AK7*10+A7*0.01</f>
        <v>0.06</v>
      </c>
      <c r="AM7" s="0" t="n">
        <f aca="false">AE7*100000+(AG7+AI7+AK7)*100+A7*0.01</f>
        <v>0.06</v>
      </c>
      <c r="AN7" s="0" t="n">
        <f aca="false">COUNTIF('Playoff Picture'!$E$5:$E$10,B7)</f>
        <v>0</v>
      </c>
      <c r="AO7" s="0" t="n">
        <f aca="false">IF(AN7=0,AM7,0)</f>
        <v>0.06</v>
      </c>
    </row>
    <row r="8" customFormat="false" ht="15" hidden="false" customHeight="true" outlineLevel="0" collapsed="false">
      <c r="A8" s="0" t="n">
        <v>7</v>
      </c>
      <c r="B8" s="0" t="str">
        <f aca="false">VLOOKUP(A8,Roster!$A$3:$B$18,2,FALSE())</f>
        <v>Player 7</v>
      </c>
      <c r="C8" s="0" t="n">
        <f aca="false">'Wk 1-6 Input'!I12</f>
        <v>0</v>
      </c>
      <c r="D8" s="0" t="n">
        <f aca="false">'Wk 1-6 Input'!I31</f>
        <v>0</v>
      </c>
      <c r="E8" s="0" t="n">
        <f aca="false">'Wk 1-6 Input'!I50</f>
        <v>0</v>
      </c>
      <c r="F8" s="0" t="n">
        <f aca="false">'Wk 1-6 Input'!I69</f>
        <v>0</v>
      </c>
      <c r="G8" s="0" t="n">
        <f aca="false">'Wk 1-6 Input'!I88</f>
        <v>0</v>
      </c>
      <c r="H8" s="0" t="n">
        <f aca="false">'Wk 1-6 Input'!I107</f>
        <v>0</v>
      </c>
      <c r="I8" s="0" t="n">
        <f aca="false">SUM(C8:H8)</f>
        <v>0</v>
      </c>
      <c r="J8" s="0" t="n">
        <f aca="false">COUNTIF('Wk 1-6 Input'!F12,"W")+COUNTIF('Wk 1-6 Input'!F31,"W")+COUNTIF('Wk 1-6 Input'!F50,"W")+COUNTIF('Wk 1-6 Input'!F69,"W")+COUNTIF('Wk 1-6 Input'!F88,"W")+COUNTIF('Wk 1-6 Input'!F107,"W")</f>
        <v>0</v>
      </c>
      <c r="K8" s="0" t="n">
        <f aca="false">I8+A8*0.0001</f>
        <v>0.0007</v>
      </c>
      <c r="L8" s="0" t="n">
        <f aca="false">'Wk 7-12 Input'!I12</f>
        <v>0</v>
      </c>
      <c r="M8" s="0" t="n">
        <f aca="false">'Wk 7-12 Input'!I31</f>
        <v>0</v>
      </c>
      <c r="N8" s="0" t="n">
        <f aca="false">'Wk 7-12 Input'!I50</f>
        <v>0</v>
      </c>
      <c r="O8" s="0" t="n">
        <f aca="false">'Wk 7-12 Input'!I69</f>
        <v>0</v>
      </c>
      <c r="P8" s="0" t="n">
        <f aca="false">'Wk 7-12 Input'!I88</f>
        <v>0</v>
      </c>
      <c r="Q8" s="0" t="n">
        <f aca="false">'Wk 7-12 Input'!I107</f>
        <v>0</v>
      </c>
      <c r="R8" s="0" t="n">
        <f aca="false">SUM(L8:Q8)</f>
        <v>0</v>
      </c>
      <c r="S8" s="0" t="n">
        <f aca="false">COUNTIF('Wk 7-12 Input'!F12,"W")+COUNTIF('Wk 7-12 Input'!F31,"W")+COUNTIF('Wk 7-12 Input'!F50,"W")+COUNTIF('Wk 7-12 Input'!F69,"W")+COUNTIF('Wk 7-12 Input'!F88,"W")+COUNTIF('Wk 7-12 Input'!F107,"W")</f>
        <v>0</v>
      </c>
      <c r="T8" s="0" t="n">
        <f aca="false">R8+A8*0.0001</f>
        <v>0.0007</v>
      </c>
      <c r="U8" s="0" t="str">
        <f aca="false">'Wk 13-18 Input'!F12</f>
        <v>-</v>
      </c>
      <c r="V8" s="0" t="str">
        <f aca="false">'Wk 13-18 Input'!F31</f>
        <v>-</v>
      </c>
      <c r="W8" s="0" t="str">
        <f aca="false">'Wk 13-18 Input'!F50</f>
        <v>-</v>
      </c>
      <c r="X8" s="0" t="str">
        <f aca="false">'Wk 13-18 Input'!F69</f>
        <v>-</v>
      </c>
      <c r="Y8" s="0" t="str">
        <f aca="false">'Wk 13-18 Input'!F88</f>
        <v>-</v>
      </c>
      <c r="Z8" s="0" t="str">
        <f aca="false">'Wk 13-18 Input'!F107</f>
        <v>-</v>
      </c>
      <c r="AA8" s="0" t="n">
        <f aca="false">COUNTIF(U8:Z8,"W")+COUNTIF(U8:Z8,"T")*0.5</f>
        <v>0</v>
      </c>
      <c r="AB8" s="0" t="n">
        <f aca="false">COUNTIF(U8:Z8,"L")+COUNTIF(U8:Z8,"T")*0.5</f>
        <v>0</v>
      </c>
      <c r="AC8" s="0" t="n">
        <f aca="false">'Wk 13-18 Input'!I12+'Wk 13-18 Input'!I31+'Wk 13-18 Input'!I50+'Wk 13-18 Input'!I69+'Wk 13-18 Input'!I88+'Wk 13-18 Input'!I107</f>
        <v>0</v>
      </c>
      <c r="AD8" s="0" t="n">
        <f aca="false">AA8+A8*0.0001</f>
        <v>0.0007</v>
      </c>
      <c r="AE8" s="0" t="n">
        <f aca="false">I8+R8+AC8</f>
        <v>0</v>
      </c>
      <c r="AF8" s="0" t="n">
        <f aca="false">AE8+A8*0.0001</f>
        <v>0.0007</v>
      </c>
      <c r="AG8" s="0" t="n">
        <f aca="false">MAX(C8:H8)</f>
        <v>0</v>
      </c>
      <c r="AH8" s="0" t="n">
        <f aca="false">I8*100000+AG8*1000+J8*10+A8*0.01</f>
        <v>0.07</v>
      </c>
      <c r="AI8" s="0" t="n">
        <f aca="false">MAX(L8:Q8)</f>
        <v>0</v>
      </c>
      <c r="AJ8" s="0" t="n">
        <f aca="false">R8*100000+AI8*1000+S8*10+A8*0.01</f>
        <v>0.07</v>
      </c>
      <c r="AK8" s="0" t="n">
        <f aca="false">MAX('Wk 13-18 Input'!C12,'Wk 13-18 Input'!C31,'Wk 13-18 Input'!C50,'Wk 13-18 Input'!C69,'Wk 13-18 Input'!C88,'Wk 13-18 Input'!C107)</f>
        <v>0</v>
      </c>
      <c r="AL8" s="0" t="n">
        <f aca="false">AA8*100000+AC8*1000+AK8*10+A8*0.01</f>
        <v>0.07</v>
      </c>
      <c r="AM8" s="0" t="n">
        <f aca="false">AE8*100000+(AG8+AI8+AK8)*100+A8*0.01</f>
        <v>0.07</v>
      </c>
      <c r="AN8" s="0" t="n">
        <f aca="false">COUNTIF('Playoff Picture'!$E$5:$E$10,B8)</f>
        <v>0</v>
      </c>
      <c r="AO8" s="0" t="n">
        <f aca="false">IF(AN8=0,AM8,0)</f>
        <v>0.07</v>
      </c>
    </row>
    <row r="9" customFormat="false" ht="15" hidden="false" customHeight="true" outlineLevel="0" collapsed="false">
      <c r="A9" s="0" t="n">
        <v>8</v>
      </c>
      <c r="B9" s="0" t="str">
        <f aca="false">VLOOKUP(A9,Roster!$A$3:$B$18,2,FALSE())</f>
        <v>Player 8</v>
      </c>
      <c r="C9" s="0" t="n">
        <f aca="false">'Wk 1-6 Input'!I13</f>
        <v>0</v>
      </c>
      <c r="D9" s="0" t="n">
        <f aca="false">'Wk 1-6 Input'!I32</f>
        <v>0</v>
      </c>
      <c r="E9" s="0" t="n">
        <f aca="false">'Wk 1-6 Input'!I51</f>
        <v>0</v>
      </c>
      <c r="F9" s="0" t="n">
        <f aca="false">'Wk 1-6 Input'!I70</f>
        <v>0</v>
      </c>
      <c r="G9" s="0" t="n">
        <f aca="false">'Wk 1-6 Input'!I89</f>
        <v>0</v>
      </c>
      <c r="H9" s="0" t="n">
        <f aca="false">'Wk 1-6 Input'!I108</f>
        <v>0</v>
      </c>
      <c r="I9" s="0" t="n">
        <f aca="false">SUM(C9:H9)</f>
        <v>0</v>
      </c>
      <c r="J9" s="0" t="n">
        <f aca="false">COUNTIF('Wk 1-6 Input'!F13,"W")+COUNTIF('Wk 1-6 Input'!F32,"W")+COUNTIF('Wk 1-6 Input'!F51,"W")+COUNTIF('Wk 1-6 Input'!F70,"W")+COUNTIF('Wk 1-6 Input'!F89,"W")+COUNTIF('Wk 1-6 Input'!F108,"W")</f>
        <v>0</v>
      </c>
      <c r="K9" s="0" t="n">
        <f aca="false">I9+A9*0.0001</f>
        <v>0.0008</v>
      </c>
      <c r="L9" s="0" t="n">
        <f aca="false">'Wk 7-12 Input'!I13</f>
        <v>0</v>
      </c>
      <c r="M9" s="0" t="n">
        <f aca="false">'Wk 7-12 Input'!I32</f>
        <v>0</v>
      </c>
      <c r="N9" s="0" t="n">
        <f aca="false">'Wk 7-12 Input'!I51</f>
        <v>0</v>
      </c>
      <c r="O9" s="0" t="n">
        <f aca="false">'Wk 7-12 Input'!I70</f>
        <v>0</v>
      </c>
      <c r="P9" s="0" t="n">
        <f aca="false">'Wk 7-12 Input'!I89</f>
        <v>0</v>
      </c>
      <c r="Q9" s="0" t="n">
        <f aca="false">'Wk 7-12 Input'!I108</f>
        <v>0</v>
      </c>
      <c r="R9" s="0" t="n">
        <f aca="false">SUM(L9:Q9)</f>
        <v>0</v>
      </c>
      <c r="S9" s="0" t="n">
        <f aca="false">COUNTIF('Wk 7-12 Input'!F13,"W")+COUNTIF('Wk 7-12 Input'!F32,"W")+COUNTIF('Wk 7-12 Input'!F51,"W")+COUNTIF('Wk 7-12 Input'!F70,"W")+COUNTIF('Wk 7-12 Input'!F89,"W")+COUNTIF('Wk 7-12 Input'!F108,"W")</f>
        <v>0</v>
      </c>
      <c r="T9" s="0" t="n">
        <f aca="false">R9+A9*0.0001</f>
        <v>0.0008</v>
      </c>
      <c r="U9" s="0" t="str">
        <f aca="false">'Wk 13-18 Input'!F13</f>
        <v>-</v>
      </c>
      <c r="V9" s="0" t="str">
        <f aca="false">'Wk 13-18 Input'!F32</f>
        <v>-</v>
      </c>
      <c r="W9" s="0" t="str">
        <f aca="false">'Wk 13-18 Input'!F51</f>
        <v>-</v>
      </c>
      <c r="X9" s="0" t="str">
        <f aca="false">'Wk 13-18 Input'!F70</f>
        <v>-</v>
      </c>
      <c r="Y9" s="0" t="str">
        <f aca="false">'Wk 13-18 Input'!F89</f>
        <v>-</v>
      </c>
      <c r="Z9" s="0" t="str">
        <f aca="false">'Wk 13-18 Input'!F108</f>
        <v>-</v>
      </c>
      <c r="AA9" s="0" t="n">
        <f aca="false">COUNTIF(U9:Z9,"W")+COUNTIF(U9:Z9,"T")*0.5</f>
        <v>0</v>
      </c>
      <c r="AB9" s="0" t="n">
        <f aca="false">COUNTIF(U9:Z9,"L")+COUNTIF(U9:Z9,"T")*0.5</f>
        <v>0</v>
      </c>
      <c r="AC9" s="0" t="n">
        <f aca="false">'Wk 13-18 Input'!I13+'Wk 13-18 Input'!I32+'Wk 13-18 Input'!I51+'Wk 13-18 Input'!I70+'Wk 13-18 Input'!I89+'Wk 13-18 Input'!I108</f>
        <v>0</v>
      </c>
      <c r="AD9" s="0" t="n">
        <f aca="false">AA9+A9*0.0001</f>
        <v>0.0008</v>
      </c>
      <c r="AE9" s="0" t="n">
        <f aca="false">I9+R9+AC9</f>
        <v>0</v>
      </c>
      <c r="AF9" s="0" t="n">
        <f aca="false">AE9+A9*0.0001</f>
        <v>0.0008</v>
      </c>
      <c r="AG9" s="0" t="n">
        <f aca="false">MAX(C9:H9)</f>
        <v>0</v>
      </c>
      <c r="AH9" s="0" t="n">
        <f aca="false">I9*100000+AG9*1000+J9*10+A9*0.01</f>
        <v>0.08</v>
      </c>
      <c r="AI9" s="0" t="n">
        <f aca="false">MAX(L9:Q9)</f>
        <v>0</v>
      </c>
      <c r="AJ9" s="0" t="n">
        <f aca="false">R9*100000+AI9*1000+S9*10+A9*0.01</f>
        <v>0.08</v>
      </c>
      <c r="AK9" s="0" t="n">
        <f aca="false">MAX('Wk 13-18 Input'!C13,'Wk 13-18 Input'!C32,'Wk 13-18 Input'!C51,'Wk 13-18 Input'!C70,'Wk 13-18 Input'!C89,'Wk 13-18 Input'!C108)</f>
        <v>0</v>
      </c>
      <c r="AL9" s="0" t="n">
        <f aca="false">AA9*100000+AC9*1000+AK9*10+A9*0.01</f>
        <v>0.08</v>
      </c>
      <c r="AM9" s="0" t="n">
        <f aca="false">AE9*100000+(AG9+AI9+AK9)*100+A9*0.01</f>
        <v>0.08</v>
      </c>
      <c r="AN9" s="0" t="n">
        <f aca="false">COUNTIF('Playoff Picture'!$E$5:$E$10,B9)</f>
        <v>1</v>
      </c>
      <c r="AO9" s="0" t="n">
        <f aca="false">IF(AN9=0,AM9,0)</f>
        <v>0</v>
      </c>
    </row>
    <row r="10" customFormat="false" ht="15" hidden="false" customHeight="true" outlineLevel="0" collapsed="false">
      <c r="A10" s="0" t="n">
        <v>9</v>
      </c>
      <c r="B10" s="0" t="str">
        <f aca="false">VLOOKUP(A10,Roster!$A$3:$B$18,2,FALSE())</f>
        <v>Player 9</v>
      </c>
      <c r="C10" s="0" t="n">
        <f aca="false">'Wk 1-6 Input'!I14</f>
        <v>0</v>
      </c>
      <c r="D10" s="0" t="n">
        <f aca="false">'Wk 1-6 Input'!I33</f>
        <v>0</v>
      </c>
      <c r="E10" s="0" t="n">
        <f aca="false">'Wk 1-6 Input'!I52</f>
        <v>0</v>
      </c>
      <c r="F10" s="0" t="n">
        <f aca="false">'Wk 1-6 Input'!I71</f>
        <v>0</v>
      </c>
      <c r="G10" s="0" t="n">
        <f aca="false">'Wk 1-6 Input'!I90</f>
        <v>0</v>
      </c>
      <c r="H10" s="0" t="n">
        <f aca="false">'Wk 1-6 Input'!I109</f>
        <v>0</v>
      </c>
      <c r="I10" s="0" t="n">
        <f aca="false">SUM(C10:H10)</f>
        <v>0</v>
      </c>
      <c r="J10" s="0" t="n">
        <f aca="false">COUNTIF('Wk 1-6 Input'!F14,"W")+COUNTIF('Wk 1-6 Input'!F33,"W")+COUNTIF('Wk 1-6 Input'!F52,"W")+COUNTIF('Wk 1-6 Input'!F71,"W")+COUNTIF('Wk 1-6 Input'!F90,"W")+COUNTIF('Wk 1-6 Input'!F109,"W")</f>
        <v>0</v>
      </c>
      <c r="K10" s="0" t="n">
        <f aca="false">I10+A10*0.0001</f>
        <v>0.0009</v>
      </c>
      <c r="L10" s="0" t="n">
        <f aca="false">'Wk 7-12 Input'!I14</f>
        <v>0</v>
      </c>
      <c r="M10" s="0" t="n">
        <f aca="false">'Wk 7-12 Input'!I33</f>
        <v>0</v>
      </c>
      <c r="N10" s="0" t="n">
        <f aca="false">'Wk 7-12 Input'!I52</f>
        <v>0</v>
      </c>
      <c r="O10" s="0" t="n">
        <f aca="false">'Wk 7-12 Input'!I71</f>
        <v>0</v>
      </c>
      <c r="P10" s="0" t="n">
        <f aca="false">'Wk 7-12 Input'!I90</f>
        <v>0</v>
      </c>
      <c r="Q10" s="0" t="n">
        <f aca="false">'Wk 7-12 Input'!I109</f>
        <v>0</v>
      </c>
      <c r="R10" s="0" t="n">
        <f aca="false">SUM(L10:Q10)</f>
        <v>0</v>
      </c>
      <c r="S10" s="0" t="n">
        <f aca="false">COUNTIF('Wk 7-12 Input'!F14,"W")+COUNTIF('Wk 7-12 Input'!F33,"W")+COUNTIF('Wk 7-12 Input'!F52,"W")+COUNTIF('Wk 7-12 Input'!F71,"W")+COUNTIF('Wk 7-12 Input'!F90,"W")+COUNTIF('Wk 7-12 Input'!F109,"W")</f>
        <v>0</v>
      </c>
      <c r="T10" s="0" t="n">
        <f aca="false">R10+A10*0.0001</f>
        <v>0.0009</v>
      </c>
      <c r="U10" s="0" t="str">
        <f aca="false">'Wk 13-18 Input'!F14</f>
        <v>-</v>
      </c>
      <c r="V10" s="0" t="str">
        <f aca="false">'Wk 13-18 Input'!F33</f>
        <v>-</v>
      </c>
      <c r="W10" s="0" t="str">
        <f aca="false">'Wk 13-18 Input'!F52</f>
        <v>-</v>
      </c>
      <c r="X10" s="0" t="str">
        <f aca="false">'Wk 13-18 Input'!F71</f>
        <v>-</v>
      </c>
      <c r="Y10" s="0" t="str">
        <f aca="false">'Wk 13-18 Input'!F90</f>
        <v>-</v>
      </c>
      <c r="Z10" s="0" t="str">
        <f aca="false">'Wk 13-18 Input'!F109</f>
        <v>-</v>
      </c>
      <c r="AA10" s="0" t="n">
        <f aca="false">COUNTIF(U10:Z10,"W")+COUNTIF(U10:Z10,"T")*0.5</f>
        <v>0</v>
      </c>
      <c r="AB10" s="0" t="n">
        <f aca="false">COUNTIF(U10:Z10,"L")+COUNTIF(U10:Z10,"T")*0.5</f>
        <v>0</v>
      </c>
      <c r="AC10" s="0" t="n">
        <f aca="false">'Wk 13-18 Input'!I14+'Wk 13-18 Input'!I33+'Wk 13-18 Input'!I52+'Wk 13-18 Input'!I71+'Wk 13-18 Input'!I90+'Wk 13-18 Input'!I109</f>
        <v>0</v>
      </c>
      <c r="AD10" s="0" t="n">
        <f aca="false">AA10+A10*0.0001</f>
        <v>0.0009</v>
      </c>
      <c r="AE10" s="0" t="n">
        <f aca="false">I10+R10+AC10</f>
        <v>0</v>
      </c>
      <c r="AF10" s="0" t="n">
        <f aca="false">AE10+A10*0.0001</f>
        <v>0.0009</v>
      </c>
      <c r="AG10" s="0" t="n">
        <f aca="false">MAX(C10:H10)</f>
        <v>0</v>
      </c>
      <c r="AH10" s="0" t="n">
        <f aca="false">I10*100000+AG10*1000+J10*10+A10*0.01</f>
        <v>0.09</v>
      </c>
      <c r="AI10" s="0" t="n">
        <f aca="false">MAX(L10:Q10)</f>
        <v>0</v>
      </c>
      <c r="AJ10" s="0" t="n">
        <f aca="false">R10*100000+AI10*1000+S10*10+A10*0.01</f>
        <v>0.09</v>
      </c>
      <c r="AK10" s="0" t="n">
        <f aca="false">MAX('Wk 13-18 Input'!C14,'Wk 13-18 Input'!C33,'Wk 13-18 Input'!C52,'Wk 13-18 Input'!C71,'Wk 13-18 Input'!C90,'Wk 13-18 Input'!C109)</f>
        <v>0</v>
      </c>
      <c r="AL10" s="0" t="n">
        <f aca="false">AA10*100000+AC10*1000+AK10*10+A10*0.01</f>
        <v>0.09</v>
      </c>
      <c r="AM10" s="0" t="n">
        <f aca="false">AE10*100000+(AG10+AI10+AK10)*100+A10*0.01</f>
        <v>0.09</v>
      </c>
      <c r="AN10" s="0" t="n">
        <f aca="false">COUNTIF('Playoff Picture'!$E$5:$E$10,B10)</f>
        <v>0</v>
      </c>
      <c r="AO10" s="0" t="n">
        <f aca="false">IF(AN10=0,AM10,0)</f>
        <v>0.09</v>
      </c>
    </row>
    <row r="11" customFormat="false" ht="15" hidden="false" customHeight="true" outlineLevel="0" collapsed="false">
      <c r="A11" s="0" t="n">
        <v>10</v>
      </c>
      <c r="B11" s="0" t="str">
        <f aca="false">VLOOKUP(A11,Roster!$A$3:$B$18,2,FALSE())</f>
        <v>Player 10</v>
      </c>
      <c r="C11" s="0" t="n">
        <f aca="false">'Wk 1-6 Input'!I15</f>
        <v>0</v>
      </c>
      <c r="D11" s="0" t="n">
        <f aca="false">'Wk 1-6 Input'!I34</f>
        <v>0</v>
      </c>
      <c r="E11" s="0" t="n">
        <f aca="false">'Wk 1-6 Input'!I53</f>
        <v>0</v>
      </c>
      <c r="F11" s="0" t="n">
        <f aca="false">'Wk 1-6 Input'!I72</f>
        <v>0</v>
      </c>
      <c r="G11" s="0" t="n">
        <f aca="false">'Wk 1-6 Input'!I91</f>
        <v>0</v>
      </c>
      <c r="H11" s="0" t="n">
        <f aca="false">'Wk 1-6 Input'!I110</f>
        <v>0</v>
      </c>
      <c r="I11" s="0" t="n">
        <f aca="false">SUM(C11:H11)</f>
        <v>0</v>
      </c>
      <c r="J11" s="0" t="n">
        <f aca="false">COUNTIF('Wk 1-6 Input'!F15,"W")+COUNTIF('Wk 1-6 Input'!F34,"W")+COUNTIF('Wk 1-6 Input'!F53,"W")+COUNTIF('Wk 1-6 Input'!F72,"W")+COUNTIF('Wk 1-6 Input'!F91,"W")+COUNTIF('Wk 1-6 Input'!F110,"W")</f>
        <v>0</v>
      </c>
      <c r="K11" s="0" t="n">
        <f aca="false">I11+A11*0.0001</f>
        <v>0.001</v>
      </c>
      <c r="L11" s="0" t="n">
        <f aca="false">'Wk 7-12 Input'!I15</f>
        <v>0</v>
      </c>
      <c r="M11" s="0" t="n">
        <f aca="false">'Wk 7-12 Input'!I34</f>
        <v>0</v>
      </c>
      <c r="N11" s="0" t="n">
        <f aca="false">'Wk 7-12 Input'!I53</f>
        <v>0</v>
      </c>
      <c r="O11" s="0" t="n">
        <f aca="false">'Wk 7-12 Input'!I72</f>
        <v>0</v>
      </c>
      <c r="P11" s="0" t="n">
        <f aca="false">'Wk 7-12 Input'!I91</f>
        <v>0</v>
      </c>
      <c r="Q11" s="0" t="n">
        <f aca="false">'Wk 7-12 Input'!I110</f>
        <v>0</v>
      </c>
      <c r="R11" s="0" t="n">
        <f aca="false">SUM(L11:Q11)</f>
        <v>0</v>
      </c>
      <c r="S11" s="0" t="n">
        <f aca="false">COUNTIF('Wk 7-12 Input'!F15,"W")+COUNTIF('Wk 7-12 Input'!F34,"W")+COUNTIF('Wk 7-12 Input'!F53,"W")+COUNTIF('Wk 7-12 Input'!F72,"W")+COUNTIF('Wk 7-12 Input'!F91,"W")+COUNTIF('Wk 7-12 Input'!F110,"W")</f>
        <v>0</v>
      </c>
      <c r="T11" s="0" t="n">
        <f aca="false">R11+A11*0.0001</f>
        <v>0.001</v>
      </c>
      <c r="U11" s="0" t="str">
        <f aca="false">'Wk 13-18 Input'!F15</f>
        <v>-</v>
      </c>
      <c r="V11" s="0" t="str">
        <f aca="false">'Wk 13-18 Input'!F34</f>
        <v>-</v>
      </c>
      <c r="W11" s="0" t="str">
        <f aca="false">'Wk 13-18 Input'!F53</f>
        <v>-</v>
      </c>
      <c r="X11" s="0" t="str">
        <f aca="false">'Wk 13-18 Input'!F72</f>
        <v>-</v>
      </c>
      <c r="Y11" s="0" t="str">
        <f aca="false">'Wk 13-18 Input'!F91</f>
        <v>-</v>
      </c>
      <c r="Z11" s="0" t="str">
        <f aca="false">'Wk 13-18 Input'!F110</f>
        <v>-</v>
      </c>
      <c r="AA11" s="0" t="n">
        <f aca="false">COUNTIF(U11:Z11,"W")+COUNTIF(U11:Z11,"T")*0.5</f>
        <v>0</v>
      </c>
      <c r="AB11" s="0" t="n">
        <f aca="false">COUNTIF(U11:Z11,"L")+COUNTIF(U11:Z11,"T")*0.5</f>
        <v>0</v>
      </c>
      <c r="AC11" s="0" t="n">
        <f aca="false">'Wk 13-18 Input'!I15+'Wk 13-18 Input'!I34+'Wk 13-18 Input'!I53+'Wk 13-18 Input'!I72+'Wk 13-18 Input'!I91+'Wk 13-18 Input'!I110</f>
        <v>0</v>
      </c>
      <c r="AD11" s="0" t="n">
        <f aca="false">AA11+A11*0.0001</f>
        <v>0.001</v>
      </c>
      <c r="AE11" s="0" t="n">
        <f aca="false">I11+R11+AC11</f>
        <v>0</v>
      </c>
      <c r="AF11" s="0" t="n">
        <f aca="false">AE11+A11*0.0001</f>
        <v>0.001</v>
      </c>
      <c r="AG11" s="0" t="n">
        <f aca="false">MAX(C11:H11)</f>
        <v>0</v>
      </c>
      <c r="AH11" s="0" t="n">
        <f aca="false">I11*100000+AG11*1000+J11*10+A11*0.01</f>
        <v>0.1</v>
      </c>
      <c r="AI11" s="0" t="n">
        <f aca="false">MAX(L11:Q11)</f>
        <v>0</v>
      </c>
      <c r="AJ11" s="0" t="n">
        <f aca="false">R11*100000+AI11*1000+S11*10+A11*0.01</f>
        <v>0.1</v>
      </c>
      <c r="AK11" s="0" t="n">
        <f aca="false">MAX('Wk 13-18 Input'!C15,'Wk 13-18 Input'!C34,'Wk 13-18 Input'!C53,'Wk 13-18 Input'!C72,'Wk 13-18 Input'!C91,'Wk 13-18 Input'!C110)</f>
        <v>0</v>
      </c>
      <c r="AL11" s="0" t="n">
        <f aca="false">AA11*100000+AC11*1000+AK11*10+A11*0.01</f>
        <v>0.1</v>
      </c>
      <c r="AM11" s="0" t="n">
        <f aca="false">AE11*100000+(AG11+AI11+AK11)*100+A11*0.01</f>
        <v>0.1</v>
      </c>
      <c r="AN11" s="0" t="n">
        <f aca="false">COUNTIF('Playoff Picture'!$E$5:$E$10,B11)</f>
        <v>0</v>
      </c>
      <c r="AO11" s="0" t="n">
        <f aca="false">IF(AN11=0,AM11,0)</f>
        <v>0.1</v>
      </c>
    </row>
    <row r="12" customFormat="false" ht="15" hidden="false" customHeight="true" outlineLevel="0" collapsed="false">
      <c r="A12" s="0" t="n">
        <v>11</v>
      </c>
      <c r="B12" s="0" t="str">
        <f aca="false">VLOOKUP(A12,Roster!$A$3:$B$18,2,FALSE())</f>
        <v>Player 11</v>
      </c>
      <c r="C12" s="0" t="n">
        <f aca="false">'Wk 1-6 Input'!I16</f>
        <v>0</v>
      </c>
      <c r="D12" s="0" t="n">
        <f aca="false">'Wk 1-6 Input'!I35</f>
        <v>0</v>
      </c>
      <c r="E12" s="0" t="n">
        <f aca="false">'Wk 1-6 Input'!I54</f>
        <v>0</v>
      </c>
      <c r="F12" s="0" t="n">
        <f aca="false">'Wk 1-6 Input'!I73</f>
        <v>0</v>
      </c>
      <c r="G12" s="0" t="n">
        <f aca="false">'Wk 1-6 Input'!I92</f>
        <v>0</v>
      </c>
      <c r="H12" s="0" t="n">
        <f aca="false">'Wk 1-6 Input'!I111</f>
        <v>0</v>
      </c>
      <c r="I12" s="0" t="n">
        <f aca="false">SUM(C12:H12)</f>
        <v>0</v>
      </c>
      <c r="J12" s="0" t="n">
        <f aca="false">COUNTIF('Wk 1-6 Input'!F16,"W")+COUNTIF('Wk 1-6 Input'!F35,"W")+COUNTIF('Wk 1-6 Input'!F54,"W")+COUNTIF('Wk 1-6 Input'!F73,"W")+COUNTIF('Wk 1-6 Input'!F92,"W")+COUNTIF('Wk 1-6 Input'!F111,"W")</f>
        <v>0</v>
      </c>
      <c r="K12" s="0" t="n">
        <f aca="false">I12+A12*0.0001</f>
        <v>0.0011</v>
      </c>
      <c r="L12" s="0" t="n">
        <f aca="false">'Wk 7-12 Input'!I16</f>
        <v>0</v>
      </c>
      <c r="M12" s="0" t="n">
        <f aca="false">'Wk 7-12 Input'!I35</f>
        <v>0</v>
      </c>
      <c r="N12" s="0" t="n">
        <f aca="false">'Wk 7-12 Input'!I54</f>
        <v>0</v>
      </c>
      <c r="O12" s="0" t="n">
        <f aca="false">'Wk 7-12 Input'!I73</f>
        <v>0</v>
      </c>
      <c r="P12" s="0" t="n">
        <f aca="false">'Wk 7-12 Input'!I92</f>
        <v>0</v>
      </c>
      <c r="Q12" s="0" t="n">
        <f aca="false">'Wk 7-12 Input'!I111</f>
        <v>0</v>
      </c>
      <c r="R12" s="0" t="n">
        <f aca="false">SUM(L12:Q12)</f>
        <v>0</v>
      </c>
      <c r="S12" s="0" t="n">
        <f aca="false">COUNTIF('Wk 7-12 Input'!F16,"W")+COUNTIF('Wk 7-12 Input'!F35,"W")+COUNTIF('Wk 7-12 Input'!F54,"W")+COUNTIF('Wk 7-12 Input'!F73,"W")+COUNTIF('Wk 7-12 Input'!F92,"W")+COUNTIF('Wk 7-12 Input'!F111,"W")</f>
        <v>0</v>
      </c>
      <c r="T12" s="0" t="n">
        <f aca="false">R12+A12*0.0001</f>
        <v>0.0011</v>
      </c>
      <c r="U12" s="0" t="str">
        <f aca="false">'Wk 13-18 Input'!F16</f>
        <v>-</v>
      </c>
      <c r="V12" s="0" t="str">
        <f aca="false">'Wk 13-18 Input'!F35</f>
        <v>-</v>
      </c>
      <c r="W12" s="0" t="str">
        <f aca="false">'Wk 13-18 Input'!F54</f>
        <v>-</v>
      </c>
      <c r="X12" s="0" t="str">
        <f aca="false">'Wk 13-18 Input'!F73</f>
        <v>-</v>
      </c>
      <c r="Y12" s="0" t="str">
        <f aca="false">'Wk 13-18 Input'!F92</f>
        <v>-</v>
      </c>
      <c r="Z12" s="0" t="str">
        <f aca="false">'Wk 13-18 Input'!F111</f>
        <v>-</v>
      </c>
      <c r="AA12" s="0" t="n">
        <f aca="false">COUNTIF(U12:Z12,"W")+COUNTIF(U12:Z12,"T")*0.5</f>
        <v>0</v>
      </c>
      <c r="AB12" s="0" t="n">
        <f aca="false">COUNTIF(U12:Z12,"L")+COUNTIF(U12:Z12,"T")*0.5</f>
        <v>0</v>
      </c>
      <c r="AC12" s="0" t="n">
        <f aca="false">'Wk 13-18 Input'!I16+'Wk 13-18 Input'!I35+'Wk 13-18 Input'!I54+'Wk 13-18 Input'!I73+'Wk 13-18 Input'!I92+'Wk 13-18 Input'!I111</f>
        <v>0</v>
      </c>
      <c r="AD12" s="0" t="n">
        <f aca="false">AA12+A12*0.0001</f>
        <v>0.0011</v>
      </c>
      <c r="AE12" s="0" t="n">
        <f aca="false">I12+R12+AC12</f>
        <v>0</v>
      </c>
      <c r="AF12" s="0" t="n">
        <f aca="false">AE12+A12*0.0001</f>
        <v>0.0011</v>
      </c>
      <c r="AG12" s="0" t="n">
        <f aca="false">MAX(C12:H12)</f>
        <v>0</v>
      </c>
      <c r="AH12" s="0" t="n">
        <f aca="false">I12*100000+AG12*1000+J12*10+A12*0.01</f>
        <v>0.11</v>
      </c>
      <c r="AI12" s="0" t="n">
        <f aca="false">MAX(L12:Q12)</f>
        <v>0</v>
      </c>
      <c r="AJ12" s="0" t="n">
        <f aca="false">R12*100000+AI12*1000+S12*10+A12*0.01</f>
        <v>0.11</v>
      </c>
      <c r="AK12" s="0" t="n">
        <f aca="false">MAX('Wk 13-18 Input'!C16,'Wk 13-18 Input'!C35,'Wk 13-18 Input'!C54,'Wk 13-18 Input'!C73,'Wk 13-18 Input'!C92,'Wk 13-18 Input'!C111)</f>
        <v>0</v>
      </c>
      <c r="AL12" s="0" t="n">
        <f aca="false">AA12*100000+AC12*1000+AK12*10+A12*0.01</f>
        <v>0.11</v>
      </c>
      <c r="AM12" s="0" t="n">
        <f aca="false">AE12*100000+(AG12+AI12+AK12)*100+A12*0.01</f>
        <v>0.11</v>
      </c>
      <c r="AN12" s="0" t="n">
        <f aca="false">COUNTIF('Playoff Picture'!$E$5:$E$10,B12)</f>
        <v>0</v>
      </c>
      <c r="AO12" s="0" t="n">
        <f aca="false">IF(AN12=0,AM12,0)</f>
        <v>0.11</v>
      </c>
    </row>
    <row r="13" customFormat="false" ht="15" hidden="false" customHeight="true" outlineLevel="0" collapsed="false">
      <c r="A13" s="0" t="n">
        <v>12</v>
      </c>
      <c r="B13" s="0" t="str">
        <f aca="false">VLOOKUP(A13,Roster!$A$3:$B$18,2,FALSE())</f>
        <v>Player 12</v>
      </c>
      <c r="C13" s="0" t="n">
        <f aca="false">'Wk 1-6 Input'!I17</f>
        <v>0</v>
      </c>
      <c r="D13" s="0" t="n">
        <f aca="false">'Wk 1-6 Input'!I36</f>
        <v>0</v>
      </c>
      <c r="E13" s="0" t="n">
        <f aca="false">'Wk 1-6 Input'!I55</f>
        <v>0</v>
      </c>
      <c r="F13" s="0" t="n">
        <f aca="false">'Wk 1-6 Input'!I74</f>
        <v>0</v>
      </c>
      <c r="G13" s="0" t="n">
        <f aca="false">'Wk 1-6 Input'!I93</f>
        <v>0</v>
      </c>
      <c r="H13" s="0" t="n">
        <f aca="false">'Wk 1-6 Input'!I112</f>
        <v>0</v>
      </c>
      <c r="I13" s="0" t="n">
        <f aca="false">SUM(C13:H13)</f>
        <v>0</v>
      </c>
      <c r="J13" s="0" t="n">
        <f aca="false">COUNTIF('Wk 1-6 Input'!F17,"W")+COUNTIF('Wk 1-6 Input'!F36,"W")+COUNTIF('Wk 1-6 Input'!F55,"W")+COUNTIF('Wk 1-6 Input'!F74,"W")+COUNTIF('Wk 1-6 Input'!F93,"W")+COUNTIF('Wk 1-6 Input'!F112,"W")</f>
        <v>0</v>
      </c>
      <c r="K13" s="0" t="n">
        <f aca="false">I13+A13*0.0001</f>
        <v>0.0012</v>
      </c>
      <c r="L13" s="0" t="n">
        <f aca="false">'Wk 7-12 Input'!I17</f>
        <v>0</v>
      </c>
      <c r="M13" s="0" t="n">
        <f aca="false">'Wk 7-12 Input'!I36</f>
        <v>0</v>
      </c>
      <c r="N13" s="0" t="n">
        <f aca="false">'Wk 7-12 Input'!I55</f>
        <v>0</v>
      </c>
      <c r="O13" s="0" t="n">
        <f aca="false">'Wk 7-12 Input'!I74</f>
        <v>0</v>
      </c>
      <c r="P13" s="0" t="n">
        <f aca="false">'Wk 7-12 Input'!I93</f>
        <v>0</v>
      </c>
      <c r="Q13" s="0" t="n">
        <f aca="false">'Wk 7-12 Input'!I112</f>
        <v>0</v>
      </c>
      <c r="R13" s="0" t="n">
        <f aca="false">SUM(L13:Q13)</f>
        <v>0</v>
      </c>
      <c r="S13" s="0" t="n">
        <f aca="false">COUNTIF('Wk 7-12 Input'!F17,"W")+COUNTIF('Wk 7-12 Input'!F36,"W")+COUNTIF('Wk 7-12 Input'!F55,"W")+COUNTIF('Wk 7-12 Input'!F74,"W")+COUNTIF('Wk 7-12 Input'!F93,"W")+COUNTIF('Wk 7-12 Input'!F112,"W")</f>
        <v>0</v>
      </c>
      <c r="T13" s="0" t="n">
        <f aca="false">R13+A13*0.0001</f>
        <v>0.0012</v>
      </c>
      <c r="U13" s="0" t="str">
        <f aca="false">'Wk 13-18 Input'!F17</f>
        <v>-</v>
      </c>
      <c r="V13" s="0" t="str">
        <f aca="false">'Wk 13-18 Input'!F36</f>
        <v>-</v>
      </c>
      <c r="W13" s="0" t="str">
        <f aca="false">'Wk 13-18 Input'!F55</f>
        <v>-</v>
      </c>
      <c r="X13" s="0" t="str">
        <f aca="false">'Wk 13-18 Input'!F74</f>
        <v>-</v>
      </c>
      <c r="Y13" s="0" t="str">
        <f aca="false">'Wk 13-18 Input'!F93</f>
        <v>-</v>
      </c>
      <c r="Z13" s="0" t="str">
        <f aca="false">'Wk 13-18 Input'!F112</f>
        <v>-</v>
      </c>
      <c r="AA13" s="0" t="n">
        <f aca="false">COUNTIF(U13:Z13,"W")+COUNTIF(U13:Z13,"T")*0.5</f>
        <v>0</v>
      </c>
      <c r="AB13" s="0" t="n">
        <f aca="false">COUNTIF(U13:Z13,"L")+COUNTIF(U13:Z13,"T")*0.5</f>
        <v>0</v>
      </c>
      <c r="AC13" s="0" t="n">
        <f aca="false">'Wk 13-18 Input'!I17+'Wk 13-18 Input'!I36+'Wk 13-18 Input'!I55+'Wk 13-18 Input'!I74+'Wk 13-18 Input'!I93+'Wk 13-18 Input'!I112</f>
        <v>0</v>
      </c>
      <c r="AD13" s="0" t="n">
        <f aca="false">AA13+A13*0.0001</f>
        <v>0.0012</v>
      </c>
      <c r="AE13" s="0" t="n">
        <f aca="false">I13+R13+AC13</f>
        <v>0</v>
      </c>
      <c r="AF13" s="0" t="n">
        <f aca="false">AE13+A13*0.0001</f>
        <v>0.0012</v>
      </c>
      <c r="AG13" s="0" t="n">
        <f aca="false">MAX(C13:H13)</f>
        <v>0</v>
      </c>
      <c r="AH13" s="0" t="n">
        <f aca="false">I13*100000+AG13*1000+J13*10+A13*0.01</f>
        <v>0.12</v>
      </c>
      <c r="AI13" s="0" t="n">
        <f aca="false">MAX(L13:Q13)</f>
        <v>0</v>
      </c>
      <c r="AJ13" s="0" t="n">
        <f aca="false">R13*100000+AI13*1000+S13*10+A13*0.01</f>
        <v>0.12</v>
      </c>
      <c r="AK13" s="0" t="n">
        <f aca="false">MAX('Wk 13-18 Input'!C17,'Wk 13-18 Input'!C36,'Wk 13-18 Input'!C55,'Wk 13-18 Input'!C74,'Wk 13-18 Input'!C93,'Wk 13-18 Input'!C112)</f>
        <v>0</v>
      </c>
      <c r="AL13" s="0" t="n">
        <f aca="false">AA13*100000+AC13*1000+AK13*10+A13*0.01</f>
        <v>0.12</v>
      </c>
      <c r="AM13" s="0" t="n">
        <f aca="false">AE13*100000+(AG13+AI13+AK13)*100+A13*0.01</f>
        <v>0.12</v>
      </c>
      <c r="AN13" s="0" t="n">
        <f aca="false">COUNTIF('Playoff Picture'!$E$5:$E$10,B13)</f>
        <v>1</v>
      </c>
      <c r="AO13" s="0" t="n">
        <f aca="false">IF(AN13=0,AM13,0)</f>
        <v>0</v>
      </c>
    </row>
    <row r="14" customFormat="false" ht="15" hidden="false" customHeight="true" outlineLevel="0" collapsed="false">
      <c r="A14" s="0" t="n">
        <v>13</v>
      </c>
      <c r="B14" s="0" t="str">
        <f aca="false">VLOOKUP(A14,Roster!$A$3:$B$18,2,FALSE())</f>
        <v>Player 13</v>
      </c>
      <c r="C14" s="0" t="n">
        <f aca="false">'Wk 1-6 Input'!I18</f>
        <v>0</v>
      </c>
      <c r="D14" s="0" t="n">
        <f aca="false">'Wk 1-6 Input'!I37</f>
        <v>0</v>
      </c>
      <c r="E14" s="0" t="n">
        <f aca="false">'Wk 1-6 Input'!I56</f>
        <v>0</v>
      </c>
      <c r="F14" s="0" t="n">
        <f aca="false">'Wk 1-6 Input'!I75</f>
        <v>0</v>
      </c>
      <c r="G14" s="0" t="n">
        <f aca="false">'Wk 1-6 Input'!I94</f>
        <v>0</v>
      </c>
      <c r="H14" s="0" t="n">
        <f aca="false">'Wk 1-6 Input'!I113</f>
        <v>0</v>
      </c>
      <c r="I14" s="0" t="n">
        <f aca="false">SUM(C14:H14)</f>
        <v>0</v>
      </c>
      <c r="J14" s="0" t="n">
        <f aca="false">COUNTIF('Wk 1-6 Input'!F18,"W")+COUNTIF('Wk 1-6 Input'!F37,"W")+COUNTIF('Wk 1-6 Input'!F56,"W")+COUNTIF('Wk 1-6 Input'!F75,"W")+COUNTIF('Wk 1-6 Input'!F94,"W")+COUNTIF('Wk 1-6 Input'!F113,"W")</f>
        <v>0</v>
      </c>
      <c r="K14" s="0" t="n">
        <f aca="false">I14+A14*0.0001</f>
        <v>0.0013</v>
      </c>
      <c r="L14" s="0" t="n">
        <f aca="false">'Wk 7-12 Input'!I18</f>
        <v>0</v>
      </c>
      <c r="M14" s="0" t="n">
        <f aca="false">'Wk 7-12 Input'!I37</f>
        <v>0</v>
      </c>
      <c r="N14" s="0" t="n">
        <f aca="false">'Wk 7-12 Input'!I56</f>
        <v>0</v>
      </c>
      <c r="O14" s="0" t="n">
        <f aca="false">'Wk 7-12 Input'!I75</f>
        <v>0</v>
      </c>
      <c r="P14" s="0" t="n">
        <f aca="false">'Wk 7-12 Input'!I94</f>
        <v>0</v>
      </c>
      <c r="Q14" s="0" t="n">
        <f aca="false">'Wk 7-12 Input'!I113</f>
        <v>0</v>
      </c>
      <c r="R14" s="0" t="n">
        <f aca="false">SUM(L14:Q14)</f>
        <v>0</v>
      </c>
      <c r="S14" s="0" t="n">
        <f aca="false">COUNTIF('Wk 7-12 Input'!F18,"W")+COUNTIF('Wk 7-12 Input'!F37,"W")+COUNTIF('Wk 7-12 Input'!F56,"W")+COUNTIF('Wk 7-12 Input'!F75,"W")+COUNTIF('Wk 7-12 Input'!F94,"W")+COUNTIF('Wk 7-12 Input'!F113,"W")</f>
        <v>0</v>
      </c>
      <c r="T14" s="0" t="n">
        <f aca="false">R14+A14*0.0001</f>
        <v>0.0013</v>
      </c>
      <c r="U14" s="0" t="str">
        <f aca="false">'Wk 13-18 Input'!F18</f>
        <v>-</v>
      </c>
      <c r="V14" s="0" t="str">
        <f aca="false">'Wk 13-18 Input'!F37</f>
        <v>-</v>
      </c>
      <c r="W14" s="0" t="str">
        <f aca="false">'Wk 13-18 Input'!F56</f>
        <v>-</v>
      </c>
      <c r="X14" s="0" t="str">
        <f aca="false">'Wk 13-18 Input'!F75</f>
        <v>-</v>
      </c>
      <c r="Y14" s="0" t="str">
        <f aca="false">'Wk 13-18 Input'!F94</f>
        <v>-</v>
      </c>
      <c r="Z14" s="0" t="str">
        <f aca="false">'Wk 13-18 Input'!F113</f>
        <v>-</v>
      </c>
      <c r="AA14" s="0" t="n">
        <f aca="false">COUNTIF(U14:Z14,"W")+COUNTIF(U14:Z14,"T")*0.5</f>
        <v>0</v>
      </c>
      <c r="AB14" s="0" t="n">
        <f aca="false">COUNTIF(U14:Z14,"L")+COUNTIF(U14:Z14,"T")*0.5</f>
        <v>0</v>
      </c>
      <c r="AC14" s="0" t="n">
        <f aca="false">'Wk 13-18 Input'!I18+'Wk 13-18 Input'!I37+'Wk 13-18 Input'!I56+'Wk 13-18 Input'!I75+'Wk 13-18 Input'!I94+'Wk 13-18 Input'!I113</f>
        <v>0</v>
      </c>
      <c r="AD14" s="0" t="n">
        <f aca="false">AA14+A14*0.0001</f>
        <v>0.0013</v>
      </c>
      <c r="AE14" s="0" t="n">
        <f aca="false">I14+R14+AC14</f>
        <v>0</v>
      </c>
      <c r="AF14" s="0" t="n">
        <f aca="false">AE14+A14*0.0001</f>
        <v>0.0013</v>
      </c>
      <c r="AG14" s="0" t="n">
        <f aca="false">MAX(C14:H14)</f>
        <v>0</v>
      </c>
      <c r="AH14" s="0" t="n">
        <f aca="false">I14*100000+AG14*1000+J14*10+A14*0.01</f>
        <v>0.13</v>
      </c>
      <c r="AI14" s="0" t="n">
        <f aca="false">MAX(L14:Q14)</f>
        <v>0</v>
      </c>
      <c r="AJ14" s="0" t="n">
        <f aca="false">R14*100000+AI14*1000+S14*10+A14*0.01</f>
        <v>0.13</v>
      </c>
      <c r="AK14" s="0" t="n">
        <f aca="false">MAX('Wk 13-18 Input'!C18,'Wk 13-18 Input'!C37,'Wk 13-18 Input'!C56,'Wk 13-18 Input'!C75,'Wk 13-18 Input'!C94,'Wk 13-18 Input'!C113)</f>
        <v>0</v>
      </c>
      <c r="AL14" s="0" t="n">
        <f aca="false">AA14*100000+AC14*1000+AK14*10+A14*0.01</f>
        <v>0.13</v>
      </c>
      <c r="AM14" s="0" t="n">
        <f aca="false">AE14*100000+(AG14+AI14+AK14)*100+A14*0.01</f>
        <v>0.13</v>
      </c>
      <c r="AN14" s="0" t="n">
        <f aca="false">COUNTIF('Playoff Picture'!$E$5:$E$10,B14)</f>
        <v>0</v>
      </c>
      <c r="AO14" s="0" t="n">
        <f aca="false">IF(AN14=0,AM14,0)</f>
        <v>0.13</v>
      </c>
    </row>
    <row r="15" customFormat="false" ht="15" hidden="false" customHeight="true" outlineLevel="0" collapsed="false">
      <c r="A15" s="0" t="n">
        <v>14</v>
      </c>
      <c r="B15" s="0" t="str">
        <f aca="false">VLOOKUP(A15,Roster!$A$3:$B$18,2,FALSE())</f>
        <v>Player 14</v>
      </c>
      <c r="C15" s="0" t="n">
        <f aca="false">'Wk 1-6 Input'!I19</f>
        <v>0</v>
      </c>
      <c r="D15" s="0" t="n">
        <f aca="false">'Wk 1-6 Input'!I38</f>
        <v>0</v>
      </c>
      <c r="E15" s="0" t="n">
        <f aca="false">'Wk 1-6 Input'!I57</f>
        <v>0</v>
      </c>
      <c r="F15" s="0" t="n">
        <f aca="false">'Wk 1-6 Input'!I76</f>
        <v>0</v>
      </c>
      <c r="G15" s="0" t="n">
        <f aca="false">'Wk 1-6 Input'!I95</f>
        <v>0</v>
      </c>
      <c r="H15" s="0" t="n">
        <f aca="false">'Wk 1-6 Input'!I114</f>
        <v>0</v>
      </c>
      <c r="I15" s="0" t="n">
        <f aca="false">SUM(C15:H15)</f>
        <v>0</v>
      </c>
      <c r="J15" s="0" t="n">
        <f aca="false">COUNTIF('Wk 1-6 Input'!F19,"W")+COUNTIF('Wk 1-6 Input'!F38,"W")+COUNTIF('Wk 1-6 Input'!F57,"W")+COUNTIF('Wk 1-6 Input'!F76,"W")+COUNTIF('Wk 1-6 Input'!F95,"W")+COUNTIF('Wk 1-6 Input'!F114,"W")</f>
        <v>0</v>
      </c>
      <c r="K15" s="0" t="n">
        <f aca="false">I15+A15*0.0001</f>
        <v>0.0014</v>
      </c>
      <c r="L15" s="0" t="n">
        <f aca="false">'Wk 7-12 Input'!I19</f>
        <v>0</v>
      </c>
      <c r="M15" s="0" t="n">
        <f aca="false">'Wk 7-12 Input'!I38</f>
        <v>0</v>
      </c>
      <c r="N15" s="0" t="n">
        <f aca="false">'Wk 7-12 Input'!I57</f>
        <v>0</v>
      </c>
      <c r="O15" s="0" t="n">
        <f aca="false">'Wk 7-12 Input'!I76</f>
        <v>0</v>
      </c>
      <c r="P15" s="0" t="n">
        <f aca="false">'Wk 7-12 Input'!I95</f>
        <v>0</v>
      </c>
      <c r="Q15" s="0" t="n">
        <f aca="false">'Wk 7-12 Input'!I114</f>
        <v>0</v>
      </c>
      <c r="R15" s="0" t="n">
        <f aca="false">SUM(L15:Q15)</f>
        <v>0</v>
      </c>
      <c r="S15" s="0" t="n">
        <f aca="false">COUNTIF('Wk 7-12 Input'!F19,"W")+COUNTIF('Wk 7-12 Input'!F38,"W")+COUNTIF('Wk 7-12 Input'!F57,"W")+COUNTIF('Wk 7-12 Input'!F76,"W")+COUNTIF('Wk 7-12 Input'!F95,"W")+COUNTIF('Wk 7-12 Input'!F114,"W")</f>
        <v>0</v>
      </c>
      <c r="T15" s="0" t="n">
        <f aca="false">R15+A15*0.0001</f>
        <v>0.0014</v>
      </c>
      <c r="U15" s="0" t="str">
        <f aca="false">'Wk 13-18 Input'!F19</f>
        <v>-</v>
      </c>
      <c r="V15" s="0" t="str">
        <f aca="false">'Wk 13-18 Input'!F38</f>
        <v>-</v>
      </c>
      <c r="W15" s="0" t="str">
        <f aca="false">'Wk 13-18 Input'!F57</f>
        <v>-</v>
      </c>
      <c r="X15" s="0" t="str">
        <f aca="false">'Wk 13-18 Input'!F76</f>
        <v>-</v>
      </c>
      <c r="Y15" s="0" t="str">
        <f aca="false">'Wk 13-18 Input'!F95</f>
        <v>-</v>
      </c>
      <c r="Z15" s="0" t="str">
        <f aca="false">'Wk 13-18 Input'!F114</f>
        <v>-</v>
      </c>
      <c r="AA15" s="0" t="n">
        <f aca="false">COUNTIF(U15:Z15,"W")+COUNTIF(U15:Z15,"T")*0.5</f>
        <v>0</v>
      </c>
      <c r="AB15" s="0" t="n">
        <f aca="false">COUNTIF(U15:Z15,"L")+COUNTIF(U15:Z15,"T")*0.5</f>
        <v>0</v>
      </c>
      <c r="AC15" s="0" t="n">
        <f aca="false">'Wk 13-18 Input'!I19+'Wk 13-18 Input'!I38+'Wk 13-18 Input'!I57+'Wk 13-18 Input'!I76+'Wk 13-18 Input'!I95+'Wk 13-18 Input'!I114</f>
        <v>0</v>
      </c>
      <c r="AD15" s="0" t="n">
        <f aca="false">AA15+A15*0.0001</f>
        <v>0.0014</v>
      </c>
      <c r="AE15" s="0" t="n">
        <f aca="false">I15+R15+AC15</f>
        <v>0</v>
      </c>
      <c r="AF15" s="0" t="n">
        <f aca="false">AE15+A15*0.0001</f>
        <v>0.0014</v>
      </c>
      <c r="AG15" s="0" t="n">
        <f aca="false">MAX(C15:H15)</f>
        <v>0</v>
      </c>
      <c r="AH15" s="0" t="n">
        <f aca="false">I15*100000+AG15*1000+J15*10+A15*0.01</f>
        <v>0.14</v>
      </c>
      <c r="AI15" s="0" t="n">
        <f aca="false">MAX(L15:Q15)</f>
        <v>0</v>
      </c>
      <c r="AJ15" s="0" t="n">
        <f aca="false">R15*100000+AI15*1000+S15*10+A15*0.01</f>
        <v>0.14</v>
      </c>
      <c r="AK15" s="0" t="n">
        <f aca="false">MAX('Wk 13-18 Input'!C19,'Wk 13-18 Input'!C38,'Wk 13-18 Input'!C57,'Wk 13-18 Input'!C76,'Wk 13-18 Input'!C95,'Wk 13-18 Input'!C114)</f>
        <v>0</v>
      </c>
      <c r="AL15" s="0" t="n">
        <f aca="false">AA15*100000+AC15*1000+AK15*10+A15*0.01</f>
        <v>0.14</v>
      </c>
      <c r="AM15" s="0" t="n">
        <f aca="false">AE15*100000+(AG15+AI15+AK15)*100+A15*0.01</f>
        <v>0.14</v>
      </c>
      <c r="AN15" s="0" t="n">
        <f aca="false">COUNTIF('Playoff Picture'!$E$5:$E$10,B15)</f>
        <v>0</v>
      </c>
      <c r="AO15" s="0" t="n">
        <f aca="false">IF(AN15=0,AM15,0)</f>
        <v>0.14</v>
      </c>
    </row>
    <row r="16" customFormat="false" ht="15" hidden="false" customHeight="true" outlineLevel="0" collapsed="false">
      <c r="A16" s="0" t="n">
        <v>15</v>
      </c>
      <c r="B16" s="0" t="str">
        <f aca="false">VLOOKUP(A16,Roster!$A$3:$B$18,2,FALSE())</f>
        <v>Player 15</v>
      </c>
      <c r="C16" s="0" t="n">
        <f aca="false">'Wk 1-6 Input'!I20</f>
        <v>0</v>
      </c>
      <c r="D16" s="0" t="n">
        <f aca="false">'Wk 1-6 Input'!I39</f>
        <v>0</v>
      </c>
      <c r="E16" s="0" t="n">
        <f aca="false">'Wk 1-6 Input'!I58</f>
        <v>0</v>
      </c>
      <c r="F16" s="0" t="n">
        <f aca="false">'Wk 1-6 Input'!I77</f>
        <v>0</v>
      </c>
      <c r="G16" s="0" t="n">
        <f aca="false">'Wk 1-6 Input'!I96</f>
        <v>0</v>
      </c>
      <c r="H16" s="0" t="n">
        <f aca="false">'Wk 1-6 Input'!I115</f>
        <v>0</v>
      </c>
      <c r="I16" s="0" t="n">
        <f aca="false">SUM(C16:H16)</f>
        <v>0</v>
      </c>
      <c r="J16" s="0" t="n">
        <f aca="false">COUNTIF('Wk 1-6 Input'!F20,"W")+COUNTIF('Wk 1-6 Input'!F39,"W")+COUNTIF('Wk 1-6 Input'!F58,"W")+COUNTIF('Wk 1-6 Input'!F77,"W")+COUNTIF('Wk 1-6 Input'!F96,"W")+COUNTIF('Wk 1-6 Input'!F115,"W")</f>
        <v>0</v>
      </c>
      <c r="K16" s="0" t="n">
        <f aca="false">I16+A16*0.0001</f>
        <v>0.0015</v>
      </c>
      <c r="L16" s="0" t="n">
        <f aca="false">'Wk 7-12 Input'!I20</f>
        <v>0</v>
      </c>
      <c r="M16" s="0" t="n">
        <f aca="false">'Wk 7-12 Input'!I39</f>
        <v>0</v>
      </c>
      <c r="N16" s="0" t="n">
        <f aca="false">'Wk 7-12 Input'!I58</f>
        <v>0</v>
      </c>
      <c r="O16" s="0" t="n">
        <f aca="false">'Wk 7-12 Input'!I77</f>
        <v>0</v>
      </c>
      <c r="P16" s="0" t="n">
        <f aca="false">'Wk 7-12 Input'!I96</f>
        <v>0</v>
      </c>
      <c r="Q16" s="0" t="n">
        <f aca="false">'Wk 7-12 Input'!I115</f>
        <v>0</v>
      </c>
      <c r="R16" s="0" t="n">
        <f aca="false">SUM(L16:Q16)</f>
        <v>0</v>
      </c>
      <c r="S16" s="0" t="n">
        <f aca="false">COUNTIF('Wk 7-12 Input'!F20,"W")+COUNTIF('Wk 7-12 Input'!F39,"W")+COUNTIF('Wk 7-12 Input'!F58,"W")+COUNTIF('Wk 7-12 Input'!F77,"W")+COUNTIF('Wk 7-12 Input'!F96,"W")+COUNTIF('Wk 7-12 Input'!F115,"W")</f>
        <v>0</v>
      </c>
      <c r="T16" s="0" t="n">
        <f aca="false">R16+A16*0.0001</f>
        <v>0.0015</v>
      </c>
      <c r="U16" s="0" t="str">
        <f aca="false">'Wk 13-18 Input'!F20</f>
        <v>-</v>
      </c>
      <c r="V16" s="0" t="str">
        <f aca="false">'Wk 13-18 Input'!F39</f>
        <v>-</v>
      </c>
      <c r="W16" s="0" t="str">
        <f aca="false">'Wk 13-18 Input'!F58</f>
        <v>-</v>
      </c>
      <c r="X16" s="0" t="str">
        <f aca="false">'Wk 13-18 Input'!F77</f>
        <v>-</v>
      </c>
      <c r="Y16" s="0" t="str">
        <f aca="false">'Wk 13-18 Input'!F96</f>
        <v>-</v>
      </c>
      <c r="Z16" s="0" t="str">
        <f aca="false">'Wk 13-18 Input'!F115</f>
        <v>-</v>
      </c>
      <c r="AA16" s="0" t="n">
        <f aca="false">COUNTIF(U16:Z16,"W")+COUNTIF(U16:Z16,"T")*0.5</f>
        <v>0</v>
      </c>
      <c r="AB16" s="0" t="n">
        <f aca="false">COUNTIF(U16:Z16,"L")+COUNTIF(U16:Z16,"T")*0.5</f>
        <v>0</v>
      </c>
      <c r="AC16" s="0" t="n">
        <f aca="false">'Wk 13-18 Input'!I20+'Wk 13-18 Input'!I39+'Wk 13-18 Input'!I58+'Wk 13-18 Input'!I77+'Wk 13-18 Input'!I96+'Wk 13-18 Input'!I115</f>
        <v>0</v>
      </c>
      <c r="AD16" s="0" t="n">
        <f aca="false">AA16+A16*0.0001</f>
        <v>0.0015</v>
      </c>
      <c r="AE16" s="0" t="n">
        <f aca="false">I16+R16+AC16</f>
        <v>0</v>
      </c>
      <c r="AF16" s="0" t="n">
        <f aca="false">AE16+A16*0.0001</f>
        <v>0.0015</v>
      </c>
      <c r="AG16" s="0" t="n">
        <f aca="false">MAX(C16:H16)</f>
        <v>0</v>
      </c>
      <c r="AH16" s="0" t="n">
        <f aca="false">I16*100000+AG16*1000+J16*10+A16*0.01</f>
        <v>0.15</v>
      </c>
      <c r="AI16" s="0" t="n">
        <f aca="false">MAX(L16:Q16)</f>
        <v>0</v>
      </c>
      <c r="AJ16" s="0" t="n">
        <f aca="false">R16*100000+AI16*1000+S16*10+A16*0.01</f>
        <v>0.15</v>
      </c>
      <c r="AK16" s="0" t="n">
        <f aca="false">MAX('Wk 13-18 Input'!C20,'Wk 13-18 Input'!C39,'Wk 13-18 Input'!C58,'Wk 13-18 Input'!C77,'Wk 13-18 Input'!C96,'Wk 13-18 Input'!C115)</f>
        <v>0</v>
      </c>
      <c r="AL16" s="0" t="n">
        <f aca="false">AA16*100000+AC16*1000+AK16*10+A16*0.01</f>
        <v>0.15</v>
      </c>
      <c r="AM16" s="0" t="n">
        <f aca="false">AE16*100000+(AG16+AI16+AK16)*100+A16*0.01</f>
        <v>0.15</v>
      </c>
      <c r="AN16" s="0" t="n">
        <f aca="false">COUNTIF('Playoff Picture'!$E$5:$E$10,B16)</f>
        <v>1</v>
      </c>
      <c r="AO16" s="0" t="n">
        <f aca="false">IF(AN16=0,AM16,0)</f>
        <v>0</v>
      </c>
    </row>
    <row r="17" customFormat="false" ht="15" hidden="false" customHeight="true" outlineLevel="0" collapsed="false">
      <c r="A17" s="0" t="n">
        <v>16</v>
      </c>
      <c r="B17" s="0" t="str">
        <f aca="false">VLOOKUP(A17,Roster!$A$3:$B$18,2,FALSE())</f>
        <v>Player 16</v>
      </c>
      <c r="C17" s="0" t="n">
        <f aca="false">'Wk 1-6 Input'!I21</f>
        <v>0</v>
      </c>
      <c r="D17" s="0" t="n">
        <f aca="false">'Wk 1-6 Input'!I40</f>
        <v>0</v>
      </c>
      <c r="E17" s="0" t="n">
        <f aca="false">'Wk 1-6 Input'!I59</f>
        <v>0</v>
      </c>
      <c r="F17" s="0" t="n">
        <f aca="false">'Wk 1-6 Input'!I78</f>
        <v>0</v>
      </c>
      <c r="G17" s="0" t="n">
        <f aca="false">'Wk 1-6 Input'!I97</f>
        <v>0</v>
      </c>
      <c r="H17" s="0" t="n">
        <f aca="false">'Wk 1-6 Input'!I116</f>
        <v>0</v>
      </c>
      <c r="I17" s="0" t="n">
        <f aca="false">SUM(C17:H17)</f>
        <v>0</v>
      </c>
      <c r="J17" s="0" t="n">
        <f aca="false">COUNTIF('Wk 1-6 Input'!F21,"W")+COUNTIF('Wk 1-6 Input'!F40,"W")+COUNTIF('Wk 1-6 Input'!F59,"W")+COUNTIF('Wk 1-6 Input'!F78,"W")+COUNTIF('Wk 1-6 Input'!F97,"W")+COUNTIF('Wk 1-6 Input'!F116,"W")</f>
        <v>0</v>
      </c>
      <c r="K17" s="0" t="n">
        <f aca="false">I17+A17*0.0001</f>
        <v>0.0016</v>
      </c>
      <c r="L17" s="0" t="n">
        <f aca="false">'Wk 7-12 Input'!I21</f>
        <v>0</v>
      </c>
      <c r="M17" s="0" t="n">
        <f aca="false">'Wk 7-12 Input'!I40</f>
        <v>0</v>
      </c>
      <c r="N17" s="0" t="n">
        <f aca="false">'Wk 7-12 Input'!I59</f>
        <v>0</v>
      </c>
      <c r="O17" s="0" t="n">
        <f aca="false">'Wk 7-12 Input'!I78</f>
        <v>0</v>
      </c>
      <c r="P17" s="0" t="n">
        <f aca="false">'Wk 7-12 Input'!I97</f>
        <v>0</v>
      </c>
      <c r="Q17" s="0" t="n">
        <f aca="false">'Wk 7-12 Input'!I116</f>
        <v>0</v>
      </c>
      <c r="R17" s="0" t="n">
        <f aca="false">SUM(L17:Q17)</f>
        <v>0</v>
      </c>
      <c r="S17" s="0" t="n">
        <f aca="false">COUNTIF('Wk 7-12 Input'!F21,"W")+COUNTIF('Wk 7-12 Input'!F40,"W")+COUNTIF('Wk 7-12 Input'!F59,"W")+COUNTIF('Wk 7-12 Input'!F78,"W")+COUNTIF('Wk 7-12 Input'!F97,"W")+COUNTIF('Wk 7-12 Input'!F116,"W")</f>
        <v>0</v>
      </c>
      <c r="T17" s="0" t="n">
        <f aca="false">R17+A17*0.0001</f>
        <v>0.0016</v>
      </c>
      <c r="U17" s="0" t="str">
        <f aca="false">'Wk 13-18 Input'!F21</f>
        <v>-</v>
      </c>
      <c r="V17" s="0" t="str">
        <f aca="false">'Wk 13-18 Input'!F40</f>
        <v>-</v>
      </c>
      <c r="W17" s="0" t="str">
        <f aca="false">'Wk 13-18 Input'!F59</f>
        <v>-</v>
      </c>
      <c r="X17" s="0" t="str">
        <f aca="false">'Wk 13-18 Input'!F78</f>
        <v>-</v>
      </c>
      <c r="Y17" s="0" t="str">
        <f aca="false">'Wk 13-18 Input'!F97</f>
        <v>-</v>
      </c>
      <c r="Z17" s="0" t="str">
        <f aca="false">'Wk 13-18 Input'!F116</f>
        <v>-</v>
      </c>
      <c r="AA17" s="0" t="n">
        <f aca="false">COUNTIF(U17:Z17,"W")+COUNTIF(U17:Z17,"T")*0.5</f>
        <v>0</v>
      </c>
      <c r="AB17" s="0" t="n">
        <f aca="false">COUNTIF(U17:Z17,"L")+COUNTIF(U17:Z17,"T")*0.5</f>
        <v>0</v>
      </c>
      <c r="AC17" s="0" t="n">
        <f aca="false">'Wk 13-18 Input'!I21+'Wk 13-18 Input'!I40+'Wk 13-18 Input'!I59+'Wk 13-18 Input'!I78+'Wk 13-18 Input'!I97+'Wk 13-18 Input'!I116</f>
        <v>0</v>
      </c>
      <c r="AD17" s="0" t="n">
        <f aca="false">AA17+A17*0.0001</f>
        <v>0.0016</v>
      </c>
      <c r="AE17" s="0" t="n">
        <f aca="false">I17+R17+AC17</f>
        <v>0</v>
      </c>
      <c r="AF17" s="0" t="n">
        <f aca="false">AE17+A17*0.0001</f>
        <v>0.0016</v>
      </c>
      <c r="AG17" s="0" t="n">
        <f aca="false">MAX(C17:H17)</f>
        <v>0</v>
      </c>
      <c r="AH17" s="0" t="n">
        <f aca="false">I17*100000+AG17*1000+J17*10+A17*0.01</f>
        <v>0.16</v>
      </c>
      <c r="AI17" s="0" t="n">
        <f aca="false">MAX(L17:Q17)</f>
        <v>0</v>
      </c>
      <c r="AJ17" s="0" t="n">
        <f aca="false">R17*100000+AI17*1000+S17*10+A17*0.01</f>
        <v>0.16</v>
      </c>
      <c r="AK17" s="0" t="n">
        <f aca="false">MAX('Wk 13-18 Input'!C21,'Wk 13-18 Input'!C40,'Wk 13-18 Input'!C59,'Wk 13-18 Input'!C78,'Wk 13-18 Input'!C97,'Wk 13-18 Input'!C116)</f>
        <v>0</v>
      </c>
      <c r="AL17" s="0" t="n">
        <f aca="false">AA17*100000+AC17*1000+AK17*10+A17*0.01</f>
        <v>0.16</v>
      </c>
      <c r="AM17" s="0" t="n">
        <f aca="false">AE17*100000+(AG17+AI17+AK17)*100+A17*0.01</f>
        <v>0.16</v>
      </c>
      <c r="AN17" s="0" t="n">
        <f aca="false">COUNTIF('Playoff Picture'!$E$5:$E$10,B17)</f>
        <v>1</v>
      </c>
      <c r="AO17" s="0" t="n">
        <f aca="false">IF(AN17=0,AM17,0)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2026-08-06T20:10:47Z</dcterms:created>
  <dc:creator>openpyxl</dc:creator>
  <dc:description/>
  <dc:language>en-US</dc:language>
  <cp:lastModifiedBy>Evan Loeser</cp:lastModifiedBy>
  <dcterms:modified xsi:type="dcterms:W3CDTF">2026-08-13T21:19:56Z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