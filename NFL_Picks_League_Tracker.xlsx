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42f043149d7619d/Documents/Football/Pick 'Ems/NFL-Picks-League/"/>
    </mc:Choice>
  </mc:AlternateContent>
  <xr:revisionPtr revIDLastSave="5" documentId="13_ncr:1_{9DE1E4DF-9D2F-41C3-82DE-6EA75B0925C9}" xr6:coauthVersionLast="47" xr6:coauthVersionMax="47" xr10:uidLastSave="{33A07085-08BC-419C-BFB0-2E79FB4E6512}"/>
  <bookViews>
    <workbookView xWindow="29400" yWindow="-120" windowWidth="28320" windowHeight="16440" tabRatio="500" activeTab="5" xr2:uid="{00000000-000D-0000-FFFF-FFFF00000000}"/>
  </bookViews>
  <sheets>
    <sheet name="Roster" sheetId="1" r:id="rId1"/>
    <sheet name="Schedule" sheetId="2" r:id="rId2"/>
    <sheet name="Picks Detail" sheetId="3" r:id="rId3"/>
    <sheet name="NFL Schedule" sheetId="4" r:id="rId4"/>
    <sheet name="Wk 1-6 Input" sheetId="5" r:id="rId5"/>
    <sheet name="Wk 7-12 Input" sheetId="6" r:id="rId6"/>
    <sheet name="Wk 13-18 Input" sheetId="7" r:id="rId7"/>
    <sheet name="Standings" sheetId="8" r:id="rId8"/>
    <sheet name="Playoff Picture" sheetId="9" r:id="rId9"/>
    <sheet name="Playoff Wild Card" sheetId="10" r:id="rId10"/>
    <sheet name="Playoff Finals" sheetId="11" r:id="rId11"/>
    <sheet name="Updates" sheetId="12" r:id="rId12"/>
    <sheet name="Helper" sheetId="13" state="hidden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4" i="4" l="1"/>
  <c r="AC13" i="13"/>
  <c r="AB13" i="13"/>
  <c r="J51" i="8" s="1"/>
  <c r="AA13" i="13"/>
  <c r="Z13" i="13"/>
  <c r="H51" i="8" s="1"/>
  <c r="Y13" i="13"/>
  <c r="G51" i="8" s="1"/>
  <c r="X13" i="13"/>
  <c r="F51" i="8" s="1"/>
  <c r="W13" i="13"/>
  <c r="E51" i="8" s="1"/>
  <c r="V13" i="13"/>
  <c r="D51" i="8" s="1"/>
  <c r="U13" i="13"/>
  <c r="C51" i="8" s="1"/>
  <c r="Q13" i="13"/>
  <c r="P13" i="13"/>
  <c r="O13" i="13"/>
  <c r="N13" i="13"/>
  <c r="M13" i="13"/>
  <c r="B13" i="13"/>
  <c r="AC12" i="13"/>
  <c r="AB12" i="13"/>
  <c r="J50" i="8" s="1"/>
  <c r="AA12" i="13"/>
  <c r="Z12" i="13"/>
  <c r="H50" i="8" s="1"/>
  <c r="Y12" i="13"/>
  <c r="G50" i="8" s="1"/>
  <c r="X12" i="13"/>
  <c r="F50" i="8" s="1"/>
  <c r="W12" i="13"/>
  <c r="E50" i="8" s="1"/>
  <c r="V12" i="13"/>
  <c r="D50" i="8" s="1"/>
  <c r="U12" i="13"/>
  <c r="C50" i="8" s="1"/>
  <c r="Q12" i="13"/>
  <c r="P12" i="13"/>
  <c r="O12" i="13"/>
  <c r="N12" i="13"/>
  <c r="M12" i="13"/>
  <c r="B12" i="13"/>
  <c r="AC11" i="13"/>
  <c r="AB11" i="13"/>
  <c r="J49" i="8" s="1"/>
  <c r="AA11" i="13"/>
  <c r="Z11" i="13"/>
  <c r="H49" i="8" s="1"/>
  <c r="Y11" i="13"/>
  <c r="G49" i="8" s="1"/>
  <c r="X11" i="13"/>
  <c r="F49" i="8" s="1"/>
  <c r="W11" i="13"/>
  <c r="E49" i="8" s="1"/>
  <c r="V11" i="13"/>
  <c r="D49" i="8" s="1"/>
  <c r="U11" i="13"/>
  <c r="C49" i="8" s="1"/>
  <c r="Q11" i="13"/>
  <c r="P11" i="13"/>
  <c r="O11" i="13"/>
  <c r="N11" i="13"/>
  <c r="M11" i="13"/>
  <c r="B11" i="13"/>
  <c r="AC10" i="13"/>
  <c r="AB10" i="13"/>
  <c r="J48" i="8" s="1"/>
  <c r="AA10" i="13"/>
  <c r="Z10" i="13"/>
  <c r="H48" i="8" s="1"/>
  <c r="Y10" i="13"/>
  <c r="G48" i="8" s="1"/>
  <c r="X10" i="13"/>
  <c r="F48" i="8" s="1"/>
  <c r="W10" i="13"/>
  <c r="E48" i="8" s="1"/>
  <c r="V10" i="13"/>
  <c r="D48" i="8" s="1"/>
  <c r="U10" i="13"/>
  <c r="C48" i="8" s="1"/>
  <c r="Q10" i="13"/>
  <c r="P10" i="13"/>
  <c r="O10" i="13"/>
  <c r="N10" i="13"/>
  <c r="M10" i="13"/>
  <c r="B10" i="13"/>
  <c r="AC9" i="13"/>
  <c r="AB9" i="13"/>
  <c r="J44" i="8" s="1"/>
  <c r="AA9" i="13"/>
  <c r="Z9" i="13"/>
  <c r="H44" i="8" s="1"/>
  <c r="Y9" i="13"/>
  <c r="G44" i="8" s="1"/>
  <c r="X9" i="13"/>
  <c r="F44" i="8" s="1"/>
  <c r="W9" i="13"/>
  <c r="E44" i="8" s="1"/>
  <c r="V9" i="13"/>
  <c r="D44" i="8" s="1"/>
  <c r="U9" i="13"/>
  <c r="C44" i="8" s="1"/>
  <c r="Q9" i="13"/>
  <c r="P9" i="13"/>
  <c r="O9" i="13"/>
  <c r="N9" i="13"/>
  <c r="M9" i="13"/>
  <c r="B9" i="13"/>
  <c r="AC8" i="13"/>
  <c r="AB8" i="13"/>
  <c r="J43" i="8" s="1"/>
  <c r="AA8" i="13"/>
  <c r="Z8" i="13"/>
  <c r="H43" i="8" s="1"/>
  <c r="Y8" i="13"/>
  <c r="G43" i="8" s="1"/>
  <c r="X8" i="13"/>
  <c r="F43" i="8" s="1"/>
  <c r="W8" i="13"/>
  <c r="E43" i="8" s="1"/>
  <c r="V8" i="13"/>
  <c r="D43" i="8" s="1"/>
  <c r="U8" i="13"/>
  <c r="C43" i="8" s="1"/>
  <c r="Q8" i="13"/>
  <c r="P8" i="13"/>
  <c r="O8" i="13"/>
  <c r="N8" i="13"/>
  <c r="M8" i="13"/>
  <c r="B8" i="13"/>
  <c r="AC7" i="13"/>
  <c r="AB7" i="13"/>
  <c r="J42" i="8" s="1"/>
  <c r="AA7" i="13"/>
  <c r="Z7" i="13"/>
  <c r="H42" i="8" s="1"/>
  <c r="Y7" i="13"/>
  <c r="G42" i="8" s="1"/>
  <c r="X7" i="13"/>
  <c r="F42" i="8" s="1"/>
  <c r="W7" i="13"/>
  <c r="E42" i="8" s="1"/>
  <c r="V7" i="13"/>
  <c r="D42" i="8" s="1"/>
  <c r="U7" i="13"/>
  <c r="C42" i="8" s="1"/>
  <c r="Q7" i="13"/>
  <c r="P7" i="13"/>
  <c r="O7" i="13"/>
  <c r="N7" i="13"/>
  <c r="M7" i="13"/>
  <c r="B7" i="13"/>
  <c r="AC6" i="13"/>
  <c r="AB6" i="13"/>
  <c r="J41" i="8" s="1"/>
  <c r="AA6" i="13"/>
  <c r="Z6" i="13"/>
  <c r="H41" i="8" s="1"/>
  <c r="Y6" i="13"/>
  <c r="G41" i="8" s="1"/>
  <c r="X6" i="13"/>
  <c r="F41" i="8" s="1"/>
  <c r="W6" i="13"/>
  <c r="E41" i="8" s="1"/>
  <c r="V6" i="13"/>
  <c r="D41" i="8" s="1"/>
  <c r="U6" i="13"/>
  <c r="C41" i="8" s="1"/>
  <c r="Q6" i="13"/>
  <c r="H22" i="8" s="1"/>
  <c r="P6" i="13"/>
  <c r="G22" i="8" s="1"/>
  <c r="O6" i="13"/>
  <c r="F22" i="8" s="1"/>
  <c r="N6" i="13"/>
  <c r="E22" i="8" s="1"/>
  <c r="M6" i="13"/>
  <c r="D22" i="8" s="1"/>
  <c r="B6" i="13"/>
  <c r="AC5" i="13"/>
  <c r="AB5" i="13"/>
  <c r="J37" i="8" s="1"/>
  <c r="AA5" i="13"/>
  <c r="Z5" i="13"/>
  <c r="H37" i="8" s="1"/>
  <c r="Y5" i="13"/>
  <c r="G37" i="8" s="1"/>
  <c r="X5" i="13"/>
  <c r="F37" i="8" s="1"/>
  <c r="W5" i="13"/>
  <c r="E37" i="8" s="1"/>
  <c r="V5" i="13"/>
  <c r="D37" i="8" s="1"/>
  <c r="U5" i="13"/>
  <c r="C37" i="8" s="1"/>
  <c r="Q5" i="13"/>
  <c r="H21" i="8" s="1"/>
  <c r="P5" i="13"/>
  <c r="G21" i="8" s="1"/>
  <c r="O5" i="13"/>
  <c r="F21" i="8" s="1"/>
  <c r="N5" i="13"/>
  <c r="E21" i="8" s="1"/>
  <c r="M5" i="13"/>
  <c r="D21" i="8" s="1"/>
  <c r="B5" i="13"/>
  <c r="AC4" i="13"/>
  <c r="AB4" i="13"/>
  <c r="J36" i="8" s="1"/>
  <c r="AA4" i="13"/>
  <c r="Z4" i="13"/>
  <c r="H36" i="8" s="1"/>
  <c r="Y4" i="13"/>
  <c r="G36" i="8" s="1"/>
  <c r="X4" i="13"/>
  <c r="F36" i="8" s="1"/>
  <c r="W4" i="13"/>
  <c r="E36" i="8" s="1"/>
  <c r="V4" i="13"/>
  <c r="D36" i="8" s="1"/>
  <c r="U4" i="13"/>
  <c r="C36" i="8" s="1"/>
  <c r="Q4" i="13"/>
  <c r="H20" i="8" s="1"/>
  <c r="P4" i="13"/>
  <c r="G20" i="8" s="1"/>
  <c r="O4" i="13"/>
  <c r="F20" i="8" s="1"/>
  <c r="N4" i="13"/>
  <c r="E20" i="8" s="1"/>
  <c r="M4" i="13"/>
  <c r="D20" i="8" s="1"/>
  <c r="B4" i="13"/>
  <c r="AC3" i="13"/>
  <c r="E58" i="8" s="1"/>
  <c r="AB3" i="13"/>
  <c r="AA3" i="13"/>
  <c r="AD3" i="13" s="1"/>
  <c r="Z3" i="13"/>
  <c r="Y3" i="13"/>
  <c r="X3" i="13"/>
  <c r="W3" i="13"/>
  <c r="V3" i="13"/>
  <c r="U3" i="13"/>
  <c r="Q3" i="13"/>
  <c r="P3" i="13"/>
  <c r="O3" i="13"/>
  <c r="N3" i="13"/>
  <c r="M3" i="13"/>
  <c r="B3" i="13"/>
  <c r="AC2" i="13"/>
  <c r="AB2" i="13"/>
  <c r="J34" i="8" s="1"/>
  <c r="AA2" i="13"/>
  <c r="Z2" i="13"/>
  <c r="H34" i="8" s="1"/>
  <c r="Y2" i="13"/>
  <c r="G34" i="8" s="1"/>
  <c r="X2" i="13"/>
  <c r="F34" i="8" s="1"/>
  <c r="W2" i="13"/>
  <c r="E34" i="8" s="1"/>
  <c r="V2" i="13"/>
  <c r="D34" i="8" s="1"/>
  <c r="U2" i="13"/>
  <c r="C34" i="8" s="1"/>
  <c r="Q2" i="13"/>
  <c r="H18" i="8" s="1"/>
  <c r="P2" i="13"/>
  <c r="G18" i="8" s="1"/>
  <c r="O2" i="13"/>
  <c r="F18" i="8" s="1"/>
  <c r="N2" i="13"/>
  <c r="E18" i="8" s="1"/>
  <c r="M2" i="13"/>
  <c r="D18" i="8" s="1"/>
  <c r="B2" i="13"/>
  <c r="D25" i="11"/>
  <c r="D24" i="11"/>
  <c r="D23" i="11"/>
  <c r="D22" i="11"/>
  <c r="H9" i="11"/>
  <c r="F9" i="11"/>
  <c r="D9" i="11"/>
  <c r="H8" i="11"/>
  <c r="F8" i="11"/>
  <c r="D8" i="11"/>
  <c r="H7" i="11"/>
  <c r="F7" i="11"/>
  <c r="D7" i="11"/>
  <c r="H6" i="11"/>
  <c r="F6" i="11"/>
  <c r="D6" i="11"/>
  <c r="E19" i="10"/>
  <c r="E18" i="10"/>
  <c r="E17" i="10"/>
  <c r="E16" i="10"/>
  <c r="E15" i="10"/>
  <c r="E14" i="10"/>
  <c r="D10" i="10"/>
  <c r="H10" i="10" s="1"/>
  <c r="D9" i="10"/>
  <c r="H9" i="10" s="1"/>
  <c r="D8" i="10"/>
  <c r="H8" i="10" s="1"/>
  <c r="D7" i="10"/>
  <c r="H7" i="10" s="1"/>
  <c r="D6" i="10"/>
  <c r="H6" i="10" s="1"/>
  <c r="D5" i="10"/>
  <c r="H5" i="10" s="1"/>
  <c r="H51" i="9"/>
  <c r="H50" i="9"/>
  <c r="H49" i="9"/>
  <c r="H48" i="9"/>
  <c r="H47" i="9"/>
  <c r="H46" i="9"/>
  <c r="H45" i="9"/>
  <c r="H44" i="9"/>
  <c r="H43" i="9"/>
  <c r="H42" i="9"/>
  <c r="H41" i="9"/>
  <c r="H40" i="9"/>
  <c r="E37" i="9"/>
  <c r="D37" i="9"/>
  <c r="B37" i="9"/>
  <c r="E36" i="9"/>
  <c r="D36" i="9"/>
  <c r="B36" i="9"/>
  <c r="E35" i="9"/>
  <c r="D35" i="9"/>
  <c r="B35" i="9"/>
  <c r="E34" i="9"/>
  <c r="D34" i="9"/>
  <c r="B34" i="9"/>
  <c r="E33" i="9"/>
  <c r="D33" i="9"/>
  <c r="B33" i="9"/>
  <c r="E32" i="9"/>
  <c r="D32" i="9"/>
  <c r="B32" i="9"/>
  <c r="E31" i="9"/>
  <c r="D31" i="9"/>
  <c r="B31" i="9"/>
  <c r="E30" i="9"/>
  <c r="D30" i="9"/>
  <c r="B30" i="9"/>
  <c r="E29" i="9"/>
  <c r="D29" i="9"/>
  <c r="B29" i="9"/>
  <c r="E28" i="9"/>
  <c r="D28" i="9"/>
  <c r="B28" i="9"/>
  <c r="E27" i="9"/>
  <c r="D27" i="9"/>
  <c r="B27" i="9"/>
  <c r="E26" i="9"/>
  <c r="D26" i="9"/>
  <c r="D38" i="9" s="1"/>
  <c r="B26" i="9"/>
  <c r="C22" i="9"/>
  <c r="C21" i="9"/>
  <c r="C20" i="9"/>
  <c r="C19" i="9"/>
  <c r="C18" i="9"/>
  <c r="C17" i="9"/>
  <c r="K35" i="8"/>
  <c r="J35" i="8"/>
  <c r="I35" i="8"/>
  <c r="H35" i="8"/>
  <c r="G35" i="8"/>
  <c r="F35" i="8"/>
  <c r="E35" i="8"/>
  <c r="D35" i="8"/>
  <c r="C35" i="8"/>
  <c r="H29" i="8"/>
  <c r="G29" i="8"/>
  <c r="F29" i="8"/>
  <c r="E29" i="8"/>
  <c r="D29" i="8"/>
  <c r="B29" i="8"/>
  <c r="H28" i="8"/>
  <c r="G28" i="8"/>
  <c r="F28" i="8"/>
  <c r="E28" i="8"/>
  <c r="D28" i="8"/>
  <c r="B28" i="8"/>
  <c r="H27" i="8"/>
  <c r="G27" i="8"/>
  <c r="F27" i="8"/>
  <c r="E27" i="8"/>
  <c r="D27" i="8"/>
  <c r="B27" i="8"/>
  <c r="H26" i="8"/>
  <c r="G26" i="8"/>
  <c r="F26" i="8"/>
  <c r="E26" i="8"/>
  <c r="D26" i="8"/>
  <c r="B26" i="8"/>
  <c r="H25" i="8"/>
  <c r="G25" i="8"/>
  <c r="F25" i="8"/>
  <c r="E25" i="8"/>
  <c r="D25" i="8"/>
  <c r="B25" i="8"/>
  <c r="H24" i="8"/>
  <c r="G24" i="8"/>
  <c r="F24" i="8"/>
  <c r="E24" i="8"/>
  <c r="D24" i="8"/>
  <c r="B24" i="8"/>
  <c r="H23" i="8"/>
  <c r="G23" i="8"/>
  <c r="F23" i="8"/>
  <c r="E23" i="8"/>
  <c r="D23" i="8"/>
  <c r="B23" i="8"/>
  <c r="H19" i="8"/>
  <c r="G19" i="8"/>
  <c r="F19" i="8"/>
  <c r="E19" i="8"/>
  <c r="D19" i="8"/>
  <c r="B14" i="8"/>
  <c r="B92" i="7"/>
  <c r="B91" i="7"/>
  <c r="B90" i="7"/>
  <c r="B89" i="7"/>
  <c r="B88" i="7"/>
  <c r="B87" i="7"/>
  <c r="B86" i="7"/>
  <c r="B85" i="7"/>
  <c r="B84" i="7"/>
  <c r="B83" i="7"/>
  <c r="B82" i="7"/>
  <c r="B81" i="7"/>
  <c r="B77" i="7"/>
  <c r="B76" i="7"/>
  <c r="B75" i="7"/>
  <c r="B74" i="7"/>
  <c r="B73" i="7"/>
  <c r="B72" i="7"/>
  <c r="B71" i="7"/>
  <c r="B70" i="7"/>
  <c r="B69" i="7"/>
  <c r="B68" i="7"/>
  <c r="B67" i="7"/>
  <c r="B66" i="7"/>
  <c r="B62" i="7"/>
  <c r="B61" i="7"/>
  <c r="B60" i="7"/>
  <c r="B59" i="7"/>
  <c r="B58" i="7"/>
  <c r="B57" i="7"/>
  <c r="B56" i="7"/>
  <c r="B55" i="7"/>
  <c r="B54" i="7"/>
  <c r="B53" i="7"/>
  <c r="B52" i="7"/>
  <c r="B51" i="7"/>
  <c r="B47" i="7"/>
  <c r="B46" i="7"/>
  <c r="B45" i="7"/>
  <c r="B44" i="7"/>
  <c r="B43" i="7"/>
  <c r="B42" i="7"/>
  <c r="B41" i="7"/>
  <c r="B40" i="7"/>
  <c r="B39" i="7"/>
  <c r="B38" i="7"/>
  <c r="B37" i="7"/>
  <c r="B36" i="7"/>
  <c r="B32" i="7"/>
  <c r="B31" i="7"/>
  <c r="B30" i="7"/>
  <c r="B29" i="7"/>
  <c r="B28" i="7"/>
  <c r="B27" i="7"/>
  <c r="B26" i="7"/>
  <c r="B25" i="7"/>
  <c r="B24" i="7"/>
  <c r="B23" i="7"/>
  <c r="B22" i="7"/>
  <c r="B21" i="7"/>
  <c r="B17" i="7"/>
  <c r="B16" i="7"/>
  <c r="B15" i="7"/>
  <c r="B14" i="7"/>
  <c r="B13" i="7"/>
  <c r="B12" i="7"/>
  <c r="B11" i="7"/>
  <c r="B10" i="7"/>
  <c r="B9" i="7"/>
  <c r="B8" i="7"/>
  <c r="B7" i="7"/>
  <c r="B6" i="7"/>
  <c r="B92" i="6"/>
  <c r="B91" i="6"/>
  <c r="B90" i="6"/>
  <c r="B89" i="6"/>
  <c r="B88" i="6"/>
  <c r="B87" i="6"/>
  <c r="B86" i="6"/>
  <c r="B85" i="6"/>
  <c r="B84" i="6"/>
  <c r="B83" i="6"/>
  <c r="B82" i="6"/>
  <c r="B81" i="6"/>
  <c r="B77" i="6"/>
  <c r="B76" i="6"/>
  <c r="B75" i="6"/>
  <c r="B74" i="6"/>
  <c r="B73" i="6"/>
  <c r="B72" i="6"/>
  <c r="B71" i="6"/>
  <c r="B70" i="6"/>
  <c r="B69" i="6"/>
  <c r="B68" i="6"/>
  <c r="B67" i="6"/>
  <c r="B66" i="6"/>
  <c r="B62" i="6"/>
  <c r="B61" i="6"/>
  <c r="B60" i="6"/>
  <c r="B59" i="6"/>
  <c r="B58" i="6"/>
  <c r="B57" i="6"/>
  <c r="B56" i="6"/>
  <c r="B55" i="6"/>
  <c r="B54" i="6"/>
  <c r="B53" i="6"/>
  <c r="C52" i="6"/>
  <c r="B52" i="6"/>
  <c r="C51" i="6"/>
  <c r="B51" i="6"/>
  <c r="C47" i="6"/>
  <c r="B47" i="6"/>
  <c r="C46" i="6"/>
  <c r="B46" i="6"/>
  <c r="C45" i="6"/>
  <c r="B45" i="6"/>
  <c r="C44" i="6"/>
  <c r="B44" i="6"/>
  <c r="E43" i="6"/>
  <c r="C43" i="6"/>
  <c r="B43" i="6"/>
  <c r="C42" i="6"/>
  <c r="B42" i="6"/>
  <c r="C41" i="6"/>
  <c r="B41" i="6"/>
  <c r="B40" i="6"/>
  <c r="B39" i="6"/>
  <c r="B38" i="6"/>
  <c r="B37" i="6"/>
  <c r="B36" i="6"/>
  <c r="B32" i="6"/>
  <c r="B31" i="6"/>
  <c r="B30" i="6"/>
  <c r="B29" i="6"/>
  <c r="B28" i="6"/>
  <c r="B27" i="6"/>
  <c r="B26" i="6"/>
  <c r="B25" i="6"/>
  <c r="B24" i="6"/>
  <c r="B23" i="6"/>
  <c r="B22" i="6"/>
  <c r="B21" i="6"/>
  <c r="B17" i="6"/>
  <c r="B16" i="6"/>
  <c r="B15" i="6"/>
  <c r="B14" i="6"/>
  <c r="B13" i="6"/>
  <c r="B12" i="6"/>
  <c r="B11" i="6"/>
  <c r="B10" i="6"/>
  <c r="B9" i="6"/>
  <c r="B8" i="6"/>
  <c r="B7" i="6"/>
  <c r="B6" i="6"/>
  <c r="B92" i="5"/>
  <c r="B91" i="5"/>
  <c r="B90" i="5"/>
  <c r="B89" i="5"/>
  <c r="B88" i="5"/>
  <c r="B87" i="5"/>
  <c r="B86" i="5"/>
  <c r="B85" i="5"/>
  <c r="B84" i="5"/>
  <c r="B83" i="5"/>
  <c r="B82" i="5"/>
  <c r="B81" i="5"/>
  <c r="B77" i="5"/>
  <c r="B76" i="5"/>
  <c r="B75" i="5"/>
  <c r="B74" i="5"/>
  <c r="B73" i="5"/>
  <c r="B72" i="5"/>
  <c r="B71" i="5"/>
  <c r="B70" i="5"/>
  <c r="B69" i="5"/>
  <c r="B68" i="5"/>
  <c r="B67" i="5"/>
  <c r="B66" i="5"/>
  <c r="B62" i="5"/>
  <c r="B61" i="5"/>
  <c r="B60" i="5"/>
  <c r="B59" i="5"/>
  <c r="B58" i="5"/>
  <c r="B57" i="5"/>
  <c r="B56" i="5"/>
  <c r="B55" i="5"/>
  <c r="B54" i="5"/>
  <c r="B53" i="5"/>
  <c r="B52" i="5"/>
  <c r="B51" i="5"/>
  <c r="B47" i="5"/>
  <c r="B46" i="5"/>
  <c r="B45" i="5"/>
  <c r="B44" i="5"/>
  <c r="B43" i="5"/>
  <c r="B42" i="5"/>
  <c r="B41" i="5"/>
  <c r="B40" i="5"/>
  <c r="B39" i="5"/>
  <c r="B38" i="5"/>
  <c r="B37" i="5"/>
  <c r="B36" i="5"/>
  <c r="B32" i="5"/>
  <c r="B31" i="5"/>
  <c r="B30" i="5"/>
  <c r="B29" i="5"/>
  <c r="B28" i="5"/>
  <c r="B27" i="5"/>
  <c r="B26" i="5"/>
  <c r="B25" i="5"/>
  <c r="B24" i="5"/>
  <c r="B23" i="5"/>
  <c r="B22" i="5"/>
  <c r="B21" i="5"/>
  <c r="B17" i="5"/>
  <c r="B16" i="5"/>
  <c r="B15" i="5"/>
  <c r="B14" i="5"/>
  <c r="B13" i="5"/>
  <c r="B12" i="5"/>
  <c r="B11" i="5"/>
  <c r="B10" i="5"/>
  <c r="B9" i="5"/>
  <c r="B8" i="5"/>
  <c r="B7" i="5"/>
  <c r="B6" i="5"/>
  <c r="J348" i="4"/>
  <c r="I348" i="4"/>
  <c r="J344" i="4"/>
  <c r="I344" i="4"/>
  <c r="J343" i="4"/>
  <c r="I343" i="4"/>
  <c r="J339" i="4"/>
  <c r="I339" i="4"/>
  <c r="J338" i="4"/>
  <c r="I338" i="4"/>
  <c r="J337" i="4"/>
  <c r="I337" i="4"/>
  <c r="J336" i="4"/>
  <c r="I336" i="4"/>
  <c r="J332" i="4"/>
  <c r="I332" i="4"/>
  <c r="J331" i="4"/>
  <c r="I331" i="4"/>
  <c r="J330" i="4"/>
  <c r="I330" i="4"/>
  <c r="J329" i="4"/>
  <c r="I329" i="4"/>
  <c r="E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E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E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E275" i="3" s="1"/>
  <c r="I272" i="4"/>
  <c r="E269" i="4"/>
  <c r="E272" i="3" s="1"/>
  <c r="J268" i="4"/>
  <c r="E271" i="3" s="1"/>
  <c r="I268" i="4"/>
  <c r="J267" i="4"/>
  <c r="E270" i="3" s="1"/>
  <c r="I267" i="4"/>
  <c r="J266" i="4"/>
  <c r="E269" i="3" s="1"/>
  <c r="I266" i="4"/>
  <c r="J265" i="4"/>
  <c r="E268" i="3" s="1"/>
  <c r="I265" i="4"/>
  <c r="J264" i="4"/>
  <c r="E267" i="3" s="1"/>
  <c r="I264" i="4"/>
  <c r="J263" i="4"/>
  <c r="E266" i="3" s="1"/>
  <c r="I263" i="4"/>
  <c r="J262" i="4"/>
  <c r="E265" i="3" s="1"/>
  <c r="I262" i="4"/>
  <c r="J261" i="4"/>
  <c r="E264" i="3" s="1"/>
  <c r="I261" i="4"/>
  <c r="J260" i="4"/>
  <c r="E263" i="3" s="1"/>
  <c r="I260" i="4"/>
  <c r="J259" i="4"/>
  <c r="E262" i="3" s="1"/>
  <c r="I259" i="4"/>
  <c r="J258" i="4"/>
  <c r="E261" i="3" s="1"/>
  <c r="I258" i="4"/>
  <c r="J257" i="4"/>
  <c r="E260" i="3" s="1"/>
  <c r="I257" i="4"/>
  <c r="J256" i="4"/>
  <c r="E259" i="3" s="1"/>
  <c r="I256" i="4"/>
  <c r="J255" i="4"/>
  <c r="E258" i="3" s="1"/>
  <c r="I255" i="4"/>
  <c r="J254" i="4"/>
  <c r="E257" i="3" s="1"/>
  <c r="I254" i="4"/>
  <c r="J253" i="4"/>
  <c r="E256" i="3" s="1"/>
  <c r="I253" i="4"/>
  <c r="E250" i="4"/>
  <c r="E253" i="3" s="1"/>
  <c r="J249" i="4"/>
  <c r="E252" i="3" s="1"/>
  <c r="I249" i="4"/>
  <c r="J248" i="4"/>
  <c r="E251" i="3" s="1"/>
  <c r="I248" i="4"/>
  <c r="J247" i="4"/>
  <c r="E250" i="3" s="1"/>
  <c r="I247" i="4"/>
  <c r="J246" i="4"/>
  <c r="E249" i="3" s="1"/>
  <c r="I246" i="4"/>
  <c r="J245" i="4"/>
  <c r="E248" i="3" s="1"/>
  <c r="I245" i="4"/>
  <c r="J244" i="4"/>
  <c r="E247" i="3" s="1"/>
  <c r="I244" i="4"/>
  <c r="J243" i="4"/>
  <c r="E246" i="3" s="1"/>
  <c r="I243" i="4"/>
  <c r="J242" i="4"/>
  <c r="E245" i="3" s="1"/>
  <c r="I242" i="4"/>
  <c r="J241" i="4"/>
  <c r="E244" i="3" s="1"/>
  <c r="I241" i="4"/>
  <c r="J240" i="4"/>
  <c r="E243" i="3" s="1"/>
  <c r="I240" i="4"/>
  <c r="J239" i="4"/>
  <c r="E242" i="3" s="1"/>
  <c r="I239" i="4"/>
  <c r="J238" i="4"/>
  <c r="E241" i="3" s="1"/>
  <c r="I238" i="4"/>
  <c r="J237" i="4"/>
  <c r="E240" i="3" s="1"/>
  <c r="I237" i="4"/>
  <c r="J236" i="4"/>
  <c r="E239" i="3" s="1"/>
  <c r="I236" i="4"/>
  <c r="J235" i="4"/>
  <c r="E238" i="3" s="1"/>
  <c r="I235" i="4"/>
  <c r="E232" i="4"/>
  <c r="E235" i="3" s="1"/>
  <c r="J231" i="4"/>
  <c r="E234" i="3" s="1"/>
  <c r="I231" i="4"/>
  <c r="J230" i="4"/>
  <c r="E233" i="3" s="1"/>
  <c r="I230" i="4"/>
  <c r="J229" i="4"/>
  <c r="E232" i="3" s="1"/>
  <c r="I229" i="4"/>
  <c r="J228" i="4"/>
  <c r="E231" i="3" s="1"/>
  <c r="I228" i="4"/>
  <c r="J227" i="4"/>
  <c r="E230" i="3" s="1"/>
  <c r="I227" i="4"/>
  <c r="J226" i="4"/>
  <c r="E229" i="3" s="1"/>
  <c r="I226" i="4"/>
  <c r="J225" i="4"/>
  <c r="E228" i="3" s="1"/>
  <c r="I225" i="4"/>
  <c r="J224" i="4"/>
  <c r="E227" i="3" s="1"/>
  <c r="I224" i="4"/>
  <c r="J223" i="4"/>
  <c r="E226" i="3" s="1"/>
  <c r="I223" i="4"/>
  <c r="J222" i="4"/>
  <c r="E225" i="3" s="1"/>
  <c r="I222" i="4"/>
  <c r="J221" i="4"/>
  <c r="E224" i="3" s="1"/>
  <c r="I221" i="4"/>
  <c r="J220" i="4"/>
  <c r="E223" i="3" s="1"/>
  <c r="I220" i="4"/>
  <c r="J219" i="4"/>
  <c r="E222" i="3" s="1"/>
  <c r="I219" i="4"/>
  <c r="J218" i="4"/>
  <c r="E221" i="3" s="1"/>
  <c r="I218" i="4"/>
  <c r="E215" i="4"/>
  <c r="E218" i="3" s="1"/>
  <c r="J214" i="4"/>
  <c r="E217" i="3" s="1"/>
  <c r="I214" i="4"/>
  <c r="J213" i="4"/>
  <c r="E216" i="3" s="1"/>
  <c r="I213" i="4"/>
  <c r="J212" i="4"/>
  <c r="E215" i="3" s="1"/>
  <c r="I212" i="4"/>
  <c r="J211" i="4"/>
  <c r="E214" i="3" s="1"/>
  <c r="I211" i="4"/>
  <c r="J210" i="4"/>
  <c r="E213" i="3" s="1"/>
  <c r="I210" i="4"/>
  <c r="J209" i="4"/>
  <c r="E212" i="3" s="1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E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E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E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E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E128" i="4"/>
  <c r="J127" i="4"/>
  <c r="I127" i="4"/>
  <c r="J126" i="4"/>
  <c r="E129" i="3" s="1"/>
  <c r="I126" i="4"/>
  <c r="J125" i="4"/>
  <c r="I125" i="4"/>
  <c r="J124" i="4"/>
  <c r="E127" i="3" s="1"/>
  <c r="I124" i="4"/>
  <c r="J123" i="4"/>
  <c r="E126" i="3" s="1"/>
  <c r="I123" i="4"/>
  <c r="J122" i="4"/>
  <c r="E125" i="3" s="1"/>
  <c r="I122" i="4"/>
  <c r="J121" i="4"/>
  <c r="E124" i="3" s="1"/>
  <c r="I121" i="4"/>
  <c r="J120" i="4"/>
  <c r="E123" i="3" s="1"/>
  <c r="I120" i="4"/>
  <c r="J119" i="4"/>
  <c r="E122" i="3" s="1"/>
  <c r="I119" i="4"/>
  <c r="J118" i="4"/>
  <c r="I118" i="4"/>
  <c r="J117" i="4"/>
  <c r="I117" i="4"/>
  <c r="J116" i="4"/>
  <c r="E119" i="3" s="1"/>
  <c r="I116" i="4"/>
  <c r="J115" i="4"/>
  <c r="I115" i="4"/>
  <c r="J114" i="4"/>
  <c r="E117" i="3" s="1"/>
  <c r="E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E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E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E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E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E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F164" i="2"/>
  <c r="C164" i="2"/>
  <c r="F163" i="2"/>
  <c r="C163" i="2"/>
  <c r="F162" i="2"/>
  <c r="C162" i="2"/>
  <c r="F161" i="2"/>
  <c r="C161" i="2"/>
  <c r="F160" i="2"/>
  <c r="C160" i="2"/>
  <c r="F159" i="2"/>
  <c r="C159" i="2"/>
  <c r="F155" i="2"/>
  <c r="C155" i="2"/>
  <c r="F154" i="2"/>
  <c r="C154" i="2"/>
  <c r="F153" i="2"/>
  <c r="C153" i="2"/>
  <c r="F152" i="2"/>
  <c r="C152" i="2"/>
  <c r="F151" i="2"/>
  <c r="C151" i="2"/>
  <c r="F150" i="2"/>
  <c r="C150" i="2"/>
  <c r="F146" i="2"/>
  <c r="C146" i="2"/>
  <c r="F145" i="2"/>
  <c r="C145" i="2"/>
  <c r="F144" i="2"/>
  <c r="C144" i="2"/>
  <c r="F143" i="2"/>
  <c r="C143" i="2"/>
  <c r="F142" i="2"/>
  <c r="C142" i="2"/>
  <c r="F141" i="2"/>
  <c r="C141" i="2"/>
  <c r="F137" i="2"/>
  <c r="C137" i="2"/>
  <c r="F136" i="2"/>
  <c r="C136" i="2"/>
  <c r="F135" i="2"/>
  <c r="C135" i="2"/>
  <c r="F134" i="2"/>
  <c r="C134" i="2"/>
  <c r="F133" i="2"/>
  <c r="C133" i="2"/>
  <c r="F132" i="2"/>
  <c r="C132" i="2"/>
  <c r="F128" i="2"/>
  <c r="C128" i="2"/>
  <c r="F127" i="2"/>
  <c r="C127" i="2"/>
  <c r="F126" i="2"/>
  <c r="C126" i="2"/>
  <c r="F125" i="2"/>
  <c r="C125" i="2"/>
  <c r="F124" i="2"/>
  <c r="C124" i="2"/>
  <c r="F123" i="2"/>
  <c r="C123" i="2"/>
  <c r="F119" i="2"/>
  <c r="C119" i="2"/>
  <c r="F118" i="2"/>
  <c r="C118" i="2"/>
  <c r="F117" i="2"/>
  <c r="C117" i="2"/>
  <c r="F116" i="2"/>
  <c r="C116" i="2"/>
  <c r="F115" i="2"/>
  <c r="C115" i="2"/>
  <c r="F114" i="2"/>
  <c r="C114" i="2"/>
  <c r="F109" i="2"/>
  <c r="C109" i="2"/>
  <c r="F108" i="2"/>
  <c r="C108" i="2"/>
  <c r="F107" i="2"/>
  <c r="C107" i="2"/>
  <c r="F106" i="2"/>
  <c r="C106" i="2"/>
  <c r="F105" i="2"/>
  <c r="C105" i="2"/>
  <c r="F104" i="2"/>
  <c r="C104" i="2"/>
  <c r="F100" i="2"/>
  <c r="C100" i="2"/>
  <c r="F99" i="2"/>
  <c r="C99" i="2"/>
  <c r="F98" i="2"/>
  <c r="C98" i="2"/>
  <c r="F97" i="2"/>
  <c r="C97" i="2"/>
  <c r="F96" i="2"/>
  <c r="C96" i="2"/>
  <c r="F95" i="2"/>
  <c r="C95" i="2"/>
  <c r="F91" i="2"/>
  <c r="C91" i="2"/>
  <c r="F90" i="2"/>
  <c r="C90" i="2"/>
  <c r="F89" i="2"/>
  <c r="C89" i="2"/>
  <c r="F88" i="2"/>
  <c r="C88" i="2"/>
  <c r="F87" i="2"/>
  <c r="C87" i="2"/>
  <c r="F86" i="2"/>
  <c r="C86" i="2"/>
  <c r="F82" i="2"/>
  <c r="C82" i="2"/>
  <c r="F81" i="2"/>
  <c r="C81" i="2"/>
  <c r="F80" i="2"/>
  <c r="C80" i="2"/>
  <c r="F79" i="2"/>
  <c r="C79" i="2"/>
  <c r="F78" i="2"/>
  <c r="C78" i="2"/>
  <c r="F77" i="2"/>
  <c r="C77" i="2"/>
  <c r="F73" i="2"/>
  <c r="C73" i="2"/>
  <c r="F72" i="2"/>
  <c r="C72" i="2"/>
  <c r="F71" i="2"/>
  <c r="C71" i="2"/>
  <c r="F70" i="2"/>
  <c r="C70" i="2"/>
  <c r="F69" i="2"/>
  <c r="C69" i="2"/>
  <c r="F68" i="2"/>
  <c r="C68" i="2"/>
  <c r="F64" i="2"/>
  <c r="C64" i="2"/>
  <c r="F63" i="2"/>
  <c r="C63" i="2"/>
  <c r="F62" i="2"/>
  <c r="C62" i="2"/>
  <c r="F61" i="2"/>
  <c r="C61" i="2"/>
  <c r="F60" i="2"/>
  <c r="C60" i="2"/>
  <c r="F59" i="2"/>
  <c r="C59" i="2"/>
  <c r="F54" i="2"/>
  <c r="C54" i="2"/>
  <c r="F53" i="2"/>
  <c r="C53" i="2"/>
  <c r="F52" i="2"/>
  <c r="C52" i="2"/>
  <c r="F51" i="2"/>
  <c r="C51" i="2"/>
  <c r="F50" i="2"/>
  <c r="C50" i="2"/>
  <c r="F49" i="2"/>
  <c r="C49" i="2"/>
  <c r="F45" i="2"/>
  <c r="C45" i="2"/>
  <c r="F44" i="2"/>
  <c r="C44" i="2"/>
  <c r="F43" i="2"/>
  <c r="C43" i="2"/>
  <c r="F42" i="2"/>
  <c r="C42" i="2"/>
  <c r="F41" i="2"/>
  <c r="C41" i="2"/>
  <c r="F40" i="2"/>
  <c r="C40" i="2"/>
  <c r="F36" i="2"/>
  <c r="C36" i="2"/>
  <c r="F35" i="2"/>
  <c r="C35" i="2"/>
  <c r="F34" i="2"/>
  <c r="C34" i="2"/>
  <c r="F33" i="2"/>
  <c r="C33" i="2"/>
  <c r="F32" i="2"/>
  <c r="C32" i="2"/>
  <c r="F31" i="2"/>
  <c r="C31" i="2"/>
  <c r="F27" i="2"/>
  <c r="C27" i="2"/>
  <c r="F26" i="2"/>
  <c r="C26" i="2"/>
  <c r="F25" i="2"/>
  <c r="C25" i="2"/>
  <c r="F24" i="2"/>
  <c r="C24" i="2"/>
  <c r="F23" i="2"/>
  <c r="C23" i="2"/>
  <c r="F22" i="2"/>
  <c r="C22" i="2"/>
  <c r="F18" i="2"/>
  <c r="C18" i="2"/>
  <c r="F17" i="2"/>
  <c r="C17" i="2"/>
  <c r="F16" i="2"/>
  <c r="C16" i="2"/>
  <c r="F15" i="2"/>
  <c r="C15" i="2"/>
  <c r="F14" i="2"/>
  <c r="C14" i="2"/>
  <c r="F13" i="2"/>
  <c r="C13" i="2"/>
  <c r="F9" i="2"/>
  <c r="C9" i="2"/>
  <c r="F8" i="2"/>
  <c r="C8" i="2"/>
  <c r="F7" i="2"/>
  <c r="C7" i="2"/>
  <c r="F6" i="2"/>
  <c r="C6" i="2"/>
  <c r="F5" i="2"/>
  <c r="C5" i="2"/>
  <c r="F4" i="2"/>
  <c r="C4" i="2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E211" i="3"/>
  <c r="E210" i="3"/>
  <c r="E209" i="3"/>
  <c r="E208" i="3"/>
  <c r="E207" i="3"/>
  <c r="E206" i="3"/>
  <c r="E205" i="3"/>
  <c r="E204" i="3"/>
  <c r="E203" i="3"/>
  <c r="E202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E131" i="3"/>
  <c r="E130" i="3"/>
  <c r="E128" i="3"/>
  <c r="E121" i="3"/>
  <c r="E120" i="3"/>
  <c r="E118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8" i="9" l="1"/>
  <c r="K51" i="8"/>
  <c r="E68" i="8"/>
  <c r="AD13" i="13"/>
  <c r="I51" i="8"/>
  <c r="B68" i="8"/>
  <c r="B51" i="8"/>
  <c r="K50" i="8"/>
  <c r="E67" i="8"/>
  <c r="AD12" i="13"/>
  <c r="I50" i="8"/>
  <c r="B67" i="8"/>
  <c r="B50" i="8"/>
  <c r="B13" i="8"/>
  <c r="K49" i="8"/>
  <c r="E66" i="8"/>
  <c r="AD11" i="13"/>
  <c r="I49" i="8"/>
  <c r="B12" i="8"/>
  <c r="B66" i="8"/>
  <c r="B49" i="8"/>
  <c r="K48" i="8"/>
  <c r="E65" i="8"/>
  <c r="I48" i="8"/>
  <c r="AD10" i="13"/>
  <c r="B11" i="8"/>
  <c r="B48" i="8"/>
  <c r="B65" i="8"/>
  <c r="K44" i="8"/>
  <c r="E64" i="8"/>
  <c r="I44" i="8"/>
  <c r="AD9" i="13"/>
  <c r="B10" i="8"/>
  <c r="B44" i="8"/>
  <c r="B64" i="8"/>
  <c r="K43" i="8"/>
  <c r="E63" i="8"/>
  <c r="AD8" i="13"/>
  <c r="I43" i="8"/>
  <c r="B63" i="8"/>
  <c r="B9" i="8"/>
  <c r="B43" i="8"/>
  <c r="E62" i="8"/>
  <c r="K42" i="8"/>
  <c r="I42" i="8"/>
  <c r="AD7" i="13"/>
  <c r="B42" i="8"/>
  <c r="B62" i="8"/>
  <c r="B8" i="8"/>
  <c r="K41" i="8"/>
  <c r="E61" i="8"/>
  <c r="AD6" i="13"/>
  <c r="I41" i="8"/>
  <c r="B7" i="8"/>
  <c r="B41" i="8"/>
  <c r="B61" i="8"/>
  <c r="B22" i="8"/>
  <c r="K37" i="8"/>
  <c r="E60" i="8"/>
  <c r="AD5" i="13"/>
  <c r="I37" i="8"/>
  <c r="B21" i="8"/>
  <c r="B6" i="8"/>
  <c r="B37" i="8"/>
  <c r="B60" i="8"/>
  <c r="K36" i="8"/>
  <c r="E59" i="8"/>
  <c r="I36" i="8"/>
  <c r="AD4" i="13"/>
  <c r="B36" i="8"/>
  <c r="B20" i="8"/>
  <c r="B59" i="8"/>
  <c r="B5" i="8"/>
  <c r="B58" i="8"/>
  <c r="B35" i="8"/>
  <c r="B19" i="8"/>
  <c r="B4" i="8"/>
  <c r="E57" i="8"/>
  <c r="K34" i="8"/>
  <c r="AD2" i="13"/>
  <c r="I34" i="8"/>
  <c r="B34" i="8"/>
  <c r="B18" i="8"/>
  <c r="B57" i="8"/>
  <c r="B3" i="8"/>
  <c r="C14" i="10"/>
  <c r="B6" i="11" s="1"/>
  <c r="I6" i="11" s="1"/>
  <c r="J6" i="11" s="1"/>
  <c r="C15" i="10"/>
  <c r="B7" i="11" s="1"/>
  <c r="I7" i="11" s="1"/>
  <c r="J7" i="11" s="1"/>
  <c r="C16" i="10"/>
  <c r="B8" i="11" s="1"/>
  <c r="I8" i="11" s="1"/>
  <c r="J8" i="11" s="1"/>
  <c r="C17" i="10"/>
  <c r="B9" i="11" s="1"/>
  <c r="I9" i="11" s="1"/>
  <c r="J9" i="11" s="1"/>
  <c r="C18" i="10"/>
  <c r="C19" i="10"/>
  <c r="F52" i="6"/>
  <c r="G52" i="6" s="1"/>
  <c r="I52" i="6" s="1"/>
  <c r="H52" i="6"/>
  <c r="E58" i="6"/>
  <c r="E57" i="6"/>
  <c r="F51" i="6"/>
  <c r="G51" i="6" s="1"/>
  <c r="H51" i="6"/>
  <c r="E42" i="6"/>
  <c r="H47" i="6"/>
  <c r="F47" i="6"/>
  <c r="G47" i="6" s="1"/>
  <c r="I47" i="6" s="1"/>
  <c r="H46" i="6"/>
  <c r="F46" i="6"/>
  <c r="G46" i="6" s="1"/>
  <c r="I46" i="6" s="1"/>
  <c r="H45" i="6"/>
  <c r="F45" i="6"/>
  <c r="G45" i="6" s="1"/>
  <c r="I45" i="6" s="1"/>
  <c r="E38" i="6"/>
  <c r="E39" i="6"/>
  <c r="H44" i="6"/>
  <c r="F44" i="6"/>
  <c r="G44" i="6" s="1"/>
  <c r="I44" i="6" s="1"/>
  <c r="F43" i="6"/>
  <c r="G43" i="6" s="1"/>
  <c r="H43" i="6"/>
  <c r="E46" i="6"/>
  <c r="H42" i="6"/>
  <c r="F42" i="6"/>
  <c r="G42" i="6" s="1"/>
  <c r="I42" i="6" s="1"/>
  <c r="E47" i="6"/>
  <c r="H41" i="6"/>
  <c r="E37" i="6"/>
  <c r="F41" i="6"/>
  <c r="G41" i="6" s="1"/>
  <c r="I41" i="6" s="1"/>
  <c r="C51" i="7"/>
  <c r="C52" i="7"/>
  <c r="C53" i="7"/>
  <c r="C54" i="7"/>
  <c r="C55" i="7"/>
  <c r="C56" i="7"/>
  <c r="C57" i="7"/>
  <c r="C58" i="7"/>
  <c r="C59" i="7"/>
  <c r="C60" i="7"/>
  <c r="C61" i="7"/>
  <c r="C62" i="7"/>
  <c r="C36" i="7"/>
  <c r="C37" i="7"/>
  <c r="C38" i="7"/>
  <c r="C39" i="7"/>
  <c r="C40" i="7"/>
  <c r="C41" i="7"/>
  <c r="C42" i="7"/>
  <c r="C43" i="7"/>
  <c r="C44" i="7"/>
  <c r="C45" i="7"/>
  <c r="C46" i="7"/>
  <c r="C47" i="7"/>
  <c r="C21" i="7"/>
  <c r="C22" i="7"/>
  <c r="C23" i="7"/>
  <c r="C24" i="7"/>
  <c r="C25" i="7"/>
  <c r="C26" i="7"/>
  <c r="C27" i="7"/>
  <c r="C28" i="7"/>
  <c r="C29" i="7"/>
  <c r="C30" i="7"/>
  <c r="C31" i="7"/>
  <c r="C32" i="7"/>
  <c r="C6" i="7"/>
  <c r="C7" i="7"/>
  <c r="C9" i="7"/>
  <c r="C12" i="7"/>
  <c r="C13" i="7"/>
  <c r="C14" i="7"/>
  <c r="C15" i="7"/>
  <c r="C16" i="7"/>
  <c r="C17" i="7"/>
  <c r="C8" i="7"/>
  <c r="C11" i="7"/>
  <c r="C10" i="7"/>
  <c r="C89" i="7"/>
  <c r="C81" i="7"/>
  <c r="C82" i="7"/>
  <c r="C83" i="7"/>
  <c r="C84" i="7"/>
  <c r="C88" i="7"/>
  <c r="C87" i="7"/>
  <c r="C86" i="7"/>
  <c r="C85" i="7"/>
  <c r="C90" i="7"/>
  <c r="C92" i="7"/>
  <c r="C91" i="7"/>
  <c r="C66" i="7"/>
  <c r="C74" i="7"/>
  <c r="C75" i="7"/>
  <c r="C76" i="7"/>
  <c r="C77" i="7"/>
  <c r="C67" i="7"/>
  <c r="C68" i="7"/>
  <c r="C69" i="7"/>
  <c r="C70" i="7"/>
  <c r="C71" i="7"/>
  <c r="C72" i="7"/>
  <c r="C73" i="7"/>
  <c r="C92" i="6"/>
  <c r="C91" i="6"/>
  <c r="C90" i="6"/>
  <c r="C89" i="6"/>
  <c r="C88" i="6"/>
  <c r="C87" i="6"/>
  <c r="C86" i="6"/>
  <c r="C85" i="6"/>
  <c r="C83" i="6"/>
  <c r="C82" i="6"/>
  <c r="C81" i="6"/>
  <c r="C84" i="6"/>
  <c r="C76" i="6"/>
  <c r="C75" i="6"/>
  <c r="C74" i="6"/>
  <c r="C73" i="6"/>
  <c r="C72" i="6"/>
  <c r="C71" i="6"/>
  <c r="C70" i="6"/>
  <c r="C69" i="6"/>
  <c r="C68" i="6"/>
  <c r="C67" i="6"/>
  <c r="C66" i="6"/>
  <c r="C77" i="6"/>
  <c r="C61" i="6"/>
  <c r="C60" i="6"/>
  <c r="C62" i="6"/>
  <c r="C59" i="6"/>
  <c r="C58" i="6"/>
  <c r="C57" i="6"/>
  <c r="C56" i="6"/>
  <c r="C55" i="6"/>
  <c r="C54" i="6"/>
  <c r="C53" i="6"/>
  <c r="C36" i="6"/>
  <c r="C40" i="6"/>
  <c r="C39" i="6"/>
  <c r="C38" i="6"/>
  <c r="C37" i="6"/>
  <c r="C29" i="6"/>
  <c r="C30" i="6"/>
  <c r="C31" i="6"/>
  <c r="C32" i="6"/>
  <c r="C23" i="6"/>
  <c r="C21" i="6"/>
  <c r="C22" i="6"/>
  <c r="C24" i="6"/>
  <c r="C25" i="6"/>
  <c r="C26" i="6"/>
  <c r="C27" i="6"/>
  <c r="C28" i="6"/>
  <c r="C17" i="6"/>
  <c r="C6" i="6"/>
  <c r="C7" i="6"/>
  <c r="C8" i="6"/>
  <c r="C9" i="6"/>
  <c r="C10" i="6"/>
  <c r="C13" i="6"/>
  <c r="C14" i="6"/>
  <c r="C11" i="6"/>
  <c r="C15" i="6"/>
  <c r="C12" i="6"/>
  <c r="C16" i="6"/>
  <c r="C92" i="5"/>
  <c r="C89" i="5"/>
  <c r="C90" i="5"/>
  <c r="C83" i="5"/>
  <c r="C82" i="5"/>
  <c r="C81" i="5"/>
  <c r="C91" i="5"/>
  <c r="C88" i="5"/>
  <c r="C84" i="5"/>
  <c r="C85" i="5"/>
  <c r="C86" i="5"/>
  <c r="C87" i="5"/>
  <c r="C69" i="5"/>
  <c r="C66" i="5"/>
  <c r="C77" i="5"/>
  <c r="C72" i="5"/>
  <c r="C70" i="5"/>
  <c r="C73" i="5"/>
  <c r="C74" i="5"/>
  <c r="C75" i="5"/>
  <c r="C67" i="5"/>
  <c r="C76" i="5"/>
  <c r="C71" i="5"/>
  <c r="C68" i="5"/>
  <c r="C51" i="5"/>
  <c r="C56" i="5"/>
  <c r="C54" i="5"/>
  <c r="C61" i="5"/>
  <c r="C52" i="5"/>
  <c r="C53" i="5"/>
  <c r="C55" i="5"/>
  <c r="C62" i="5"/>
  <c r="C60" i="5"/>
  <c r="C59" i="5"/>
  <c r="C58" i="5"/>
  <c r="C57" i="5"/>
  <c r="C47" i="5"/>
  <c r="C46" i="5"/>
  <c r="C45" i="5"/>
  <c r="C44" i="5"/>
  <c r="C43" i="5"/>
  <c r="C41" i="5"/>
  <c r="C36" i="5"/>
  <c r="C37" i="5"/>
  <c r="C39" i="5"/>
  <c r="C40" i="5"/>
  <c r="C42" i="5"/>
  <c r="C38" i="5"/>
  <c r="C28" i="5"/>
  <c r="C29" i="5"/>
  <c r="C30" i="5"/>
  <c r="C31" i="5"/>
  <c r="C32" i="5"/>
  <c r="C21" i="5"/>
  <c r="C22" i="5"/>
  <c r="C23" i="5"/>
  <c r="C24" i="5"/>
  <c r="C25" i="5"/>
  <c r="C26" i="5"/>
  <c r="C27" i="5"/>
  <c r="C17" i="5"/>
  <c r="C9" i="5"/>
  <c r="C6" i="5"/>
  <c r="C7" i="5"/>
  <c r="C8" i="5"/>
  <c r="C10" i="5"/>
  <c r="C11" i="5"/>
  <c r="C12" i="5"/>
  <c r="C13" i="5"/>
  <c r="C14" i="5"/>
  <c r="C15" i="5"/>
  <c r="C16" i="5"/>
  <c r="H14" i="9" l="1"/>
  <c r="H15" i="9"/>
  <c r="H16" i="9"/>
  <c r="H13" i="9"/>
  <c r="H12" i="9"/>
  <c r="H10" i="9"/>
  <c r="H9" i="9"/>
  <c r="H11" i="9"/>
  <c r="H7" i="9"/>
  <c r="H6" i="9"/>
  <c r="H5" i="9"/>
  <c r="H8" i="9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G16" i="11"/>
  <c r="F16" i="11"/>
  <c r="F51" i="7"/>
  <c r="I51" i="7"/>
  <c r="E54" i="7"/>
  <c r="F52" i="7"/>
  <c r="I52" i="7"/>
  <c r="E53" i="7"/>
  <c r="F53" i="7"/>
  <c r="I53" i="7"/>
  <c r="E52" i="7"/>
  <c r="F54" i="7"/>
  <c r="I54" i="7"/>
  <c r="E51" i="7"/>
  <c r="F55" i="7"/>
  <c r="I55" i="7"/>
  <c r="E58" i="7"/>
  <c r="F56" i="7"/>
  <c r="I56" i="7"/>
  <c r="E57" i="7"/>
  <c r="F57" i="7"/>
  <c r="I57" i="7"/>
  <c r="E56" i="7"/>
  <c r="F58" i="7"/>
  <c r="I58" i="7"/>
  <c r="E55" i="7"/>
  <c r="F59" i="7"/>
  <c r="I59" i="7"/>
  <c r="E62" i="7"/>
  <c r="F60" i="7"/>
  <c r="I60" i="7"/>
  <c r="E61" i="7"/>
  <c r="F61" i="7"/>
  <c r="I61" i="7"/>
  <c r="E60" i="7"/>
  <c r="F62" i="7"/>
  <c r="I62" i="7"/>
  <c r="E59" i="7"/>
  <c r="F36" i="7"/>
  <c r="I36" i="7"/>
  <c r="E37" i="7"/>
  <c r="F37" i="7"/>
  <c r="I37" i="7"/>
  <c r="E36" i="7"/>
  <c r="F38" i="7"/>
  <c r="I38" i="7"/>
  <c r="E39" i="7"/>
  <c r="F39" i="7"/>
  <c r="I39" i="7"/>
  <c r="E38" i="7"/>
  <c r="F40" i="7"/>
  <c r="I40" i="7"/>
  <c r="E41" i="7"/>
  <c r="F41" i="7"/>
  <c r="I41" i="7"/>
  <c r="E40" i="7"/>
  <c r="F42" i="7"/>
  <c r="I42" i="7"/>
  <c r="E43" i="7"/>
  <c r="F43" i="7"/>
  <c r="I43" i="7"/>
  <c r="E42" i="7"/>
  <c r="F44" i="7"/>
  <c r="I44" i="7"/>
  <c r="E45" i="7"/>
  <c r="F45" i="7"/>
  <c r="I45" i="7"/>
  <c r="E44" i="7"/>
  <c r="F46" i="7"/>
  <c r="I46" i="7"/>
  <c r="E47" i="7"/>
  <c r="F47" i="7"/>
  <c r="I47" i="7"/>
  <c r="E46" i="7"/>
  <c r="F21" i="7"/>
  <c r="I21" i="7"/>
  <c r="E23" i="7"/>
  <c r="F22" i="7"/>
  <c r="I22" i="7"/>
  <c r="E24" i="7"/>
  <c r="F23" i="7"/>
  <c r="I23" i="7"/>
  <c r="E21" i="7"/>
  <c r="F24" i="7"/>
  <c r="I24" i="7"/>
  <c r="E22" i="7"/>
  <c r="F25" i="7"/>
  <c r="I25" i="7"/>
  <c r="E27" i="7"/>
  <c r="F26" i="7"/>
  <c r="I26" i="7"/>
  <c r="E28" i="7"/>
  <c r="F27" i="7"/>
  <c r="I27" i="7"/>
  <c r="E25" i="7"/>
  <c r="F28" i="7"/>
  <c r="I28" i="7"/>
  <c r="E26" i="7"/>
  <c r="F29" i="7"/>
  <c r="I29" i="7"/>
  <c r="E31" i="7"/>
  <c r="F30" i="7"/>
  <c r="I30" i="7"/>
  <c r="E32" i="7"/>
  <c r="F31" i="7"/>
  <c r="I31" i="7"/>
  <c r="E29" i="7"/>
  <c r="F32" i="7"/>
  <c r="I32" i="7"/>
  <c r="E30" i="7"/>
  <c r="F6" i="7"/>
  <c r="I6" i="7"/>
  <c r="E9" i="7"/>
  <c r="F7" i="7"/>
  <c r="I7" i="7"/>
  <c r="E8" i="7"/>
  <c r="F9" i="7"/>
  <c r="I9" i="7"/>
  <c r="E6" i="7"/>
  <c r="E11" i="7"/>
  <c r="F12" i="7"/>
  <c r="I12" i="7"/>
  <c r="F13" i="7"/>
  <c r="I13" i="7"/>
  <c r="E10" i="7"/>
  <c r="F14" i="7"/>
  <c r="I14" i="7"/>
  <c r="E17" i="7"/>
  <c r="F15" i="7"/>
  <c r="I15" i="7"/>
  <c r="E16" i="7"/>
  <c r="F16" i="7"/>
  <c r="I16" i="7"/>
  <c r="E15" i="7"/>
  <c r="F17" i="7"/>
  <c r="I17" i="7"/>
  <c r="E14" i="7"/>
  <c r="F8" i="7"/>
  <c r="I8" i="7"/>
  <c r="E7" i="7"/>
  <c r="F11" i="7"/>
  <c r="E12" i="7"/>
  <c r="I11" i="7"/>
  <c r="F10" i="7"/>
  <c r="I10" i="7"/>
  <c r="E13" i="7"/>
  <c r="F89" i="7"/>
  <c r="I89" i="7"/>
  <c r="E90" i="7"/>
  <c r="F81" i="7"/>
  <c r="I81" i="7"/>
  <c r="E82" i="7"/>
  <c r="F82" i="7"/>
  <c r="I82" i="7"/>
  <c r="E81" i="7"/>
  <c r="F83" i="7"/>
  <c r="I83" i="7"/>
  <c r="E84" i="7"/>
  <c r="F84" i="7"/>
  <c r="I84" i="7"/>
  <c r="E83" i="7"/>
  <c r="F88" i="7"/>
  <c r="I88" i="7"/>
  <c r="E87" i="7"/>
  <c r="F87" i="7"/>
  <c r="I87" i="7"/>
  <c r="E88" i="7"/>
  <c r="F86" i="7"/>
  <c r="I86" i="7"/>
  <c r="E85" i="7"/>
  <c r="F85" i="7"/>
  <c r="I85" i="7"/>
  <c r="E86" i="7"/>
  <c r="F90" i="7"/>
  <c r="I90" i="7"/>
  <c r="E89" i="7"/>
  <c r="F92" i="7"/>
  <c r="I92" i="7"/>
  <c r="E91" i="7"/>
  <c r="F91" i="7"/>
  <c r="I91" i="7"/>
  <c r="E92" i="7"/>
  <c r="F66" i="7"/>
  <c r="I66" i="7"/>
  <c r="E68" i="7"/>
  <c r="F74" i="7"/>
  <c r="I74" i="7"/>
  <c r="E76" i="7"/>
  <c r="F75" i="7"/>
  <c r="I75" i="7"/>
  <c r="E77" i="7"/>
  <c r="F76" i="7"/>
  <c r="I76" i="7"/>
  <c r="E74" i="7"/>
  <c r="F77" i="7"/>
  <c r="I77" i="7"/>
  <c r="E75" i="7"/>
  <c r="F67" i="7"/>
  <c r="I67" i="7"/>
  <c r="E69" i="7"/>
  <c r="F68" i="7"/>
  <c r="I68" i="7"/>
  <c r="E66" i="7"/>
  <c r="F69" i="7"/>
  <c r="I69" i="7"/>
  <c r="E67" i="7"/>
  <c r="F70" i="7"/>
  <c r="I70" i="7"/>
  <c r="E72" i="7"/>
  <c r="F71" i="7"/>
  <c r="I71" i="7"/>
  <c r="E73" i="7"/>
  <c r="F72" i="7"/>
  <c r="I72" i="7"/>
  <c r="E70" i="7"/>
  <c r="F73" i="7"/>
  <c r="I73" i="7"/>
  <c r="E71" i="7"/>
  <c r="F92" i="6"/>
  <c r="G92" i="6" s="1"/>
  <c r="I92" i="6" s="1"/>
  <c r="H92" i="6"/>
  <c r="E84" i="6"/>
  <c r="F91" i="6"/>
  <c r="G91" i="6" s="1"/>
  <c r="H91" i="6"/>
  <c r="E83" i="6"/>
  <c r="F90" i="6"/>
  <c r="G90" i="6" s="1"/>
  <c r="H90" i="6"/>
  <c r="E88" i="6"/>
  <c r="F89" i="6"/>
  <c r="G89" i="6" s="1"/>
  <c r="H89" i="6"/>
  <c r="E87" i="6"/>
  <c r="F88" i="6"/>
  <c r="G88" i="6" s="1"/>
  <c r="H88" i="6"/>
  <c r="E90" i="6"/>
  <c r="F87" i="6"/>
  <c r="G87" i="6" s="1"/>
  <c r="H87" i="6"/>
  <c r="E89" i="6"/>
  <c r="F86" i="6"/>
  <c r="G86" i="6" s="1"/>
  <c r="H86" i="6"/>
  <c r="E81" i="6"/>
  <c r="F85" i="6"/>
  <c r="G85" i="6" s="1"/>
  <c r="H85" i="6"/>
  <c r="E82" i="6"/>
  <c r="F83" i="6"/>
  <c r="G83" i="6" s="1"/>
  <c r="H83" i="6"/>
  <c r="E91" i="6"/>
  <c r="F82" i="6"/>
  <c r="G82" i="6" s="1"/>
  <c r="H82" i="6"/>
  <c r="E85" i="6"/>
  <c r="F81" i="6"/>
  <c r="G81" i="6" s="1"/>
  <c r="H81" i="6"/>
  <c r="E86" i="6"/>
  <c r="F84" i="6"/>
  <c r="G84" i="6" s="1"/>
  <c r="H84" i="6"/>
  <c r="E92" i="6"/>
  <c r="F76" i="6"/>
  <c r="G76" i="6" s="1"/>
  <c r="H76" i="6"/>
  <c r="E72" i="6"/>
  <c r="F75" i="6"/>
  <c r="G75" i="6" s="1"/>
  <c r="H75" i="6"/>
  <c r="E66" i="6"/>
  <c r="F74" i="6"/>
  <c r="G74" i="6" s="1"/>
  <c r="H74" i="6"/>
  <c r="E67" i="6"/>
  <c r="F73" i="6"/>
  <c r="G73" i="6" s="1"/>
  <c r="H73" i="6"/>
  <c r="E77" i="6"/>
  <c r="F72" i="6"/>
  <c r="G72" i="6" s="1"/>
  <c r="H72" i="6"/>
  <c r="E76" i="6"/>
  <c r="F71" i="6"/>
  <c r="G71" i="6" s="1"/>
  <c r="H71" i="6"/>
  <c r="E69" i="6"/>
  <c r="F70" i="6"/>
  <c r="G70" i="6" s="1"/>
  <c r="H70" i="6"/>
  <c r="E68" i="6"/>
  <c r="F69" i="6"/>
  <c r="G69" i="6" s="1"/>
  <c r="H69" i="6"/>
  <c r="E71" i="6"/>
  <c r="F68" i="6"/>
  <c r="G68" i="6" s="1"/>
  <c r="H68" i="6"/>
  <c r="E70" i="6"/>
  <c r="F67" i="6"/>
  <c r="G67" i="6" s="1"/>
  <c r="H67" i="6"/>
  <c r="E74" i="6"/>
  <c r="F66" i="6"/>
  <c r="G66" i="6" s="1"/>
  <c r="H66" i="6"/>
  <c r="E75" i="6"/>
  <c r="F77" i="6"/>
  <c r="G77" i="6" s="1"/>
  <c r="H77" i="6"/>
  <c r="E73" i="6"/>
  <c r="F61" i="6"/>
  <c r="G61" i="6" s="1"/>
  <c r="H61" i="6"/>
  <c r="E54" i="6"/>
  <c r="F60" i="6"/>
  <c r="G60" i="6" s="1"/>
  <c r="H60" i="6"/>
  <c r="E55" i="6"/>
  <c r="F62" i="6"/>
  <c r="G62" i="6" s="1"/>
  <c r="H62" i="6"/>
  <c r="E53" i="6"/>
  <c r="F59" i="6"/>
  <c r="G59" i="6" s="1"/>
  <c r="H59" i="6"/>
  <c r="E56" i="6"/>
  <c r="F58" i="6"/>
  <c r="G58" i="6" s="1"/>
  <c r="H58" i="6"/>
  <c r="E52" i="6"/>
  <c r="F57" i="6"/>
  <c r="G57" i="6" s="1"/>
  <c r="H57" i="6"/>
  <c r="E51" i="6"/>
  <c r="F56" i="6"/>
  <c r="G56" i="6" s="1"/>
  <c r="H56" i="6"/>
  <c r="E59" i="6"/>
  <c r="F55" i="6"/>
  <c r="G55" i="6" s="1"/>
  <c r="I55" i="6" s="1"/>
  <c r="H55" i="6"/>
  <c r="E60" i="6"/>
  <c r="F54" i="6"/>
  <c r="G54" i="6" s="1"/>
  <c r="I54" i="6" s="1"/>
  <c r="H54" i="6"/>
  <c r="E61" i="6"/>
  <c r="F53" i="6"/>
  <c r="G53" i="6" s="1"/>
  <c r="I53" i="6" s="1"/>
  <c r="H53" i="6"/>
  <c r="E62" i="6"/>
  <c r="F36" i="6"/>
  <c r="G36" i="6" s="1"/>
  <c r="I36" i="6" s="1"/>
  <c r="H36" i="6"/>
  <c r="E40" i="6"/>
  <c r="F40" i="6"/>
  <c r="G40" i="6" s="1"/>
  <c r="H40" i="6"/>
  <c r="E36" i="6"/>
  <c r="F39" i="6"/>
  <c r="G39" i="6" s="1"/>
  <c r="H39" i="6"/>
  <c r="E44" i="6"/>
  <c r="F38" i="6"/>
  <c r="G38" i="6" s="1"/>
  <c r="H38" i="6"/>
  <c r="E45" i="6"/>
  <c r="F37" i="6"/>
  <c r="G37" i="6" s="1"/>
  <c r="H37" i="6"/>
  <c r="E41" i="6"/>
  <c r="F29" i="6"/>
  <c r="G29" i="6" s="1"/>
  <c r="H29" i="6"/>
  <c r="E28" i="6"/>
  <c r="F30" i="6"/>
  <c r="G30" i="6" s="1"/>
  <c r="H30" i="6"/>
  <c r="E27" i="6"/>
  <c r="F31" i="6"/>
  <c r="G31" i="6" s="1"/>
  <c r="H31" i="6"/>
  <c r="E22" i="6"/>
  <c r="F32" i="6"/>
  <c r="G32" i="6" s="1"/>
  <c r="H32" i="6"/>
  <c r="E21" i="6"/>
  <c r="F23" i="6"/>
  <c r="G23" i="6" s="1"/>
  <c r="H23" i="6"/>
  <c r="E26" i="6"/>
  <c r="F21" i="6"/>
  <c r="G21" i="6" s="1"/>
  <c r="H21" i="6"/>
  <c r="E32" i="6"/>
  <c r="F22" i="6"/>
  <c r="G22" i="6" s="1"/>
  <c r="H22" i="6"/>
  <c r="E31" i="6"/>
  <c r="F24" i="6"/>
  <c r="G24" i="6" s="1"/>
  <c r="H24" i="6"/>
  <c r="E25" i="6"/>
  <c r="F25" i="6"/>
  <c r="G25" i="6" s="1"/>
  <c r="H25" i="6"/>
  <c r="E24" i="6"/>
  <c r="F26" i="6"/>
  <c r="G26" i="6" s="1"/>
  <c r="H26" i="6"/>
  <c r="E23" i="6"/>
  <c r="F27" i="6"/>
  <c r="G27" i="6" s="1"/>
  <c r="H27" i="6"/>
  <c r="E30" i="6"/>
  <c r="F28" i="6"/>
  <c r="G28" i="6" s="1"/>
  <c r="H28" i="6"/>
  <c r="E29" i="6"/>
  <c r="F17" i="6"/>
  <c r="H17" i="6"/>
  <c r="L13" i="13" s="1"/>
  <c r="E11" i="6"/>
  <c r="H6" i="6"/>
  <c r="L2" i="13" s="1"/>
  <c r="E15" i="6"/>
  <c r="F7" i="6"/>
  <c r="H7" i="6"/>
  <c r="L3" i="13" s="1"/>
  <c r="E14" i="6"/>
  <c r="F8" i="6"/>
  <c r="H8" i="6"/>
  <c r="L4" i="13" s="1"/>
  <c r="E13" i="6"/>
  <c r="F9" i="6"/>
  <c r="H9" i="6"/>
  <c r="L5" i="13" s="1"/>
  <c r="E12" i="6"/>
  <c r="F10" i="6"/>
  <c r="H10" i="6"/>
  <c r="L6" i="13" s="1"/>
  <c r="E16" i="6"/>
  <c r="F13" i="6"/>
  <c r="H13" i="6"/>
  <c r="L9" i="13" s="1"/>
  <c r="E8" i="6"/>
  <c r="F14" i="6"/>
  <c r="H14" i="6"/>
  <c r="L10" i="13" s="1"/>
  <c r="E7" i="6"/>
  <c r="F11" i="6"/>
  <c r="H11" i="6"/>
  <c r="L7" i="13" s="1"/>
  <c r="E17" i="6"/>
  <c r="F15" i="6"/>
  <c r="H15" i="6"/>
  <c r="L11" i="13" s="1"/>
  <c r="E6" i="6"/>
  <c r="F6" i="6" s="1"/>
  <c r="F12" i="6"/>
  <c r="H12" i="6"/>
  <c r="L8" i="13" s="1"/>
  <c r="E9" i="6"/>
  <c r="F16" i="6"/>
  <c r="H16" i="6"/>
  <c r="L12" i="13" s="1"/>
  <c r="E10" i="6"/>
  <c r="F92" i="5"/>
  <c r="G92" i="5" s="1"/>
  <c r="I92" i="5" s="1"/>
  <c r="H92" i="5"/>
  <c r="H13" i="13" s="1"/>
  <c r="H14" i="8" s="1"/>
  <c r="E85" i="5"/>
  <c r="F85" i="5" s="1"/>
  <c r="G85" i="5" s="1"/>
  <c r="H89" i="5"/>
  <c r="E81" i="5"/>
  <c r="H90" i="5"/>
  <c r="E82" i="5"/>
  <c r="F83" i="5"/>
  <c r="G83" i="5" s="1"/>
  <c r="I83" i="5" s="1"/>
  <c r="H83" i="5"/>
  <c r="E87" i="5"/>
  <c r="F87" i="5" s="1"/>
  <c r="G87" i="5" s="1"/>
  <c r="F82" i="5"/>
  <c r="G82" i="5" s="1"/>
  <c r="I82" i="5" s="1"/>
  <c r="H82" i="5"/>
  <c r="E90" i="5"/>
  <c r="F90" i="5" s="1"/>
  <c r="G90" i="5" s="1"/>
  <c r="I90" i="5" s="1"/>
  <c r="F81" i="5"/>
  <c r="G81" i="5" s="1"/>
  <c r="I81" i="5" s="1"/>
  <c r="H81" i="5"/>
  <c r="H2" i="13" s="1"/>
  <c r="H3" i="8" s="1"/>
  <c r="E89" i="5"/>
  <c r="F89" i="5" s="1"/>
  <c r="G89" i="5" s="1"/>
  <c r="H91" i="5"/>
  <c r="E86" i="5"/>
  <c r="H88" i="5"/>
  <c r="E84" i="5"/>
  <c r="F84" i="5"/>
  <c r="G84" i="5" s="1"/>
  <c r="H84" i="5"/>
  <c r="H5" i="13" s="1"/>
  <c r="H6" i="8" s="1"/>
  <c r="E88" i="5"/>
  <c r="F88" i="5" s="1"/>
  <c r="G88" i="5" s="1"/>
  <c r="H85" i="5"/>
  <c r="E92" i="5"/>
  <c r="F86" i="5"/>
  <c r="G86" i="5" s="1"/>
  <c r="H86" i="5"/>
  <c r="H7" i="13" s="1"/>
  <c r="H8" i="8" s="1"/>
  <c r="E91" i="5"/>
  <c r="F91" i="5" s="1"/>
  <c r="G91" i="5" s="1"/>
  <c r="H87" i="5"/>
  <c r="E83" i="5"/>
  <c r="F69" i="5"/>
  <c r="G69" i="5" s="1"/>
  <c r="H69" i="5"/>
  <c r="G5" i="13" s="1"/>
  <c r="G6" i="8" s="1"/>
  <c r="E71" i="5"/>
  <c r="F71" i="5" s="1"/>
  <c r="G71" i="5" s="1"/>
  <c r="F66" i="5"/>
  <c r="G66" i="5" s="1"/>
  <c r="H66" i="5"/>
  <c r="G2" i="13" s="1"/>
  <c r="G3" i="8" s="1"/>
  <c r="E76" i="5"/>
  <c r="F76" i="5" s="1"/>
  <c r="G76" i="5" s="1"/>
  <c r="F77" i="5"/>
  <c r="G77" i="5" s="1"/>
  <c r="H77" i="5"/>
  <c r="G13" i="13" s="1"/>
  <c r="G14" i="8" s="1"/>
  <c r="E67" i="5"/>
  <c r="F67" i="5" s="1"/>
  <c r="G67" i="5" s="1"/>
  <c r="F72" i="5"/>
  <c r="G72" i="5" s="1"/>
  <c r="I72" i="5" s="1"/>
  <c r="H72" i="5"/>
  <c r="E75" i="5"/>
  <c r="F75" i="5" s="1"/>
  <c r="G75" i="5" s="1"/>
  <c r="F70" i="5"/>
  <c r="G70" i="5" s="1"/>
  <c r="I70" i="5" s="1"/>
  <c r="H70" i="5"/>
  <c r="G6" i="13" s="1"/>
  <c r="G7" i="8" s="1"/>
  <c r="E68" i="5"/>
  <c r="F68" i="5" s="1"/>
  <c r="G68" i="5" s="1"/>
  <c r="F73" i="5"/>
  <c r="G73" i="5" s="1"/>
  <c r="I73" i="5" s="1"/>
  <c r="H73" i="5"/>
  <c r="E74" i="5"/>
  <c r="F74" i="5" s="1"/>
  <c r="G74" i="5" s="1"/>
  <c r="H74" i="5"/>
  <c r="E73" i="5"/>
  <c r="H75" i="5"/>
  <c r="E72" i="5"/>
  <c r="H67" i="5"/>
  <c r="E77" i="5"/>
  <c r="H76" i="5"/>
  <c r="E66" i="5"/>
  <c r="H71" i="5"/>
  <c r="E69" i="5"/>
  <c r="H68" i="5"/>
  <c r="E70" i="5"/>
  <c r="H51" i="5"/>
  <c r="E58" i="5"/>
  <c r="H56" i="5"/>
  <c r="E59" i="5"/>
  <c r="F59" i="5" s="1"/>
  <c r="G59" i="5" s="1"/>
  <c r="H54" i="5"/>
  <c r="E61" i="5"/>
  <c r="F61" i="5"/>
  <c r="G61" i="5" s="1"/>
  <c r="H61" i="5"/>
  <c r="F12" i="13" s="1"/>
  <c r="F13" i="8" s="1"/>
  <c r="E54" i="5"/>
  <c r="F54" i="5" s="1"/>
  <c r="G54" i="5" s="1"/>
  <c r="H52" i="5"/>
  <c r="E57" i="5"/>
  <c r="F53" i="5"/>
  <c r="G53" i="5" s="1"/>
  <c r="H53" i="5"/>
  <c r="F4" i="13" s="1"/>
  <c r="F5" i="8" s="1"/>
  <c r="E62" i="5"/>
  <c r="F62" i="5" s="1"/>
  <c r="G62" i="5" s="1"/>
  <c r="F55" i="5"/>
  <c r="G55" i="5" s="1"/>
  <c r="I55" i="5" s="1"/>
  <c r="H55" i="5"/>
  <c r="E60" i="5"/>
  <c r="H62" i="5"/>
  <c r="E53" i="5"/>
  <c r="F60" i="5"/>
  <c r="G60" i="5" s="1"/>
  <c r="H60" i="5"/>
  <c r="F11" i="13" s="1"/>
  <c r="F12" i="8" s="1"/>
  <c r="E55" i="5"/>
  <c r="H59" i="5"/>
  <c r="E56" i="5"/>
  <c r="F56" i="5" s="1"/>
  <c r="G56" i="5" s="1"/>
  <c r="F58" i="5"/>
  <c r="G58" i="5" s="1"/>
  <c r="I58" i="5" s="1"/>
  <c r="H58" i="5"/>
  <c r="E51" i="5"/>
  <c r="F51" i="5" s="1"/>
  <c r="G51" i="5" s="1"/>
  <c r="F57" i="5"/>
  <c r="G57" i="5" s="1"/>
  <c r="H57" i="5"/>
  <c r="F8" i="13" s="1"/>
  <c r="F9" i="8" s="1"/>
  <c r="E52" i="5"/>
  <c r="F52" i="5" s="1"/>
  <c r="G52" i="5" s="1"/>
  <c r="F47" i="5"/>
  <c r="G47" i="5" s="1"/>
  <c r="H47" i="5"/>
  <c r="E13" i="13" s="1"/>
  <c r="E14" i="8" s="1"/>
  <c r="E39" i="5"/>
  <c r="H46" i="5"/>
  <c r="E38" i="5"/>
  <c r="F38" i="5" s="1"/>
  <c r="G38" i="5" s="1"/>
  <c r="H45" i="5"/>
  <c r="E41" i="5"/>
  <c r="F44" i="5"/>
  <c r="G44" i="5" s="1"/>
  <c r="H44" i="5"/>
  <c r="E10" i="13" s="1"/>
  <c r="E11" i="8" s="1"/>
  <c r="E40" i="5"/>
  <c r="F40" i="5" s="1"/>
  <c r="G40" i="5" s="1"/>
  <c r="F43" i="5"/>
  <c r="G43" i="5" s="1"/>
  <c r="H43" i="5"/>
  <c r="E9" i="13" s="1"/>
  <c r="E10" i="8" s="1"/>
  <c r="E37" i="5"/>
  <c r="F37" i="5" s="1"/>
  <c r="G37" i="5" s="1"/>
  <c r="F41" i="5"/>
  <c r="G41" i="5" s="1"/>
  <c r="H41" i="5"/>
  <c r="E7" i="13" s="1"/>
  <c r="E8" i="8" s="1"/>
  <c r="E45" i="5"/>
  <c r="F45" i="5" s="1"/>
  <c r="G45" i="5" s="1"/>
  <c r="F36" i="5"/>
  <c r="G36" i="5" s="1"/>
  <c r="H36" i="5"/>
  <c r="E2" i="13" s="1"/>
  <c r="E3" i="8" s="1"/>
  <c r="E42" i="5"/>
  <c r="H37" i="5"/>
  <c r="E43" i="5"/>
  <c r="F39" i="5"/>
  <c r="G39" i="5" s="1"/>
  <c r="H39" i="5"/>
  <c r="E5" i="13" s="1"/>
  <c r="E6" i="8" s="1"/>
  <c r="E47" i="5"/>
  <c r="H40" i="5"/>
  <c r="E44" i="5"/>
  <c r="F42" i="5"/>
  <c r="G42" i="5" s="1"/>
  <c r="H42" i="5"/>
  <c r="E8" i="13" s="1"/>
  <c r="E9" i="8" s="1"/>
  <c r="E36" i="5"/>
  <c r="H38" i="5"/>
  <c r="E46" i="5"/>
  <c r="F46" i="5" s="1"/>
  <c r="G46" i="5" s="1"/>
  <c r="H28" i="5"/>
  <c r="E31" i="5"/>
  <c r="F29" i="5"/>
  <c r="G29" i="5" s="1"/>
  <c r="H29" i="5"/>
  <c r="D10" i="13" s="1"/>
  <c r="D11" i="8" s="1"/>
  <c r="E24" i="5"/>
  <c r="F24" i="5" s="1"/>
  <c r="G24" i="5" s="1"/>
  <c r="F30" i="5"/>
  <c r="G30" i="5" s="1"/>
  <c r="H30" i="5"/>
  <c r="D11" i="13" s="1"/>
  <c r="D12" i="8" s="1"/>
  <c r="E23" i="5"/>
  <c r="F23" i="5" s="1"/>
  <c r="G23" i="5" s="1"/>
  <c r="F31" i="5"/>
  <c r="G31" i="5" s="1"/>
  <c r="H31" i="5"/>
  <c r="D12" i="13" s="1"/>
  <c r="D13" i="8" s="1"/>
  <c r="E28" i="5"/>
  <c r="F28" i="5" s="1"/>
  <c r="G28" i="5" s="1"/>
  <c r="F32" i="5"/>
  <c r="G32" i="5" s="1"/>
  <c r="I32" i="5" s="1"/>
  <c r="H32" i="5"/>
  <c r="D13" i="13" s="1"/>
  <c r="D14" i="8" s="1"/>
  <c r="E27" i="5"/>
  <c r="F27" i="5" s="1"/>
  <c r="G27" i="5" s="1"/>
  <c r="F21" i="5"/>
  <c r="G21" i="5" s="1"/>
  <c r="I21" i="5" s="1"/>
  <c r="H21" i="5"/>
  <c r="D2" i="13" s="1"/>
  <c r="D3" i="8" s="1"/>
  <c r="E26" i="5"/>
  <c r="F26" i="5" s="1"/>
  <c r="G26" i="5" s="1"/>
  <c r="F22" i="5"/>
  <c r="G22" i="5" s="1"/>
  <c r="I22" i="5" s="1"/>
  <c r="H22" i="5"/>
  <c r="D3" i="13" s="1"/>
  <c r="D4" i="8" s="1"/>
  <c r="E25" i="5"/>
  <c r="H23" i="5"/>
  <c r="E30" i="5"/>
  <c r="H24" i="5"/>
  <c r="E29" i="5"/>
  <c r="F25" i="5"/>
  <c r="G25" i="5" s="1"/>
  <c r="H25" i="5"/>
  <c r="D6" i="13" s="1"/>
  <c r="D7" i="8" s="1"/>
  <c r="E22" i="5"/>
  <c r="H26" i="5"/>
  <c r="E21" i="5"/>
  <c r="H27" i="5"/>
  <c r="E32" i="5"/>
  <c r="H17" i="5"/>
  <c r="E13" i="5"/>
  <c r="H9" i="5"/>
  <c r="E15" i="5"/>
  <c r="H6" i="5"/>
  <c r="E10" i="5"/>
  <c r="H7" i="5"/>
  <c r="E11" i="5"/>
  <c r="H8" i="5"/>
  <c r="E14" i="5"/>
  <c r="F10" i="5"/>
  <c r="H10" i="5"/>
  <c r="E6" i="5"/>
  <c r="F6" i="5" s="1"/>
  <c r="F11" i="5"/>
  <c r="H11" i="5"/>
  <c r="E7" i="5"/>
  <c r="F7" i="5" s="1"/>
  <c r="H12" i="5"/>
  <c r="E16" i="5"/>
  <c r="F13" i="5"/>
  <c r="H13" i="5"/>
  <c r="E17" i="5"/>
  <c r="F17" i="5" s="1"/>
  <c r="F14" i="5"/>
  <c r="H14" i="5"/>
  <c r="E8" i="5"/>
  <c r="F8" i="5" s="1"/>
  <c r="F15" i="5"/>
  <c r="H15" i="5"/>
  <c r="E9" i="5"/>
  <c r="F9" i="5" s="1"/>
  <c r="F16" i="5"/>
  <c r="H16" i="5"/>
  <c r="E12" i="5"/>
  <c r="F12" i="5" s="1"/>
  <c r="I51" i="6"/>
  <c r="I43" i="6"/>
  <c r="B9" i="9" l="1"/>
  <c r="B8" i="9"/>
  <c r="B7" i="9"/>
  <c r="G51" i="7"/>
  <c r="H51" i="7"/>
  <c r="G52" i="7"/>
  <c r="H52" i="7"/>
  <c r="G53" i="7"/>
  <c r="H53" i="7"/>
  <c r="G54" i="7"/>
  <c r="H54" i="7"/>
  <c r="G55" i="7"/>
  <c r="H55" i="7"/>
  <c r="G56" i="7"/>
  <c r="H56" i="7"/>
  <c r="G57" i="7"/>
  <c r="H57" i="7"/>
  <c r="G58" i="7"/>
  <c r="H58" i="7"/>
  <c r="G59" i="7"/>
  <c r="H59" i="7"/>
  <c r="G60" i="7"/>
  <c r="H60" i="7"/>
  <c r="G61" i="7"/>
  <c r="H61" i="7"/>
  <c r="H62" i="7"/>
  <c r="G62" i="7"/>
  <c r="G36" i="7"/>
  <c r="H36" i="7"/>
  <c r="G37" i="7"/>
  <c r="H37" i="7"/>
  <c r="G38" i="7"/>
  <c r="H38" i="7"/>
  <c r="G39" i="7"/>
  <c r="H39" i="7"/>
  <c r="G40" i="7"/>
  <c r="H40" i="7"/>
  <c r="G41" i="7"/>
  <c r="H41" i="7"/>
  <c r="G42" i="7"/>
  <c r="H42" i="7"/>
  <c r="G43" i="7"/>
  <c r="H43" i="7"/>
  <c r="G44" i="7"/>
  <c r="H44" i="7"/>
  <c r="G45" i="7"/>
  <c r="H45" i="7"/>
  <c r="G46" i="7"/>
  <c r="H46" i="7"/>
  <c r="G47" i="7"/>
  <c r="H47" i="7"/>
  <c r="G21" i="7"/>
  <c r="H21" i="7"/>
  <c r="G22" i="7"/>
  <c r="H22" i="7"/>
  <c r="G23" i="7"/>
  <c r="H23" i="7"/>
  <c r="G24" i="7"/>
  <c r="H24" i="7"/>
  <c r="G25" i="7"/>
  <c r="H25" i="7"/>
  <c r="G26" i="7"/>
  <c r="H26" i="7"/>
  <c r="G27" i="7"/>
  <c r="H27" i="7"/>
  <c r="G28" i="7"/>
  <c r="H28" i="7"/>
  <c r="G29" i="7"/>
  <c r="H29" i="7"/>
  <c r="G30" i="7"/>
  <c r="H30" i="7"/>
  <c r="G31" i="7"/>
  <c r="H31" i="7"/>
  <c r="G32" i="7"/>
  <c r="H32" i="7"/>
  <c r="G6" i="7"/>
  <c r="H6" i="7"/>
  <c r="G7" i="7"/>
  <c r="H7" i="7"/>
  <c r="H9" i="7"/>
  <c r="G9" i="7"/>
  <c r="H12" i="7"/>
  <c r="G12" i="7"/>
  <c r="H13" i="7"/>
  <c r="G13" i="7"/>
  <c r="G14" i="7"/>
  <c r="H14" i="7"/>
  <c r="G15" i="7"/>
  <c r="H15" i="7"/>
  <c r="G16" i="7"/>
  <c r="H16" i="7"/>
  <c r="G17" i="7"/>
  <c r="H17" i="7"/>
  <c r="H8" i="7"/>
  <c r="G8" i="7"/>
  <c r="H11" i="7"/>
  <c r="G11" i="7"/>
  <c r="G10" i="7"/>
  <c r="H10" i="7"/>
  <c r="G89" i="7"/>
  <c r="H89" i="7"/>
  <c r="G81" i="7"/>
  <c r="H81" i="7"/>
  <c r="G82" i="7"/>
  <c r="H82" i="7"/>
  <c r="G83" i="7"/>
  <c r="H83" i="7"/>
  <c r="G84" i="7"/>
  <c r="H84" i="7"/>
  <c r="G88" i="7"/>
  <c r="H88" i="7"/>
  <c r="G87" i="7"/>
  <c r="H87" i="7"/>
  <c r="G86" i="7"/>
  <c r="H86" i="7"/>
  <c r="G85" i="7"/>
  <c r="H85" i="7"/>
  <c r="G90" i="7"/>
  <c r="H90" i="7"/>
  <c r="G92" i="7"/>
  <c r="H92" i="7"/>
  <c r="G91" i="7"/>
  <c r="H91" i="7"/>
  <c r="H66" i="7"/>
  <c r="G66" i="7"/>
  <c r="G74" i="7"/>
  <c r="H74" i="7"/>
  <c r="G75" i="7"/>
  <c r="H75" i="7"/>
  <c r="G76" i="7"/>
  <c r="H76" i="7"/>
  <c r="G77" i="7"/>
  <c r="H77" i="7"/>
  <c r="G67" i="7"/>
  <c r="H67" i="7"/>
  <c r="G68" i="7"/>
  <c r="H68" i="7"/>
  <c r="G69" i="7"/>
  <c r="H69" i="7"/>
  <c r="G70" i="7"/>
  <c r="H70" i="7"/>
  <c r="G71" i="7"/>
  <c r="H71" i="7"/>
  <c r="G72" i="7"/>
  <c r="H72" i="7"/>
  <c r="G73" i="7"/>
  <c r="H73" i="7"/>
  <c r="G17" i="6"/>
  <c r="I17" i="6" s="1"/>
  <c r="S13" i="13"/>
  <c r="J29" i="8" s="1"/>
  <c r="R13" i="13"/>
  <c r="C29" i="8"/>
  <c r="K29" i="8"/>
  <c r="G6" i="6"/>
  <c r="I6" i="6" s="1"/>
  <c r="S2" i="13"/>
  <c r="J18" i="8" s="1"/>
  <c r="R2" i="13"/>
  <c r="C18" i="8"/>
  <c r="K18" i="8"/>
  <c r="G7" i="6"/>
  <c r="I7" i="6" s="1"/>
  <c r="S3" i="13"/>
  <c r="J19" i="8" s="1"/>
  <c r="R3" i="13"/>
  <c r="C19" i="8"/>
  <c r="K19" i="8"/>
  <c r="G8" i="6"/>
  <c r="I8" i="6" s="1"/>
  <c r="S4" i="13"/>
  <c r="J20" i="8" s="1"/>
  <c r="R4" i="13"/>
  <c r="C20" i="8"/>
  <c r="K20" i="8"/>
  <c r="G9" i="6"/>
  <c r="I9" i="6" s="1"/>
  <c r="S5" i="13"/>
  <c r="J21" i="8" s="1"/>
  <c r="R5" i="13"/>
  <c r="C21" i="8"/>
  <c r="K21" i="8"/>
  <c r="G10" i="6"/>
  <c r="I10" i="6" s="1"/>
  <c r="S6" i="13"/>
  <c r="J22" i="8" s="1"/>
  <c r="R6" i="13"/>
  <c r="C22" i="8"/>
  <c r="K22" i="8"/>
  <c r="G13" i="6"/>
  <c r="I13" i="6" s="1"/>
  <c r="S9" i="13"/>
  <c r="J25" i="8" s="1"/>
  <c r="R9" i="13"/>
  <c r="C25" i="8"/>
  <c r="K25" i="8"/>
  <c r="G14" i="6"/>
  <c r="I14" i="6" s="1"/>
  <c r="S10" i="13"/>
  <c r="J26" i="8" s="1"/>
  <c r="R10" i="13"/>
  <c r="C26" i="8"/>
  <c r="K26" i="8"/>
  <c r="G11" i="6"/>
  <c r="I11" i="6" s="1"/>
  <c r="S7" i="13"/>
  <c r="J23" i="8" s="1"/>
  <c r="R7" i="13"/>
  <c r="C23" i="8"/>
  <c r="K23" i="8"/>
  <c r="G15" i="6"/>
  <c r="I15" i="6" s="1"/>
  <c r="S11" i="13"/>
  <c r="J27" i="8" s="1"/>
  <c r="R11" i="13"/>
  <c r="C27" i="8"/>
  <c r="K27" i="8"/>
  <c r="G12" i="6"/>
  <c r="I12" i="6" s="1"/>
  <c r="S8" i="13"/>
  <c r="J24" i="8" s="1"/>
  <c r="R8" i="13"/>
  <c r="C24" i="8"/>
  <c r="K24" i="8"/>
  <c r="G16" i="6"/>
  <c r="I16" i="6" s="1"/>
  <c r="S12" i="13"/>
  <c r="J28" i="8" s="1"/>
  <c r="R12" i="13"/>
  <c r="C28" i="8"/>
  <c r="K28" i="8"/>
  <c r="G17" i="5"/>
  <c r="J13" i="13"/>
  <c r="J14" i="8" s="1"/>
  <c r="G9" i="5"/>
  <c r="J5" i="13"/>
  <c r="J6" i="8" s="1"/>
  <c r="G6" i="5"/>
  <c r="J2" i="13"/>
  <c r="J3" i="8" s="1"/>
  <c r="G7" i="5"/>
  <c r="J3" i="13"/>
  <c r="J4" i="8" s="1"/>
  <c r="G8" i="5"/>
  <c r="J4" i="13"/>
  <c r="J5" i="8" s="1"/>
  <c r="G10" i="5"/>
  <c r="J6" i="13"/>
  <c r="J7" i="8" s="1"/>
  <c r="G11" i="5"/>
  <c r="J7" i="13"/>
  <c r="J8" i="8" s="1"/>
  <c r="G12" i="5"/>
  <c r="J8" i="13"/>
  <c r="J9" i="8" s="1"/>
  <c r="G13" i="5"/>
  <c r="J9" i="13"/>
  <c r="J10" i="8" s="1"/>
  <c r="G14" i="5"/>
  <c r="J10" i="13"/>
  <c r="J11" i="8" s="1"/>
  <c r="G15" i="5"/>
  <c r="J11" i="13"/>
  <c r="J12" i="8" s="1"/>
  <c r="G16" i="5"/>
  <c r="J12" i="13"/>
  <c r="J13" i="8" s="1"/>
  <c r="H11" i="13"/>
  <c r="H12" i="8" s="1"/>
  <c r="H3" i="13"/>
  <c r="H4" i="8" s="1"/>
  <c r="I91" i="6"/>
  <c r="I90" i="6"/>
  <c r="I89" i="6"/>
  <c r="I88" i="6"/>
  <c r="I87" i="6"/>
  <c r="I86" i="6"/>
  <c r="I85" i="6"/>
  <c r="I83" i="6"/>
  <c r="I82" i="6"/>
  <c r="I81" i="6"/>
  <c r="I84" i="6"/>
  <c r="I76" i="6"/>
  <c r="I75" i="6"/>
  <c r="I74" i="6"/>
  <c r="I73" i="6"/>
  <c r="I72" i="6"/>
  <c r="I71" i="6"/>
  <c r="H4" i="13"/>
  <c r="H5" i="8" s="1"/>
  <c r="I70" i="6"/>
  <c r="I69" i="6"/>
  <c r="I68" i="6"/>
  <c r="I67" i="6"/>
  <c r="I66" i="6"/>
  <c r="I77" i="6"/>
  <c r="I61" i="6"/>
  <c r="I60" i="6"/>
  <c r="I62" i="6"/>
  <c r="I59" i="6"/>
  <c r="I58" i="6"/>
  <c r="I57" i="6"/>
  <c r="I56" i="6"/>
  <c r="G8" i="13"/>
  <c r="G9" i="8" s="1"/>
  <c r="G9" i="13"/>
  <c r="G10" i="8" s="1"/>
  <c r="I40" i="6"/>
  <c r="I39" i="6"/>
  <c r="I38" i="6"/>
  <c r="I37" i="6"/>
  <c r="I29" i="6"/>
  <c r="I30" i="6"/>
  <c r="I31" i="6"/>
  <c r="I32" i="6"/>
  <c r="I23" i="6"/>
  <c r="I21" i="6"/>
  <c r="I22" i="6"/>
  <c r="I24" i="6"/>
  <c r="I25" i="6"/>
  <c r="I26" i="6"/>
  <c r="I27" i="6"/>
  <c r="I28" i="6"/>
  <c r="I84" i="5"/>
  <c r="I86" i="5"/>
  <c r="I69" i="5"/>
  <c r="I66" i="5"/>
  <c r="I77" i="5"/>
  <c r="I61" i="5"/>
  <c r="I53" i="5"/>
  <c r="F9" i="13"/>
  <c r="F10" i="8" s="1"/>
  <c r="I57" i="5"/>
  <c r="I47" i="5"/>
  <c r="I44" i="5"/>
  <c r="I43" i="5"/>
  <c r="I41" i="5"/>
  <c r="I36" i="5"/>
  <c r="F6" i="13"/>
  <c r="F7" i="8" s="1"/>
  <c r="I60" i="5"/>
  <c r="I39" i="5"/>
  <c r="I42" i="5"/>
  <c r="I29" i="5"/>
  <c r="I30" i="5"/>
  <c r="I31" i="5"/>
  <c r="I25" i="5"/>
  <c r="H6" i="13"/>
  <c r="H7" i="8" s="1"/>
  <c r="I85" i="5"/>
  <c r="H8" i="13"/>
  <c r="H9" i="8" s="1"/>
  <c r="I87" i="5"/>
  <c r="H10" i="13"/>
  <c r="H11" i="8" s="1"/>
  <c r="I89" i="5"/>
  <c r="H9" i="13"/>
  <c r="H10" i="8" s="1"/>
  <c r="I88" i="5"/>
  <c r="H12" i="13"/>
  <c r="H13" i="8" s="1"/>
  <c r="I91" i="5"/>
  <c r="G7" i="13"/>
  <c r="G8" i="8" s="1"/>
  <c r="I71" i="5"/>
  <c r="G12" i="13"/>
  <c r="G13" i="8" s="1"/>
  <c r="I76" i="5"/>
  <c r="G3" i="13"/>
  <c r="G4" i="8" s="1"/>
  <c r="I67" i="5"/>
  <c r="G11" i="13"/>
  <c r="G12" i="8" s="1"/>
  <c r="I75" i="5"/>
  <c r="G4" i="13"/>
  <c r="G5" i="8" s="1"/>
  <c r="I68" i="5"/>
  <c r="G10" i="13"/>
  <c r="G11" i="8" s="1"/>
  <c r="I74" i="5"/>
  <c r="F10" i="13"/>
  <c r="F11" i="8" s="1"/>
  <c r="I59" i="5"/>
  <c r="F5" i="13"/>
  <c r="F6" i="8" s="1"/>
  <c r="I54" i="5"/>
  <c r="F13" i="13"/>
  <c r="F14" i="8" s="1"/>
  <c r="I62" i="5"/>
  <c r="F7" i="13"/>
  <c r="F8" i="8" s="1"/>
  <c r="I56" i="5"/>
  <c r="F2" i="13"/>
  <c r="F3" i="8" s="1"/>
  <c r="I51" i="5"/>
  <c r="F3" i="13"/>
  <c r="F4" i="8" s="1"/>
  <c r="I52" i="5"/>
  <c r="E4" i="13"/>
  <c r="E5" i="8" s="1"/>
  <c r="I38" i="5"/>
  <c r="E6" i="13"/>
  <c r="E7" i="8" s="1"/>
  <c r="I40" i="5"/>
  <c r="E3" i="13"/>
  <c r="E4" i="8" s="1"/>
  <c r="I37" i="5"/>
  <c r="E11" i="13"/>
  <c r="E12" i="8" s="1"/>
  <c r="I45" i="5"/>
  <c r="E12" i="13"/>
  <c r="E13" i="8" s="1"/>
  <c r="I46" i="5"/>
  <c r="D5" i="13"/>
  <c r="D6" i="8" s="1"/>
  <c r="I24" i="5"/>
  <c r="D4" i="13"/>
  <c r="D5" i="8" s="1"/>
  <c r="I23" i="5"/>
  <c r="D9" i="13"/>
  <c r="D10" i="8" s="1"/>
  <c r="I28" i="5"/>
  <c r="D8" i="13"/>
  <c r="D9" i="8" s="1"/>
  <c r="I27" i="5"/>
  <c r="D7" i="13"/>
  <c r="D8" i="8" s="1"/>
  <c r="I26" i="5"/>
  <c r="T13" i="13" l="1"/>
  <c r="H68" i="8" s="1"/>
  <c r="I29" i="8"/>
  <c r="D68" i="8"/>
  <c r="T2" i="13"/>
  <c r="I18" i="8"/>
  <c r="D57" i="8"/>
  <c r="T3" i="13"/>
  <c r="H58" i="8" s="1"/>
  <c r="I19" i="8"/>
  <c r="D58" i="8"/>
  <c r="T4" i="13"/>
  <c r="H59" i="8" s="1"/>
  <c r="I20" i="8"/>
  <c r="D59" i="8"/>
  <c r="T5" i="13"/>
  <c r="H60" i="8" s="1"/>
  <c r="I21" i="8"/>
  <c r="D60" i="8"/>
  <c r="T6" i="13"/>
  <c r="H61" i="8" s="1"/>
  <c r="I22" i="8"/>
  <c r="D61" i="8"/>
  <c r="T9" i="13"/>
  <c r="H64" i="8" s="1"/>
  <c r="I25" i="8"/>
  <c r="D64" i="8"/>
  <c r="T10" i="13"/>
  <c r="H65" i="8" s="1"/>
  <c r="I26" i="8"/>
  <c r="D65" i="8"/>
  <c r="T7" i="13"/>
  <c r="H62" i="8" s="1"/>
  <c r="I23" i="8"/>
  <c r="D62" i="8"/>
  <c r="T11" i="13"/>
  <c r="H66" i="8" s="1"/>
  <c r="I27" i="8"/>
  <c r="D66" i="8"/>
  <c r="T8" i="13"/>
  <c r="H63" i="8" s="1"/>
  <c r="I24" i="8"/>
  <c r="D63" i="8"/>
  <c r="T12" i="13"/>
  <c r="H67" i="8" s="1"/>
  <c r="I28" i="8"/>
  <c r="D67" i="8"/>
  <c r="C13" i="13"/>
  <c r="I17" i="5"/>
  <c r="C5" i="13"/>
  <c r="I9" i="5"/>
  <c r="C2" i="13"/>
  <c r="I6" i="5"/>
  <c r="C3" i="13"/>
  <c r="I7" i="5"/>
  <c r="C4" i="13"/>
  <c r="I8" i="5"/>
  <c r="C6" i="13"/>
  <c r="I10" i="5"/>
  <c r="C7" i="13"/>
  <c r="I11" i="5"/>
  <c r="C8" i="13"/>
  <c r="I12" i="5"/>
  <c r="C9" i="13"/>
  <c r="I13" i="5"/>
  <c r="C10" i="13"/>
  <c r="I14" i="5"/>
  <c r="C11" i="13"/>
  <c r="I15" i="5"/>
  <c r="C12" i="13"/>
  <c r="I16" i="5"/>
  <c r="B6" i="9" l="1"/>
  <c r="H57" i="8"/>
  <c r="K14" i="8"/>
  <c r="C14" i="8"/>
  <c r="I13" i="13"/>
  <c r="K6" i="8"/>
  <c r="C6" i="8"/>
  <c r="I5" i="13"/>
  <c r="K3" i="8"/>
  <c r="C3" i="8"/>
  <c r="I2" i="13"/>
  <c r="K4" i="8"/>
  <c r="C4" i="8"/>
  <c r="I3" i="13"/>
  <c r="K5" i="8"/>
  <c r="C5" i="8"/>
  <c r="I4" i="13"/>
  <c r="K7" i="8"/>
  <c r="C7" i="8"/>
  <c r="I6" i="13"/>
  <c r="K8" i="8"/>
  <c r="C8" i="8"/>
  <c r="I7" i="13"/>
  <c r="K9" i="8"/>
  <c r="C9" i="8"/>
  <c r="I8" i="13"/>
  <c r="K10" i="8"/>
  <c r="C10" i="8"/>
  <c r="I9" i="13"/>
  <c r="K11" i="8"/>
  <c r="C11" i="8"/>
  <c r="I10" i="13"/>
  <c r="K12" i="8"/>
  <c r="C12" i="8"/>
  <c r="I11" i="13"/>
  <c r="K13" i="8"/>
  <c r="C13" i="8"/>
  <c r="I12" i="13"/>
  <c r="K13" i="13" l="1"/>
  <c r="G68" i="8" s="1"/>
  <c r="AE13" i="13"/>
  <c r="I14" i="8"/>
  <c r="C68" i="8"/>
  <c r="K5" i="13"/>
  <c r="G60" i="8" s="1"/>
  <c r="AE5" i="13"/>
  <c r="I6" i="8"/>
  <c r="C60" i="8"/>
  <c r="K2" i="13"/>
  <c r="AE2" i="13"/>
  <c r="I3" i="8"/>
  <c r="C57" i="8"/>
  <c r="K3" i="13"/>
  <c r="G58" i="8" s="1"/>
  <c r="AE3" i="13"/>
  <c r="I4" i="8"/>
  <c r="C58" i="8"/>
  <c r="K4" i="13"/>
  <c r="G59" i="8" s="1"/>
  <c r="AE4" i="13"/>
  <c r="I5" i="8"/>
  <c r="C59" i="8"/>
  <c r="K6" i="13"/>
  <c r="G61" i="8" s="1"/>
  <c r="AE6" i="13"/>
  <c r="I7" i="8"/>
  <c r="C61" i="8"/>
  <c r="K7" i="13"/>
  <c r="G62" i="8" s="1"/>
  <c r="AE7" i="13"/>
  <c r="I8" i="8"/>
  <c r="C62" i="8"/>
  <c r="K8" i="13"/>
  <c r="G63" i="8" s="1"/>
  <c r="AE8" i="13"/>
  <c r="I9" i="8"/>
  <c r="C63" i="8"/>
  <c r="K9" i="13"/>
  <c r="G64" i="8" s="1"/>
  <c r="AE9" i="13"/>
  <c r="I10" i="8"/>
  <c r="C64" i="8"/>
  <c r="K10" i="13"/>
  <c r="G65" i="8" s="1"/>
  <c r="AE10" i="13"/>
  <c r="I11" i="8"/>
  <c r="C65" i="8"/>
  <c r="K11" i="13"/>
  <c r="G66" i="8" s="1"/>
  <c r="AE11" i="13"/>
  <c r="I12" i="8"/>
  <c r="C66" i="8"/>
  <c r="K12" i="13"/>
  <c r="G67" i="8" s="1"/>
  <c r="AE12" i="13"/>
  <c r="I13" i="8"/>
  <c r="C67" i="8"/>
  <c r="AF13" i="13" l="1"/>
  <c r="I51" i="9"/>
  <c r="F68" i="8"/>
  <c r="AF5" i="13"/>
  <c r="F60" i="8"/>
  <c r="I43" i="9"/>
  <c r="B5" i="9"/>
  <c r="G57" i="8"/>
  <c r="AF2" i="13"/>
  <c r="I40" i="9"/>
  <c r="F57" i="8"/>
  <c r="AF3" i="13"/>
  <c r="I41" i="9"/>
  <c r="F58" i="8"/>
  <c r="AF4" i="13"/>
  <c r="I42" i="9"/>
  <c r="F59" i="8"/>
  <c r="AF6" i="13"/>
  <c r="F61" i="8"/>
  <c r="I44" i="9"/>
  <c r="AF7" i="13"/>
  <c r="I45" i="9"/>
  <c r="F62" i="8"/>
  <c r="AF8" i="13"/>
  <c r="I46" i="9"/>
  <c r="F63" i="8"/>
  <c r="AF9" i="13"/>
  <c r="I47" i="9"/>
  <c r="F64" i="8"/>
  <c r="AF10" i="13"/>
  <c r="F65" i="8"/>
  <c r="I48" i="9"/>
  <c r="AF11" i="13"/>
  <c r="F66" i="8"/>
  <c r="I49" i="9"/>
  <c r="AF12" i="13"/>
  <c r="F67" i="8"/>
  <c r="I50" i="9"/>
  <c r="C30" i="9" l="1"/>
  <c r="F30" i="9" s="1"/>
  <c r="C26" i="9"/>
  <c r="C31" i="9"/>
  <c r="F31" i="9" s="1"/>
  <c r="C32" i="9"/>
  <c r="F32" i="9" s="1"/>
  <c r="C34" i="9"/>
  <c r="F34" i="9" s="1"/>
  <c r="C35" i="9"/>
  <c r="F35" i="9" s="1"/>
  <c r="C36" i="9"/>
  <c r="F36" i="9" s="1"/>
  <c r="F5" i="9"/>
  <c r="C29" i="9"/>
  <c r="F29" i="9" s="1"/>
  <c r="C33" i="9"/>
  <c r="F33" i="9" s="1"/>
  <c r="C37" i="9"/>
  <c r="F37" i="9" s="1"/>
  <c r="E5" i="9"/>
  <c r="C27" i="9"/>
  <c r="F27" i="9" s="1"/>
  <c r="C28" i="9"/>
  <c r="F28" i="9" s="1"/>
  <c r="C38" i="9" l="1"/>
  <c r="F26" i="9"/>
  <c r="F38" i="9" s="1"/>
  <c r="E6" i="9"/>
  <c r="E7" i="9" s="1"/>
  <c r="B17" i="9"/>
  <c r="B5" i="10" s="1"/>
  <c r="B14" i="10" s="1"/>
  <c r="A6" i="11" s="1"/>
  <c r="B18" i="9" l="1"/>
  <c r="B6" i="10" s="1"/>
  <c r="B15" i="10" s="1"/>
  <c r="A7" i="11" s="1"/>
  <c r="F6" i="9"/>
  <c r="B19" i="9"/>
  <c r="B7" i="10" s="1"/>
  <c r="B16" i="10" s="1"/>
  <c r="A8" i="11" s="1"/>
  <c r="F7" i="9"/>
  <c r="B13" i="11"/>
  <c r="A22" i="11"/>
  <c r="E8" i="9"/>
  <c r="B14" i="11" l="1"/>
  <c r="A23" i="11"/>
  <c r="B15" i="11"/>
  <c r="A24" i="11"/>
  <c r="B20" i="9"/>
  <c r="B8" i="10" s="1"/>
  <c r="B17" i="10" s="1"/>
  <c r="A9" i="11" s="1"/>
  <c r="F8" i="9"/>
  <c r="E9" i="9"/>
  <c r="B16" i="11" l="1"/>
  <c r="A25" i="11"/>
  <c r="B21" i="9"/>
  <c r="B9" i="10" s="1"/>
  <c r="B18" i="10" s="1"/>
  <c r="F9" i="9"/>
  <c r="J44" i="9"/>
  <c r="K44" i="9" s="1"/>
  <c r="J45" i="9"/>
  <c r="K45" i="9" s="1"/>
  <c r="J46" i="9"/>
  <c r="K46" i="9" s="1"/>
  <c r="J40" i="9"/>
  <c r="K40" i="9" s="1"/>
  <c r="J42" i="9"/>
  <c r="K42" i="9" s="1"/>
  <c r="J51" i="9"/>
  <c r="K51" i="9" s="1"/>
  <c r="J47" i="9"/>
  <c r="K47" i="9" s="1"/>
  <c r="J48" i="9"/>
  <c r="K48" i="9" s="1"/>
  <c r="J50" i="9"/>
  <c r="K50" i="9" s="1"/>
  <c r="J43" i="9"/>
  <c r="K43" i="9" s="1"/>
  <c r="J49" i="9"/>
  <c r="K49" i="9" s="1"/>
  <c r="J41" i="9"/>
  <c r="K41" i="9" s="1"/>
  <c r="B13" i="9" l="1"/>
  <c r="B22" i="9" s="1"/>
  <c r="B10" i="10" s="1"/>
  <c r="B19" i="10" s="1"/>
  <c r="C13" i="9"/>
</calcChain>
</file>

<file path=xl/sharedStrings.xml><?xml version="1.0" encoding="utf-8"?>
<sst xmlns="http://schemas.openxmlformats.org/spreadsheetml/2006/main" count="4355" uniqueCount="359">
  <si>
    <t>NFL PICKS LEAGUE — ROSTER</t>
  </si>
  <si>
    <t>Player #</t>
  </si>
  <si>
    <t>Player Name</t>
  </si>
  <si>
    <t>Division</t>
  </si>
  <si>
    <t>Division Name</t>
  </si>
  <si>
    <t>Evan Loeser</t>
  </si>
  <si>
    <t>A</t>
  </si>
  <si>
    <t>Division A</t>
  </si>
  <si>
    <t>Chris Simmons</t>
  </si>
  <si>
    <t>Jack Smith</t>
  </si>
  <si>
    <t>Luke Ussery</t>
  </si>
  <si>
    <t>Mikayla Simmons</t>
  </si>
  <si>
    <t>B</t>
  </si>
  <si>
    <t>Division B</t>
  </si>
  <si>
    <t>Alan Loeser</t>
  </si>
  <si>
    <t>Caleb Simmons</t>
  </si>
  <si>
    <t>Larry Loeser</t>
  </si>
  <si>
    <t>Daddy Michael</t>
  </si>
  <si>
    <t>C</t>
  </si>
  <si>
    <t>Division C</t>
  </si>
  <si>
    <t>Zach Zarra</t>
  </si>
  <si>
    <t>Jeffrey Loeser</t>
  </si>
  <si>
    <t>Jake Andrews</t>
  </si>
  <si>
    <t>CURRENT WEEK:</t>
  </si>
  <si>
    <t>Div A: 1-4 | Div B: 5-8 | Div C: 9-12</t>
  </si>
  <si>
    <t>WEEKS 1-6 (Inter-Division)</t>
  </si>
  <si>
    <t>Week 1</t>
  </si>
  <si>
    <t>#</t>
  </si>
  <si>
    <t>P#</t>
  </si>
  <si>
    <t>Name</t>
  </si>
  <si>
    <t>vs</t>
  </si>
  <si>
    <t>Week 2</t>
  </si>
  <si>
    <t>Week 3</t>
  </si>
  <si>
    <t>Week 4</t>
  </si>
  <si>
    <t>Week 5</t>
  </si>
  <si>
    <t>Week 6</t>
  </si>
  <si>
    <t>WEEKS 7-12 (Inter-Division)</t>
  </si>
  <si>
    <t>Week 7</t>
  </si>
  <si>
    <t>Week 8</t>
  </si>
  <si>
    <t>Week 9</t>
  </si>
  <si>
    <t>Week 10</t>
  </si>
  <si>
    <t>Week 11</t>
  </si>
  <si>
    <t>Week 12</t>
  </si>
  <si>
    <t>WEEKS 13-18 (Divisional Round-Robin)</t>
  </si>
  <si>
    <t>Week 13</t>
  </si>
  <si>
    <t>Week 14</t>
  </si>
  <si>
    <t>Week 15</t>
  </si>
  <si>
    <t>Week 16</t>
  </si>
  <si>
    <t>Week 17</t>
  </si>
  <si>
    <t>Week 18</t>
  </si>
  <si>
    <t>PICKS DETAIL — Enter each player's ATS pick per game</t>
  </si>
  <si>
    <t>Enter team abbreviation (e.g. SEA, NE). Green = correct, Red = wrong.</t>
  </si>
  <si>
    <t>WEEK 1</t>
  </si>
  <si>
    <t>Away</t>
  </si>
  <si>
    <t>@</t>
  </si>
  <si>
    <t>Home</t>
  </si>
  <si>
    <t>ATS Winner</t>
  </si>
  <si>
    <t>NE</t>
  </si>
  <si>
    <t>SEA</t>
  </si>
  <si>
    <t>SF</t>
  </si>
  <si>
    <t>LAR</t>
  </si>
  <si>
    <t>CHI</t>
  </si>
  <si>
    <t>CAR</t>
  </si>
  <si>
    <t>TB</t>
  </si>
  <si>
    <t>CIN</t>
  </si>
  <si>
    <t>NO</t>
  </si>
  <si>
    <t>DET</t>
  </si>
  <si>
    <t>BUF</t>
  </si>
  <si>
    <t>HOU</t>
  </si>
  <si>
    <t>BAL</t>
  </si>
  <si>
    <t>IND</t>
  </si>
  <si>
    <t>CLE</t>
  </si>
  <si>
    <t>JAX</t>
  </si>
  <si>
    <t>ATL</t>
  </si>
  <si>
    <t>PIT</t>
  </si>
  <si>
    <t>NYJ</t>
  </si>
  <si>
    <t>TEN</t>
  </si>
  <si>
    <t>ARI</t>
  </si>
  <si>
    <t>LAC</t>
  </si>
  <si>
    <t>MIA</t>
  </si>
  <si>
    <t>LV</t>
  </si>
  <si>
    <t>GB</t>
  </si>
  <si>
    <t>MIN</t>
  </si>
  <si>
    <t>WAS</t>
  </si>
  <si>
    <t>PHI</t>
  </si>
  <si>
    <t>DAL</t>
  </si>
  <si>
    <t>NYG</t>
  </si>
  <si>
    <t>DEN</t>
  </si>
  <si>
    <t>KC</t>
  </si>
  <si>
    <t>MNF Total</t>
  </si>
  <si>
    <t>WEEK 2</t>
  </si>
  <si>
    <t>WEEK 3</t>
  </si>
  <si>
    <t>WEEK 4</t>
  </si>
  <si>
    <t>WEEK 5</t>
  </si>
  <si>
    <t>WEEK 6</t>
  </si>
  <si>
    <t>WEEK 7</t>
  </si>
  <si>
    <t>WEIGHTED POINTS — assign 1-8, each value once</t>
  </si>
  <si>
    <t>Evan Pts</t>
  </si>
  <si>
    <t>Chris Pts</t>
  </si>
  <si>
    <t>Jack Pts</t>
  </si>
  <si>
    <t>Luke Pts</t>
  </si>
  <si>
    <t>Mikayla Pts</t>
  </si>
  <si>
    <t>Alan Pts</t>
  </si>
  <si>
    <t>Caleb Pts</t>
  </si>
  <si>
    <t>Larry Pts</t>
  </si>
  <si>
    <t>D. Michael Pts</t>
  </si>
  <si>
    <t>Zach Pts</t>
  </si>
  <si>
    <t>Jeffrey Pts</t>
  </si>
  <si>
    <t>Jake Pts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</si>
  <si>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</si>
  <si>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</si>
  <si>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</si>
  <si>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</si>
  <si>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</si>
  <si>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</si>
  <si>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</si>
  <si>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</si>
  <si>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</si>
  <si>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</si>
  <si>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</si>
  <si>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Wk</t>
  </si>
  <si>
    <t>Day/Date</t>
  </si>
  <si>
    <t>Time</t>
  </si>
  <si>
    <t>Away Sc</t>
  </si>
  <si>
    <t>Home Sc</t>
  </si>
  <si>
    <t>Spread</t>
  </si>
  <si>
    <t>Winner</t>
  </si>
  <si>
    <t>ATS</t>
  </si>
  <si>
    <t>Wed Sep 9</t>
  </si>
  <si>
    <t>8:20 PM</t>
  </si>
  <si>
    <t>Thu Sep 10</t>
  </si>
  <si>
    <t>8:35 PM</t>
  </si>
  <si>
    <t>Sun Sep 13</t>
  </si>
  <si>
    <t>1:00 PM</t>
  </si>
  <si>
    <t>4:25 PM</t>
  </si>
  <si>
    <t>Mon Sep 14</t>
  </si>
  <si>
    <t>8:15 PM</t>
  </si>
  <si>
    <t>Thu Sep 17</t>
  </si>
  <si>
    <t>Sun Sep 20</t>
  </si>
  <si>
    <t>4:05 PM</t>
  </si>
  <si>
    <t>Mon Sep 21</t>
  </si>
  <si>
    <t>Thu Sep 24</t>
  </si>
  <si>
    <t>Sun Sep 27</t>
  </si>
  <si>
    <t>Mon Sep 28</t>
  </si>
  <si>
    <t>Thu Oct 1</t>
  </si>
  <si>
    <t>Sun Oct 4</t>
  </si>
  <si>
    <t>9:30 AM</t>
  </si>
  <si>
    <t>Mon Oct 5</t>
  </si>
  <si>
    <t>Thu Oct 8</t>
  </si>
  <si>
    <t>Sun Oct 11</t>
  </si>
  <si>
    <t>Mon Oct 12</t>
  </si>
  <si>
    <t>Thu Oct 15</t>
  </si>
  <si>
    <t>Sun Oct 18</t>
  </si>
  <si>
    <t>Mon Oct 19</t>
  </si>
  <si>
    <t>Thu Oct 22</t>
  </si>
  <si>
    <t>Sun Oct 25</t>
  </si>
  <si>
    <t>Mon Oct 26</t>
  </si>
  <si>
    <t>Thu Oct 29</t>
  </si>
  <si>
    <t>Sun Nov 1</t>
  </si>
  <si>
    <t>Mon Nov 2</t>
  </si>
  <si>
    <t>Thu Nov 5</t>
  </si>
  <si>
    <t>Sun Nov 8</t>
  </si>
  <si>
    <t>Mon Nov 9</t>
  </si>
  <si>
    <t>Thu Nov 12</t>
  </si>
  <si>
    <t>Sun Nov 15</t>
  </si>
  <si>
    <t>Mon Nov 16</t>
  </si>
  <si>
    <t>Thu Nov 19</t>
  </si>
  <si>
    <t>Sun Nov 22</t>
  </si>
  <si>
    <t>Mon Nov 23</t>
  </si>
  <si>
    <t>Wed Nov 25</t>
  </si>
  <si>
    <t>8:00 PM</t>
  </si>
  <si>
    <t>Thu Nov 26</t>
  </si>
  <si>
    <t>4:30 PM</t>
  </si>
  <si>
    <t>Fri Nov 27</t>
  </si>
  <si>
    <t>3:00 PM</t>
  </si>
  <si>
    <t>Sun Nov 29</t>
  </si>
  <si>
    <t>Mon Nov 30</t>
  </si>
  <si>
    <t>Thu Dec 3</t>
  </si>
  <si>
    <t>Sun Dec 6</t>
  </si>
  <si>
    <t>Mon Dec 7</t>
  </si>
  <si>
    <t>Thu Dec 10</t>
  </si>
  <si>
    <t>Sun Dec 13</t>
  </si>
  <si>
    <t>Mon Dec 14</t>
  </si>
  <si>
    <t>Thu Dec 17</t>
  </si>
  <si>
    <t>Sat Dec 19</t>
  </si>
  <si>
    <t>5:00 PM</t>
  </si>
  <si>
    <t>Sun Dec 20</t>
  </si>
  <si>
    <t>Mon Dec 21</t>
  </si>
  <si>
    <t>Thu Dec 24</t>
  </si>
  <si>
    <t>Fri Dec 25</t>
  </si>
  <si>
    <t>Sun Dec 27</t>
  </si>
  <si>
    <t>Mon Dec 28</t>
  </si>
  <si>
    <t>TBD</t>
  </si>
  <si>
    <t>Thu Dec 31</t>
  </si>
  <si>
    <t>Sun Jan 3</t>
  </si>
  <si>
    <t>Mon Jan 4</t>
  </si>
  <si>
    <t>Week 19 (Wild Card)</t>
  </si>
  <si>
    <t>Week 20 (Divisional)</t>
  </si>
  <si>
    <t>Week 21 (Championship)</t>
  </si>
  <si>
    <t>Week 22 (SuperBowl)</t>
  </si>
  <si>
    <t>WEEKS 1-6 — WEEKLY INPUT</t>
  </si>
  <si>
    <t>Enter correct picks. H2H auto-calculated.</t>
  </si>
  <si>
    <t>Correct Picks</t>
  </si>
  <si>
    <t>H2H Opp</t>
  </si>
  <si>
    <t>Opp Picks</t>
  </si>
  <si>
    <t>H2H Result</t>
  </si>
  <si>
    <t>H2H Pts</t>
  </si>
  <si>
    <t>Pick Pts</t>
  </si>
  <si>
    <t>Week Total</t>
  </si>
  <si>
    <t>WEEKS 7-12 — WEEKLY INPUT</t>
  </si>
  <si>
    <t>Weighted points auto-calculated from Picks Detail (pick × point value). H2H auto-calculated.</t>
  </si>
  <si>
    <t>Weighted Pts</t>
  </si>
  <si>
    <t>Opp Wtd Pts</t>
  </si>
  <si>
    <t>WEEKS 13-18 — WEEKLY INPUT</t>
  </si>
  <si>
    <t>Enter correct picks. Division play.</t>
  </si>
  <si>
    <t>Wins</t>
  </si>
  <si>
    <t>Losses</t>
  </si>
  <si>
    <t>Total Picks</t>
  </si>
  <si>
    <t>SEGMENT 1 — WEEKS 1-6</t>
  </si>
  <si>
    <t>Rank</t>
  </si>
  <si>
    <t>Player</t>
  </si>
  <si>
    <t>Wk1</t>
  </si>
  <si>
    <t>Wk2</t>
  </si>
  <si>
    <t>Wk3</t>
  </si>
  <si>
    <t>Wk4</t>
  </si>
  <si>
    <t>Wk5</t>
  </si>
  <si>
    <t>Wk6</t>
  </si>
  <si>
    <t>Total</t>
  </si>
  <si>
    <t>H2H W</t>
  </si>
  <si>
    <t>Best Wk</t>
  </si>
  <si>
    <t>SEGMENT 2 — WEEKS 7-12</t>
  </si>
  <si>
    <t>Wk7</t>
  </si>
  <si>
    <t>Wk8</t>
  </si>
  <si>
    <t>Wk9</t>
  </si>
  <si>
    <t>Wk10</t>
  </si>
  <si>
    <t>Wk11</t>
  </si>
  <si>
    <t>Wk12</t>
  </si>
  <si>
    <t>SEGMENT 3 — WEEKS 13-18</t>
  </si>
  <si>
    <t>DIVISION A</t>
  </si>
  <si>
    <t>W13</t>
  </si>
  <si>
    <t>W14</t>
  </si>
  <si>
    <t>W15</t>
  </si>
  <si>
    <t>W16</t>
  </si>
  <si>
    <t>W17</t>
  </si>
  <si>
    <t>W18</t>
  </si>
  <si>
    <t>Picks</t>
  </si>
  <si>
    <t>DIVISION B</t>
  </si>
  <si>
    <t>DIVISION C</t>
  </si>
  <si>
    <t>OVERALL STANDINGS &amp; PLAYOFF QUALIFICATION</t>
  </si>
  <si>
    <t>Seg 1 Pts</t>
  </si>
  <si>
    <t>Seg 2 Pts</t>
  </si>
  <si>
    <t>Seg 3 Picks</t>
  </si>
  <si>
    <t>Season Total</t>
  </si>
  <si>
    <t>Seg 1 Rank</t>
  </si>
  <si>
    <t>Seg 2 Rank</t>
  </si>
  <si>
    <t>PLAYOFF PICTURE</t>
  </si>
  <si>
    <t>AUTOMATIC QUALIFIERS — 5 SPOTS</t>
  </si>
  <si>
    <t>Spot</t>
  </si>
  <si>
    <t>Winner (Cash)</t>
  </si>
  <si>
    <t>Prize</t>
  </si>
  <si>
    <t>Source</t>
  </si>
  <si>
    <t>Playoff Qualifier</t>
  </si>
  <si>
    <t>Status</t>
  </si>
  <si>
    <t>Div Rank Helper</t>
  </si>
  <si>
    <t>Seg 1 Winner</t>
  </si>
  <si>
    <t>$25</t>
  </si>
  <si>
    <t>Weeks 1-6</t>
  </si>
  <si>
    <t>Seg 2 Winner</t>
  </si>
  <si>
    <t>Weeks 7-12</t>
  </si>
  <si>
    <t>Div A Winner</t>
  </si>
  <si>
    <t>$10</t>
  </si>
  <si>
    <t>Div B Winner</t>
  </si>
  <si>
    <t>Div C Winner</t>
  </si>
  <si>
    <t>WILD CARD — TOP 1 SEASON PTS NOT ALREADY QUALIFIED</t>
  </si>
  <si>
    <t>Season Pts</t>
  </si>
  <si>
    <t>Wild Card 1</t>
  </si>
  <si>
    <t>Season Points</t>
  </si>
  <si>
    <t>PLAYOFF FIELD — 6 PLAYERS</t>
  </si>
  <si>
    <t>Qualified Via</t>
  </si>
  <si>
    <t>EARNINGS TRACKER</t>
  </si>
  <si>
    <t>Segment $</t>
  </si>
  <si>
    <t>Division $</t>
  </si>
  <si>
    <t>Playoff $</t>
  </si>
  <si>
    <t>Total Earned</t>
  </si>
  <si>
    <t>TOTAL PAID</t>
  </si>
  <si>
    <t>WC Helper</t>
  </si>
  <si>
    <t>WILD CARD ROUND — INPUT</t>
  </si>
  <si>
    <t>All 6 players pick all games ATS, weighted 1-4.</t>
  </si>
  <si>
    <t>Adj Score</t>
  </si>
  <si>
    <t>Weekly TB Rank</t>
  </si>
  <si>
    <t>AFC WC Pts</t>
  </si>
  <si>
    <t>NFC WC Pts</t>
  </si>
  <si>
    <t>Sort Score</t>
  </si>
  <si>
    <t>WILD CARD RESULTS — TOP 4 ADVANCE</t>
  </si>
  <si>
    <t>PLAYOFF FINALS — INPUT &amp; RESULTS</t>
  </si>
  <si>
    <t>Top 4 from Wild Card. Points carry over. Div=2×, Champ=4×, SB=8×.</t>
  </si>
  <si>
    <t>ROUND-BY-ROUND INPUT</t>
  </si>
  <si>
    <t>WC Pts</t>
  </si>
  <si>
    <t>Div Correct</t>
  </si>
  <si>
    <t>Div Pts (×2)</t>
  </si>
  <si>
    <t>Champ Correct</t>
  </si>
  <si>
    <t>Champ Pts (×4)</t>
  </si>
  <si>
    <t>SB Correct</t>
  </si>
  <si>
    <t>SB Pts (×8)</t>
  </si>
  <si>
    <t>TOTAL</t>
  </si>
  <si>
    <t>SB TB Rank</t>
  </si>
  <si>
    <t>FINAL STANDINGS &amp; PAYOUTS</t>
  </si>
  <si>
    <t>Place</t>
  </si>
  <si>
    <t>Div Pts</t>
  </si>
  <si>
    <t>Champ Pts</t>
  </si>
  <si>
    <t>SB Pts</t>
  </si>
  <si>
    <t>Total Pts</t>
  </si>
  <si>
    <t>Payout</t>
  </si>
  <si>
    <t>1st</t>
  </si>
  <si>
    <t>$150</t>
  </si>
  <si>
    <t>2nd</t>
  </si>
  <si>
    <t>$45</t>
  </si>
  <si>
    <t>3rd</t>
  </si>
  <si>
    <t>4th</t>
  </si>
  <si>
    <t>—</t>
  </si>
  <si>
    <t>Tiebreakers: 1) Weekly TB for SB  2) Closest FG guess</t>
  </si>
  <si>
    <t>SUPER BOWL TIEBREAKER</t>
  </si>
  <si>
    <t>FG Guess (yds)</t>
  </si>
  <si>
    <t>Actual Longest FG</t>
  </si>
  <si>
    <t>Difference</t>
  </si>
  <si>
    <t>LEAGUE UPDATES</t>
  </si>
  <si>
    <t>Date</t>
  </si>
  <si>
    <t>Title</t>
  </si>
  <si>
    <t>Message</t>
  </si>
  <si>
    <t>S1W1</t>
  </si>
  <si>
    <t>S1W2</t>
  </si>
  <si>
    <t>S1W3</t>
  </si>
  <si>
    <t>S1W4</t>
  </si>
  <si>
    <t>S1W5</t>
  </si>
  <si>
    <t>S1W6</t>
  </si>
  <si>
    <t>S1 Total</t>
  </si>
  <si>
    <t>S1 H2H W</t>
  </si>
  <si>
    <t>S1 Adj</t>
  </si>
  <si>
    <t>S2W1</t>
  </si>
  <si>
    <t>S2W2</t>
  </si>
  <si>
    <t>S2W3</t>
  </si>
  <si>
    <t>S2W4</t>
  </si>
  <si>
    <t>S2W5</t>
  </si>
  <si>
    <t>S2W6</t>
  </si>
  <si>
    <t>S2 Total</t>
  </si>
  <si>
    <t>S2 H2H W</t>
  </si>
  <si>
    <t>S2 Adj</t>
  </si>
  <si>
    <t>S3W1</t>
  </si>
  <si>
    <t>S3W2</t>
  </si>
  <si>
    <t>S3W3</t>
  </si>
  <si>
    <t>S3W4</t>
  </si>
  <si>
    <t>S3W5</t>
  </si>
  <si>
    <t>S3W6</t>
  </si>
  <si>
    <t>S3 Wins</t>
  </si>
  <si>
    <t>S3 Losses</t>
  </si>
  <si>
    <t>S3 Picks</t>
  </si>
  <si>
    <t>S3 Adj</t>
  </si>
  <si>
    <t>Season Tot</t>
  </si>
  <si>
    <t>Season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</si>
</sst>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E6EDF3"/>
      <name val="Arial"/>
      <charset val="1"/>
    </font>
    <font>
      <sz val="10"/>
      <color rgb="FF8B949E"/>
      <name val="Arial"/>
      <charset val="1"/>
    </font>
    <font>
      <b/>
      <sz val="12"/>
      <color rgb="FFFFFFFF"/>
      <name val="Arial"/>
      <charset val="1"/>
    </font>
    <font>
      <b/>
      <sz val="9"/>
      <color rgb="FF8B949E"/>
      <name val="Arial"/>
      <charset val="1"/>
    </font>
    <font>
      <b/>
      <sz val="10"/>
      <color rgb="FFE6EDF3"/>
      <name val="Arial"/>
      <charset val="1"/>
    </font>
    <font>
      <sz val="10"/>
      <color rgb="FF6E7681"/>
      <name val="Arial"/>
      <charset val="1"/>
    </font>
    <font>
      <b/>
      <sz val="10"/>
      <color rgb="FF3FB950"/>
      <name val="Arial"/>
      <charset val="1"/>
    </font>
    <font>
      <sz val="10"/>
      <color rgb="FF58A6FF"/>
      <name val="Arial"/>
      <charset val="1"/>
    </font>
    <font>
      <b/>
      <sz val="9"/>
      <color rgb="FFD29922"/>
      <name val="Arial"/>
      <charset val="1"/>
    </font>
    <font>
      <b/>
      <sz val="9"/>
      <color rgb="FF3FB950"/>
      <name val="Arial"/>
      <charset val="1"/>
    </font>
    <font>
      <sz val="9"/>
      <color rgb="FFD29922"/>
      <name val="Arial"/>
      <charset val="1"/>
    </font>
    <font>
      <b/>
      <sz val="10"/>
      <color rgb="FFE3B341"/>
      <name val="Arial"/>
      <charset val="1"/>
    </font>
    <font>
      <b/>
      <sz val="10"/>
      <color rgb="FFD29922"/>
      <name val="Arial"/>
      <charset val="1"/>
    </font>
    <font>
      <b/>
      <sz val="12"/>
      <name val="Arial"/>
      <charset val="1"/>
    </font>
    <font>
      <b/>
      <sz val="11"/>
      <color rgb="FFD29922"/>
      <name val="Arial"/>
      <charset val="1"/>
    </font>
    <font>
      <b/>
      <sz val="11"/>
      <name val="Arial"/>
      <charset val="1"/>
    </font>
    <font>
      <b/>
      <sz val="8"/>
      <color rgb="FF808080"/>
      <name val="Cambria"/>
      <charset val="1"/>
    </font>
    <font>
      <i/>
      <sz val="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30363D"/>
      </patternFill>
    </fill>
    <fill>
      <patternFill patternType="solid">
        <fgColor rgb="FFD6E4F0"/>
        <bgColor rgb="FFE8E8E8"/>
      </patternFill>
    </fill>
    <fill>
      <patternFill patternType="solid">
        <fgColor rgb="FFFFFFCC"/>
        <bgColor rgb="FFFFFFFF"/>
      </patternFill>
    </fill>
    <fill>
      <patternFill patternType="solid">
        <fgColor rgb="FF1F6FEB"/>
        <bgColor rgb="FF0066CC"/>
      </patternFill>
    </fill>
    <fill>
      <patternFill patternType="solid">
        <fgColor rgb="FF21262D"/>
        <bgColor rgb="FF1A1A2E"/>
      </patternFill>
    </fill>
    <fill>
      <patternFill patternType="solid">
        <fgColor rgb="FF161B22"/>
        <bgColor rgb="FF1A1A2E"/>
      </patternFill>
    </fill>
    <fill>
      <patternFill patternType="solid">
        <fgColor rgb="FF0D1117"/>
        <bgColor rgb="FF161B22"/>
      </patternFill>
    </fill>
    <fill>
      <patternFill patternType="solid">
        <fgColor rgb="FFE8E8E8"/>
        <bgColor rgb="FFE6EDF3"/>
      </patternFill>
    </fill>
    <fill>
      <patternFill patternType="solid">
        <fgColor rgb="FF3D1E5C"/>
        <bgColor rgb="FF30363D"/>
      </patternFill>
    </fill>
    <fill>
      <patternFill patternType="solid">
        <fgColor rgb="FF4A3020"/>
        <bgColor rgb="FF30363D"/>
      </patternFill>
    </fill>
    <fill>
      <patternFill patternType="solid">
        <fgColor rgb="FF1A1A2E"/>
        <bgColor rgb="FF161B22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15" fillId="8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7" fillId="9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6" fillId="5" borderId="1" xfId="0" applyFont="1" applyFill="1" applyBorder="1"/>
    <xf numFmtId="0" fontId="4" fillId="0" borderId="0" xfId="0" applyFont="1"/>
    <xf numFmtId="0" fontId="5" fillId="0" borderId="0" xfId="0" applyFont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</cellXfs>
  <cellStyles count="1">
    <cellStyle name="Normal" xfId="0" builtinId="0"/>
  </cellStyles>
  <dxfs count="24">
    <dxf>
      <font>
        <b/>
        <color rgb="FFF85149"/>
      </font>
    </dxf>
    <dxf>
      <font>
        <b/>
        <color rgb="FF3FB950"/>
      </font>
    </dxf>
    <dxf>
      <fill>
        <patternFill>
          <bgColor rgb="FF9E6A03"/>
        </patternFill>
      </fill>
    </dxf>
    <dxf>
      <font>
        <b/>
        <color rgb="FFFFFFFF"/>
      </font>
      <fill>
        <patternFill>
          <bgColor rgb="FFDA3633"/>
        </patternFill>
      </fill>
    </dxf>
    <dxf>
      <font>
        <b/>
        <color rgb="FFF85149"/>
      </font>
    </dxf>
    <dxf>
      <font>
        <b/>
        <color rgb="FF3FB950"/>
      </font>
    </dxf>
    <dxf>
      <fill>
        <patternFill>
          <bgColor rgb="FF9E6A03"/>
        </patternFill>
      </fill>
    </dxf>
    <dxf>
      <font>
        <b/>
        <color rgb="FFFFFFFF"/>
      </font>
      <fill>
        <patternFill>
          <bgColor rgb="FFDA3633"/>
        </patternFill>
      </fill>
    </dxf>
    <dxf>
      <font>
        <b/>
        <color rgb="FFF85149"/>
      </font>
    </dxf>
    <dxf>
      <font>
        <b/>
        <color rgb="FF3FB950"/>
      </font>
    </dxf>
    <dxf>
      <fill>
        <patternFill>
          <bgColor rgb="FF9E6A03"/>
        </patternFill>
      </fill>
    </dxf>
    <dxf>
      <font>
        <b/>
        <color rgb="FFFFFFFF"/>
      </font>
      <fill>
        <patternFill>
          <bgColor rgb="FFDA3633"/>
        </patternFill>
      </fill>
    </dxf>
    <dxf>
      <font>
        <b/>
        <color rgb="FFF85149"/>
      </font>
    </dxf>
    <dxf>
      <font>
        <b/>
        <color rgb="FF3FB950"/>
      </font>
    </dxf>
    <dxf>
      <fill>
        <patternFill>
          <bgColor rgb="FF9E6A03"/>
        </patternFill>
      </fill>
    </dxf>
    <dxf>
      <font>
        <b/>
        <color rgb="FFFFFFFF"/>
      </font>
      <fill>
        <patternFill>
          <bgColor rgb="FFDA3633"/>
        </patternFill>
      </fill>
    </dxf>
    <dxf>
      <font>
        <b/>
        <color rgb="FFF85149"/>
      </font>
    </dxf>
    <dxf>
      <font>
        <b/>
        <color rgb="FF3FB950"/>
      </font>
    </dxf>
    <dxf>
      <fill>
        <patternFill>
          <bgColor rgb="FF9E6A03"/>
        </patternFill>
      </fill>
    </dxf>
    <dxf>
      <font>
        <b/>
        <color rgb="FFFFFFFF"/>
      </font>
      <fill>
        <patternFill>
          <bgColor rgb="FFDA3633"/>
        </patternFill>
      </fill>
    </dxf>
    <dxf>
      <font>
        <b/>
        <color rgb="FFF85149"/>
      </font>
    </dxf>
    <dxf>
      <font>
        <b/>
        <color rgb="FF3FB950"/>
      </font>
    </dxf>
    <dxf>
      <fill>
        <patternFill>
          <bgColor rgb="FF9E6A03"/>
        </patternFill>
      </fill>
    </dxf>
    <dxf>
      <font>
        <b/>
        <color rgb="FFFFFFFF"/>
      </font>
      <fill>
        <patternFill>
          <bgColor rgb="FFDA363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9E6A03"/>
      <rgbColor rgb="FF800080"/>
      <rgbColor rgb="FF008080"/>
      <rgbColor rgb="FFC0C0C0"/>
      <rgbColor rgb="FF808080"/>
      <rgbColor rgb="FF58A6FF"/>
      <rgbColor rgb="FFDA3633"/>
      <rgbColor rgb="FFFFFFCC"/>
      <rgbColor rgb="FFE6EDF3"/>
      <rgbColor rgb="FF21262D"/>
      <rgbColor rgb="FFFF8080"/>
      <rgbColor rgb="FF0066CC"/>
      <rgbColor rgb="FFD6E4F0"/>
      <rgbColor rgb="FF0D111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E3B341"/>
      <rgbColor rgb="FFD29922"/>
      <rgbColor rgb="FFF85149"/>
      <rgbColor rgb="FF6E7681"/>
      <rgbColor rgb="FF8B949E"/>
      <rgbColor rgb="FF1A3A5C"/>
      <rgbColor rgb="FF3FB950"/>
      <rgbColor rgb="FF161B22"/>
      <rgbColor rgb="FF4A3020"/>
      <rgbColor rgb="FF993300"/>
      <rgbColor rgb="FF993366"/>
      <rgbColor rgb="FF3D1E5C"/>
      <rgbColor rgb="FF303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Normal="100" workbookViewId="0">
      <selection activeCell="G16" sqref="G16"/>
    </sheetView>
  </sheetViews>
  <sheetFormatPr defaultColWidth="8.7109375" defaultRowHeight="15" x14ac:dyDescent="0.25"/>
  <cols>
    <col min="1" max="1" width="12" customWidth="1"/>
    <col min="2" max="2" width="20" customWidth="1"/>
    <col min="3" max="3" width="10" customWidth="1"/>
    <col min="4" max="4" width="16" customWidth="1"/>
  </cols>
  <sheetData>
    <row r="1" spans="1:4" ht="17.25" customHeight="1" x14ac:dyDescent="0.25">
      <c r="A1" s="24" t="s">
        <v>0</v>
      </c>
      <c r="B1" s="24"/>
      <c r="C1" s="24"/>
      <c r="D1" s="24"/>
    </row>
    <row r="2" spans="1:4" ht="15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15" customHeight="1" x14ac:dyDescent="0.25">
      <c r="A3">
        <v>1</v>
      </c>
      <c r="B3" s="3" t="s">
        <v>5</v>
      </c>
      <c r="C3" t="s">
        <v>6</v>
      </c>
      <c r="D3" t="s">
        <v>7</v>
      </c>
    </row>
    <row r="4" spans="1:4" ht="15" customHeight="1" x14ac:dyDescent="0.25">
      <c r="A4">
        <v>2</v>
      </c>
      <c r="B4" s="3" t="s">
        <v>8</v>
      </c>
      <c r="C4" t="s">
        <v>6</v>
      </c>
      <c r="D4" t="s">
        <v>7</v>
      </c>
    </row>
    <row r="5" spans="1:4" ht="15" customHeight="1" x14ac:dyDescent="0.25">
      <c r="A5">
        <v>3</v>
      </c>
      <c r="B5" s="3" t="s">
        <v>9</v>
      </c>
      <c r="C5" t="s">
        <v>6</v>
      </c>
      <c r="D5" t="s">
        <v>7</v>
      </c>
    </row>
    <row r="6" spans="1:4" ht="15" customHeight="1" x14ac:dyDescent="0.25">
      <c r="A6">
        <v>4</v>
      </c>
      <c r="B6" s="3" t="s">
        <v>10</v>
      </c>
      <c r="C6" t="s">
        <v>6</v>
      </c>
      <c r="D6" t="s">
        <v>7</v>
      </c>
    </row>
    <row r="7" spans="1:4" ht="15" customHeight="1" x14ac:dyDescent="0.25">
      <c r="A7">
        <v>5</v>
      </c>
      <c r="B7" s="3" t="s">
        <v>11</v>
      </c>
      <c r="C7" t="s">
        <v>12</v>
      </c>
      <c r="D7" t="s">
        <v>13</v>
      </c>
    </row>
    <row r="8" spans="1:4" ht="15" customHeight="1" x14ac:dyDescent="0.25">
      <c r="A8">
        <v>6</v>
      </c>
      <c r="B8" s="3" t="s">
        <v>14</v>
      </c>
      <c r="C8" t="s">
        <v>12</v>
      </c>
      <c r="D8" t="s">
        <v>13</v>
      </c>
    </row>
    <row r="9" spans="1:4" ht="15" customHeight="1" x14ac:dyDescent="0.25">
      <c r="A9">
        <v>7</v>
      </c>
      <c r="B9" s="3" t="s">
        <v>15</v>
      </c>
      <c r="C9" t="s">
        <v>12</v>
      </c>
      <c r="D9" t="s">
        <v>13</v>
      </c>
    </row>
    <row r="10" spans="1:4" ht="15" customHeight="1" x14ac:dyDescent="0.25">
      <c r="A10">
        <v>8</v>
      </c>
      <c r="B10" s="3" t="s">
        <v>16</v>
      </c>
      <c r="C10" t="s">
        <v>12</v>
      </c>
      <c r="D10" t="s">
        <v>13</v>
      </c>
    </row>
    <row r="11" spans="1:4" ht="15" customHeight="1" x14ac:dyDescent="0.25">
      <c r="A11">
        <v>9</v>
      </c>
      <c r="B11" s="3" t="s">
        <v>17</v>
      </c>
      <c r="C11" t="s">
        <v>18</v>
      </c>
      <c r="D11" t="s">
        <v>19</v>
      </c>
    </row>
    <row r="12" spans="1:4" ht="15" customHeight="1" x14ac:dyDescent="0.25">
      <c r="A12">
        <v>10</v>
      </c>
      <c r="B12" s="3" t="s">
        <v>20</v>
      </c>
      <c r="C12" t="s">
        <v>18</v>
      </c>
      <c r="D12" t="s">
        <v>19</v>
      </c>
    </row>
    <row r="13" spans="1:4" ht="15" customHeight="1" x14ac:dyDescent="0.25">
      <c r="A13">
        <v>11</v>
      </c>
      <c r="B13" s="3" t="s">
        <v>21</v>
      </c>
      <c r="C13" t="s">
        <v>18</v>
      </c>
      <c r="D13" t="s">
        <v>19</v>
      </c>
    </row>
    <row r="14" spans="1:4" ht="15" customHeight="1" x14ac:dyDescent="0.25">
      <c r="A14">
        <v>12</v>
      </c>
      <c r="B14" s="3" t="s">
        <v>22</v>
      </c>
      <c r="C14" t="s">
        <v>18</v>
      </c>
      <c r="D14" t="s">
        <v>19</v>
      </c>
    </row>
    <row r="16" spans="1:4" ht="15" customHeight="1" x14ac:dyDescent="0.25">
      <c r="A16" s="4" t="s">
        <v>23</v>
      </c>
      <c r="B16" s="3">
        <v>7</v>
      </c>
    </row>
    <row r="17" spans="1:1" ht="15" customHeight="1" x14ac:dyDescent="0.25">
      <c r="A17" s="5" t="s">
        <v>24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4"/>
  <sheetViews>
    <sheetView zoomScaleNormal="100" workbookViewId="0">
      <selection activeCell="K16" sqref="K16"/>
    </sheetView>
  </sheetViews>
  <sheetFormatPr defaultColWidth="8.7109375" defaultRowHeight="15" x14ac:dyDescent="0.25"/>
  <cols>
    <col min="1" max="2" width="6" customWidth="1"/>
    <col min="3" max="3" width="16" customWidth="1"/>
    <col min="4" max="4" width="4" customWidth="1"/>
    <col min="5" max="5" width="6" customWidth="1"/>
    <col min="6" max="6" width="16" customWidth="1"/>
  </cols>
  <sheetData>
    <row r="1" spans="1:6" ht="17.25" customHeight="1" x14ac:dyDescent="0.25">
      <c r="A1" s="23" t="s">
        <v>25</v>
      </c>
      <c r="B1" s="23"/>
      <c r="C1" s="23"/>
      <c r="D1" s="23"/>
      <c r="E1" s="23"/>
      <c r="F1" s="23"/>
    </row>
    <row r="2" spans="1:6" ht="15" customHeight="1" x14ac:dyDescent="0.25">
      <c r="A2" s="4" t="s">
        <v>26</v>
      </c>
    </row>
    <row r="3" spans="1:6" ht="1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28</v>
      </c>
      <c r="F3" s="2" t="s">
        <v>29</v>
      </c>
    </row>
    <row r="4" spans="1:6" ht="15" customHeight="1" x14ac:dyDescent="0.25">
      <c r="A4">
        <v>1</v>
      </c>
      <c r="B4">
        <v>1</v>
      </c>
      <c r="C4" t="str">
        <f>VLOOKUP(B4,Roster!$A$3:$B$14,2,FALSE())</f>
        <v>Evan Loeser</v>
      </c>
      <c r="D4" t="s">
        <v>30</v>
      </c>
      <c r="E4">
        <v>5</v>
      </c>
      <c r="F4" t="str">
        <f>VLOOKUP(E4,Roster!$A$3:$B$14,2,FALSE())</f>
        <v>Mikayla Simmons</v>
      </c>
    </row>
    <row r="5" spans="1:6" ht="15" customHeight="1" x14ac:dyDescent="0.25">
      <c r="A5">
        <v>2</v>
      </c>
      <c r="B5">
        <v>2</v>
      </c>
      <c r="C5" t="str">
        <f>VLOOKUP(B5,Roster!$A$3:$B$14,2,FALSE())</f>
        <v>Chris Simmons</v>
      </c>
      <c r="D5" t="s">
        <v>30</v>
      </c>
      <c r="E5">
        <v>6</v>
      </c>
      <c r="F5" t="str">
        <f>VLOOKUP(E5,Roster!$A$3:$B$14,2,FALSE())</f>
        <v>Alan Loeser</v>
      </c>
    </row>
    <row r="6" spans="1:6" ht="15" customHeight="1" x14ac:dyDescent="0.25">
      <c r="A6">
        <v>3</v>
      </c>
      <c r="B6">
        <v>3</v>
      </c>
      <c r="C6" t="str">
        <f>VLOOKUP(B6,Roster!$A$3:$B$14,2,FALSE())</f>
        <v>Jack Smith</v>
      </c>
      <c r="D6" t="s">
        <v>30</v>
      </c>
      <c r="E6">
        <v>9</v>
      </c>
      <c r="F6" t="str">
        <f>VLOOKUP(E6,Roster!$A$3:$B$14,2,FALSE())</f>
        <v>Daddy Michael</v>
      </c>
    </row>
    <row r="7" spans="1:6" ht="15" customHeight="1" x14ac:dyDescent="0.25">
      <c r="A7">
        <v>4</v>
      </c>
      <c r="B7">
        <v>4</v>
      </c>
      <c r="C7" t="str">
        <f>VLOOKUP(B7,Roster!$A$3:$B$14,2,FALSE())</f>
        <v>Luke Ussery</v>
      </c>
      <c r="D7" t="s">
        <v>30</v>
      </c>
      <c r="E7">
        <v>10</v>
      </c>
      <c r="F7" t="str">
        <f>VLOOKUP(E7,Roster!$A$3:$B$14,2,FALSE())</f>
        <v>Zach Zarra</v>
      </c>
    </row>
    <row r="8" spans="1:6" ht="15" customHeight="1" x14ac:dyDescent="0.25">
      <c r="A8">
        <v>5</v>
      </c>
      <c r="B8">
        <v>7</v>
      </c>
      <c r="C8" t="str">
        <f>VLOOKUP(B8,Roster!$A$3:$B$14,2,FALSE())</f>
        <v>Caleb Simmons</v>
      </c>
      <c r="D8" t="s">
        <v>30</v>
      </c>
      <c r="E8">
        <v>11</v>
      </c>
      <c r="F8" t="str">
        <f>VLOOKUP(E8,Roster!$A$3:$B$14,2,FALSE())</f>
        <v>Jeffrey Loeser</v>
      </c>
    </row>
    <row r="9" spans="1:6" ht="15" customHeight="1" x14ac:dyDescent="0.25">
      <c r="A9">
        <v>6</v>
      </c>
      <c r="B9">
        <v>8</v>
      </c>
      <c r="C9" t="str">
        <f>VLOOKUP(B9,Roster!$A$3:$B$14,2,FALSE())</f>
        <v>Larry Loeser</v>
      </c>
      <c r="D9" t="s">
        <v>30</v>
      </c>
      <c r="E9">
        <v>12</v>
      </c>
      <c r="F9" t="str">
        <f>VLOOKUP(E9,Roster!$A$3:$B$14,2,FALSE())</f>
        <v>Jake Andrews</v>
      </c>
    </row>
    <row r="11" spans="1:6" ht="15" customHeight="1" x14ac:dyDescent="0.25">
      <c r="A11" s="4" t="s">
        <v>31</v>
      </c>
    </row>
    <row r="12" spans="1:6" ht="1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28</v>
      </c>
      <c r="F12" s="2" t="s">
        <v>29</v>
      </c>
    </row>
    <row r="13" spans="1:6" ht="15" customHeight="1" x14ac:dyDescent="0.25">
      <c r="A13">
        <v>1</v>
      </c>
      <c r="B13">
        <v>1</v>
      </c>
      <c r="C13" t="str">
        <f>VLOOKUP(B13,Roster!$A$3:$B$14,2,FALSE())</f>
        <v>Evan Loeser</v>
      </c>
      <c r="D13" t="s">
        <v>30</v>
      </c>
      <c r="E13">
        <v>6</v>
      </c>
      <c r="F13" t="str">
        <f>VLOOKUP(E13,Roster!$A$3:$B$14,2,FALSE())</f>
        <v>Alan Loeser</v>
      </c>
    </row>
    <row r="14" spans="1:6" ht="15" customHeight="1" x14ac:dyDescent="0.25">
      <c r="A14">
        <v>2</v>
      </c>
      <c r="B14">
        <v>2</v>
      </c>
      <c r="C14" t="str">
        <f>VLOOKUP(B14,Roster!$A$3:$B$14,2,FALSE())</f>
        <v>Chris Simmons</v>
      </c>
      <c r="D14" t="s">
        <v>30</v>
      </c>
      <c r="E14">
        <v>5</v>
      </c>
      <c r="F14" t="str">
        <f>VLOOKUP(E14,Roster!$A$3:$B$14,2,FALSE())</f>
        <v>Mikayla Simmons</v>
      </c>
    </row>
    <row r="15" spans="1:6" ht="15" customHeight="1" x14ac:dyDescent="0.25">
      <c r="A15">
        <v>3</v>
      </c>
      <c r="B15">
        <v>3</v>
      </c>
      <c r="C15" t="str">
        <f>VLOOKUP(B15,Roster!$A$3:$B$14,2,FALSE())</f>
        <v>Jack Smith</v>
      </c>
      <c r="D15" t="s">
        <v>30</v>
      </c>
      <c r="E15">
        <v>10</v>
      </c>
      <c r="F15" t="str">
        <f>VLOOKUP(E15,Roster!$A$3:$B$14,2,FALSE())</f>
        <v>Zach Zarra</v>
      </c>
    </row>
    <row r="16" spans="1:6" ht="15" customHeight="1" x14ac:dyDescent="0.25">
      <c r="A16">
        <v>4</v>
      </c>
      <c r="B16">
        <v>4</v>
      </c>
      <c r="C16" t="str">
        <f>VLOOKUP(B16,Roster!$A$3:$B$14,2,FALSE())</f>
        <v>Luke Ussery</v>
      </c>
      <c r="D16" t="s">
        <v>30</v>
      </c>
      <c r="E16">
        <v>9</v>
      </c>
      <c r="F16" t="str">
        <f>VLOOKUP(E16,Roster!$A$3:$B$14,2,FALSE())</f>
        <v>Daddy Michael</v>
      </c>
    </row>
    <row r="17" spans="1:6" ht="15" customHeight="1" x14ac:dyDescent="0.25">
      <c r="A17">
        <v>5</v>
      </c>
      <c r="B17">
        <v>7</v>
      </c>
      <c r="C17" t="str">
        <f>VLOOKUP(B17,Roster!$A$3:$B$14,2,FALSE())</f>
        <v>Caleb Simmons</v>
      </c>
      <c r="D17" t="s">
        <v>30</v>
      </c>
      <c r="E17">
        <v>12</v>
      </c>
      <c r="F17" t="str">
        <f>VLOOKUP(E17,Roster!$A$3:$B$14,2,FALSE())</f>
        <v>Jake Andrews</v>
      </c>
    </row>
    <row r="18" spans="1:6" ht="15" customHeight="1" x14ac:dyDescent="0.25">
      <c r="A18">
        <v>6</v>
      </c>
      <c r="B18">
        <v>8</v>
      </c>
      <c r="C18" t="str">
        <f>VLOOKUP(B18,Roster!$A$3:$B$14,2,FALSE())</f>
        <v>Larry Loeser</v>
      </c>
      <c r="D18" t="s">
        <v>30</v>
      </c>
      <c r="E18">
        <v>11</v>
      </c>
      <c r="F18" t="str">
        <f>VLOOKUP(E18,Roster!$A$3:$B$14,2,FALSE())</f>
        <v>Jeffrey Loeser</v>
      </c>
    </row>
    <row r="20" spans="1:6" ht="15" customHeight="1" x14ac:dyDescent="0.25">
      <c r="A20" s="4" t="s">
        <v>32</v>
      </c>
    </row>
    <row r="21" spans="1:6" ht="15" customHeight="1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28</v>
      </c>
      <c r="F21" s="2" t="s">
        <v>29</v>
      </c>
    </row>
    <row r="22" spans="1:6" ht="15" customHeight="1" x14ac:dyDescent="0.25">
      <c r="A22">
        <v>1</v>
      </c>
      <c r="B22">
        <v>1</v>
      </c>
      <c r="C22" t="str">
        <f>VLOOKUP(B22,Roster!$A$3:$B$14,2,FALSE())</f>
        <v>Evan Loeser</v>
      </c>
      <c r="D22" t="s">
        <v>30</v>
      </c>
      <c r="E22">
        <v>7</v>
      </c>
      <c r="F22" t="str">
        <f>VLOOKUP(E22,Roster!$A$3:$B$14,2,FALSE())</f>
        <v>Caleb Simmons</v>
      </c>
    </row>
    <row r="23" spans="1:6" ht="15" customHeight="1" x14ac:dyDescent="0.25">
      <c r="A23">
        <v>2</v>
      </c>
      <c r="B23">
        <v>2</v>
      </c>
      <c r="C23" t="str">
        <f>VLOOKUP(B23,Roster!$A$3:$B$14,2,FALSE())</f>
        <v>Chris Simmons</v>
      </c>
      <c r="D23" t="s">
        <v>30</v>
      </c>
      <c r="E23">
        <v>8</v>
      </c>
      <c r="F23" t="str">
        <f>VLOOKUP(E23,Roster!$A$3:$B$14,2,FALSE())</f>
        <v>Larry Loeser</v>
      </c>
    </row>
    <row r="24" spans="1:6" ht="15" customHeight="1" x14ac:dyDescent="0.25">
      <c r="A24">
        <v>3</v>
      </c>
      <c r="B24">
        <v>3</v>
      </c>
      <c r="C24" t="str">
        <f>VLOOKUP(B24,Roster!$A$3:$B$14,2,FALSE())</f>
        <v>Jack Smith</v>
      </c>
      <c r="D24" t="s">
        <v>30</v>
      </c>
      <c r="E24">
        <v>11</v>
      </c>
      <c r="F24" t="str">
        <f>VLOOKUP(E24,Roster!$A$3:$B$14,2,FALSE())</f>
        <v>Jeffrey Loeser</v>
      </c>
    </row>
    <row r="25" spans="1:6" ht="15" customHeight="1" x14ac:dyDescent="0.25">
      <c r="A25">
        <v>4</v>
      </c>
      <c r="B25">
        <v>4</v>
      </c>
      <c r="C25" t="str">
        <f>VLOOKUP(B25,Roster!$A$3:$B$14,2,FALSE())</f>
        <v>Luke Ussery</v>
      </c>
      <c r="D25" t="s">
        <v>30</v>
      </c>
      <c r="E25">
        <v>12</v>
      </c>
      <c r="F25" t="str">
        <f>VLOOKUP(E25,Roster!$A$3:$B$14,2,FALSE())</f>
        <v>Jake Andrews</v>
      </c>
    </row>
    <row r="26" spans="1:6" ht="15" customHeight="1" x14ac:dyDescent="0.25">
      <c r="A26">
        <v>5</v>
      </c>
      <c r="B26">
        <v>5</v>
      </c>
      <c r="C26" t="str">
        <f>VLOOKUP(B26,Roster!$A$3:$B$14,2,FALSE())</f>
        <v>Mikayla Simmons</v>
      </c>
      <c r="D26" t="s">
        <v>30</v>
      </c>
      <c r="E26">
        <v>9</v>
      </c>
      <c r="F26" t="str">
        <f>VLOOKUP(E26,Roster!$A$3:$B$14,2,FALSE())</f>
        <v>Daddy Michael</v>
      </c>
    </row>
    <row r="27" spans="1:6" ht="15" customHeight="1" x14ac:dyDescent="0.25">
      <c r="A27">
        <v>6</v>
      </c>
      <c r="B27">
        <v>6</v>
      </c>
      <c r="C27" t="str">
        <f>VLOOKUP(B27,Roster!$A$3:$B$14,2,FALSE())</f>
        <v>Alan Loeser</v>
      </c>
      <c r="D27" t="s">
        <v>30</v>
      </c>
      <c r="E27">
        <v>10</v>
      </c>
      <c r="F27" t="str">
        <f>VLOOKUP(E27,Roster!$A$3:$B$14,2,FALSE())</f>
        <v>Zach Zarra</v>
      </c>
    </row>
    <row r="29" spans="1:6" ht="15" customHeight="1" x14ac:dyDescent="0.25">
      <c r="A29" s="4" t="s">
        <v>33</v>
      </c>
    </row>
    <row r="30" spans="1:6" ht="15" customHeight="1" x14ac:dyDescent="0.25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28</v>
      </c>
      <c r="F30" s="2" t="s">
        <v>29</v>
      </c>
    </row>
    <row r="31" spans="1:6" ht="15" customHeight="1" x14ac:dyDescent="0.25">
      <c r="A31">
        <v>1</v>
      </c>
      <c r="B31">
        <v>1</v>
      </c>
      <c r="C31" t="str">
        <f>VLOOKUP(B31,Roster!$A$3:$B$14,2,FALSE())</f>
        <v>Evan Loeser</v>
      </c>
      <c r="D31" t="s">
        <v>30</v>
      </c>
      <c r="E31">
        <v>8</v>
      </c>
      <c r="F31" t="str">
        <f>VLOOKUP(E31,Roster!$A$3:$B$14,2,FALSE())</f>
        <v>Larry Loeser</v>
      </c>
    </row>
    <row r="32" spans="1:6" ht="15" customHeight="1" x14ac:dyDescent="0.25">
      <c r="A32">
        <v>2</v>
      </c>
      <c r="B32">
        <v>2</v>
      </c>
      <c r="C32" t="str">
        <f>VLOOKUP(B32,Roster!$A$3:$B$14,2,FALSE())</f>
        <v>Chris Simmons</v>
      </c>
      <c r="D32" t="s">
        <v>30</v>
      </c>
      <c r="E32">
        <v>7</v>
      </c>
      <c r="F32" t="str">
        <f>VLOOKUP(E32,Roster!$A$3:$B$14,2,FALSE())</f>
        <v>Caleb Simmons</v>
      </c>
    </row>
    <row r="33" spans="1:6" ht="15" customHeight="1" x14ac:dyDescent="0.25">
      <c r="A33">
        <v>3</v>
      </c>
      <c r="B33">
        <v>3</v>
      </c>
      <c r="C33" t="str">
        <f>VLOOKUP(B33,Roster!$A$3:$B$14,2,FALSE())</f>
        <v>Jack Smith</v>
      </c>
      <c r="D33" t="s">
        <v>30</v>
      </c>
      <c r="E33">
        <v>12</v>
      </c>
      <c r="F33" t="str">
        <f>VLOOKUP(E33,Roster!$A$3:$B$14,2,FALSE())</f>
        <v>Jake Andrews</v>
      </c>
    </row>
    <row r="34" spans="1:6" ht="15" customHeight="1" x14ac:dyDescent="0.25">
      <c r="A34">
        <v>4</v>
      </c>
      <c r="B34">
        <v>4</v>
      </c>
      <c r="C34" t="str">
        <f>VLOOKUP(B34,Roster!$A$3:$B$14,2,FALSE())</f>
        <v>Luke Ussery</v>
      </c>
      <c r="D34" t="s">
        <v>30</v>
      </c>
      <c r="E34">
        <v>11</v>
      </c>
      <c r="F34" t="str">
        <f>VLOOKUP(E34,Roster!$A$3:$B$14,2,FALSE())</f>
        <v>Jeffrey Loeser</v>
      </c>
    </row>
    <row r="35" spans="1:6" ht="15" customHeight="1" x14ac:dyDescent="0.25">
      <c r="A35">
        <v>5</v>
      </c>
      <c r="B35">
        <v>5</v>
      </c>
      <c r="C35" t="str">
        <f>VLOOKUP(B35,Roster!$A$3:$B$14,2,FALSE())</f>
        <v>Mikayla Simmons</v>
      </c>
      <c r="D35" t="s">
        <v>30</v>
      </c>
      <c r="E35">
        <v>10</v>
      </c>
      <c r="F35" t="str">
        <f>VLOOKUP(E35,Roster!$A$3:$B$14,2,FALSE())</f>
        <v>Zach Zarra</v>
      </c>
    </row>
    <row r="36" spans="1:6" ht="15" customHeight="1" x14ac:dyDescent="0.25">
      <c r="A36">
        <v>6</v>
      </c>
      <c r="B36">
        <v>6</v>
      </c>
      <c r="C36" t="str">
        <f>VLOOKUP(B36,Roster!$A$3:$B$14,2,FALSE())</f>
        <v>Alan Loeser</v>
      </c>
      <c r="D36" t="s">
        <v>30</v>
      </c>
      <c r="E36">
        <v>9</v>
      </c>
      <c r="F36" t="str">
        <f>VLOOKUP(E36,Roster!$A$3:$B$14,2,FALSE())</f>
        <v>Daddy Michael</v>
      </c>
    </row>
    <row r="38" spans="1:6" ht="15" customHeight="1" x14ac:dyDescent="0.25">
      <c r="A38" s="4" t="s">
        <v>34</v>
      </c>
    </row>
    <row r="39" spans="1:6" ht="15" customHeight="1" x14ac:dyDescent="0.2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28</v>
      </c>
      <c r="F39" s="2" t="s">
        <v>29</v>
      </c>
    </row>
    <row r="40" spans="1:6" ht="15" customHeight="1" x14ac:dyDescent="0.25">
      <c r="A40">
        <v>1</v>
      </c>
      <c r="B40">
        <v>3</v>
      </c>
      <c r="C40" t="str">
        <f>VLOOKUP(B40,Roster!$A$3:$B$14,2,FALSE())</f>
        <v>Jack Smith</v>
      </c>
      <c r="D40" t="s">
        <v>30</v>
      </c>
      <c r="E40">
        <v>5</v>
      </c>
      <c r="F40" t="str">
        <f>VLOOKUP(E40,Roster!$A$3:$B$14,2,FALSE())</f>
        <v>Mikayla Simmons</v>
      </c>
    </row>
    <row r="41" spans="1:6" ht="15" customHeight="1" x14ac:dyDescent="0.25">
      <c r="A41">
        <v>2</v>
      </c>
      <c r="B41">
        <v>4</v>
      </c>
      <c r="C41" t="str">
        <f>VLOOKUP(B41,Roster!$A$3:$B$14,2,FALSE())</f>
        <v>Luke Ussery</v>
      </c>
      <c r="D41" t="s">
        <v>30</v>
      </c>
      <c r="E41">
        <v>6</v>
      </c>
      <c r="F41" t="str">
        <f>VLOOKUP(E41,Roster!$A$3:$B$14,2,FALSE())</f>
        <v>Alan Loeser</v>
      </c>
    </row>
    <row r="42" spans="1:6" ht="15" customHeight="1" x14ac:dyDescent="0.25">
      <c r="A42">
        <v>3</v>
      </c>
      <c r="B42">
        <v>1</v>
      </c>
      <c r="C42" t="str">
        <f>VLOOKUP(B42,Roster!$A$3:$B$14,2,FALSE())</f>
        <v>Evan Loeser</v>
      </c>
      <c r="D42" t="s">
        <v>30</v>
      </c>
      <c r="E42">
        <v>11</v>
      </c>
      <c r="F42" t="str">
        <f>VLOOKUP(E42,Roster!$A$3:$B$14,2,FALSE())</f>
        <v>Jeffrey Loeser</v>
      </c>
    </row>
    <row r="43" spans="1:6" ht="15" customHeight="1" x14ac:dyDescent="0.25">
      <c r="A43">
        <v>4</v>
      </c>
      <c r="B43">
        <v>2</v>
      </c>
      <c r="C43" t="str">
        <f>VLOOKUP(B43,Roster!$A$3:$B$14,2,FALSE())</f>
        <v>Chris Simmons</v>
      </c>
      <c r="D43" t="s">
        <v>30</v>
      </c>
      <c r="E43">
        <v>12</v>
      </c>
      <c r="F43" t="str">
        <f>VLOOKUP(E43,Roster!$A$3:$B$14,2,FALSE())</f>
        <v>Jake Andrews</v>
      </c>
    </row>
    <row r="44" spans="1:6" ht="15" customHeight="1" x14ac:dyDescent="0.25">
      <c r="A44">
        <v>5</v>
      </c>
      <c r="B44">
        <v>7</v>
      </c>
      <c r="C44" t="str">
        <f>VLOOKUP(B44,Roster!$A$3:$B$14,2,FALSE())</f>
        <v>Caleb Simmons</v>
      </c>
      <c r="D44" t="s">
        <v>30</v>
      </c>
      <c r="E44">
        <v>10</v>
      </c>
      <c r="F44" t="str">
        <f>VLOOKUP(E44,Roster!$A$3:$B$14,2,FALSE())</f>
        <v>Zach Zarra</v>
      </c>
    </row>
    <row r="45" spans="1:6" ht="15" customHeight="1" x14ac:dyDescent="0.25">
      <c r="A45">
        <v>6</v>
      </c>
      <c r="B45">
        <v>8</v>
      </c>
      <c r="C45" t="str">
        <f>VLOOKUP(B45,Roster!$A$3:$B$14,2,FALSE())</f>
        <v>Larry Loeser</v>
      </c>
      <c r="D45" t="s">
        <v>30</v>
      </c>
      <c r="E45">
        <v>9</v>
      </c>
      <c r="F45" t="str">
        <f>VLOOKUP(E45,Roster!$A$3:$B$14,2,FALSE())</f>
        <v>Daddy Michael</v>
      </c>
    </row>
    <row r="47" spans="1:6" ht="15" customHeight="1" x14ac:dyDescent="0.25">
      <c r="A47" s="4" t="s">
        <v>35</v>
      </c>
    </row>
    <row r="48" spans="1:6" ht="15" customHeight="1" x14ac:dyDescent="0.25">
      <c r="A48" s="2" t="s">
        <v>27</v>
      </c>
      <c r="B48" s="2" t="s">
        <v>28</v>
      </c>
      <c r="C48" s="2" t="s">
        <v>29</v>
      </c>
      <c r="D48" s="2" t="s">
        <v>30</v>
      </c>
      <c r="E48" s="2" t="s">
        <v>28</v>
      </c>
      <c r="F48" s="2" t="s">
        <v>29</v>
      </c>
    </row>
    <row r="49" spans="1:6" ht="15" customHeight="1" x14ac:dyDescent="0.25">
      <c r="A49">
        <v>1</v>
      </c>
      <c r="B49">
        <v>3</v>
      </c>
      <c r="C49" t="str">
        <f>VLOOKUP(B49,Roster!$A$3:$B$14,2,FALSE())</f>
        <v>Jack Smith</v>
      </c>
      <c r="D49" t="s">
        <v>30</v>
      </c>
      <c r="E49">
        <v>7</v>
      </c>
      <c r="F49" t="str">
        <f>VLOOKUP(E49,Roster!$A$3:$B$14,2,FALSE())</f>
        <v>Caleb Simmons</v>
      </c>
    </row>
    <row r="50" spans="1:6" ht="15" customHeight="1" x14ac:dyDescent="0.25">
      <c r="A50">
        <v>2</v>
      </c>
      <c r="B50">
        <v>4</v>
      </c>
      <c r="C50" t="str">
        <f>VLOOKUP(B50,Roster!$A$3:$B$14,2,FALSE())</f>
        <v>Luke Ussery</v>
      </c>
      <c r="D50" t="s">
        <v>30</v>
      </c>
      <c r="E50">
        <v>8</v>
      </c>
      <c r="F50" t="str">
        <f>VLOOKUP(E50,Roster!$A$3:$B$14,2,FALSE())</f>
        <v>Larry Loeser</v>
      </c>
    </row>
    <row r="51" spans="1:6" ht="15" customHeight="1" x14ac:dyDescent="0.25">
      <c r="A51">
        <v>3</v>
      </c>
      <c r="B51">
        <v>1</v>
      </c>
      <c r="C51" t="str">
        <f>VLOOKUP(B51,Roster!$A$3:$B$14,2,FALSE())</f>
        <v>Evan Loeser</v>
      </c>
      <c r="D51" t="s">
        <v>30</v>
      </c>
      <c r="E51">
        <v>9</v>
      </c>
      <c r="F51" t="str">
        <f>VLOOKUP(E51,Roster!$A$3:$B$14,2,FALSE())</f>
        <v>Daddy Michael</v>
      </c>
    </row>
    <row r="52" spans="1:6" ht="15" customHeight="1" x14ac:dyDescent="0.25">
      <c r="A52">
        <v>4</v>
      </c>
      <c r="B52">
        <v>2</v>
      </c>
      <c r="C52" t="str">
        <f>VLOOKUP(B52,Roster!$A$3:$B$14,2,FALSE())</f>
        <v>Chris Simmons</v>
      </c>
      <c r="D52" t="s">
        <v>30</v>
      </c>
      <c r="E52">
        <v>10</v>
      </c>
      <c r="F52" t="str">
        <f>VLOOKUP(E52,Roster!$A$3:$B$14,2,FALSE())</f>
        <v>Zach Zarra</v>
      </c>
    </row>
    <row r="53" spans="1:6" ht="15" customHeight="1" x14ac:dyDescent="0.25">
      <c r="A53">
        <v>5</v>
      </c>
      <c r="B53">
        <v>5</v>
      </c>
      <c r="C53" t="str">
        <f>VLOOKUP(B53,Roster!$A$3:$B$14,2,FALSE())</f>
        <v>Mikayla Simmons</v>
      </c>
      <c r="D53" t="s">
        <v>30</v>
      </c>
      <c r="E53">
        <v>12</v>
      </c>
      <c r="F53" t="str">
        <f>VLOOKUP(E53,Roster!$A$3:$B$14,2,FALSE())</f>
        <v>Jake Andrews</v>
      </c>
    </row>
    <row r="54" spans="1:6" ht="15" customHeight="1" x14ac:dyDescent="0.25">
      <c r="A54">
        <v>6</v>
      </c>
      <c r="B54">
        <v>6</v>
      </c>
      <c r="C54" t="str">
        <f>VLOOKUP(B54,Roster!$A$3:$B$14,2,FALSE())</f>
        <v>Alan Loeser</v>
      </c>
      <c r="D54" t="s">
        <v>30</v>
      </c>
      <c r="E54">
        <v>11</v>
      </c>
      <c r="F54" t="str">
        <f>VLOOKUP(E54,Roster!$A$3:$B$14,2,FALSE())</f>
        <v>Jeffrey Loeser</v>
      </c>
    </row>
    <row r="56" spans="1:6" ht="17.25" customHeight="1" x14ac:dyDescent="0.25">
      <c r="A56" s="23" t="s">
        <v>36</v>
      </c>
      <c r="B56" s="23"/>
      <c r="C56" s="23"/>
      <c r="D56" s="23"/>
      <c r="E56" s="23"/>
      <c r="F56" s="23"/>
    </row>
    <row r="57" spans="1:6" ht="15" customHeight="1" x14ac:dyDescent="0.25">
      <c r="A57" s="4" t="s">
        <v>37</v>
      </c>
    </row>
    <row r="58" spans="1:6" ht="15" customHeight="1" x14ac:dyDescent="0.25">
      <c r="A58" s="2" t="s">
        <v>27</v>
      </c>
      <c r="B58" s="2" t="s">
        <v>28</v>
      </c>
      <c r="C58" s="2" t="s">
        <v>29</v>
      </c>
      <c r="D58" s="2" t="s">
        <v>30</v>
      </c>
      <c r="E58" s="2" t="s">
        <v>28</v>
      </c>
      <c r="F58" s="2" t="s">
        <v>29</v>
      </c>
    </row>
    <row r="59" spans="1:6" ht="15" customHeight="1" x14ac:dyDescent="0.25">
      <c r="A59">
        <v>1</v>
      </c>
      <c r="B59">
        <v>3</v>
      </c>
      <c r="C59" t="str">
        <f>VLOOKUP(B59,Roster!$A$3:$B$14,2,FALSE())</f>
        <v>Jack Smith</v>
      </c>
      <c r="D59" t="s">
        <v>30</v>
      </c>
      <c r="E59">
        <v>8</v>
      </c>
      <c r="F59" t="str">
        <f>VLOOKUP(E59,Roster!$A$3:$B$14,2,FALSE())</f>
        <v>Larry Loeser</v>
      </c>
    </row>
    <row r="60" spans="1:6" ht="15" customHeight="1" x14ac:dyDescent="0.25">
      <c r="A60">
        <v>2</v>
      </c>
      <c r="B60">
        <v>4</v>
      </c>
      <c r="C60" t="str">
        <f>VLOOKUP(B60,Roster!$A$3:$B$14,2,FALSE())</f>
        <v>Luke Ussery</v>
      </c>
      <c r="D60" t="s">
        <v>30</v>
      </c>
      <c r="E60">
        <v>7</v>
      </c>
      <c r="F60" t="str">
        <f>VLOOKUP(E60,Roster!$A$3:$B$14,2,FALSE())</f>
        <v>Caleb Simmons</v>
      </c>
    </row>
    <row r="61" spans="1:6" ht="15" customHeight="1" x14ac:dyDescent="0.25">
      <c r="A61">
        <v>3</v>
      </c>
      <c r="B61">
        <v>1</v>
      </c>
      <c r="C61" t="str">
        <f>VLOOKUP(B61,Roster!$A$3:$B$14,2,FALSE())</f>
        <v>Evan Loeser</v>
      </c>
      <c r="D61" t="s">
        <v>30</v>
      </c>
      <c r="E61">
        <v>10</v>
      </c>
      <c r="F61" t="str">
        <f>VLOOKUP(E61,Roster!$A$3:$B$14,2,FALSE())</f>
        <v>Zach Zarra</v>
      </c>
    </row>
    <row r="62" spans="1:6" ht="15" customHeight="1" x14ac:dyDescent="0.25">
      <c r="A62">
        <v>4</v>
      </c>
      <c r="B62">
        <v>2</v>
      </c>
      <c r="C62" t="str">
        <f>VLOOKUP(B62,Roster!$A$3:$B$14,2,FALSE())</f>
        <v>Chris Simmons</v>
      </c>
      <c r="D62" t="s">
        <v>30</v>
      </c>
      <c r="E62">
        <v>9</v>
      </c>
      <c r="F62" t="str">
        <f>VLOOKUP(E62,Roster!$A$3:$B$14,2,FALSE())</f>
        <v>Daddy Michael</v>
      </c>
    </row>
    <row r="63" spans="1:6" ht="15" customHeight="1" x14ac:dyDescent="0.25">
      <c r="A63">
        <v>5</v>
      </c>
      <c r="B63">
        <v>5</v>
      </c>
      <c r="C63" t="str">
        <f>VLOOKUP(B63,Roster!$A$3:$B$14,2,FALSE())</f>
        <v>Mikayla Simmons</v>
      </c>
      <c r="D63" t="s">
        <v>30</v>
      </c>
      <c r="E63">
        <v>11</v>
      </c>
      <c r="F63" t="str">
        <f>VLOOKUP(E63,Roster!$A$3:$B$14,2,FALSE())</f>
        <v>Jeffrey Loeser</v>
      </c>
    </row>
    <row r="64" spans="1:6" ht="15" customHeight="1" x14ac:dyDescent="0.25">
      <c r="A64">
        <v>6</v>
      </c>
      <c r="B64">
        <v>6</v>
      </c>
      <c r="C64" t="str">
        <f>VLOOKUP(B64,Roster!$A$3:$B$14,2,FALSE())</f>
        <v>Alan Loeser</v>
      </c>
      <c r="D64" t="s">
        <v>30</v>
      </c>
      <c r="E64">
        <v>12</v>
      </c>
      <c r="F64" t="str">
        <f>VLOOKUP(E64,Roster!$A$3:$B$14,2,FALSE())</f>
        <v>Jake Andrews</v>
      </c>
    </row>
    <row r="66" spans="1:6" ht="15" customHeight="1" x14ac:dyDescent="0.25">
      <c r="A66" s="4" t="s">
        <v>38</v>
      </c>
    </row>
    <row r="67" spans="1:6" ht="15" customHeight="1" x14ac:dyDescent="0.25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28</v>
      </c>
      <c r="F67" s="2" t="s">
        <v>29</v>
      </c>
    </row>
    <row r="68" spans="1:6" ht="15" customHeight="1" x14ac:dyDescent="0.25">
      <c r="A68">
        <v>1</v>
      </c>
      <c r="B68">
        <v>3</v>
      </c>
      <c r="C68" t="str">
        <f>VLOOKUP(B68,Roster!$A$3:$B$14,2,FALSE())</f>
        <v>Jack Smith</v>
      </c>
      <c r="D68" t="s">
        <v>30</v>
      </c>
      <c r="E68">
        <v>6</v>
      </c>
      <c r="F68" t="str">
        <f>VLOOKUP(E68,Roster!$A$3:$B$14,2,FALSE())</f>
        <v>Alan Loeser</v>
      </c>
    </row>
    <row r="69" spans="1:6" ht="15" customHeight="1" x14ac:dyDescent="0.25">
      <c r="A69">
        <v>2</v>
      </c>
      <c r="B69">
        <v>4</v>
      </c>
      <c r="C69" t="str">
        <f>VLOOKUP(B69,Roster!$A$3:$B$14,2,FALSE())</f>
        <v>Luke Ussery</v>
      </c>
      <c r="D69" t="s">
        <v>30</v>
      </c>
      <c r="E69">
        <v>5</v>
      </c>
      <c r="F69" t="str">
        <f>VLOOKUP(E69,Roster!$A$3:$B$14,2,FALSE())</f>
        <v>Mikayla Simmons</v>
      </c>
    </row>
    <row r="70" spans="1:6" ht="15" customHeight="1" x14ac:dyDescent="0.25">
      <c r="A70">
        <v>3</v>
      </c>
      <c r="B70">
        <v>1</v>
      </c>
      <c r="C70" t="str">
        <f>VLOOKUP(B70,Roster!$A$3:$B$14,2,FALSE())</f>
        <v>Evan Loeser</v>
      </c>
      <c r="D70" t="s">
        <v>30</v>
      </c>
      <c r="E70">
        <v>12</v>
      </c>
      <c r="F70" t="str">
        <f>VLOOKUP(E70,Roster!$A$3:$B$14,2,FALSE())</f>
        <v>Jake Andrews</v>
      </c>
    </row>
    <row r="71" spans="1:6" ht="15" customHeight="1" x14ac:dyDescent="0.25">
      <c r="A71">
        <v>4</v>
      </c>
      <c r="B71">
        <v>2</v>
      </c>
      <c r="C71" t="str">
        <f>VLOOKUP(B71,Roster!$A$3:$B$14,2,FALSE())</f>
        <v>Chris Simmons</v>
      </c>
      <c r="D71" t="s">
        <v>30</v>
      </c>
      <c r="E71">
        <v>11</v>
      </c>
      <c r="F71" t="str">
        <f>VLOOKUP(E71,Roster!$A$3:$B$14,2,FALSE())</f>
        <v>Jeffrey Loeser</v>
      </c>
    </row>
    <row r="72" spans="1:6" ht="15" customHeight="1" x14ac:dyDescent="0.25">
      <c r="A72">
        <v>5</v>
      </c>
      <c r="B72">
        <v>7</v>
      </c>
      <c r="C72" t="str">
        <f>VLOOKUP(B72,Roster!$A$3:$B$14,2,FALSE())</f>
        <v>Caleb Simmons</v>
      </c>
      <c r="D72" t="s">
        <v>30</v>
      </c>
      <c r="E72">
        <v>10</v>
      </c>
      <c r="F72" t="str">
        <f>VLOOKUP(E72,Roster!$A$3:$B$14,2,FALSE())</f>
        <v>Zach Zarra</v>
      </c>
    </row>
    <row r="73" spans="1:6" ht="15" customHeight="1" x14ac:dyDescent="0.25">
      <c r="A73">
        <v>6</v>
      </c>
      <c r="B73">
        <v>8</v>
      </c>
      <c r="C73" t="str">
        <f>VLOOKUP(B73,Roster!$A$3:$B$14,2,FALSE())</f>
        <v>Larry Loeser</v>
      </c>
      <c r="D73" t="s">
        <v>30</v>
      </c>
      <c r="E73">
        <v>9</v>
      </c>
      <c r="F73" t="str">
        <f>VLOOKUP(E73,Roster!$A$3:$B$14,2,FALSE())</f>
        <v>Daddy Michael</v>
      </c>
    </row>
    <row r="75" spans="1:6" ht="15" customHeight="1" x14ac:dyDescent="0.25">
      <c r="A75" s="4" t="s">
        <v>39</v>
      </c>
    </row>
    <row r="76" spans="1:6" ht="15" customHeight="1" x14ac:dyDescent="0.25">
      <c r="A76" s="2" t="s">
        <v>27</v>
      </c>
      <c r="B76" s="2" t="s">
        <v>28</v>
      </c>
      <c r="C76" s="2" t="s">
        <v>29</v>
      </c>
      <c r="D76" s="2" t="s">
        <v>30</v>
      </c>
      <c r="E76" s="2" t="s">
        <v>28</v>
      </c>
      <c r="F76" s="2" t="s">
        <v>29</v>
      </c>
    </row>
    <row r="77" spans="1:6" ht="15" customHeight="1" x14ac:dyDescent="0.25">
      <c r="A77">
        <v>1</v>
      </c>
      <c r="B77">
        <v>1</v>
      </c>
      <c r="C77" t="str">
        <f>VLOOKUP(B77,Roster!$A$3:$B$14,2,FALSE())</f>
        <v>Evan Loeser</v>
      </c>
      <c r="D77" t="s">
        <v>30</v>
      </c>
      <c r="E77">
        <v>5</v>
      </c>
      <c r="F77" t="str">
        <f>VLOOKUP(E77,Roster!$A$3:$B$14,2,FALSE())</f>
        <v>Mikayla Simmons</v>
      </c>
    </row>
    <row r="78" spans="1:6" ht="15" customHeight="1" x14ac:dyDescent="0.25">
      <c r="A78">
        <v>2</v>
      </c>
      <c r="B78">
        <v>2</v>
      </c>
      <c r="C78" t="str">
        <f>VLOOKUP(B78,Roster!$A$3:$B$14,2,FALSE())</f>
        <v>Chris Simmons</v>
      </c>
      <c r="D78" t="s">
        <v>30</v>
      </c>
      <c r="E78">
        <v>6</v>
      </c>
      <c r="F78" t="str">
        <f>VLOOKUP(E78,Roster!$A$3:$B$14,2,FALSE())</f>
        <v>Alan Loeser</v>
      </c>
    </row>
    <row r="79" spans="1:6" ht="15" customHeight="1" x14ac:dyDescent="0.25">
      <c r="A79">
        <v>3</v>
      </c>
      <c r="B79">
        <v>3</v>
      </c>
      <c r="C79" t="str">
        <f>VLOOKUP(B79,Roster!$A$3:$B$14,2,FALSE())</f>
        <v>Jack Smith</v>
      </c>
      <c r="D79" t="s">
        <v>30</v>
      </c>
      <c r="E79">
        <v>10</v>
      </c>
      <c r="F79" t="str">
        <f>VLOOKUP(E79,Roster!$A$3:$B$14,2,FALSE())</f>
        <v>Zach Zarra</v>
      </c>
    </row>
    <row r="80" spans="1:6" ht="15" customHeight="1" x14ac:dyDescent="0.25">
      <c r="A80">
        <v>4</v>
      </c>
      <c r="B80">
        <v>4</v>
      </c>
      <c r="C80" t="str">
        <f>VLOOKUP(B80,Roster!$A$3:$B$14,2,FALSE())</f>
        <v>Luke Ussery</v>
      </c>
      <c r="D80" t="s">
        <v>30</v>
      </c>
      <c r="E80">
        <v>9</v>
      </c>
      <c r="F80" t="str">
        <f>VLOOKUP(E80,Roster!$A$3:$B$14,2,FALSE())</f>
        <v>Daddy Michael</v>
      </c>
    </row>
    <row r="81" spans="1:6" ht="15" customHeight="1" x14ac:dyDescent="0.25">
      <c r="A81">
        <v>5</v>
      </c>
      <c r="B81">
        <v>7</v>
      </c>
      <c r="C81" t="str">
        <f>VLOOKUP(B81,Roster!$A$3:$B$14,2,FALSE())</f>
        <v>Caleb Simmons</v>
      </c>
      <c r="D81" t="s">
        <v>30</v>
      </c>
      <c r="E81">
        <v>12</v>
      </c>
      <c r="F81" t="str">
        <f>VLOOKUP(E81,Roster!$A$3:$B$14,2,FALSE())</f>
        <v>Jake Andrews</v>
      </c>
    </row>
    <row r="82" spans="1:6" ht="15" customHeight="1" x14ac:dyDescent="0.25">
      <c r="A82">
        <v>6</v>
      </c>
      <c r="B82">
        <v>8</v>
      </c>
      <c r="C82" t="str">
        <f>VLOOKUP(B82,Roster!$A$3:$B$14,2,FALSE())</f>
        <v>Larry Loeser</v>
      </c>
      <c r="D82" t="s">
        <v>30</v>
      </c>
      <c r="E82">
        <v>11</v>
      </c>
      <c r="F82" t="str">
        <f>VLOOKUP(E82,Roster!$A$3:$B$14,2,FALSE())</f>
        <v>Jeffrey Loeser</v>
      </c>
    </row>
    <row r="84" spans="1:6" ht="15" customHeight="1" x14ac:dyDescent="0.25">
      <c r="A84" s="4" t="s">
        <v>40</v>
      </c>
    </row>
    <row r="85" spans="1:6" ht="15" customHeight="1" x14ac:dyDescent="0.25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28</v>
      </c>
      <c r="F85" s="2" t="s">
        <v>29</v>
      </c>
    </row>
    <row r="86" spans="1:6" ht="15" customHeight="1" x14ac:dyDescent="0.25">
      <c r="A86">
        <v>1</v>
      </c>
      <c r="B86">
        <v>1</v>
      </c>
      <c r="C86" t="str">
        <f>VLOOKUP(B86,Roster!$A$3:$B$14,2,FALSE())</f>
        <v>Evan Loeser</v>
      </c>
      <c r="D86" t="s">
        <v>30</v>
      </c>
      <c r="E86">
        <v>7</v>
      </c>
      <c r="F86" t="str">
        <f>VLOOKUP(E86,Roster!$A$3:$B$14,2,FALSE())</f>
        <v>Caleb Simmons</v>
      </c>
    </row>
    <row r="87" spans="1:6" ht="15" customHeight="1" x14ac:dyDescent="0.25">
      <c r="A87">
        <v>2</v>
      </c>
      <c r="B87">
        <v>2</v>
      </c>
      <c r="C87" t="str">
        <f>VLOOKUP(B87,Roster!$A$3:$B$14,2,FALSE())</f>
        <v>Chris Simmons</v>
      </c>
      <c r="D87" t="s">
        <v>30</v>
      </c>
      <c r="E87">
        <v>8</v>
      </c>
      <c r="F87" t="str">
        <f>VLOOKUP(E87,Roster!$A$3:$B$14,2,FALSE())</f>
        <v>Larry Loeser</v>
      </c>
    </row>
    <row r="88" spans="1:6" ht="15" customHeight="1" x14ac:dyDescent="0.25">
      <c r="A88">
        <v>3</v>
      </c>
      <c r="B88">
        <v>3</v>
      </c>
      <c r="C88" t="str">
        <f>VLOOKUP(B88,Roster!$A$3:$B$14,2,FALSE())</f>
        <v>Jack Smith</v>
      </c>
      <c r="D88" t="s">
        <v>30</v>
      </c>
      <c r="E88">
        <v>12</v>
      </c>
      <c r="F88" t="str">
        <f>VLOOKUP(E88,Roster!$A$3:$B$14,2,FALSE())</f>
        <v>Jake Andrews</v>
      </c>
    </row>
    <row r="89" spans="1:6" ht="15" customHeight="1" x14ac:dyDescent="0.25">
      <c r="A89">
        <v>4</v>
      </c>
      <c r="B89">
        <v>4</v>
      </c>
      <c r="C89" t="str">
        <f>VLOOKUP(B89,Roster!$A$3:$B$14,2,FALSE())</f>
        <v>Luke Ussery</v>
      </c>
      <c r="D89" t="s">
        <v>30</v>
      </c>
      <c r="E89">
        <v>11</v>
      </c>
      <c r="F89" t="str">
        <f>VLOOKUP(E89,Roster!$A$3:$B$14,2,FALSE())</f>
        <v>Jeffrey Loeser</v>
      </c>
    </row>
    <row r="90" spans="1:6" ht="15" customHeight="1" x14ac:dyDescent="0.25">
      <c r="A90">
        <v>5</v>
      </c>
      <c r="B90">
        <v>5</v>
      </c>
      <c r="C90" t="str">
        <f>VLOOKUP(B90,Roster!$A$3:$B$14,2,FALSE())</f>
        <v>Mikayla Simmons</v>
      </c>
      <c r="D90" t="s">
        <v>30</v>
      </c>
      <c r="E90">
        <v>10</v>
      </c>
      <c r="F90" t="str">
        <f>VLOOKUP(E90,Roster!$A$3:$B$14,2,FALSE())</f>
        <v>Zach Zarra</v>
      </c>
    </row>
    <row r="91" spans="1:6" ht="15" customHeight="1" x14ac:dyDescent="0.25">
      <c r="A91">
        <v>6</v>
      </c>
      <c r="B91">
        <v>6</v>
      </c>
      <c r="C91" t="str">
        <f>VLOOKUP(B91,Roster!$A$3:$B$14,2,FALSE())</f>
        <v>Alan Loeser</v>
      </c>
      <c r="D91" t="s">
        <v>30</v>
      </c>
      <c r="E91">
        <v>9</v>
      </c>
      <c r="F91" t="str">
        <f>VLOOKUP(E91,Roster!$A$3:$B$14,2,FALSE())</f>
        <v>Daddy Michael</v>
      </c>
    </row>
    <row r="93" spans="1:6" ht="15" customHeight="1" x14ac:dyDescent="0.25">
      <c r="A93" s="4" t="s">
        <v>41</v>
      </c>
    </row>
    <row r="94" spans="1:6" ht="15" customHeight="1" x14ac:dyDescent="0.25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28</v>
      </c>
      <c r="F94" s="2" t="s">
        <v>29</v>
      </c>
    </row>
    <row r="95" spans="1:6" ht="15" customHeight="1" x14ac:dyDescent="0.25">
      <c r="A95">
        <v>1</v>
      </c>
      <c r="B95">
        <v>3</v>
      </c>
      <c r="C95" t="str">
        <f>VLOOKUP(B95,Roster!$A$3:$B$14,2,FALSE())</f>
        <v>Jack Smith</v>
      </c>
      <c r="D95" t="s">
        <v>30</v>
      </c>
      <c r="E95">
        <v>5</v>
      </c>
      <c r="F95" t="str">
        <f>VLOOKUP(E95,Roster!$A$3:$B$14,2,FALSE())</f>
        <v>Mikayla Simmons</v>
      </c>
    </row>
    <row r="96" spans="1:6" ht="15" customHeight="1" x14ac:dyDescent="0.25">
      <c r="A96">
        <v>2</v>
      </c>
      <c r="B96">
        <v>4</v>
      </c>
      <c r="C96" t="str">
        <f>VLOOKUP(B96,Roster!$A$3:$B$14,2,FALSE())</f>
        <v>Luke Ussery</v>
      </c>
      <c r="D96" t="s">
        <v>30</v>
      </c>
      <c r="E96">
        <v>6</v>
      </c>
      <c r="F96" t="str">
        <f>VLOOKUP(E96,Roster!$A$3:$B$14,2,FALSE())</f>
        <v>Alan Loeser</v>
      </c>
    </row>
    <row r="97" spans="1:6" ht="15" customHeight="1" x14ac:dyDescent="0.25">
      <c r="A97">
        <v>3</v>
      </c>
      <c r="B97">
        <v>1</v>
      </c>
      <c r="C97" t="str">
        <f>VLOOKUP(B97,Roster!$A$3:$B$14,2,FALSE())</f>
        <v>Evan Loeser</v>
      </c>
      <c r="D97" t="s">
        <v>30</v>
      </c>
      <c r="E97">
        <v>10</v>
      </c>
      <c r="F97" t="str">
        <f>VLOOKUP(E97,Roster!$A$3:$B$14,2,FALSE())</f>
        <v>Zach Zarra</v>
      </c>
    </row>
    <row r="98" spans="1:6" ht="15" customHeight="1" x14ac:dyDescent="0.25">
      <c r="A98">
        <v>4</v>
      </c>
      <c r="B98">
        <v>2</v>
      </c>
      <c r="C98" t="str">
        <f>VLOOKUP(B98,Roster!$A$3:$B$14,2,FALSE())</f>
        <v>Chris Simmons</v>
      </c>
      <c r="D98" t="s">
        <v>30</v>
      </c>
      <c r="E98">
        <v>9</v>
      </c>
      <c r="F98" t="str">
        <f>VLOOKUP(E98,Roster!$A$3:$B$14,2,FALSE())</f>
        <v>Daddy Michael</v>
      </c>
    </row>
    <row r="99" spans="1:6" ht="15" customHeight="1" x14ac:dyDescent="0.25">
      <c r="A99">
        <v>5</v>
      </c>
      <c r="B99">
        <v>7</v>
      </c>
      <c r="C99" t="str">
        <f>VLOOKUP(B99,Roster!$A$3:$B$14,2,FALSE())</f>
        <v>Caleb Simmons</v>
      </c>
      <c r="D99" t="s">
        <v>30</v>
      </c>
      <c r="E99">
        <v>11</v>
      </c>
      <c r="F99" t="str">
        <f>VLOOKUP(E99,Roster!$A$3:$B$14,2,FALSE())</f>
        <v>Jeffrey Loeser</v>
      </c>
    </row>
    <row r="100" spans="1:6" ht="15" customHeight="1" x14ac:dyDescent="0.25">
      <c r="A100">
        <v>6</v>
      </c>
      <c r="B100">
        <v>8</v>
      </c>
      <c r="C100" t="str">
        <f>VLOOKUP(B100,Roster!$A$3:$B$14,2,FALSE())</f>
        <v>Larry Loeser</v>
      </c>
      <c r="D100" t="s">
        <v>30</v>
      </c>
      <c r="E100">
        <v>12</v>
      </c>
      <c r="F100" t="str">
        <f>VLOOKUP(E100,Roster!$A$3:$B$14,2,FALSE())</f>
        <v>Jake Andrews</v>
      </c>
    </row>
    <row r="102" spans="1:6" ht="15" customHeight="1" x14ac:dyDescent="0.25">
      <c r="A102" s="4" t="s">
        <v>42</v>
      </c>
    </row>
    <row r="103" spans="1:6" ht="15" customHeight="1" x14ac:dyDescent="0.25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28</v>
      </c>
      <c r="F103" s="2" t="s">
        <v>29</v>
      </c>
    </row>
    <row r="104" spans="1:6" ht="15" customHeight="1" x14ac:dyDescent="0.25">
      <c r="A104">
        <v>1</v>
      </c>
      <c r="B104">
        <v>1</v>
      </c>
      <c r="C104" t="str">
        <f>VLOOKUP(B104,Roster!$A$3:$B$14,2,FALSE())</f>
        <v>Evan Loeser</v>
      </c>
      <c r="D104" t="s">
        <v>30</v>
      </c>
      <c r="E104">
        <v>6</v>
      </c>
      <c r="F104" t="str">
        <f>VLOOKUP(E104,Roster!$A$3:$B$14,2,FALSE())</f>
        <v>Alan Loeser</v>
      </c>
    </row>
    <row r="105" spans="1:6" ht="15" customHeight="1" x14ac:dyDescent="0.25">
      <c r="A105">
        <v>2</v>
      </c>
      <c r="B105">
        <v>2</v>
      </c>
      <c r="C105" t="str">
        <f>VLOOKUP(B105,Roster!$A$3:$B$14,2,FALSE())</f>
        <v>Chris Simmons</v>
      </c>
      <c r="D105" t="s">
        <v>30</v>
      </c>
      <c r="E105">
        <v>5</v>
      </c>
      <c r="F105" t="str">
        <f>VLOOKUP(E105,Roster!$A$3:$B$14,2,FALSE())</f>
        <v>Mikayla Simmons</v>
      </c>
    </row>
    <row r="106" spans="1:6" ht="15" customHeight="1" x14ac:dyDescent="0.25">
      <c r="A106">
        <v>3</v>
      </c>
      <c r="B106">
        <v>3</v>
      </c>
      <c r="C106" t="str">
        <f>VLOOKUP(B106,Roster!$A$3:$B$14,2,FALSE())</f>
        <v>Jack Smith</v>
      </c>
      <c r="D106" t="s">
        <v>30</v>
      </c>
      <c r="E106">
        <v>11</v>
      </c>
      <c r="F106" t="str">
        <f>VLOOKUP(E106,Roster!$A$3:$B$14,2,FALSE())</f>
        <v>Jeffrey Loeser</v>
      </c>
    </row>
    <row r="107" spans="1:6" ht="15" customHeight="1" x14ac:dyDescent="0.25">
      <c r="A107">
        <v>4</v>
      </c>
      <c r="B107">
        <v>4</v>
      </c>
      <c r="C107" t="str">
        <f>VLOOKUP(B107,Roster!$A$3:$B$14,2,FALSE())</f>
        <v>Luke Ussery</v>
      </c>
      <c r="D107" t="s">
        <v>30</v>
      </c>
      <c r="E107">
        <v>12</v>
      </c>
      <c r="F107" t="str">
        <f>VLOOKUP(E107,Roster!$A$3:$B$14,2,FALSE())</f>
        <v>Jake Andrews</v>
      </c>
    </row>
    <row r="108" spans="1:6" ht="15" customHeight="1" x14ac:dyDescent="0.25">
      <c r="A108">
        <v>5</v>
      </c>
      <c r="B108">
        <v>7</v>
      </c>
      <c r="C108" t="str">
        <f>VLOOKUP(B108,Roster!$A$3:$B$14,2,FALSE())</f>
        <v>Caleb Simmons</v>
      </c>
      <c r="D108" t="s">
        <v>30</v>
      </c>
      <c r="E108">
        <v>9</v>
      </c>
      <c r="F108" t="str">
        <f>VLOOKUP(E108,Roster!$A$3:$B$14,2,FALSE())</f>
        <v>Daddy Michael</v>
      </c>
    </row>
    <row r="109" spans="1:6" ht="15" customHeight="1" x14ac:dyDescent="0.25">
      <c r="A109">
        <v>6</v>
      </c>
      <c r="B109">
        <v>8</v>
      </c>
      <c r="C109" t="str">
        <f>VLOOKUP(B109,Roster!$A$3:$B$14,2,FALSE())</f>
        <v>Larry Loeser</v>
      </c>
      <c r="D109" t="s">
        <v>30</v>
      </c>
      <c r="E109">
        <v>10</v>
      </c>
      <c r="F109" t="str">
        <f>VLOOKUP(E109,Roster!$A$3:$B$14,2,FALSE())</f>
        <v>Zach Zarra</v>
      </c>
    </row>
    <row r="111" spans="1:6" ht="17.25" customHeight="1" x14ac:dyDescent="0.25">
      <c r="A111" s="23" t="s">
        <v>43</v>
      </c>
      <c r="B111" s="23"/>
      <c r="C111" s="23"/>
      <c r="D111" s="23"/>
      <c r="E111" s="23"/>
      <c r="F111" s="23"/>
    </row>
    <row r="112" spans="1:6" ht="15" customHeight="1" x14ac:dyDescent="0.25">
      <c r="A112" s="4" t="s">
        <v>44</v>
      </c>
    </row>
    <row r="113" spans="1:6" ht="15" customHeight="1" x14ac:dyDescent="0.25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28</v>
      </c>
      <c r="F113" s="2" t="s">
        <v>29</v>
      </c>
    </row>
    <row r="114" spans="1:6" ht="15" customHeight="1" x14ac:dyDescent="0.25">
      <c r="A114">
        <v>1</v>
      </c>
      <c r="B114">
        <v>1</v>
      </c>
      <c r="C114" t="str">
        <f>VLOOKUP(B114,Roster!$A$3:$B$14,2,FALSE())</f>
        <v>Evan Loeser</v>
      </c>
      <c r="D114" t="s">
        <v>30</v>
      </c>
      <c r="E114">
        <v>4</v>
      </c>
      <c r="F114" t="str">
        <f>VLOOKUP(E114,Roster!$A$3:$B$14,2,FALSE())</f>
        <v>Luke Ussery</v>
      </c>
    </row>
    <row r="115" spans="1:6" ht="15" customHeight="1" x14ac:dyDescent="0.25">
      <c r="A115">
        <v>2</v>
      </c>
      <c r="B115">
        <v>2</v>
      </c>
      <c r="C115" t="str">
        <f>VLOOKUP(B115,Roster!$A$3:$B$14,2,FALSE())</f>
        <v>Chris Simmons</v>
      </c>
      <c r="D115" t="s">
        <v>30</v>
      </c>
      <c r="E115">
        <v>3</v>
      </c>
      <c r="F115" t="str">
        <f>VLOOKUP(E115,Roster!$A$3:$B$14,2,FALSE())</f>
        <v>Jack Smith</v>
      </c>
    </row>
    <row r="116" spans="1:6" ht="15" customHeight="1" x14ac:dyDescent="0.25">
      <c r="A116">
        <v>3</v>
      </c>
      <c r="B116">
        <v>5</v>
      </c>
      <c r="C116" t="str">
        <f>VLOOKUP(B116,Roster!$A$3:$B$14,2,FALSE())</f>
        <v>Mikayla Simmons</v>
      </c>
      <c r="D116" t="s">
        <v>30</v>
      </c>
      <c r="E116">
        <v>8</v>
      </c>
      <c r="F116" t="str">
        <f>VLOOKUP(E116,Roster!$A$3:$B$14,2,FALSE())</f>
        <v>Larry Loeser</v>
      </c>
    </row>
    <row r="117" spans="1:6" ht="15" customHeight="1" x14ac:dyDescent="0.25">
      <c r="A117">
        <v>4</v>
      </c>
      <c r="B117">
        <v>6</v>
      </c>
      <c r="C117" t="str">
        <f>VLOOKUP(B117,Roster!$A$3:$B$14,2,FALSE())</f>
        <v>Alan Loeser</v>
      </c>
      <c r="D117" t="s">
        <v>30</v>
      </c>
      <c r="E117">
        <v>7</v>
      </c>
      <c r="F117" t="str">
        <f>VLOOKUP(E117,Roster!$A$3:$B$14,2,FALSE())</f>
        <v>Caleb Simmons</v>
      </c>
    </row>
    <row r="118" spans="1:6" ht="15" customHeight="1" x14ac:dyDescent="0.25">
      <c r="A118">
        <v>5</v>
      </c>
      <c r="B118">
        <v>9</v>
      </c>
      <c r="C118" t="str">
        <f>VLOOKUP(B118,Roster!$A$3:$B$14,2,FALSE())</f>
        <v>Daddy Michael</v>
      </c>
      <c r="D118" t="s">
        <v>30</v>
      </c>
      <c r="E118">
        <v>12</v>
      </c>
      <c r="F118" t="str">
        <f>VLOOKUP(E118,Roster!$A$3:$B$14,2,FALSE())</f>
        <v>Jake Andrews</v>
      </c>
    </row>
    <row r="119" spans="1:6" ht="15" customHeight="1" x14ac:dyDescent="0.25">
      <c r="A119">
        <v>6</v>
      </c>
      <c r="B119">
        <v>10</v>
      </c>
      <c r="C119" t="str">
        <f>VLOOKUP(B119,Roster!$A$3:$B$14,2,FALSE())</f>
        <v>Zach Zarra</v>
      </c>
      <c r="D119" t="s">
        <v>30</v>
      </c>
      <c r="E119">
        <v>11</v>
      </c>
      <c r="F119" t="str">
        <f>VLOOKUP(E119,Roster!$A$3:$B$14,2,FALSE())</f>
        <v>Jeffrey Loeser</v>
      </c>
    </row>
    <row r="121" spans="1:6" ht="15" customHeight="1" x14ac:dyDescent="0.25">
      <c r="A121" s="4" t="s">
        <v>45</v>
      </c>
    </row>
    <row r="122" spans="1:6" ht="15" customHeight="1" x14ac:dyDescent="0.25">
      <c r="A122" s="2" t="s">
        <v>27</v>
      </c>
      <c r="B122" s="2" t="s">
        <v>28</v>
      </c>
      <c r="C122" s="2" t="s">
        <v>29</v>
      </c>
      <c r="D122" s="2" t="s">
        <v>30</v>
      </c>
      <c r="E122" s="2" t="s">
        <v>28</v>
      </c>
      <c r="F122" s="2" t="s">
        <v>29</v>
      </c>
    </row>
    <row r="123" spans="1:6" ht="15" customHeight="1" x14ac:dyDescent="0.25">
      <c r="A123">
        <v>1</v>
      </c>
      <c r="B123">
        <v>1</v>
      </c>
      <c r="C123" t="str">
        <f>VLOOKUP(B123,Roster!$A$3:$B$14,2,FALSE())</f>
        <v>Evan Loeser</v>
      </c>
      <c r="D123" t="s">
        <v>30</v>
      </c>
      <c r="E123">
        <v>3</v>
      </c>
      <c r="F123" t="str">
        <f>VLOOKUP(E123,Roster!$A$3:$B$14,2,FALSE())</f>
        <v>Jack Smith</v>
      </c>
    </row>
    <row r="124" spans="1:6" ht="15" customHeight="1" x14ac:dyDescent="0.25">
      <c r="A124">
        <v>2</v>
      </c>
      <c r="B124">
        <v>4</v>
      </c>
      <c r="C124" t="str">
        <f>VLOOKUP(B124,Roster!$A$3:$B$14,2,FALSE())</f>
        <v>Luke Ussery</v>
      </c>
      <c r="D124" t="s">
        <v>30</v>
      </c>
      <c r="E124">
        <v>2</v>
      </c>
      <c r="F124" t="str">
        <f>VLOOKUP(E124,Roster!$A$3:$B$14,2,FALSE())</f>
        <v>Chris Simmons</v>
      </c>
    </row>
    <row r="125" spans="1:6" ht="15" customHeight="1" x14ac:dyDescent="0.25">
      <c r="A125">
        <v>3</v>
      </c>
      <c r="B125">
        <v>5</v>
      </c>
      <c r="C125" t="str">
        <f>VLOOKUP(B125,Roster!$A$3:$B$14,2,FALSE())</f>
        <v>Mikayla Simmons</v>
      </c>
      <c r="D125" t="s">
        <v>30</v>
      </c>
      <c r="E125">
        <v>7</v>
      </c>
      <c r="F125" t="str">
        <f>VLOOKUP(E125,Roster!$A$3:$B$14,2,FALSE())</f>
        <v>Caleb Simmons</v>
      </c>
    </row>
    <row r="126" spans="1:6" ht="15" customHeight="1" x14ac:dyDescent="0.25">
      <c r="A126">
        <v>4</v>
      </c>
      <c r="B126">
        <v>8</v>
      </c>
      <c r="C126" t="str">
        <f>VLOOKUP(B126,Roster!$A$3:$B$14,2,FALSE())</f>
        <v>Larry Loeser</v>
      </c>
      <c r="D126" t="s">
        <v>30</v>
      </c>
      <c r="E126">
        <v>6</v>
      </c>
      <c r="F126" t="str">
        <f>VLOOKUP(E126,Roster!$A$3:$B$14,2,FALSE())</f>
        <v>Alan Loeser</v>
      </c>
    </row>
    <row r="127" spans="1:6" ht="15" customHeight="1" x14ac:dyDescent="0.25">
      <c r="A127">
        <v>5</v>
      </c>
      <c r="B127">
        <v>9</v>
      </c>
      <c r="C127" t="str">
        <f>VLOOKUP(B127,Roster!$A$3:$B$14,2,FALSE())</f>
        <v>Daddy Michael</v>
      </c>
      <c r="D127" t="s">
        <v>30</v>
      </c>
      <c r="E127">
        <v>11</v>
      </c>
      <c r="F127" t="str">
        <f>VLOOKUP(E127,Roster!$A$3:$B$14,2,FALSE())</f>
        <v>Jeffrey Loeser</v>
      </c>
    </row>
    <row r="128" spans="1:6" ht="15" customHeight="1" x14ac:dyDescent="0.25">
      <c r="A128">
        <v>6</v>
      </c>
      <c r="B128">
        <v>12</v>
      </c>
      <c r="C128" t="str">
        <f>VLOOKUP(B128,Roster!$A$3:$B$14,2,FALSE())</f>
        <v>Jake Andrews</v>
      </c>
      <c r="D128" t="s">
        <v>30</v>
      </c>
      <c r="E128">
        <v>10</v>
      </c>
      <c r="F128" t="str">
        <f>VLOOKUP(E128,Roster!$A$3:$B$14,2,FALSE())</f>
        <v>Zach Zarra</v>
      </c>
    </row>
    <row r="130" spans="1:6" ht="15" customHeight="1" x14ac:dyDescent="0.25">
      <c r="A130" s="4" t="s">
        <v>46</v>
      </c>
    </row>
    <row r="131" spans="1:6" ht="15" customHeight="1" x14ac:dyDescent="0.25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28</v>
      </c>
      <c r="F131" s="2" t="s">
        <v>29</v>
      </c>
    </row>
    <row r="132" spans="1:6" ht="15" customHeight="1" x14ac:dyDescent="0.25">
      <c r="A132">
        <v>1</v>
      </c>
      <c r="B132">
        <v>1</v>
      </c>
      <c r="C132" t="str">
        <f>VLOOKUP(B132,Roster!$A$3:$B$14,2,FALSE())</f>
        <v>Evan Loeser</v>
      </c>
      <c r="D132" t="s">
        <v>30</v>
      </c>
      <c r="E132">
        <v>2</v>
      </c>
      <c r="F132" t="str">
        <f>VLOOKUP(E132,Roster!$A$3:$B$14,2,FALSE())</f>
        <v>Chris Simmons</v>
      </c>
    </row>
    <row r="133" spans="1:6" ht="15" customHeight="1" x14ac:dyDescent="0.25">
      <c r="A133">
        <v>2</v>
      </c>
      <c r="B133">
        <v>3</v>
      </c>
      <c r="C133" t="str">
        <f>VLOOKUP(B133,Roster!$A$3:$B$14,2,FALSE())</f>
        <v>Jack Smith</v>
      </c>
      <c r="D133" t="s">
        <v>30</v>
      </c>
      <c r="E133">
        <v>4</v>
      </c>
      <c r="F133" t="str">
        <f>VLOOKUP(E133,Roster!$A$3:$B$14,2,FALSE())</f>
        <v>Luke Ussery</v>
      </c>
    </row>
    <row r="134" spans="1:6" ht="15" customHeight="1" x14ac:dyDescent="0.25">
      <c r="A134">
        <v>3</v>
      </c>
      <c r="B134">
        <v>5</v>
      </c>
      <c r="C134" t="str">
        <f>VLOOKUP(B134,Roster!$A$3:$B$14,2,FALSE())</f>
        <v>Mikayla Simmons</v>
      </c>
      <c r="D134" t="s">
        <v>30</v>
      </c>
      <c r="E134">
        <v>6</v>
      </c>
      <c r="F134" t="str">
        <f>VLOOKUP(E134,Roster!$A$3:$B$14,2,FALSE())</f>
        <v>Alan Loeser</v>
      </c>
    </row>
    <row r="135" spans="1:6" ht="15" customHeight="1" x14ac:dyDescent="0.25">
      <c r="A135">
        <v>4</v>
      </c>
      <c r="B135">
        <v>7</v>
      </c>
      <c r="C135" t="str">
        <f>VLOOKUP(B135,Roster!$A$3:$B$14,2,FALSE())</f>
        <v>Caleb Simmons</v>
      </c>
      <c r="D135" t="s">
        <v>30</v>
      </c>
      <c r="E135">
        <v>8</v>
      </c>
      <c r="F135" t="str">
        <f>VLOOKUP(E135,Roster!$A$3:$B$14,2,FALSE())</f>
        <v>Larry Loeser</v>
      </c>
    </row>
    <row r="136" spans="1:6" ht="15" customHeight="1" x14ac:dyDescent="0.25">
      <c r="A136">
        <v>5</v>
      </c>
      <c r="B136">
        <v>9</v>
      </c>
      <c r="C136" t="str">
        <f>VLOOKUP(B136,Roster!$A$3:$B$14,2,FALSE())</f>
        <v>Daddy Michael</v>
      </c>
      <c r="D136" t="s">
        <v>30</v>
      </c>
      <c r="E136">
        <v>10</v>
      </c>
      <c r="F136" t="str">
        <f>VLOOKUP(E136,Roster!$A$3:$B$14,2,FALSE())</f>
        <v>Zach Zarra</v>
      </c>
    </row>
    <row r="137" spans="1:6" ht="15" customHeight="1" x14ac:dyDescent="0.25">
      <c r="A137">
        <v>6</v>
      </c>
      <c r="B137">
        <v>11</v>
      </c>
      <c r="C137" t="str">
        <f>VLOOKUP(B137,Roster!$A$3:$B$14,2,FALSE())</f>
        <v>Jeffrey Loeser</v>
      </c>
      <c r="D137" t="s">
        <v>30</v>
      </c>
      <c r="E137">
        <v>12</v>
      </c>
      <c r="F137" t="str">
        <f>VLOOKUP(E137,Roster!$A$3:$B$14,2,FALSE())</f>
        <v>Jake Andrews</v>
      </c>
    </row>
    <row r="139" spans="1:6" ht="15" customHeight="1" x14ac:dyDescent="0.25">
      <c r="A139" s="4" t="s">
        <v>47</v>
      </c>
    </row>
    <row r="140" spans="1:6" ht="15" customHeight="1" x14ac:dyDescent="0.25">
      <c r="A140" s="2" t="s">
        <v>27</v>
      </c>
      <c r="B140" s="2" t="s">
        <v>28</v>
      </c>
      <c r="C140" s="2" t="s">
        <v>29</v>
      </c>
      <c r="D140" s="2" t="s">
        <v>30</v>
      </c>
      <c r="E140" s="2" t="s">
        <v>28</v>
      </c>
      <c r="F140" s="2" t="s">
        <v>29</v>
      </c>
    </row>
    <row r="141" spans="1:6" ht="15" customHeight="1" x14ac:dyDescent="0.25">
      <c r="A141">
        <v>1</v>
      </c>
      <c r="B141">
        <v>1</v>
      </c>
      <c r="C141" t="str">
        <f>VLOOKUP(B141,Roster!$A$3:$B$14,2,FALSE())</f>
        <v>Evan Loeser</v>
      </c>
      <c r="D141" t="s">
        <v>30</v>
      </c>
      <c r="E141">
        <v>4</v>
      </c>
      <c r="F141" t="str">
        <f>VLOOKUP(E141,Roster!$A$3:$B$14,2,FALSE())</f>
        <v>Luke Ussery</v>
      </c>
    </row>
    <row r="142" spans="1:6" ht="15" customHeight="1" x14ac:dyDescent="0.25">
      <c r="A142">
        <v>2</v>
      </c>
      <c r="B142">
        <v>2</v>
      </c>
      <c r="C142" t="str">
        <f>VLOOKUP(B142,Roster!$A$3:$B$14,2,FALSE())</f>
        <v>Chris Simmons</v>
      </c>
      <c r="D142" t="s">
        <v>30</v>
      </c>
      <c r="E142">
        <v>3</v>
      </c>
      <c r="F142" t="str">
        <f>VLOOKUP(E142,Roster!$A$3:$B$14,2,FALSE())</f>
        <v>Jack Smith</v>
      </c>
    </row>
    <row r="143" spans="1:6" ht="15" customHeight="1" x14ac:dyDescent="0.25">
      <c r="A143">
        <v>3</v>
      </c>
      <c r="B143">
        <v>5</v>
      </c>
      <c r="C143" t="str">
        <f>VLOOKUP(B143,Roster!$A$3:$B$14,2,FALSE())</f>
        <v>Mikayla Simmons</v>
      </c>
      <c r="D143" t="s">
        <v>30</v>
      </c>
      <c r="E143">
        <v>8</v>
      </c>
      <c r="F143" t="str">
        <f>VLOOKUP(E143,Roster!$A$3:$B$14,2,FALSE())</f>
        <v>Larry Loeser</v>
      </c>
    </row>
    <row r="144" spans="1:6" ht="15" customHeight="1" x14ac:dyDescent="0.25">
      <c r="A144">
        <v>4</v>
      </c>
      <c r="B144">
        <v>6</v>
      </c>
      <c r="C144" t="str">
        <f>VLOOKUP(B144,Roster!$A$3:$B$14,2,FALSE())</f>
        <v>Alan Loeser</v>
      </c>
      <c r="D144" t="s">
        <v>30</v>
      </c>
      <c r="E144">
        <v>7</v>
      </c>
      <c r="F144" t="str">
        <f>VLOOKUP(E144,Roster!$A$3:$B$14,2,FALSE())</f>
        <v>Caleb Simmons</v>
      </c>
    </row>
    <row r="145" spans="1:6" ht="15" customHeight="1" x14ac:dyDescent="0.25">
      <c r="A145">
        <v>5</v>
      </c>
      <c r="B145">
        <v>9</v>
      </c>
      <c r="C145" t="str">
        <f>VLOOKUP(B145,Roster!$A$3:$B$14,2,FALSE())</f>
        <v>Daddy Michael</v>
      </c>
      <c r="D145" t="s">
        <v>30</v>
      </c>
      <c r="E145">
        <v>12</v>
      </c>
      <c r="F145" t="str">
        <f>VLOOKUP(E145,Roster!$A$3:$B$14,2,FALSE())</f>
        <v>Jake Andrews</v>
      </c>
    </row>
    <row r="146" spans="1:6" ht="15" customHeight="1" x14ac:dyDescent="0.25">
      <c r="A146">
        <v>6</v>
      </c>
      <c r="B146">
        <v>10</v>
      </c>
      <c r="C146" t="str">
        <f>VLOOKUP(B146,Roster!$A$3:$B$14,2,FALSE())</f>
        <v>Zach Zarra</v>
      </c>
      <c r="D146" t="s">
        <v>30</v>
      </c>
      <c r="E146">
        <v>11</v>
      </c>
      <c r="F146" t="str">
        <f>VLOOKUP(E146,Roster!$A$3:$B$14,2,FALSE())</f>
        <v>Jeffrey Loeser</v>
      </c>
    </row>
    <row r="148" spans="1:6" ht="15" customHeight="1" x14ac:dyDescent="0.25">
      <c r="A148" s="4" t="s">
        <v>48</v>
      </c>
    </row>
    <row r="149" spans="1:6" ht="15" customHeight="1" x14ac:dyDescent="0.25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28</v>
      </c>
      <c r="F149" s="2" t="s">
        <v>29</v>
      </c>
    </row>
    <row r="150" spans="1:6" ht="15" customHeight="1" x14ac:dyDescent="0.25">
      <c r="A150">
        <v>1</v>
      </c>
      <c r="B150">
        <v>1</v>
      </c>
      <c r="C150" t="str">
        <f>VLOOKUP(B150,Roster!$A$3:$B$14,2,FALSE())</f>
        <v>Evan Loeser</v>
      </c>
      <c r="D150" t="s">
        <v>30</v>
      </c>
      <c r="E150">
        <v>3</v>
      </c>
      <c r="F150" t="str">
        <f>VLOOKUP(E150,Roster!$A$3:$B$14,2,FALSE())</f>
        <v>Jack Smith</v>
      </c>
    </row>
    <row r="151" spans="1:6" ht="15" customHeight="1" x14ac:dyDescent="0.25">
      <c r="A151">
        <v>2</v>
      </c>
      <c r="B151">
        <v>4</v>
      </c>
      <c r="C151" t="str">
        <f>VLOOKUP(B151,Roster!$A$3:$B$14,2,FALSE())</f>
        <v>Luke Ussery</v>
      </c>
      <c r="D151" t="s">
        <v>30</v>
      </c>
      <c r="E151">
        <v>2</v>
      </c>
      <c r="F151" t="str">
        <f>VLOOKUP(E151,Roster!$A$3:$B$14,2,FALSE())</f>
        <v>Chris Simmons</v>
      </c>
    </row>
    <row r="152" spans="1:6" ht="15" customHeight="1" x14ac:dyDescent="0.25">
      <c r="A152">
        <v>3</v>
      </c>
      <c r="B152">
        <v>5</v>
      </c>
      <c r="C152" t="str">
        <f>VLOOKUP(B152,Roster!$A$3:$B$14,2,FALSE())</f>
        <v>Mikayla Simmons</v>
      </c>
      <c r="D152" t="s">
        <v>30</v>
      </c>
      <c r="E152">
        <v>7</v>
      </c>
      <c r="F152" t="str">
        <f>VLOOKUP(E152,Roster!$A$3:$B$14,2,FALSE())</f>
        <v>Caleb Simmons</v>
      </c>
    </row>
    <row r="153" spans="1:6" ht="15" customHeight="1" x14ac:dyDescent="0.25">
      <c r="A153">
        <v>4</v>
      </c>
      <c r="B153">
        <v>8</v>
      </c>
      <c r="C153" t="str">
        <f>VLOOKUP(B153,Roster!$A$3:$B$14,2,FALSE())</f>
        <v>Larry Loeser</v>
      </c>
      <c r="D153" t="s">
        <v>30</v>
      </c>
      <c r="E153">
        <v>6</v>
      </c>
      <c r="F153" t="str">
        <f>VLOOKUP(E153,Roster!$A$3:$B$14,2,FALSE())</f>
        <v>Alan Loeser</v>
      </c>
    </row>
    <row r="154" spans="1:6" ht="15" customHeight="1" x14ac:dyDescent="0.25">
      <c r="A154">
        <v>5</v>
      </c>
      <c r="B154">
        <v>9</v>
      </c>
      <c r="C154" t="str">
        <f>VLOOKUP(B154,Roster!$A$3:$B$14,2,FALSE())</f>
        <v>Daddy Michael</v>
      </c>
      <c r="D154" t="s">
        <v>30</v>
      </c>
      <c r="E154">
        <v>11</v>
      </c>
      <c r="F154" t="str">
        <f>VLOOKUP(E154,Roster!$A$3:$B$14,2,FALSE())</f>
        <v>Jeffrey Loeser</v>
      </c>
    </row>
    <row r="155" spans="1:6" ht="15" customHeight="1" x14ac:dyDescent="0.25">
      <c r="A155">
        <v>6</v>
      </c>
      <c r="B155">
        <v>12</v>
      </c>
      <c r="C155" t="str">
        <f>VLOOKUP(B155,Roster!$A$3:$B$14,2,FALSE())</f>
        <v>Jake Andrews</v>
      </c>
      <c r="D155" t="s">
        <v>30</v>
      </c>
      <c r="E155">
        <v>10</v>
      </c>
      <c r="F155" t="str">
        <f>VLOOKUP(E155,Roster!$A$3:$B$14,2,FALSE())</f>
        <v>Zach Zarra</v>
      </c>
    </row>
    <row r="157" spans="1:6" ht="15" customHeight="1" x14ac:dyDescent="0.25">
      <c r="A157" s="4" t="s">
        <v>49</v>
      </c>
    </row>
    <row r="158" spans="1:6" ht="15" customHeight="1" x14ac:dyDescent="0.25">
      <c r="A158" s="2" t="s">
        <v>27</v>
      </c>
      <c r="B158" s="2" t="s">
        <v>28</v>
      </c>
      <c r="C158" s="2" t="s">
        <v>29</v>
      </c>
      <c r="D158" s="2" t="s">
        <v>30</v>
      </c>
      <c r="E158" s="2" t="s">
        <v>28</v>
      </c>
      <c r="F158" s="2" t="s">
        <v>29</v>
      </c>
    </row>
    <row r="159" spans="1:6" ht="15" customHeight="1" x14ac:dyDescent="0.25">
      <c r="A159">
        <v>1</v>
      </c>
      <c r="B159">
        <v>1</v>
      </c>
      <c r="C159" t="str">
        <f>VLOOKUP(B159,Roster!$A$3:$B$14,2,FALSE())</f>
        <v>Evan Loeser</v>
      </c>
      <c r="D159" t="s">
        <v>30</v>
      </c>
      <c r="E159">
        <v>2</v>
      </c>
      <c r="F159" t="str">
        <f>VLOOKUP(E159,Roster!$A$3:$B$14,2,FALSE())</f>
        <v>Chris Simmons</v>
      </c>
    </row>
    <row r="160" spans="1:6" ht="15" customHeight="1" x14ac:dyDescent="0.25">
      <c r="A160">
        <v>2</v>
      </c>
      <c r="B160">
        <v>3</v>
      </c>
      <c r="C160" t="str">
        <f>VLOOKUP(B160,Roster!$A$3:$B$14,2,FALSE())</f>
        <v>Jack Smith</v>
      </c>
      <c r="D160" t="s">
        <v>30</v>
      </c>
      <c r="E160">
        <v>4</v>
      </c>
      <c r="F160" t="str">
        <f>VLOOKUP(E160,Roster!$A$3:$B$14,2,FALSE())</f>
        <v>Luke Ussery</v>
      </c>
    </row>
    <row r="161" spans="1:6" ht="15" customHeight="1" x14ac:dyDescent="0.25">
      <c r="A161">
        <v>3</v>
      </c>
      <c r="B161">
        <v>5</v>
      </c>
      <c r="C161" t="str">
        <f>VLOOKUP(B161,Roster!$A$3:$B$14,2,FALSE())</f>
        <v>Mikayla Simmons</v>
      </c>
      <c r="D161" t="s">
        <v>30</v>
      </c>
      <c r="E161">
        <v>6</v>
      </c>
      <c r="F161" t="str">
        <f>VLOOKUP(E161,Roster!$A$3:$B$14,2,FALSE())</f>
        <v>Alan Loeser</v>
      </c>
    </row>
    <row r="162" spans="1:6" ht="15" customHeight="1" x14ac:dyDescent="0.25">
      <c r="A162">
        <v>4</v>
      </c>
      <c r="B162">
        <v>7</v>
      </c>
      <c r="C162" t="str">
        <f>VLOOKUP(B162,Roster!$A$3:$B$14,2,FALSE())</f>
        <v>Caleb Simmons</v>
      </c>
      <c r="D162" t="s">
        <v>30</v>
      </c>
      <c r="E162">
        <v>8</v>
      </c>
      <c r="F162" t="str">
        <f>VLOOKUP(E162,Roster!$A$3:$B$14,2,FALSE())</f>
        <v>Larry Loeser</v>
      </c>
    </row>
    <row r="163" spans="1:6" ht="15" customHeight="1" x14ac:dyDescent="0.25">
      <c r="A163">
        <v>5</v>
      </c>
      <c r="B163">
        <v>9</v>
      </c>
      <c r="C163" t="str">
        <f>VLOOKUP(B163,Roster!$A$3:$B$14,2,FALSE())</f>
        <v>Daddy Michael</v>
      </c>
      <c r="D163" t="s">
        <v>30</v>
      </c>
      <c r="E163">
        <v>10</v>
      </c>
      <c r="F163" t="str">
        <f>VLOOKUP(E163,Roster!$A$3:$B$14,2,FALSE())</f>
        <v>Zach Zarra</v>
      </c>
    </row>
    <row r="164" spans="1:6" ht="15" customHeight="1" x14ac:dyDescent="0.25">
      <c r="A164">
        <v>6</v>
      </c>
      <c r="B164">
        <v>11</v>
      </c>
      <c r="C164" t="str">
        <f>VLOOKUP(B164,Roster!$A$3:$B$14,2,FALSE())</f>
        <v>Jeffrey Loeser</v>
      </c>
      <c r="D164" t="s">
        <v>30</v>
      </c>
      <c r="E164">
        <v>12</v>
      </c>
      <c r="F164" t="str">
        <f>VLOOKUP(E164,Roster!$A$3:$B$14,2,FALSE())</f>
        <v>Jake Andrews</v>
      </c>
    </row>
  </sheetData>
  <mergeCells count="3">
    <mergeCell ref="A1:F1"/>
    <mergeCell ref="A56:F56"/>
    <mergeCell ref="A111:F1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6FEB"/>
  </sheetPr>
  <dimension ref="A1:AD329"/>
  <sheetViews>
    <sheetView topLeftCell="A97" zoomScaleNormal="100" workbookViewId="0">
      <selection activeCell="I120" sqref="I120"/>
    </sheetView>
  </sheetViews>
  <sheetFormatPr defaultColWidth="8.7109375" defaultRowHeight="15" x14ac:dyDescent="0.25"/>
  <cols>
    <col min="1" max="1" width="5" customWidth="1"/>
    <col min="2" max="2" width="7" customWidth="1"/>
    <col min="3" max="3" width="4" customWidth="1"/>
    <col min="4" max="4" width="7" customWidth="1"/>
    <col min="5" max="5" width="12" customWidth="1"/>
    <col min="6" max="17" width="14" customWidth="1"/>
    <col min="18" max="18" width="2" customWidth="1"/>
    <col min="19" max="30" width="9" customWidth="1"/>
  </cols>
  <sheetData>
    <row r="1" spans="1:17" ht="17.25" customHeight="1" x14ac:dyDescent="0.25">
      <c r="A1" s="26" t="s">
        <v>50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5" customHeight="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4" spans="1:17" ht="15" customHeight="1" x14ac:dyDescent="0.25">
      <c r="A4" s="25" t="s">
        <v>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5" customHeight="1" x14ac:dyDescent="0.25">
      <c r="A5" s="6" t="s">
        <v>27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20</v>
      </c>
      <c r="P5" s="6" t="s">
        <v>21</v>
      </c>
      <c r="Q5" s="6" t="s">
        <v>22</v>
      </c>
    </row>
    <row r="6" spans="1:17" ht="15" customHeight="1" x14ac:dyDescent="0.25">
      <c r="A6" s="7">
        <v>1</v>
      </c>
      <c r="B6" s="7" t="s">
        <v>57</v>
      </c>
      <c r="C6" s="8" t="s">
        <v>54</v>
      </c>
      <c r="D6" s="7" t="s">
        <v>58</v>
      </c>
      <c r="E6" s="9" t="str">
        <f>'NFL Schedule'!J3</f>
        <v>NE</v>
      </c>
      <c r="F6" s="10" t="s">
        <v>57</v>
      </c>
      <c r="G6" s="10" t="s">
        <v>58</v>
      </c>
      <c r="H6" s="10" t="s">
        <v>58</v>
      </c>
      <c r="I6" s="10" t="s">
        <v>58</v>
      </c>
      <c r="J6" s="10" t="s">
        <v>57</v>
      </c>
      <c r="K6" s="10" t="s">
        <v>58</v>
      </c>
      <c r="L6" s="10" t="s">
        <v>58</v>
      </c>
      <c r="M6" s="10" t="s">
        <v>58</v>
      </c>
      <c r="N6" s="10" t="s">
        <v>57</v>
      </c>
      <c r="O6" s="10" t="s">
        <v>57</v>
      </c>
      <c r="P6" s="10" t="s">
        <v>58</v>
      </c>
      <c r="Q6" s="10" t="s">
        <v>57</v>
      </c>
    </row>
    <row r="7" spans="1:17" ht="15" customHeight="1" x14ac:dyDescent="0.25">
      <c r="A7" s="7">
        <v>2</v>
      </c>
      <c r="B7" s="7" t="s">
        <v>59</v>
      </c>
      <c r="C7" s="8" t="s">
        <v>54</v>
      </c>
      <c r="D7" s="7" t="s">
        <v>60</v>
      </c>
      <c r="E7" s="9" t="str">
        <f>'NFL Schedule'!J4</f>
        <v>SF</v>
      </c>
      <c r="F7" s="10" t="s">
        <v>60</v>
      </c>
      <c r="G7" s="10" t="s">
        <v>60</v>
      </c>
      <c r="H7" s="10" t="s">
        <v>60</v>
      </c>
      <c r="I7" s="10" t="s">
        <v>60</v>
      </c>
      <c r="J7" s="10" t="s">
        <v>59</v>
      </c>
      <c r="K7" s="10" t="s">
        <v>60</v>
      </c>
      <c r="L7" s="10" t="s">
        <v>60</v>
      </c>
      <c r="M7" s="10" t="s">
        <v>60</v>
      </c>
      <c r="N7" s="10" t="s">
        <v>59</v>
      </c>
      <c r="O7" s="10" t="s">
        <v>60</v>
      </c>
      <c r="P7" s="10" t="s">
        <v>60</v>
      </c>
      <c r="Q7" s="10" t="s">
        <v>60</v>
      </c>
    </row>
    <row r="8" spans="1:17" ht="15" customHeight="1" x14ac:dyDescent="0.25">
      <c r="A8" s="7">
        <v>3</v>
      </c>
      <c r="B8" s="7" t="s">
        <v>61</v>
      </c>
      <c r="C8" s="8" t="s">
        <v>54</v>
      </c>
      <c r="D8" s="7" t="s">
        <v>62</v>
      </c>
      <c r="E8" s="9" t="str">
        <f>'NFL Schedule'!J5</f>
        <v>CHI</v>
      </c>
      <c r="F8" s="10" t="s">
        <v>61</v>
      </c>
      <c r="G8" s="10" t="s">
        <v>61</v>
      </c>
      <c r="H8" s="10" t="s">
        <v>61</v>
      </c>
      <c r="I8" s="10" t="s">
        <v>61</v>
      </c>
      <c r="J8" s="10" t="s">
        <v>61</v>
      </c>
      <c r="K8" s="10" t="s">
        <v>62</v>
      </c>
      <c r="L8" s="10" t="s">
        <v>61</v>
      </c>
      <c r="M8" s="10" t="s">
        <v>61</v>
      </c>
      <c r="N8" s="10" t="s">
        <v>62</v>
      </c>
      <c r="O8" s="10" t="s">
        <v>61</v>
      </c>
      <c r="P8" s="10" t="s">
        <v>62</v>
      </c>
      <c r="Q8" s="10" t="s">
        <v>61</v>
      </c>
    </row>
    <row r="9" spans="1:17" ht="15" customHeight="1" x14ac:dyDescent="0.25">
      <c r="A9" s="7">
        <v>4</v>
      </c>
      <c r="B9" s="7" t="s">
        <v>63</v>
      </c>
      <c r="C9" s="8" t="s">
        <v>54</v>
      </c>
      <c r="D9" s="7" t="s">
        <v>64</v>
      </c>
      <c r="E9" s="9" t="str">
        <f>'NFL Schedule'!J6</f>
        <v>CIN</v>
      </c>
      <c r="F9" s="10" t="s">
        <v>64</v>
      </c>
      <c r="G9" s="10" t="s">
        <v>63</v>
      </c>
      <c r="H9" s="10" t="s">
        <v>64</v>
      </c>
      <c r="I9" s="10" t="s">
        <v>63</v>
      </c>
      <c r="J9" s="10" t="s">
        <v>64</v>
      </c>
      <c r="K9" s="10" t="s">
        <v>64</v>
      </c>
      <c r="L9" s="10" t="s">
        <v>64</v>
      </c>
      <c r="M9" s="10" t="s">
        <v>64</v>
      </c>
      <c r="N9" s="10" t="s">
        <v>63</v>
      </c>
      <c r="O9" s="10" t="s">
        <v>64</v>
      </c>
      <c r="P9" s="10" t="s">
        <v>64</v>
      </c>
      <c r="Q9" s="10" t="s">
        <v>63</v>
      </c>
    </row>
    <row r="10" spans="1:17" ht="15" customHeight="1" x14ac:dyDescent="0.25">
      <c r="A10" s="7">
        <v>5</v>
      </c>
      <c r="B10" s="7" t="s">
        <v>65</v>
      </c>
      <c r="C10" s="8" t="s">
        <v>54</v>
      </c>
      <c r="D10" s="7" t="s">
        <v>66</v>
      </c>
      <c r="E10" s="9" t="str">
        <f>'NFL Schedule'!J7</f>
        <v>NO</v>
      </c>
      <c r="F10" s="10" t="s">
        <v>66</v>
      </c>
      <c r="G10" s="10" t="s">
        <v>66</v>
      </c>
      <c r="H10" s="10" t="s">
        <v>66</v>
      </c>
      <c r="I10" s="10" t="s">
        <v>66</v>
      </c>
      <c r="J10" s="10" t="s">
        <v>65</v>
      </c>
      <c r="K10" s="10" t="s">
        <v>66</v>
      </c>
      <c r="L10" s="10" t="s">
        <v>66</v>
      </c>
      <c r="M10" s="10" t="s">
        <v>66</v>
      </c>
      <c r="N10" s="10" t="s">
        <v>66</v>
      </c>
      <c r="O10" s="10" t="s">
        <v>66</v>
      </c>
      <c r="P10" s="10" t="s">
        <v>66</v>
      </c>
      <c r="Q10" s="10" t="s">
        <v>66</v>
      </c>
    </row>
    <row r="11" spans="1:17" ht="15" customHeight="1" x14ac:dyDescent="0.25">
      <c r="A11" s="7">
        <v>6</v>
      </c>
      <c r="B11" s="7" t="s">
        <v>67</v>
      </c>
      <c r="C11" s="8" t="s">
        <v>54</v>
      </c>
      <c r="D11" s="7" t="s">
        <v>68</v>
      </c>
      <c r="E11" s="9" t="str">
        <f>'NFL Schedule'!J8</f>
        <v>BUF</v>
      </c>
      <c r="F11" s="10" t="s">
        <v>68</v>
      </c>
      <c r="G11" s="10" t="s">
        <v>67</v>
      </c>
      <c r="H11" s="10" t="s">
        <v>67</v>
      </c>
      <c r="I11" s="10" t="s">
        <v>68</v>
      </c>
      <c r="J11" s="10" t="s">
        <v>67</v>
      </c>
      <c r="K11" s="10" t="s">
        <v>67</v>
      </c>
      <c r="L11" s="10" t="s">
        <v>67</v>
      </c>
      <c r="M11" s="10" t="s">
        <v>67</v>
      </c>
      <c r="N11" s="10" t="s">
        <v>67</v>
      </c>
      <c r="O11" s="10" t="s">
        <v>67</v>
      </c>
      <c r="P11" s="10" t="s">
        <v>67</v>
      </c>
      <c r="Q11" s="10" t="s">
        <v>67</v>
      </c>
    </row>
    <row r="12" spans="1:17" ht="15" customHeight="1" x14ac:dyDescent="0.25">
      <c r="A12" s="7">
        <v>7</v>
      </c>
      <c r="B12" s="7" t="s">
        <v>69</v>
      </c>
      <c r="C12" s="8" t="s">
        <v>54</v>
      </c>
      <c r="D12" s="7" t="s">
        <v>70</v>
      </c>
      <c r="E12" s="9" t="str">
        <f>'NFL Schedule'!J9</f>
        <v>BAL</v>
      </c>
      <c r="F12" s="10" t="s">
        <v>69</v>
      </c>
      <c r="G12" s="10" t="s">
        <v>69</v>
      </c>
      <c r="H12" s="10" t="s">
        <v>69</v>
      </c>
      <c r="I12" s="10" t="s">
        <v>69</v>
      </c>
      <c r="J12" s="10" t="s">
        <v>69</v>
      </c>
      <c r="K12" s="10" t="s">
        <v>69</v>
      </c>
      <c r="L12" s="10" t="s">
        <v>69</v>
      </c>
      <c r="M12" s="10" t="s">
        <v>69</v>
      </c>
      <c r="N12" s="10" t="s">
        <v>69</v>
      </c>
      <c r="O12" s="10" t="s">
        <v>69</v>
      </c>
      <c r="P12" s="10" t="s">
        <v>69</v>
      </c>
      <c r="Q12" s="10" t="s">
        <v>69</v>
      </c>
    </row>
    <row r="13" spans="1:17" ht="15" customHeight="1" x14ac:dyDescent="0.25">
      <c r="A13" s="7">
        <v>8</v>
      </c>
      <c r="B13" s="7" t="s">
        <v>71</v>
      </c>
      <c r="C13" s="8" t="s">
        <v>54</v>
      </c>
      <c r="D13" s="7" t="s">
        <v>72</v>
      </c>
      <c r="E13" s="9" t="str">
        <f>'NFL Schedule'!J10</f>
        <v>JAX</v>
      </c>
      <c r="F13" s="10" t="s">
        <v>72</v>
      </c>
      <c r="G13" s="10" t="s">
        <v>72</v>
      </c>
      <c r="H13" s="10" t="s">
        <v>72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71</v>
      </c>
      <c r="O13" s="10" t="s">
        <v>72</v>
      </c>
      <c r="P13" s="10" t="s">
        <v>72</v>
      </c>
      <c r="Q13" s="10" t="s">
        <v>72</v>
      </c>
    </row>
    <row r="14" spans="1:17" ht="15" customHeight="1" x14ac:dyDescent="0.25">
      <c r="A14" s="7">
        <v>9</v>
      </c>
      <c r="B14" s="7" t="s">
        <v>73</v>
      </c>
      <c r="C14" s="8" t="s">
        <v>54</v>
      </c>
      <c r="D14" s="7" t="s">
        <v>74</v>
      </c>
      <c r="E14" s="9" t="str">
        <f>'NFL Schedule'!J11</f>
        <v>PIT</v>
      </c>
      <c r="F14" s="10" t="s">
        <v>73</v>
      </c>
      <c r="G14" s="10" t="s">
        <v>74</v>
      </c>
      <c r="H14" s="10" t="s">
        <v>74</v>
      </c>
      <c r="I14" s="10" t="s">
        <v>74</v>
      </c>
      <c r="J14" s="10" t="s">
        <v>73</v>
      </c>
      <c r="K14" s="10" t="s">
        <v>74</v>
      </c>
      <c r="L14" s="10" t="s">
        <v>74</v>
      </c>
      <c r="M14" s="10" t="s">
        <v>74</v>
      </c>
      <c r="N14" s="10" t="s">
        <v>74</v>
      </c>
      <c r="O14" s="10" t="s">
        <v>74</v>
      </c>
      <c r="P14" s="10" t="s">
        <v>74</v>
      </c>
      <c r="Q14" s="10" t="s">
        <v>73</v>
      </c>
    </row>
    <row r="15" spans="1:17" ht="15" customHeight="1" x14ac:dyDescent="0.25">
      <c r="A15" s="7">
        <v>10</v>
      </c>
      <c r="B15" s="7" t="s">
        <v>75</v>
      </c>
      <c r="C15" s="8" t="s">
        <v>54</v>
      </c>
      <c r="D15" s="7" t="s">
        <v>76</v>
      </c>
      <c r="E15" s="9" t="str">
        <f>'NFL Schedule'!J12</f>
        <v>NYJ</v>
      </c>
      <c r="F15" s="10" t="s">
        <v>76</v>
      </c>
      <c r="G15" s="10" t="s">
        <v>76</v>
      </c>
      <c r="H15" s="10" t="s">
        <v>76</v>
      </c>
      <c r="I15" s="10" t="s">
        <v>76</v>
      </c>
      <c r="J15" s="10" t="s">
        <v>75</v>
      </c>
      <c r="K15" s="10" t="s">
        <v>75</v>
      </c>
      <c r="L15" s="10" t="s">
        <v>76</v>
      </c>
      <c r="M15" s="10" t="s">
        <v>76</v>
      </c>
      <c r="N15" s="10" t="s">
        <v>75</v>
      </c>
      <c r="O15" s="10" t="s">
        <v>75</v>
      </c>
      <c r="P15" s="10" t="s">
        <v>75</v>
      </c>
      <c r="Q15" s="10" t="s">
        <v>76</v>
      </c>
    </row>
    <row r="16" spans="1:17" ht="15" customHeight="1" x14ac:dyDescent="0.25">
      <c r="A16" s="7">
        <v>11</v>
      </c>
      <c r="B16" s="7" t="s">
        <v>77</v>
      </c>
      <c r="C16" s="8" t="s">
        <v>54</v>
      </c>
      <c r="D16" s="7" t="s">
        <v>78</v>
      </c>
      <c r="E16" s="9" t="str">
        <f>'NFL Schedule'!J13</f>
        <v>ARI</v>
      </c>
      <c r="F16" s="10" t="s">
        <v>78</v>
      </c>
      <c r="G16" s="10" t="s">
        <v>78</v>
      </c>
      <c r="H16" s="10" t="s">
        <v>78</v>
      </c>
      <c r="I16" s="10" t="s">
        <v>78</v>
      </c>
      <c r="J16" s="10" t="s">
        <v>77</v>
      </c>
      <c r="K16" s="10" t="s">
        <v>78</v>
      </c>
      <c r="L16" s="10" t="s">
        <v>78</v>
      </c>
      <c r="M16" s="10" t="s">
        <v>77</v>
      </c>
      <c r="N16" s="10" t="s">
        <v>77</v>
      </c>
      <c r="O16" s="10" t="s">
        <v>78</v>
      </c>
      <c r="P16" s="10" t="s">
        <v>78</v>
      </c>
      <c r="Q16" s="10" t="s">
        <v>78</v>
      </c>
    </row>
    <row r="17" spans="1:17" ht="15" customHeight="1" x14ac:dyDescent="0.25">
      <c r="A17" s="7">
        <v>12</v>
      </c>
      <c r="B17" s="7" t="s">
        <v>79</v>
      </c>
      <c r="C17" s="8" t="s">
        <v>54</v>
      </c>
      <c r="D17" s="7" t="s">
        <v>80</v>
      </c>
      <c r="E17" s="9" t="str">
        <f>'NFL Schedule'!J14</f>
        <v>LV</v>
      </c>
      <c r="F17" s="10" t="s">
        <v>79</v>
      </c>
      <c r="G17" s="10" t="s">
        <v>79</v>
      </c>
      <c r="H17" s="10" t="s">
        <v>80</v>
      </c>
      <c r="I17" s="10" t="s">
        <v>80</v>
      </c>
      <c r="J17" s="10" t="s">
        <v>79</v>
      </c>
      <c r="K17" s="10" t="s">
        <v>79</v>
      </c>
      <c r="L17" s="10" t="s">
        <v>80</v>
      </c>
      <c r="M17" s="10" t="s">
        <v>80</v>
      </c>
      <c r="N17" s="10" t="s">
        <v>79</v>
      </c>
      <c r="O17" s="10" t="s">
        <v>80</v>
      </c>
      <c r="P17" s="10" t="s">
        <v>80</v>
      </c>
      <c r="Q17" s="10" t="s">
        <v>80</v>
      </c>
    </row>
    <row r="18" spans="1:17" ht="15" customHeight="1" x14ac:dyDescent="0.25">
      <c r="A18" s="7">
        <v>13</v>
      </c>
      <c r="B18" s="7" t="s">
        <v>81</v>
      </c>
      <c r="C18" s="8" t="s">
        <v>54</v>
      </c>
      <c r="D18" s="7" t="s">
        <v>82</v>
      </c>
      <c r="E18" s="9" t="str">
        <f>'NFL Schedule'!J15</f>
        <v>MIN</v>
      </c>
      <c r="F18" s="10" t="s">
        <v>81</v>
      </c>
      <c r="G18" s="10" t="s">
        <v>82</v>
      </c>
      <c r="H18" s="10" t="s">
        <v>81</v>
      </c>
      <c r="I18" s="10" t="s">
        <v>81</v>
      </c>
      <c r="J18" s="10" t="s">
        <v>81</v>
      </c>
      <c r="K18" s="10" t="s">
        <v>81</v>
      </c>
      <c r="L18" s="10" t="s">
        <v>81</v>
      </c>
      <c r="M18" s="10" t="s">
        <v>81</v>
      </c>
      <c r="N18" s="10" t="s">
        <v>81</v>
      </c>
      <c r="O18" s="10" t="s">
        <v>82</v>
      </c>
      <c r="P18" s="10" t="s">
        <v>82</v>
      </c>
      <c r="Q18" s="10" t="s">
        <v>81</v>
      </c>
    </row>
    <row r="19" spans="1:17" ht="15" customHeight="1" x14ac:dyDescent="0.25">
      <c r="A19" s="7">
        <v>14</v>
      </c>
      <c r="B19" s="7" t="s">
        <v>83</v>
      </c>
      <c r="C19" s="8" t="s">
        <v>54</v>
      </c>
      <c r="D19" s="7" t="s">
        <v>84</v>
      </c>
      <c r="E19" s="9" t="str">
        <f>'NFL Schedule'!J16</f>
        <v>WAS</v>
      </c>
      <c r="F19" s="10" t="s">
        <v>84</v>
      </c>
      <c r="G19" s="10" t="s">
        <v>84</v>
      </c>
      <c r="H19" s="10" t="s">
        <v>84</v>
      </c>
      <c r="I19" s="10" t="s">
        <v>84</v>
      </c>
      <c r="J19" s="10" t="s">
        <v>84</v>
      </c>
      <c r="K19" s="10" t="s">
        <v>84</v>
      </c>
      <c r="L19" s="10" t="s">
        <v>84</v>
      </c>
      <c r="M19" s="10" t="s">
        <v>84</v>
      </c>
      <c r="N19" s="10" t="s">
        <v>83</v>
      </c>
      <c r="O19" s="10" t="s">
        <v>83</v>
      </c>
      <c r="P19" s="10" t="s">
        <v>83</v>
      </c>
      <c r="Q19" s="10" t="s">
        <v>83</v>
      </c>
    </row>
    <row r="20" spans="1:17" ht="15" customHeight="1" x14ac:dyDescent="0.25">
      <c r="A20" s="7">
        <v>15</v>
      </c>
      <c r="B20" s="7" t="s">
        <v>85</v>
      </c>
      <c r="C20" s="8" t="s">
        <v>54</v>
      </c>
      <c r="D20" s="7" t="s">
        <v>86</v>
      </c>
      <c r="E20" s="9" t="str">
        <f>'NFL Schedule'!J17</f>
        <v>NYG</v>
      </c>
      <c r="F20" s="10" t="s">
        <v>85</v>
      </c>
      <c r="G20" s="10" t="s">
        <v>85</v>
      </c>
      <c r="H20" s="10" t="s">
        <v>86</v>
      </c>
      <c r="I20" s="10" t="s">
        <v>85</v>
      </c>
      <c r="J20" s="10" t="s">
        <v>85</v>
      </c>
      <c r="K20" s="10" t="s">
        <v>85</v>
      </c>
      <c r="L20" s="10" t="s">
        <v>85</v>
      </c>
      <c r="M20" s="10" t="s">
        <v>85</v>
      </c>
      <c r="N20" s="10" t="s">
        <v>85</v>
      </c>
      <c r="O20" s="10" t="s">
        <v>85</v>
      </c>
      <c r="P20" s="10" t="s">
        <v>86</v>
      </c>
      <c r="Q20" s="10" t="s">
        <v>86</v>
      </c>
    </row>
    <row r="21" spans="1:17" ht="15" customHeight="1" x14ac:dyDescent="0.25">
      <c r="A21" s="7">
        <v>16</v>
      </c>
      <c r="B21" s="7" t="s">
        <v>87</v>
      </c>
      <c r="C21" s="8" t="s">
        <v>54</v>
      </c>
      <c r="D21" s="7" t="s">
        <v>88</v>
      </c>
      <c r="E21" s="9" t="str">
        <f>'NFL Schedule'!J18</f>
        <v>KC</v>
      </c>
      <c r="F21" s="10" t="s">
        <v>87</v>
      </c>
      <c r="G21" s="10" t="s">
        <v>88</v>
      </c>
      <c r="H21" s="10" t="s">
        <v>87</v>
      </c>
      <c r="I21" s="10" t="s">
        <v>88</v>
      </c>
      <c r="J21" s="10" t="s">
        <v>87</v>
      </c>
      <c r="K21" s="10" t="s">
        <v>88</v>
      </c>
      <c r="L21" s="10" t="s">
        <v>87</v>
      </c>
      <c r="M21" s="10" t="s">
        <v>87</v>
      </c>
      <c r="N21" s="10" t="s">
        <v>87</v>
      </c>
      <c r="O21" s="10" t="s">
        <v>87</v>
      </c>
      <c r="P21" s="10" t="s">
        <v>87</v>
      </c>
      <c r="Q21" s="10" t="s">
        <v>88</v>
      </c>
    </row>
    <row r="22" spans="1:17" x14ac:dyDescent="0.25">
      <c r="A22" s="11" t="s">
        <v>63</v>
      </c>
      <c r="B22" s="12" t="s">
        <v>89</v>
      </c>
      <c r="E22" s="13">
        <f>'NFL Schedule'!E19</f>
        <v>41</v>
      </c>
      <c r="F22" s="14">
        <v>43</v>
      </c>
      <c r="G22" s="14">
        <v>50</v>
      </c>
      <c r="H22" s="14">
        <v>39</v>
      </c>
      <c r="I22" s="14">
        <v>40</v>
      </c>
      <c r="J22" s="14">
        <v>30</v>
      </c>
      <c r="K22" s="14">
        <v>42</v>
      </c>
      <c r="L22" s="14">
        <v>52</v>
      </c>
      <c r="M22" s="14">
        <v>46</v>
      </c>
      <c r="N22" s="14">
        <v>44</v>
      </c>
      <c r="O22" s="14">
        <v>34</v>
      </c>
      <c r="P22" s="14">
        <v>41</v>
      </c>
      <c r="Q22" s="14">
        <v>51</v>
      </c>
    </row>
    <row r="23" spans="1:17" ht="15" customHeight="1" x14ac:dyDescent="0.25">
      <c r="A23" s="25" t="s">
        <v>90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ht="15" customHeight="1" x14ac:dyDescent="0.25">
      <c r="A24" s="6" t="s">
        <v>27</v>
      </c>
      <c r="B24" s="6" t="s">
        <v>53</v>
      </c>
      <c r="C24" s="6" t="s">
        <v>54</v>
      </c>
      <c r="D24" s="6" t="s">
        <v>55</v>
      </c>
      <c r="E24" s="6" t="s">
        <v>56</v>
      </c>
      <c r="F24" s="6" t="s">
        <v>5</v>
      </c>
      <c r="G24" s="6" t="s">
        <v>8</v>
      </c>
      <c r="H24" s="6" t="s">
        <v>9</v>
      </c>
      <c r="I24" s="6" t="s">
        <v>10</v>
      </c>
      <c r="J24" s="6" t="s">
        <v>11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20</v>
      </c>
      <c r="P24" s="6" t="s">
        <v>21</v>
      </c>
      <c r="Q24" s="6" t="s">
        <v>22</v>
      </c>
    </row>
    <row r="25" spans="1:17" ht="15" customHeight="1" x14ac:dyDescent="0.25">
      <c r="A25" s="7">
        <v>1</v>
      </c>
      <c r="B25" s="7" t="s">
        <v>66</v>
      </c>
      <c r="C25" s="8" t="s">
        <v>54</v>
      </c>
      <c r="D25" s="7" t="s">
        <v>67</v>
      </c>
      <c r="E25" s="9" t="str">
        <f>'NFL Schedule'!J22</f>
        <v>BUF</v>
      </c>
      <c r="F25" s="10" t="s">
        <v>67</v>
      </c>
      <c r="G25" s="10" t="s">
        <v>67</v>
      </c>
      <c r="H25" s="10" t="s">
        <v>66</v>
      </c>
      <c r="I25" s="10" t="s">
        <v>67</v>
      </c>
      <c r="J25" s="10" t="s">
        <v>67</v>
      </c>
      <c r="K25" s="10" t="s">
        <v>67</v>
      </c>
      <c r="L25" s="10" t="s">
        <v>67</v>
      </c>
      <c r="M25" s="10" t="s">
        <v>67</v>
      </c>
      <c r="N25" s="10" t="s">
        <v>66</v>
      </c>
      <c r="O25" s="10" t="s">
        <v>67</v>
      </c>
      <c r="P25" s="10" t="s">
        <v>66</v>
      </c>
      <c r="Q25" s="10" t="s">
        <v>67</v>
      </c>
    </row>
    <row r="26" spans="1:17" ht="15" customHeight="1" x14ac:dyDescent="0.25">
      <c r="A26" s="7">
        <v>2</v>
      </c>
      <c r="B26" s="7" t="s">
        <v>62</v>
      </c>
      <c r="C26" s="8" t="s">
        <v>54</v>
      </c>
      <c r="D26" s="7" t="s">
        <v>73</v>
      </c>
      <c r="E26" s="9" t="str">
        <f>'NFL Schedule'!J23</f>
        <v>CAR</v>
      </c>
      <c r="F26" s="10" t="s">
        <v>62</v>
      </c>
      <c r="G26" s="10" t="s">
        <v>62</v>
      </c>
      <c r="H26" s="10" t="s">
        <v>62</v>
      </c>
      <c r="I26" s="10" t="s">
        <v>62</v>
      </c>
      <c r="J26" s="10" t="s">
        <v>73</v>
      </c>
      <c r="K26" s="10" t="s">
        <v>62</v>
      </c>
      <c r="L26" s="10" t="s">
        <v>62</v>
      </c>
      <c r="M26" s="10" t="s">
        <v>62</v>
      </c>
      <c r="N26" s="10" t="s">
        <v>62</v>
      </c>
      <c r="O26" s="10" t="s">
        <v>62</v>
      </c>
      <c r="P26" s="10" t="s">
        <v>62</v>
      </c>
      <c r="Q26" s="10" t="s">
        <v>62</v>
      </c>
    </row>
    <row r="27" spans="1:17" ht="15" customHeight="1" x14ac:dyDescent="0.25">
      <c r="A27" s="7">
        <v>3</v>
      </c>
      <c r="B27" s="7" t="s">
        <v>65</v>
      </c>
      <c r="C27" s="8" t="s">
        <v>54</v>
      </c>
      <c r="D27" s="7" t="s">
        <v>69</v>
      </c>
      <c r="E27" s="9" t="str">
        <f>'NFL Schedule'!J24</f>
        <v>NO</v>
      </c>
      <c r="F27" s="10" t="s">
        <v>69</v>
      </c>
      <c r="G27" s="10" t="s">
        <v>69</v>
      </c>
      <c r="H27" s="10" t="s">
        <v>69</v>
      </c>
      <c r="I27" s="10" t="s">
        <v>69</v>
      </c>
      <c r="J27" s="10" t="s">
        <v>69</v>
      </c>
      <c r="K27" s="10" t="s">
        <v>69</v>
      </c>
      <c r="L27" s="10" t="s">
        <v>69</v>
      </c>
      <c r="M27" s="10" t="s">
        <v>69</v>
      </c>
      <c r="N27" s="10" t="s">
        <v>65</v>
      </c>
      <c r="O27" s="10" t="s">
        <v>65</v>
      </c>
      <c r="P27" s="10" t="s">
        <v>69</v>
      </c>
      <c r="Q27" s="10" t="s">
        <v>69</v>
      </c>
    </row>
    <row r="28" spans="1:17" ht="15" customHeight="1" x14ac:dyDescent="0.25">
      <c r="A28" s="7">
        <v>4</v>
      </c>
      <c r="B28" s="7" t="s">
        <v>82</v>
      </c>
      <c r="C28" s="8" t="s">
        <v>54</v>
      </c>
      <c r="D28" s="7" t="s">
        <v>61</v>
      </c>
      <c r="E28" s="9" t="str">
        <f>'NFL Schedule'!J25</f>
        <v>MIN</v>
      </c>
      <c r="F28" s="10" t="s">
        <v>82</v>
      </c>
      <c r="G28" s="10" t="s">
        <v>61</v>
      </c>
      <c r="H28" s="10" t="s">
        <v>61</v>
      </c>
      <c r="I28" s="10" t="s">
        <v>61</v>
      </c>
      <c r="J28" s="10" t="s">
        <v>61</v>
      </c>
      <c r="K28" s="10" t="s">
        <v>61</v>
      </c>
      <c r="L28" s="10" t="s">
        <v>61</v>
      </c>
      <c r="M28" s="10" t="s">
        <v>61</v>
      </c>
      <c r="N28" s="10" t="s">
        <v>82</v>
      </c>
      <c r="O28" s="10" t="s">
        <v>61</v>
      </c>
      <c r="P28" s="10" t="s">
        <v>61</v>
      </c>
      <c r="Q28" s="10" t="s">
        <v>61</v>
      </c>
    </row>
    <row r="29" spans="1:17" ht="15" customHeight="1" x14ac:dyDescent="0.25">
      <c r="A29" s="7">
        <v>5</v>
      </c>
      <c r="B29" s="7" t="s">
        <v>64</v>
      </c>
      <c r="C29" s="8" t="s">
        <v>54</v>
      </c>
      <c r="D29" s="7" t="s">
        <v>68</v>
      </c>
      <c r="E29" s="9" t="str">
        <f>'NFL Schedule'!J26</f>
        <v>CIN</v>
      </c>
      <c r="F29" s="10" t="s">
        <v>68</v>
      </c>
      <c r="G29" s="10" t="s">
        <v>64</v>
      </c>
      <c r="H29" s="10" t="s">
        <v>64</v>
      </c>
      <c r="I29" s="10" t="s">
        <v>64</v>
      </c>
      <c r="J29" s="10" t="s">
        <v>68</v>
      </c>
      <c r="K29" s="10" t="s">
        <v>68</v>
      </c>
      <c r="L29" s="10" t="s">
        <v>68</v>
      </c>
      <c r="M29" s="10" t="s">
        <v>68</v>
      </c>
      <c r="N29" s="10" t="s">
        <v>64</v>
      </c>
      <c r="O29" s="10" t="s">
        <v>64</v>
      </c>
      <c r="P29" s="10" t="s">
        <v>68</v>
      </c>
      <c r="Q29" s="10" t="s">
        <v>68</v>
      </c>
    </row>
    <row r="30" spans="1:17" ht="15" customHeight="1" x14ac:dyDescent="0.25">
      <c r="A30" s="7">
        <v>6</v>
      </c>
      <c r="B30" s="7" t="s">
        <v>74</v>
      </c>
      <c r="C30" s="8" t="s">
        <v>54</v>
      </c>
      <c r="D30" s="7" t="s">
        <v>57</v>
      </c>
      <c r="E30" s="9" t="str">
        <f>'NFL Schedule'!J27</f>
        <v>NE</v>
      </c>
      <c r="F30" s="10" t="s">
        <v>74</v>
      </c>
      <c r="G30" s="10" t="s">
        <v>57</v>
      </c>
      <c r="H30" s="10" t="s">
        <v>74</v>
      </c>
      <c r="I30" s="10" t="s">
        <v>74</v>
      </c>
      <c r="J30" s="10" t="s">
        <v>74</v>
      </c>
      <c r="K30" s="10" t="s">
        <v>57</v>
      </c>
      <c r="L30" s="10" t="s">
        <v>57</v>
      </c>
      <c r="M30" s="10" t="s">
        <v>74</v>
      </c>
      <c r="N30" s="10" t="s">
        <v>74</v>
      </c>
      <c r="O30" s="10" t="s">
        <v>57</v>
      </c>
      <c r="P30" s="10" t="s">
        <v>74</v>
      </c>
      <c r="Q30" s="10" t="s">
        <v>74</v>
      </c>
    </row>
    <row r="31" spans="1:17" ht="15" customHeight="1" x14ac:dyDescent="0.25">
      <c r="A31" s="7">
        <v>7</v>
      </c>
      <c r="B31" s="7" t="s">
        <v>81</v>
      </c>
      <c r="C31" s="8" t="s">
        <v>54</v>
      </c>
      <c r="D31" s="7" t="s">
        <v>75</v>
      </c>
      <c r="E31" s="9" t="str">
        <f>'NFL Schedule'!J28</f>
        <v>NYJ</v>
      </c>
      <c r="F31" s="10" t="s">
        <v>81</v>
      </c>
      <c r="G31" s="10" t="s">
        <v>81</v>
      </c>
      <c r="H31" s="10" t="s">
        <v>75</v>
      </c>
      <c r="I31" s="10" t="s">
        <v>75</v>
      </c>
      <c r="J31" s="10" t="s">
        <v>81</v>
      </c>
      <c r="K31" s="10" t="s">
        <v>81</v>
      </c>
      <c r="L31" s="10" t="s">
        <v>81</v>
      </c>
      <c r="M31" s="10" t="s">
        <v>81</v>
      </c>
      <c r="N31" s="10" t="s">
        <v>81</v>
      </c>
      <c r="O31" s="10" t="s">
        <v>81</v>
      </c>
      <c r="P31" s="10" t="s">
        <v>81</v>
      </c>
      <c r="Q31" s="10" t="s">
        <v>81</v>
      </c>
    </row>
    <row r="32" spans="1:17" ht="15" customHeight="1" x14ac:dyDescent="0.25">
      <c r="A32" s="7">
        <v>8</v>
      </c>
      <c r="B32" s="7" t="s">
        <v>71</v>
      </c>
      <c r="C32" s="8" t="s">
        <v>54</v>
      </c>
      <c r="D32" s="7" t="s">
        <v>63</v>
      </c>
      <c r="E32" s="9" t="str">
        <f>'NFL Schedule'!J29</f>
        <v>CLE</v>
      </c>
      <c r="F32" s="10" t="s">
        <v>71</v>
      </c>
      <c r="G32" s="10" t="s">
        <v>63</v>
      </c>
      <c r="H32" s="10" t="s">
        <v>71</v>
      </c>
      <c r="I32" s="10" t="s">
        <v>63</v>
      </c>
      <c r="J32" s="10" t="s">
        <v>63</v>
      </c>
      <c r="K32" s="10" t="s">
        <v>63</v>
      </c>
      <c r="L32" s="10" t="s">
        <v>63</v>
      </c>
      <c r="M32" s="10" t="s">
        <v>63</v>
      </c>
      <c r="N32" s="10" t="s">
        <v>71</v>
      </c>
      <c r="O32" s="10" t="s">
        <v>63</v>
      </c>
      <c r="P32" s="10" t="s">
        <v>63</v>
      </c>
      <c r="Q32" s="10" t="s">
        <v>63</v>
      </c>
    </row>
    <row r="33" spans="1:17" ht="15" customHeight="1" x14ac:dyDescent="0.25">
      <c r="A33" s="7">
        <v>9</v>
      </c>
      <c r="B33" s="7" t="s">
        <v>84</v>
      </c>
      <c r="C33" s="8" t="s">
        <v>54</v>
      </c>
      <c r="D33" s="7" t="s">
        <v>76</v>
      </c>
      <c r="E33" s="9" t="str">
        <f>'NFL Schedule'!J30</f>
        <v>TEN</v>
      </c>
      <c r="F33" s="10" t="s">
        <v>84</v>
      </c>
      <c r="G33" s="10" t="s">
        <v>84</v>
      </c>
      <c r="H33" s="10" t="s">
        <v>84</v>
      </c>
      <c r="I33" s="10" t="s">
        <v>84</v>
      </c>
      <c r="J33" s="10" t="s">
        <v>84</v>
      </c>
      <c r="K33" s="10" t="s">
        <v>84</v>
      </c>
      <c r="L33" s="10" t="s">
        <v>84</v>
      </c>
      <c r="M33" s="10" t="s">
        <v>84</v>
      </c>
      <c r="N33" s="10" t="s">
        <v>84</v>
      </c>
      <c r="O33" s="10" t="s">
        <v>84</v>
      </c>
      <c r="P33" s="10" t="s">
        <v>84</v>
      </c>
      <c r="Q33" s="10" t="s">
        <v>76</v>
      </c>
    </row>
    <row r="34" spans="1:17" ht="15" customHeight="1" x14ac:dyDescent="0.25">
      <c r="A34" s="7">
        <v>10</v>
      </c>
      <c r="B34" s="7" t="s">
        <v>72</v>
      </c>
      <c r="C34" s="8" t="s">
        <v>54</v>
      </c>
      <c r="D34" s="7" t="s">
        <v>87</v>
      </c>
      <c r="E34" s="9" t="str">
        <f>'NFL Schedule'!J31</f>
        <v>DEN</v>
      </c>
      <c r="F34" s="10" t="s">
        <v>72</v>
      </c>
      <c r="G34" s="10" t="s">
        <v>87</v>
      </c>
      <c r="H34" s="10" t="s">
        <v>72</v>
      </c>
      <c r="I34" s="10" t="s">
        <v>72</v>
      </c>
      <c r="J34" s="10" t="s">
        <v>72</v>
      </c>
      <c r="K34" s="10" t="s">
        <v>72</v>
      </c>
      <c r="L34" s="10" t="s">
        <v>72</v>
      </c>
      <c r="M34" s="10" t="s">
        <v>72</v>
      </c>
      <c r="N34" s="10" t="s">
        <v>72</v>
      </c>
      <c r="O34" s="10" t="s">
        <v>72</v>
      </c>
      <c r="P34" s="10" t="s">
        <v>72</v>
      </c>
      <c r="Q34" s="10" t="s">
        <v>72</v>
      </c>
    </row>
    <row r="35" spans="1:17" ht="15" customHeight="1" x14ac:dyDescent="0.25">
      <c r="A35" s="7">
        <v>11</v>
      </c>
      <c r="B35" s="7" t="s">
        <v>80</v>
      </c>
      <c r="C35" s="8" t="s">
        <v>54</v>
      </c>
      <c r="D35" s="7" t="s">
        <v>78</v>
      </c>
      <c r="E35" s="9" t="str">
        <f>'NFL Schedule'!J32</f>
        <v>LV</v>
      </c>
      <c r="F35" s="10" t="s">
        <v>80</v>
      </c>
      <c r="G35" s="10" t="s">
        <v>78</v>
      </c>
      <c r="H35" s="10" t="s">
        <v>78</v>
      </c>
      <c r="I35" s="10" t="s">
        <v>80</v>
      </c>
      <c r="J35" s="10" t="s">
        <v>80</v>
      </c>
      <c r="K35" s="10" t="s">
        <v>78</v>
      </c>
      <c r="L35" s="10" t="s">
        <v>78</v>
      </c>
      <c r="M35" s="10" t="s">
        <v>78</v>
      </c>
      <c r="N35" s="10" t="s">
        <v>80</v>
      </c>
      <c r="O35" s="10" t="s">
        <v>78</v>
      </c>
      <c r="P35" s="10" t="s">
        <v>80</v>
      </c>
      <c r="Q35" s="10" t="s">
        <v>78</v>
      </c>
    </row>
    <row r="36" spans="1:17" ht="15" customHeight="1" x14ac:dyDescent="0.25">
      <c r="A36" s="7">
        <v>12</v>
      </c>
      <c r="B36" s="7" t="s">
        <v>58</v>
      </c>
      <c r="C36" s="8" t="s">
        <v>54</v>
      </c>
      <c r="D36" s="7" t="s">
        <v>77</v>
      </c>
      <c r="E36" s="9" t="str">
        <f>'NFL Schedule'!J33</f>
        <v>SEA</v>
      </c>
      <c r="F36" s="10" t="s">
        <v>58</v>
      </c>
      <c r="G36" s="10" t="s">
        <v>58</v>
      </c>
      <c r="H36" s="10" t="s">
        <v>58</v>
      </c>
      <c r="I36" s="10" t="s">
        <v>58</v>
      </c>
      <c r="J36" s="10" t="s">
        <v>58</v>
      </c>
      <c r="K36" s="10" t="s">
        <v>58</v>
      </c>
      <c r="L36" s="10" t="s">
        <v>58</v>
      </c>
      <c r="M36" s="10" t="s">
        <v>58</v>
      </c>
      <c r="N36" s="10" t="s">
        <v>77</v>
      </c>
      <c r="O36" s="10" t="s">
        <v>58</v>
      </c>
      <c r="P36" s="10" t="s">
        <v>58</v>
      </c>
      <c r="Q36" s="10" t="s">
        <v>58</v>
      </c>
    </row>
    <row r="37" spans="1:17" ht="15" customHeight="1" x14ac:dyDescent="0.25">
      <c r="A37" s="7">
        <v>13</v>
      </c>
      <c r="B37" s="7" t="s">
        <v>83</v>
      </c>
      <c r="C37" s="8" t="s">
        <v>54</v>
      </c>
      <c r="D37" s="7" t="s">
        <v>85</v>
      </c>
      <c r="E37" s="9" t="str">
        <f>'NFL Schedule'!J34</f>
        <v>DAL</v>
      </c>
      <c r="F37" s="10" t="s">
        <v>85</v>
      </c>
      <c r="G37" s="10" t="s">
        <v>83</v>
      </c>
      <c r="H37" s="10" t="s">
        <v>83</v>
      </c>
      <c r="I37" s="10" t="s">
        <v>85</v>
      </c>
      <c r="J37" s="10" t="s">
        <v>85</v>
      </c>
      <c r="K37" s="10" t="s">
        <v>85</v>
      </c>
      <c r="L37" s="10" t="s">
        <v>83</v>
      </c>
      <c r="M37" s="10" t="s">
        <v>83</v>
      </c>
      <c r="N37" s="10" t="s">
        <v>83</v>
      </c>
      <c r="O37" s="10" t="s">
        <v>85</v>
      </c>
      <c r="P37" s="10" t="s">
        <v>85</v>
      </c>
      <c r="Q37" s="10" t="s">
        <v>83</v>
      </c>
    </row>
    <row r="38" spans="1:17" ht="15" customHeight="1" x14ac:dyDescent="0.25">
      <c r="A38" s="7">
        <v>14</v>
      </c>
      <c r="B38" s="7" t="s">
        <v>79</v>
      </c>
      <c r="C38" s="8" t="s">
        <v>54</v>
      </c>
      <c r="D38" s="7" t="s">
        <v>59</v>
      </c>
      <c r="E38" s="9" t="str">
        <f>'NFL Schedule'!J35</f>
        <v>SF</v>
      </c>
      <c r="F38" s="10" t="s">
        <v>59</v>
      </c>
      <c r="G38" s="10" t="s">
        <v>59</v>
      </c>
      <c r="H38" s="10" t="s">
        <v>59</v>
      </c>
      <c r="I38" s="10" t="s">
        <v>59</v>
      </c>
      <c r="J38" s="10" t="s">
        <v>59</v>
      </c>
      <c r="K38" s="10" t="s">
        <v>59</v>
      </c>
      <c r="L38" s="10" t="s">
        <v>59</v>
      </c>
      <c r="M38" s="10" t="s">
        <v>59</v>
      </c>
      <c r="N38" s="10" t="s">
        <v>79</v>
      </c>
      <c r="O38" s="10" t="s">
        <v>59</v>
      </c>
      <c r="P38" s="10" t="s">
        <v>59</v>
      </c>
      <c r="Q38" s="10" t="s">
        <v>79</v>
      </c>
    </row>
    <row r="39" spans="1:17" ht="15" customHeight="1" x14ac:dyDescent="0.25">
      <c r="A39" s="7">
        <v>15</v>
      </c>
      <c r="B39" s="7" t="s">
        <v>70</v>
      </c>
      <c r="C39" s="8" t="s">
        <v>54</v>
      </c>
      <c r="D39" s="7" t="s">
        <v>88</v>
      </c>
      <c r="E39" s="9" t="str">
        <f>'NFL Schedule'!J36</f>
        <v>IND</v>
      </c>
      <c r="F39" s="10" t="s">
        <v>88</v>
      </c>
      <c r="G39" s="10" t="s">
        <v>88</v>
      </c>
      <c r="H39" s="10" t="s">
        <v>88</v>
      </c>
      <c r="I39" s="10" t="s">
        <v>88</v>
      </c>
      <c r="J39" s="10" t="s">
        <v>70</v>
      </c>
      <c r="K39" s="10" t="s">
        <v>88</v>
      </c>
      <c r="L39" s="10" t="s">
        <v>88</v>
      </c>
      <c r="M39" s="10" t="s">
        <v>88</v>
      </c>
      <c r="N39" s="10" t="s">
        <v>70</v>
      </c>
      <c r="O39" s="10" t="s">
        <v>88</v>
      </c>
      <c r="P39" s="10" t="s">
        <v>88</v>
      </c>
      <c r="Q39" s="10" t="s">
        <v>88</v>
      </c>
    </row>
    <row r="40" spans="1:17" ht="15" customHeight="1" x14ac:dyDescent="0.25">
      <c r="A40" s="7">
        <v>16</v>
      </c>
      <c r="B40" s="7" t="s">
        <v>86</v>
      </c>
      <c r="C40" s="8" t="s">
        <v>54</v>
      </c>
      <c r="D40" s="7" t="s">
        <v>60</v>
      </c>
      <c r="E40" s="9" t="str">
        <f>'NFL Schedule'!J37</f>
        <v>LAR</v>
      </c>
      <c r="F40" s="10" t="s">
        <v>86</v>
      </c>
      <c r="G40" s="10" t="s">
        <v>60</v>
      </c>
      <c r="H40" s="10" t="s">
        <v>86</v>
      </c>
      <c r="I40" s="10" t="s">
        <v>86</v>
      </c>
      <c r="J40" s="10" t="s">
        <v>86</v>
      </c>
      <c r="K40" s="10" t="s">
        <v>60</v>
      </c>
      <c r="L40" s="10" t="s">
        <v>60</v>
      </c>
      <c r="M40" s="10" t="s">
        <v>86</v>
      </c>
      <c r="N40" s="10" t="s">
        <v>86</v>
      </c>
      <c r="O40" s="10" t="s">
        <v>86</v>
      </c>
      <c r="P40" s="10" t="s">
        <v>60</v>
      </c>
      <c r="Q40" s="10" t="s">
        <v>86</v>
      </c>
    </row>
    <row r="41" spans="1:17" x14ac:dyDescent="0.25">
      <c r="A41" s="11" t="s">
        <v>63</v>
      </c>
      <c r="B41" s="12" t="s">
        <v>89</v>
      </c>
      <c r="E41" s="13">
        <f>'NFL Schedule'!E38</f>
        <v>34</v>
      </c>
      <c r="F41" s="14">
        <v>48</v>
      </c>
      <c r="G41" s="14">
        <v>47</v>
      </c>
      <c r="H41" s="14">
        <v>42</v>
      </c>
      <c r="I41" s="14">
        <v>40</v>
      </c>
      <c r="J41" s="14">
        <v>35</v>
      </c>
      <c r="K41" s="14">
        <v>45</v>
      </c>
      <c r="L41" s="14">
        <v>52</v>
      </c>
      <c r="M41" s="14">
        <v>45</v>
      </c>
      <c r="N41" s="14">
        <v>48</v>
      </c>
      <c r="O41" s="14">
        <v>42</v>
      </c>
      <c r="P41" s="14">
        <v>48</v>
      </c>
      <c r="Q41" s="14">
        <v>51</v>
      </c>
    </row>
    <row r="42" spans="1:17" ht="15" customHeight="1" x14ac:dyDescent="0.25">
      <c r="A42" s="25" t="s">
        <v>91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17" ht="15" customHeight="1" x14ac:dyDescent="0.25">
      <c r="A43" s="6" t="s">
        <v>27</v>
      </c>
      <c r="B43" s="6" t="s">
        <v>53</v>
      </c>
      <c r="C43" s="6" t="s">
        <v>54</v>
      </c>
      <c r="D43" s="6" t="s">
        <v>55</v>
      </c>
      <c r="E43" s="6" t="s">
        <v>56</v>
      </c>
      <c r="F43" s="6" t="s">
        <v>5</v>
      </c>
      <c r="G43" s="6" t="s">
        <v>8</v>
      </c>
      <c r="H43" s="6" t="s">
        <v>9</v>
      </c>
      <c r="I43" s="6" t="s">
        <v>10</v>
      </c>
      <c r="J43" s="6" t="s">
        <v>11</v>
      </c>
      <c r="K43" s="6" t="s">
        <v>14</v>
      </c>
      <c r="L43" s="6" t="s">
        <v>15</v>
      </c>
      <c r="M43" s="6" t="s">
        <v>16</v>
      </c>
      <c r="N43" s="6" t="s">
        <v>17</v>
      </c>
      <c r="O43" s="6" t="s">
        <v>20</v>
      </c>
      <c r="P43" s="6" t="s">
        <v>21</v>
      </c>
      <c r="Q43" s="6" t="s">
        <v>22</v>
      </c>
    </row>
    <row r="44" spans="1:17" ht="15" customHeight="1" x14ac:dyDescent="0.25">
      <c r="A44" s="7">
        <v>1</v>
      </c>
      <c r="B44" s="7" t="s">
        <v>73</v>
      </c>
      <c r="C44" s="8" t="s">
        <v>54</v>
      </c>
      <c r="D44" s="7" t="s">
        <v>81</v>
      </c>
      <c r="E44" s="9" t="str">
        <f>'NFL Schedule'!J41</f>
        <v>ATL</v>
      </c>
      <c r="F44" s="10" t="s">
        <v>73</v>
      </c>
      <c r="G44" s="10" t="s">
        <v>81</v>
      </c>
      <c r="H44" s="10" t="s">
        <v>73</v>
      </c>
      <c r="I44" s="10"/>
      <c r="J44" s="10" t="s">
        <v>81</v>
      </c>
      <c r="K44" s="10" t="s">
        <v>81</v>
      </c>
      <c r="L44" s="10" t="s">
        <v>81</v>
      </c>
      <c r="M44" s="10" t="s">
        <v>81</v>
      </c>
      <c r="N44" s="10" t="s">
        <v>81</v>
      </c>
      <c r="O44" s="10" t="s">
        <v>81</v>
      </c>
      <c r="P44" s="10"/>
      <c r="Q44" s="10"/>
    </row>
    <row r="45" spans="1:17" ht="15" customHeight="1" x14ac:dyDescent="0.25">
      <c r="A45" s="7">
        <v>2</v>
      </c>
      <c r="B45" s="7" t="s">
        <v>78</v>
      </c>
      <c r="C45" s="8" t="s">
        <v>54</v>
      </c>
      <c r="D45" s="7" t="s">
        <v>67</v>
      </c>
      <c r="E45" s="9" t="str">
        <f>'NFL Schedule'!J42</f>
        <v>BUF</v>
      </c>
      <c r="F45" s="10" t="s">
        <v>67</v>
      </c>
      <c r="G45" s="10" t="s">
        <v>67</v>
      </c>
      <c r="H45" s="10" t="s">
        <v>67</v>
      </c>
      <c r="I45" s="10"/>
      <c r="J45" s="10" t="s">
        <v>67</v>
      </c>
      <c r="K45" s="10" t="s">
        <v>67</v>
      </c>
      <c r="L45" s="10" t="s">
        <v>67</v>
      </c>
      <c r="M45" s="10" t="s">
        <v>67</v>
      </c>
      <c r="N45" s="10" t="s">
        <v>67</v>
      </c>
      <c r="O45" s="10" t="s">
        <v>67</v>
      </c>
      <c r="P45" s="10" t="s">
        <v>67</v>
      </c>
      <c r="Q45" s="10" t="s">
        <v>67</v>
      </c>
    </row>
    <row r="46" spans="1:17" ht="15" customHeight="1" x14ac:dyDescent="0.25">
      <c r="A46" s="7">
        <v>3</v>
      </c>
      <c r="B46" s="7" t="s">
        <v>62</v>
      </c>
      <c r="C46" s="8" t="s">
        <v>54</v>
      </c>
      <c r="D46" s="7" t="s">
        <v>71</v>
      </c>
      <c r="E46" s="9" t="str">
        <f>'NFL Schedule'!J43</f>
        <v>CLE</v>
      </c>
      <c r="F46" s="10" t="s">
        <v>62</v>
      </c>
      <c r="G46" s="10" t="s">
        <v>71</v>
      </c>
      <c r="H46" s="10" t="s">
        <v>62</v>
      </c>
      <c r="I46" s="10"/>
      <c r="J46" s="10" t="s">
        <v>62</v>
      </c>
      <c r="K46" s="10" t="s">
        <v>62</v>
      </c>
      <c r="L46" s="10" t="s">
        <v>62</v>
      </c>
      <c r="M46" s="10" t="s">
        <v>62</v>
      </c>
      <c r="N46" s="10" t="s">
        <v>71</v>
      </c>
      <c r="O46" s="10" t="s">
        <v>62</v>
      </c>
      <c r="P46" s="10" t="s">
        <v>62</v>
      </c>
      <c r="Q46" s="10" t="s">
        <v>62</v>
      </c>
    </row>
    <row r="47" spans="1:17" ht="15" customHeight="1" x14ac:dyDescent="0.25">
      <c r="A47" s="7">
        <v>4</v>
      </c>
      <c r="B47" s="7" t="s">
        <v>75</v>
      </c>
      <c r="C47" s="8" t="s">
        <v>54</v>
      </c>
      <c r="D47" s="7" t="s">
        <v>66</v>
      </c>
      <c r="E47" s="9" t="str">
        <f>'NFL Schedule'!J44</f>
        <v>DET</v>
      </c>
      <c r="F47" s="10" t="s">
        <v>66</v>
      </c>
      <c r="G47" s="10" t="s">
        <v>66</v>
      </c>
      <c r="H47" s="10" t="s">
        <v>66</v>
      </c>
      <c r="I47" s="10"/>
      <c r="J47" s="10" t="s">
        <v>66</v>
      </c>
      <c r="K47" s="10" t="s">
        <v>66</v>
      </c>
      <c r="L47" s="10" t="s">
        <v>66</v>
      </c>
      <c r="M47" s="10" t="s">
        <v>66</v>
      </c>
      <c r="N47" s="10" t="s">
        <v>66</v>
      </c>
      <c r="O47" s="10" t="s">
        <v>66</v>
      </c>
      <c r="P47" s="10" t="s">
        <v>66</v>
      </c>
      <c r="Q47" s="10" t="s">
        <v>75</v>
      </c>
    </row>
    <row r="48" spans="1:17" ht="15" customHeight="1" x14ac:dyDescent="0.25">
      <c r="A48" s="7">
        <v>5</v>
      </c>
      <c r="B48" s="7" t="s">
        <v>68</v>
      </c>
      <c r="C48" s="8" t="s">
        <v>54</v>
      </c>
      <c r="D48" s="7" t="s">
        <v>70</v>
      </c>
      <c r="E48" s="9" t="str">
        <f>'NFL Schedule'!J45</f>
        <v>IND</v>
      </c>
      <c r="F48" s="10" t="s">
        <v>70</v>
      </c>
      <c r="G48" s="10" t="s">
        <v>70</v>
      </c>
      <c r="H48" s="10" t="s">
        <v>70</v>
      </c>
      <c r="I48" s="10"/>
      <c r="J48" s="10" t="s">
        <v>70</v>
      </c>
      <c r="K48" s="10" t="s">
        <v>68</v>
      </c>
      <c r="L48" s="10" t="s">
        <v>68</v>
      </c>
      <c r="M48" s="10" t="s">
        <v>68</v>
      </c>
      <c r="N48" s="10" t="s">
        <v>70</v>
      </c>
      <c r="O48" s="10" t="s">
        <v>70</v>
      </c>
      <c r="P48" s="10" t="s">
        <v>70</v>
      </c>
      <c r="Q48" s="10" t="s">
        <v>68</v>
      </c>
    </row>
    <row r="49" spans="1:17" ht="15" customHeight="1" x14ac:dyDescent="0.25">
      <c r="A49" s="7">
        <v>6</v>
      </c>
      <c r="B49" s="7" t="s">
        <v>88</v>
      </c>
      <c r="C49" s="8" t="s">
        <v>54</v>
      </c>
      <c r="D49" s="7" t="s">
        <v>79</v>
      </c>
      <c r="E49" s="9" t="str">
        <f>'NFL Schedule'!J46</f>
        <v>KC</v>
      </c>
      <c r="F49" s="10" t="s">
        <v>88</v>
      </c>
      <c r="G49" s="10" t="s">
        <v>88</v>
      </c>
      <c r="H49" s="10" t="s">
        <v>88</v>
      </c>
      <c r="I49" s="10"/>
      <c r="J49" s="10" t="s">
        <v>88</v>
      </c>
      <c r="K49" s="10" t="s">
        <v>88</v>
      </c>
      <c r="L49" s="10" t="s">
        <v>88</v>
      </c>
      <c r="M49" s="10" t="s">
        <v>88</v>
      </c>
      <c r="N49" s="10" t="s">
        <v>88</v>
      </c>
      <c r="O49" s="10" t="s">
        <v>88</v>
      </c>
      <c r="P49" s="10" t="s">
        <v>88</v>
      </c>
      <c r="Q49" s="10" t="s">
        <v>88</v>
      </c>
    </row>
    <row r="50" spans="1:17" ht="15" customHeight="1" x14ac:dyDescent="0.25">
      <c r="A50" s="7">
        <v>7</v>
      </c>
      <c r="B50" s="7" t="s">
        <v>76</v>
      </c>
      <c r="C50" s="8" t="s">
        <v>54</v>
      </c>
      <c r="D50" s="7" t="s">
        <v>86</v>
      </c>
      <c r="E50" s="9" t="str">
        <f>'NFL Schedule'!J47</f>
        <v>NYG</v>
      </c>
      <c r="F50" s="10" t="s">
        <v>76</v>
      </c>
      <c r="G50" s="10" t="s">
        <v>86</v>
      </c>
      <c r="H50" s="10" t="s">
        <v>76</v>
      </c>
      <c r="I50" s="10"/>
      <c r="J50" s="10" t="s">
        <v>76</v>
      </c>
      <c r="K50" s="10" t="s">
        <v>76</v>
      </c>
      <c r="L50" s="10" t="s">
        <v>86</v>
      </c>
      <c r="M50" s="10" t="s">
        <v>76</v>
      </c>
      <c r="N50" s="10" t="s">
        <v>76</v>
      </c>
      <c r="O50" s="10" t="s">
        <v>76</v>
      </c>
      <c r="P50" s="10" t="s">
        <v>76</v>
      </c>
      <c r="Q50" s="10" t="s">
        <v>76</v>
      </c>
    </row>
    <row r="51" spans="1:17" ht="15" customHeight="1" x14ac:dyDescent="0.25">
      <c r="A51" s="7">
        <v>8</v>
      </c>
      <c r="B51" s="7" t="s">
        <v>64</v>
      </c>
      <c r="C51" s="8" t="s">
        <v>54</v>
      </c>
      <c r="D51" s="7" t="s">
        <v>74</v>
      </c>
      <c r="E51" s="9" t="str">
        <f>'NFL Schedule'!J48</f>
        <v>PIT</v>
      </c>
      <c r="F51" s="10" t="s">
        <v>64</v>
      </c>
      <c r="G51" s="10" t="s">
        <v>64</v>
      </c>
      <c r="H51" s="10" t="s">
        <v>64</v>
      </c>
      <c r="I51" s="10"/>
      <c r="J51" s="10" t="s">
        <v>74</v>
      </c>
      <c r="K51" s="10" t="s">
        <v>74</v>
      </c>
      <c r="L51" s="10" t="s">
        <v>64</v>
      </c>
      <c r="M51" s="10" t="s">
        <v>64</v>
      </c>
      <c r="N51" s="10" t="s">
        <v>74</v>
      </c>
      <c r="O51" s="10" t="s">
        <v>64</v>
      </c>
      <c r="P51" s="10" t="s">
        <v>64</v>
      </c>
      <c r="Q51" s="10" t="s">
        <v>64</v>
      </c>
    </row>
    <row r="52" spans="1:17" ht="15" customHeight="1" x14ac:dyDescent="0.25">
      <c r="A52" s="7">
        <v>9</v>
      </c>
      <c r="B52" s="7" t="s">
        <v>58</v>
      </c>
      <c r="C52" s="8" t="s">
        <v>54</v>
      </c>
      <c r="D52" s="7" t="s">
        <v>83</v>
      </c>
      <c r="E52" s="9" t="str">
        <f>'NFL Schedule'!J49</f>
        <v>WAS</v>
      </c>
      <c r="F52" s="10" t="s">
        <v>58</v>
      </c>
      <c r="G52" s="10" t="s">
        <v>58</v>
      </c>
      <c r="H52" s="10" t="s">
        <v>58</v>
      </c>
      <c r="I52" s="10"/>
      <c r="J52" s="10" t="s">
        <v>58</v>
      </c>
      <c r="K52" s="10" t="s">
        <v>58</v>
      </c>
      <c r="L52" s="10" t="s">
        <v>58</v>
      </c>
      <c r="M52" s="10" t="s">
        <v>58</v>
      </c>
      <c r="N52" s="10" t="s">
        <v>58</v>
      </c>
      <c r="O52" s="10" t="s">
        <v>58</v>
      </c>
      <c r="P52" s="10" t="s">
        <v>58</v>
      </c>
      <c r="Q52" s="10" t="s">
        <v>58</v>
      </c>
    </row>
    <row r="53" spans="1:17" ht="15" customHeight="1" x14ac:dyDescent="0.25">
      <c r="A53" s="7">
        <v>10</v>
      </c>
      <c r="B53" s="7" t="s">
        <v>57</v>
      </c>
      <c r="C53" s="8" t="s">
        <v>54</v>
      </c>
      <c r="D53" s="7" t="s">
        <v>72</v>
      </c>
      <c r="E53" s="9" t="str">
        <f>'NFL Schedule'!J50</f>
        <v>JAX</v>
      </c>
      <c r="F53" s="10" t="s">
        <v>72</v>
      </c>
      <c r="G53" s="10" t="s">
        <v>57</v>
      </c>
      <c r="H53" s="10" t="s">
        <v>72</v>
      </c>
      <c r="I53" s="10"/>
      <c r="J53" s="10" t="s">
        <v>72</v>
      </c>
      <c r="K53" s="10" t="s">
        <v>72</v>
      </c>
      <c r="L53" s="10" t="s">
        <v>57</v>
      </c>
      <c r="M53" s="10" t="s">
        <v>72</v>
      </c>
      <c r="N53" s="10" t="s">
        <v>57</v>
      </c>
      <c r="O53" s="10" t="s">
        <v>57</v>
      </c>
      <c r="P53" s="10" t="s">
        <v>72</v>
      </c>
      <c r="Q53" s="10" t="s">
        <v>72</v>
      </c>
    </row>
    <row r="54" spans="1:17" ht="15" customHeight="1" x14ac:dyDescent="0.25">
      <c r="A54" s="7">
        <v>11</v>
      </c>
      <c r="B54" s="7" t="s">
        <v>77</v>
      </c>
      <c r="C54" s="8" t="s">
        <v>54</v>
      </c>
      <c r="D54" s="7" t="s">
        <v>59</v>
      </c>
      <c r="E54" s="9" t="str">
        <f>'NFL Schedule'!J51</f>
        <v>ARI</v>
      </c>
      <c r="F54" s="10" t="s">
        <v>77</v>
      </c>
      <c r="G54" s="10" t="s">
        <v>59</v>
      </c>
      <c r="H54" s="10" t="s">
        <v>59</v>
      </c>
      <c r="I54" s="10"/>
      <c r="J54" s="10" t="s">
        <v>59</v>
      </c>
      <c r="K54" s="10" t="s">
        <v>59</v>
      </c>
      <c r="L54" s="10" t="s">
        <v>59</v>
      </c>
      <c r="M54" s="10" t="s">
        <v>59</v>
      </c>
      <c r="N54" s="10" t="s">
        <v>59</v>
      </c>
      <c r="O54" s="10" t="s">
        <v>59</v>
      </c>
      <c r="P54" s="10" t="s">
        <v>59</v>
      </c>
      <c r="Q54" s="10" t="s">
        <v>59</v>
      </c>
    </row>
    <row r="55" spans="1:17" ht="15" customHeight="1" x14ac:dyDescent="0.25">
      <c r="A55" s="7">
        <v>12</v>
      </c>
      <c r="B55" s="7" t="s">
        <v>82</v>
      </c>
      <c r="C55" s="8" t="s">
        <v>54</v>
      </c>
      <c r="D55" s="7" t="s">
        <v>63</v>
      </c>
      <c r="E55" s="9" t="str">
        <f>'NFL Schedule'!J52</f>
        <v>MIN</v>
      </c>
      <c r="F55" s="10" t="s">
        <v>82</v>
      </c>
      <c r="G55" s="10" t="s">
        <v>82</v>
      </c>
      <c r="H55" s="10" t="s">
        <v>82</v>
      </c>
      <c r="I55" s="10"/>
      <c r="J55" s="10" t="s">
        <v>82</v>
      </c>
      <c r="K55" s="10" t="s">
        <v>82</v>
      </c>
      <c r="L55" s="10" t="s">
        <v>82</v>
      </c>
      <c r="M55" s="10" t="s">
        <v>82</v>
      </c>
      <c r="N55" s="10" t="s">
        <v>63</v>
      </c>
      <c r="O55" s="10" t="s">
        <v>82</v>
      </c>
      <c r="P55" s="10" t="s">
        <v>82</v>
      </c>
      <c r="Q55" s="10" t="s">
        <v>82</v>
      </c>
    </row>
    <row r="56" spans="1:17" ht="15" customHeight="1" x14ac:dyDescent="0.25">
      <c r="A56" s="7">
        <v>13</v>
      </c>
      <c r="B56" s="7" t="s">
        <v>69</v>
      </c>
      <c r="C56" s="8" t="s">
        <v>54</v>
      </c>
      <c r="D56" s="7" t="s">
        <v>85</v>
      </c>
      <c r="E56" s="9" t="str">
        <f>'NFL Schedule'!J53</f>
        <v>BAL</v>
      </c>
      <c r="F56" s="10" t="s">
        <v>69</v>
      </c>
      <c r="G56" s="10" t="s">
        <v>85</v>
      </c>
      <c r="H56" s="10" t="s">
        <v>85</v>
      </c>
      <c r="I56" s="10"/>
      <c r="J56" s="10" t="s">
        <v>85</v>
      </c>
      <c r="K56" s="10" t="s">
        <v>85</v>
      </c>
      <c r="L56" s="10" t="s">
        <v>69</v>
      </c>
      <c r="M56" s="10" t="s">
        <v>69</v>
      </c>
      <c r="N56" s="10" t="s">
        <v>85</v>
      </c>
      <c r="O56" s="10" t="s">
        <v>85</v>
      </c>
      <c r="P56" s="10" t="s">
        <v>69</v>
      </c>
      <c r="Q56" s="10" t="s">
        <v>69</v>
      </c>
    </row>
    <row r="57" spans="1:17" ht="15" customHeight="1" x14ac:dyDescent="0.25">
      <c r="A57" s="7">
        <v>14</v>
      </c>
      <c r="B57" s="7" t="s">
        <v>80</v>
      </c>
      <c r="C57" s="8" t="s">
        <v>54</v>
      </c>
      <c r="D57" s="7" t="s">
        <v>65</v>
      </c>
      <c r="E57" s="9" t="str">
        <f>'NFL Schedule'!J54</f>
        <v>LV</v>
      </c>
      <c r="F57" s="10" t="s">
        <v>80</v>
      </c>
      <c r="G57" s="10" t="s">
        <v>80</v>
      </c>
      <c r="H57" s="10" t="s">
        <v>80</v>
      </c>
      <c r="I57" s="10"/>
      <c r="J57" s="10" t="s">
        <v>80</v>
      </c>
      <c r="K57" s="10" t="s">
        <v>65</v>
      </c>
      <c r="L57" s="10" t="s">
        <v>80</v>
      </c>
      <c r="M57" s="10" t="s">
        <v>80</v>
      </c>
      <c r="N57" s="10" t="s">
        <v>80</v>
      </c>
      <c r="O57" s="10" t="s">
        <v>65</v>
      </c>
      <c r="P57" s="10" t="s">
        <v>80</v>
      </c>
      <c r="Q57" s="10" t="s">
        <v>65</v>
      </c>
    </row>
    <row r="58" spans="1:17" ht="15" customHeight="1" x14ac:dyDescent="0.25">
      <c r="A58" s="7">
        <v>15</v>
      </c>
      <c r="B58" s="7" t="s">
        <v>60</v>
      </c>
      <c r="C58" s="8" t="s">
        <v>54</v>
      </c>
      <c r="D58" s="7" t="s">
        <v>87</v>
      </c>
      <c r="E58" s="9" t="str">
        <f>'NFL Schedule'!J55</f>
        <v>DEN</v>
      </c>
      <c r="F58" s="10" t="s">
        <v>87</v>
      </c>
      <c r="G58" s="10" t="s">
        <v>60</v>
      </c>
      <c r="H58" s="10" t="s">
        <v>60</v>
      </c>
      <c r="I58" s="10"/>
      <c r="J58" s="10" t="s">
        <v>87</v>
      </c>
      <c r="K58" s="10" t="s">
        <v>60</v>
      </c>
      <c r="L58" s="10" t="s">
        <v>87</v>
      </c>
      <c r="M58" s="10" t="s">
        <v>60</v>
      </c>
      <c r="N58" s="10" t="s">
        <v>87</v>
      </c>
      <c r="O58" s="10" t="s">
        <v>60</v>
      </c>
      <c r="P58" s="10" t="s">
        <v>60</v>
      </c>
      <c r="Q58" s="10" t="s">
        <v>87</v>
      </c>
    </row>
    <row r="59" spans="1:17" ht="15" customHeight="1" x14ac:dyDescent="0.25">
      <c r="A59" s="7">
        <v>16</v>
      </c>
      <c r="B59" s="7" t="s">
        <v>84</v>
      </c>
      <c r="C59" s="8" t="s">
        <v>54</v>
      </c>
      <c r="D59" s="7" t="s">
        <v>61</v>
      </c>
      <c r="E59" s="9" t="str">
        <f>'NFL Schedule'!J56</f>
        <v>CHI</v>
      </c>
      <c r="F59" s="10" t="s">
        <v>61</v>
      </c>
      <c r="G59" s="10" t="s">
        <v>84</v>
      </c>
      <c r="H59" s="10" t="s">
        <v>84</v>
      </c>
      <c r="I59" s="10"/>
      <c r="J59" s="10" t="s">
        <v>84</v>
      </c>
      <c r="K59" s="10" t="s">
        <v>61</v>
      </c>
      <c r="L59" s="10" t="s">
        <v>84</v>
      </c>
      <c r="M59" s="10" t="s">
        <v>84</v>
      </c>
      <c r="N59" s="10" t="s">
        <v>84</v>
      </c>
      <c r="O59" s="10" t="s">
        <v>84</v>
      </c>
      <c r="P59" s="10" t="s">
        <v>84</v>
      </c>
      <c r="Q59" s="10" t="s">
        <v>84</v>
      </c>
    </row>
    <row r="60" spans="1:17" x14ac:dyDescent="0.25">
      <c r="A60" s="11" t="s">
        <v>63</v>
      </c>
      <c r="B60" s="12" t="s">
        <v>89</v>
      </c>
      <c r="E60" s="13">
        <f>'NFL Schedule'!E57</f>
        <v>34</v>
      </c>
      <c r="F60" s="14">
        <v>44</v>
      </c>
      <c r="G60" s="14">
        <v>40</v>
      </c>
      <c r="H60" s="14">
        <v>48</v>
      </c>
      <c r="I60" s="14"/>
      <c r="J60" s="14">
        <v>45</v>
      </c>
      <c r="K60" s="14">
        <v>43</v>
      </c>
      <c r="L60" s="14">
        <v>42</v>
      </c>
      <c r="M60" s="14">
        <v>43</v>
      </c>
      <c r="N60" s="14">
        <v>41</v>
      </c>
      <c r="O60" s="14">
        <v>42</v>
      </c>
      <c r="P60" s="14">
        <v>53</v>
      </c>
      <c r="Q60" s="14">
        <v>42</v>
      </c>
    </row>
    <row r="61" spans="1:17" ht="15" customHeight="1" x14ac:dyDescent="0.25">
      <c r="A61" s="25" t="s">
        <v>92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spans="1:17" ht="15" customHeight="1" x14ac:dyDescent="0.25">
      <c r="A62" s="6" t="s">
        <v>27</v>
      </c>
      <c r="B62" s="6" t="s">
        <v>53</v>
      </c>
      <c r="C62" s="6" t="s">
        <v>54</v>
      </c>
      <c r="D62" s="6" t="s">
        <v>55</v>
      </c>
      <c r="E62" s="6" t="s">
        <v>56</v>
      </c>
      <c r="F62" s="6" t="s">
        <v>5</v>
      </c>
      <c r="G62" s="6" t="s">
        <v>8</v>
      </c>
      <c r="H62" s="6" t="s">
        <v>9</v>
      </c>
      <c r="I62" s="6" t="s">
        <v>10</v>
      </c>
      <c r="J62" s="6" t="s">
        <v>11</v>
      </c>
      <c r="K62" s="6" t="s">
        <v>14</v>
      </c>
      <c r="L62" s="6" t="s">
        <v>15</v>
      </c>
      <c r="M62" s="6" t="s">
        <v>16</v>
      </c>
      <c r="N62" s="6" t="s">
        <v>17</v>
      </c>
      <c r="O62" s="6" t="s">
        <v>20</v>
      </c>
      <c r="P62" s="6" t="s">
        <v>21</v>
      </c>
      <c r="Q62" s="6" t="s">
        <v>22</v>
      </c>
    </row>
    <row r="63" spans="1:17" ht="15" customHeight="1" x14ac:dyDescent="0.25">
      <c r="A63" s="7">
        <v>1</v>
      </c>
      <c r="B63" s="7" t="s">
        <v>74</v>
      </c>
      <c r="C63" s="8" t="s">
        <v>54</v>
      </c>
      <c r="D63" s="7" t="s">
        <v>71</v>
      </c>
      <c r="E63" s="9" t="str">
        <f>'NFL Schedule'!J60</f>
        <v>CLE</v>
      </c>
      <c r="F63" s="10" t="s">
        <v>71</v>
      </c>
      <c r="G63" s="10" t="s">
        <v>74</v>
      </c>
      <c r="H63" s="10" t="s">
        <v>71</v>
      </c>
      <c r="I63" s="10" t="s">
        <v>74</v>
      </c>
      <c r="J63" s="10" t="s">
        <v>74</v>
      </c>
      <c r="K63" s="10" t="s">
        <v>74</v>
      </c>
      <c r="L63" s="10" t="s">
        <v>74</v>
      </c>
      <c r="M63" s="10" t="s">
        <v>71</v>
      </c>
      <c r="N63" s="10" t="s">
        <v>71</v>
      </c>
      <c r="O63" s="10" t="s">
        <v>74</v>
      </c>
      <c r="P63" s="10" t="s">
        <v>71</v>
      </c>
      <c r="Q63" s="10" t="s">
        <v>74</v>
      </c>
    </row>
    <row r="64" spans="1:17" ht="15" customHeight="1" x14ac:dyDescent="0.25">
      <c r="A64" s="7">
        <v>2</v>
      </c>
      <c r="B64" s="7" t="s">
        <v>70</v>
      </c>
      <c r="C64" s="8" t="s">
        <v>54</v>
      </c>
      <c r="D64" s="7" t="s">
        <v>83</v>
      </c>
      <c r="E64" s="9" t="str">
        <f>'NFL Schedule'!J61</f>
        <v>IND</v>
      </c>
      <c r="F64" s="10" t="s">
        <v>83</v>
      </c>
      <c r="G64" s="10" t="s">
        <v>70</v>
      </c>
      <c r="H64" s="10" t="s">
        <v>70</v>
      </c>
      <c r="I64" s="10" t="s">
        <v>83</v>
      </c>
      <c r="J64" s="10" t="s">
        <v>83</v>
      </c>
      <c r="K64" s="10" t="s">
        <v>83</v>
      </c>
      <c r="L64" s="10" t="s">
        <v>70</v>
      </c>
      <c r="M64" s="10" t="s">
        <v>70</v>
      </c>
      <c r="N64" s="10" t="s">
        <v>83</v>
      </c>
      <c r="O64" s="10" t="s">
        <v>70</v>
      </c>
      <c r="P64" s="10" t="s">
        <v>70</v>
      </c>
      <c r="Q64" s="10" t="s">
        <v>70</v>
      </c>
    </row>
    <row r="65" spans="1:17" ht="15" customHeight="1" x14ac:dyDescent="0.25">
      <c r="A65" s="7">
        <v>3</v>
      </c>
      <c r="B65" s="7" t="s">
        <v>57</v>
      </c>
      <c r="C65" s="8" t="s">
        <v>54</v>
      </c>
      <c r="D65" s="7" t="s">
        <v>67</v>
      </c>
      <c r="E65" s="9" t="str">
        <f>'NFL Schedule'!J62</f>
        <v>NE</v>
      </c>
      <c r="F65" s="10" t="s">
        <v>57</v>
      </c>
      <c r="G65" s="10" t="s">
        <v>67</v>
      </c>
      <c r="H65" s="10" t="s">
        <v>67</v>
      </c>
      <c r="I65" s="10" t="s">
        <v>57</v>
      </c>
      <c r="J65" s="10" t="s">
        <v>67</v>
      </c>
      <c r="K65" s="10" t="s">
        <v>57</v>
      </c>
      <c r="L65" s="10" t="s">
        <v>67</v>
      </c>
      <c r="M65" s="10" t="s">
        <v>67</v>
      </c>
      <c r="N65" s="10" t="s">
        <v>67</v>
      </c>
      <c r="O65" s="10" t="s">
        <v>57</v>
      </c>
      <c r="P65" s="10" t="s">
        <v>67</v>
      </c>
      <c r="Q65" s="10" t="s">
        <v>57</v>
      </c>
    </row>
    <row r="66" spans="1:17" ht="15" customHeight="1" x14ac:dyDescent="0.25">
      <c r="A66" s="7">
        <v>4</v>
      </c>
      <c r="B66" s="7" t="s">
        <v>75</v>
      </c>
      <c r="C66" s="8" t="s">
        <v>54</v>
      </c>
      <c r="D66" s="7" t="s">
        <v>61</v>
      </c>
      <c r="E66" s="9" t="str">
        <f>'NFL Schedule'!J63</f>
        <v>CHI</v>
      </c>
      <c r="F66" s="10" t="s">
        <v>61</v>
      </c>
      <c r="G66" s="10" t="s">
        <v>61</v>
      </c>
      <c r="H66" s="10" t="s">
        <v>75</v>
      </c>
      <c r="I66" s="10" t="s">
        <v>61</v>
      </c>
      <c r="J66" s="10" t="s">
        <v>61</v>
      </c>
      <c r="K66" s="10" t="s">
        <v>61</v>
      </c>
      <c r="L66" s="10" t="s">
        <v>61</v>
      </c>
      <c r="M66" s="10" t="s">
        <v>61</v>
      </c>
      <c r="N66" s="10" t="s">
        <v>61</v>
      </c>
      <c r="O66" s="10" t="s">
        <v>75</v>
      </c>
      <c r="P66" s="10" t="s">
        <v>61</v>
      </c>
      <c r="Q66" s="10" t="s">
        <v>61</v>
      </c>
    </row>
    <row r="67" spans="1:17" ht="15" customHeight="1" x14ac:dyDescent="0.25">
      <c r="A67" s="7">
        <v>5</v>
      </c>
      <c r="B67" s="7" t="s">
        <v>72</v>
      </c>
      <c r="C67" s="8" t="s">
        <v>54</v>
      </c>
      <c r="D67" s="7" t="s">
        <v>64</v>
      </c>
      <c r="E67" s="9" t="str">
        <f>'NFL Schedule'!J64</f>
        <v>JAX</v>
      </c>
      <c r="F67" s="10" t="s">
        <v>72</v>
      </c>
      <c r="G67" s="10" t="s">
        <v>64</v>
      </c>
      <c r="H67" s="10" t="s">
        <v>72</v>
      </c>
      <c r="I67" s="10" t="s">
        <v>72</v>
      </c>
      <c r="J67" s="10" t="s">
        <v>72</v>
      </c>
      <c r="K67" s="10" t="s">
        <v>72</v>
      </c>
      <c r="L67" s="10" t="s">
        <v>72</v>
      </c>
      <c r="M67" s="10" t="s">
        <v>72</v>
      </c>
      <c r="N67" s="10" t="s">
        <v>72</v>
      </c>
      <c r="O67" s="10" t="s">
        <v>72</v>
      </c>
      <c r="P67" s="10" t="s">
        <v>72</v>
      </c>
      <c r="Q67" s="10" t="s">
        <v>72</v>
      </c>
    </row>
    <row r="68" spans="1:17" ht="15" customHeight="1" x14ac:dyDescent="0.25">
      <c r="A68" s="7">
        <v>6</v>
      </c>
      <c r="B68" s="7" t="s">
        <v>77</v>
      </c>
      <c r="C68" s="8" t="s">
        <v>54</v>
      </c>
      <c r="D68" s="7" t="s">
        <v>86</v>
      </c>
      <c r="E68" s="9" t="str">
        <f>'NFL Schedule'!J65</f>
        <v>NYG</v>
      </c>
      <c r="F68" s="10" t="s">
        <v>77</v>
      </c>
      <c r="G68" s="10" t="s">
        <v>86</v>
      </c>
      <c r="H68" s="10" t="s">
        <v>77</v>
      </c>
      <c r="I68" s="10" t="s">
        <v>86</v>
      </c>
      <c r="J68" s="10" t="s">
        <v>86</v>
      </c>
      <c r="K68" s="10" t="s">
        <v>86</v>
      </c>
      <c r="L68" s="10" t="s">
        <v>86</v>
      </c>
      <c r="M68" s="10" t="s">
        <v>77</v>
      </c>
      <c r="N68" s="10" t="s">
        <v>86</v>
      </c>
      <c r="O68" s="10" t="s">
        <v>77</v>
      </c>
      <c r="P68" s="10" t="s">
        <v>77</v>
      </c>
      <c r="Q68" s="10" t="s">
        <v>77</v>
      </c>
    </row>
    <row r="69" spans="1:17" ht="15" customHeight="1" x14ac:dyDescent="0.25">
      <c r="A69" s="7">
        <v>7</v>
      </c>
      <c r="B69" s="7" t="s">
        <v>60</v>
      </c>
      <c r="C69" s="8" t="s">
        <v>54</v>
      </c>
      <c r="D69" s="7" t="s">
        <v>84</v>
      </c>
      <c r="E69" s="9" t="str">
        <f>'NFL Schedule'!J66</f>
        <v>LAR</v>
      </c>
      <c r="F69" s="10" t="s">
        <v>60</v>
      </c>
      <c r="G69" s="10" t="s">
        <v>84</v>
      </c>
      <c r="H69" s="10" t="s">
        <v>60</v>
      </c>
      <c r="I69" s="10" t="s">
        <v>60</v>
      </c>
      <c r="J69" s="10" t="s">
        <v>84</v>
      </c>
      <c r="K69" s="10" t="s">
        <v>84</v>
      </c>
      <c r="L69" s="10" t="s">
        <v>84</v>
      </c>
      <c r="M69" s="10" t="s">
        <v>60</v>
      </c>
      <c r="N69" s="10" t="s">
        <v>84</v>
      </c>
      <c r="O69" s="10" t="s">
        <v>60</v>
      </c>
      <c r="P69" s="10" t="s">
        <v>60</v>
      </c>
      <c r="Q69" s="10" t="s">
        <v>60</v>
      </c>
    </row>
    <row r="70" spans="1:17" ht="15" customHeight="1" x14ac:dyDescent="0.25">
      <c r="A70" s="7">
        <v>8</v>
      </c>
      <c r="B70" s="7" t="s">
        <v>81</v>
      </c>
      <c r="C70" s="8" t="s">
        <v>54</v>
      </c>
      <c r="D70" s="7" t="s">
        <v>63</v>
      </c>
      <c r="E70" s="9" t="str">
        <f>'NFL Schedule'!J67</f>
        <v>TB</v>
      </c>
      <c r="F70" s="10" t="s">
        <v>81</v>
      </c>
      <c r="G70" s="10" t="s">
        <v>63</v>
      </c>
      <c r="H70" s="10" t="s">
        <v>81</v>
      </c>
      <c r="I70" s="10" t="s">
        <v>63</v>
      </c>
      <c r="J70" s="10" t="s">
        <v>81</v>
      </c>
      <c r="K70" s="10" t="s">
        <v>81</v>
      </c>
      <c r="L70" s="10" t="s">
        <v>81</v>
      </c>
      <c r="M70" s="10" t="s">
        <v>81</v>
      </c>
      <c r="N70" s="10" t="s">
        <v>81</v>
      </c>
      <c r="O70" s="10" t="s">
        <v>81</v>
      </c>
      <c r="P70" s="10" t="s">
        <v>63</v>
      </c>
      <c r="Q70" s="10" t="s">
        <v>81</v>
      </c>
    </row>
    <row r="71" spans="1:17" ht="15" customHeight="1" x14ac:dyDescent="0.25">
      <c r="A71" s="7">
        <v>9</v>
      </c>
      <c r="B71" s="7" t="s">
        <v>76</v>
      </c>
      <c r="C71" s="8" t="s">
        <v>54</v>
      </c>
      <c r="D71" s="7" t="s">
        <v>69</v>
      </c>
      <c r="E71" s="9" t="str">
        <f>'NFL Schedule'!J68</f>
        <v>TEN</v>
      </c>
      <c r="F71" s="10" t="s">
        <v>69</v>
      </c>
      <c r="G71" s="10" t="s">
        <v>69</v>
      </c>
      <c r="H71" s="10" t="s">
        <v>76</v>
      </c>
      <c r="I71" s="10" t="s">
        <v>76</v>
      </c>
      <c r="J71" s="10" t="s">
        <v>69</v>
      </c>
      <c r="K71" s="10" t="s">
        <v>69</v>
      </c>
      <c r="L71" s="10" t="s">
        <v>69</v>
      </c>
      <c r="M71" s="10" t="s">
        <v>69</v>
      </c>
      <c r="N71" s="10" t="s">
        <v>69</v>
      </c>
      <c r="O71" s="10" t="s">
        <v>76</v>
      </c>
      <c r="P71" s="10" t="s">
        <v>69</v>
      </c>
      <c r="Q71" s="10" t="s">
        <v>69</v>
      </c>
    </row>
    <row r="72" spans="1:17" ht="15" customHeight="1" x14ac:dyDescent="0.25">
      <c r="A72" s="7">
        <v>10</v>
      </c>
      <c r="B72" s="7" t="s">
        <v>85</v>
      </c>
      <c r="C72" s="8" t="s">
        <v>54</v>
      </c>
      <c r="D72" s="7" t="s">
        <v>68</v>
      </c>
      <c r="E72" s="9" t="str">
        <f>'NFL Schedule'!J69</f>
        <v>DAL</v>
      </c>
      <c r="F72" s="10" t="s">
        <v>68</v>
      </c>
      <c r="G72" s="10" t="s">
        <v>85</v>
      </c>
      <c r="H72" s="10" t="s">
        <v>85</v>
      </c>
      <c r="I72" s="10" t="s">
        <v>68</v>
      </c>
      <c r="J72" s="10" t="s">
        <v>85</v>
      </c>
      <c r="K72" s="10" t="s">
        <v>68</v>
      </c>
      <c r="L72" s="10" t="s">
        <v>85</v>
      </c>
      <c r="M72" s="10" t="s">
        <v>85</v>
      </c>
      <c r="N72" s="10" t="s">
        <v>85</v>
      </c>
      <c r="O72" s="10" t="s">
        <v>85</v>
      </c>
      <c r="P72" s="10" t="s">
        <v>68</v>
      </c>
      <c r="Q72" s="10" t="s">
        <v>68</v>
      </c>
    </row>
    <row r="73" spans="1:17" ht="15" customHeight="1" x14ac:dyDescent="0.25">
      <c r="A73" s="7">
        <v>11</v>
      </c>
      <c r="B73" s="7" t="s">
        <v>79</v>
      </c>
      <c r="C73" s="8" t="s">
        <v>54</v>
      </c>
      <c r="D73" s="7" t="s">
        <v>82</v>
      </c>
      <c r="E73" s="9" t="str">
        <f>'NFL Schedule'!J70</f>
        <v>MIA</v>
      </c>
      <c r="F73" s="10" t="s">
        <v>82</v>
      </c>
      <c r="G73" s="10" t="s">
        <v>82</v>
      </c>
      <c r="H73" s="10" t="s">
        <v>82</v>
      </c>
      <c r="I73" s="10" t="s">
        <v>79</v>
      </c>
      <c r="J73" s="10" t="s">
        <v>82</v>
      </c>
      <c r="K73" s="10" t="s">
        <v>82</v>
      </c>
      <c r="L73" s="10" t="s">
        <v>82</v>
      </c>
      <c r="M73" s="10" t="s">
        <v>82</v>
      </c>
      <c r="N73" s="10" t="s">
        <v>82</v>
      </c>
      <c r="O73" s="10" t="s">
        <v>82</v>
      </c>
      <c r="P73" s="10" t="s">
        <v>82</v>
      </c>
      <c r="Q73" s="10" t="s">
        <v>82</v>
      </c>
    </row>
    <row r="74" spans="1:17" ht="15" customHeight="1" x14ac:dyDescent="0.25">
      <c r="A74" s="7">
        <v>12</v>
      </c>
      <c r="B74" s="7" t="s">
        <v>88</v>
      </c>
      <c r="C74" s="8" t="s">
        <v>54</v>
      </c>
      <c r="D74" s="7" t="s">
        <v>80</v>
      </c>
      <c r="E74" s="9" t="str">
        <f>'NFL Schedule'!J71</f>
        <v>LV</v>
      </c>
      <c r="F74" s="10" t="s">
        <v>88</v>
      </c>
      <c r="G74" s="10" t="s">
        <v>88</v>
      </c>
      <c r="H74" s="10" t="s">
        <v>88</v>
      </c>
      <c r="I74" s="10" t="s">
        <v>80</v>
      </c>
      <c r="J74" s="10" t="s">
        <v>88</v>
      </c>
      <c r="K74" s="10" t="s">
        <v>88</v>
      </c>
      <c r="L74" s="10" t="s">
        <v>88</v>
      </c>
      <c r="M74" s="10" t="s">
        <v>88</v>
      </c>
      <c r="N74" s="10" t="s">
        <v>80</v>
      </c>
      <c r="O74" s="10" t="s">
        <v>88</v>
      </c>
      <c r="P74" s="10" t="s">
        <v>88</v>
      </c>
      <c r="Q74" s="10" t="s">
        <v>88</v>
      </c>
    </row>
    <row r="75" spans="1:17" ht="15" customHeight="1" x14ac:dyDescent="0.25">
      <c r="A75" s="7">
        <v>13</v>
      </c>
      <c r="B75" s="7" t="s">
        <v>87</v>
      </c>
      <c r="C75" s="8" t="s">
        <v>54</v>
      </c>
      <c r="D75" s="7" t="s">
        <v>59</v>
      </c>
      <c r="E75" s="9" t="str">
        <f>'NFL Schedule'!J72</f>
        <v>SF</v>
      </c>
      <c r="F75" s="10" t="s">
        <v>59</v>
      </c>
      <c r="G75" s="10" t="s">
        <v>59</v>
      </c>
      <c r="H75" s="10" t="s">
        <v>59</v>
      </c>
      <c r="I75" s="10" t="s">
        <v>59</v>
      </c>
      <c r="J75" s="10" t="s">
        <v>59</v>
      </c>
      <c r="K75" s="10" t="s">
        <v>59</v>
      </c>
      <c r="L75" s="10" t="s">
        <v>59</v>
      </c>
      <c r="M75" s="10" t="s">
        <v>59</v>
      </c>
      <c r="N75" s="10" t="s">
        <v>59</v>
      </c>
      <c r="O75" s="10" t="s">
        <v>59</v>
      </c>
      <c r="P75" s="10" t="s">
        <v>59</v>
      </c>
      <c r="Q75" s="10" t="s">
        <v>59</v>
      </c>
    </row>
    <row r="76" spans="1:17" ht="15" customHeight="1" x14ac:dyDescent="0.25">
      <c r="A76" s="7">
        <v>14</v>
      </c>
      <c r="B76" s="7" t="s">
        <v>78</v>
      </c>
      <c r="C76" s="8" t="s">
        <v>54</v>
      </c>
      <c r="D76" s="7" t="s">
        <v>58</v>
      </c>
      <c r="E76" s="9" t="str">
        <f>'NFL Schedule'!J73</f>
        <v>LAC</v>
      </c>
      <c r="F76" s="10" t="s">
        <v>58</v>
      </c>
      <c r="G76" s="10" t="s">
        <v>58</v>
      </c>
      <c r="H76" s="10" t="s">
        <v>58</v>
      </c>
      <c r="I76" s="10" t="s">
        <v>78</v>
      </c>
      <c r="J76" s="10" t="s">
        <v>58</v>
      </c>
      <c r="K76" s="10" t="s">
        <v>58</v>
      </c>
      <c r="L76" s="10" t="s">
        <v>58</v>
      </c>
      <c r="M76" s="10" t="s">
        <v>58</v>
      </c>
      <c r="N76" s="10" t="s">
        <v>58</v>
      </c>
      <c r="O76" s="10" t="s">
        <v>58</v>
      </c>
      <c r="P76" s="10" t="s">
        <v>58</v>
      </c>
      <c r="Q76" s="10" t="s">
        <v>58</v>
      </c>
    </row>
    <row r="77" spans="1:17" ht="15" customHeight="1" x14ac:dyDescent="0.25">
      <c r="A77" s="7">
        <v>15</v>
      </c>
      <c r="B77" s="7" t="s">
        <v>66</v>
      </c>
      <c r="C77" s="8" t="s">
        <v>54</v>
      </c>
      <c r="D77" s="7" t="s">
        <v>62</v>
      </c>
      <c r="E77" s="9" t="str">
        <f>'NFL Schedule'!J74</f>
        <v>CAR</v>
      </c>
      <c r="F77" s="10" t="s">
        <v>62</v>
      </c>
      <c r="G77" s="10" t="s">
        <v>66</v>
      </c>
      <c r="H77" s="10" t="s">
        <v>62</v>
      </c>
      <c r="I77" s="10" t="s">
        <v>66</v>
      </c>
      <c r="J77" s="10" t="s">
        <v>66</v>
      </c>
      <c r="K77" s="10" t="s">
        <v>62</v>
      </c>
      <c r="L77" s="10" t="s">
        <v>66</v>
      </c>
      <c r="M77" s="10" t="s">
        <v>66</v>
      </c>
      <c r="N77" s="10" t="s">
        <v>66</v>
      </c>
      <c r="O77" s="10" t="s">
        <v>66</v>
      </c>
      <c r="P77" s="10" t="s">
        <v>66</v>
      </c>
      <c r="Q77" s="10" t="s">
        <v>62</v>
      </c>
    </row>
    <row r="78" spans="1:17" ht="15" customHeight="1" x14ac:dyDescent="0.25">
      <c r="A78" s="7">
        <v>16</v>
      </c>
      <c r="B78" s="7" t="s">
        <v>73</v>
      </c>
      <c r="C78" s="8" t="s">
        <v>54</v>
      </c>
      <c r="D78" s="7" t="s">
        <v>65</v>
      </c>
      <c r="E78" s="9" t="str">
        <f>'NFL Schedule'!J75</f>
        <v>ATL</v>
      </c>
      <c r="F78" s="10" t="s">
        <v>73</v>
      </c>
      <c r="G78" s="10" t="s">
        <v>73</v>
      </c>
      <c r="H78" s="10" t="s">
        <v>73</v>
      </c>
      <c r="I78" s="10" t="s">
        <v>73</v>
      </c>
      <c r="J78" s="10" t="s">
        <v>73</v>
      </c>
      <c r="K78" s="10" t="s">
        <v>73</v>
      </c>
      <c r="L78" s="10" t="s">
        <v>65</v>
      </c>
      <c r="M78" s="10" t="s">
        <v>73</v>
      </c>
      <c r="N78" s="10" t="s">
        <v>73</v>
      </c>
      <c r="O78" s="10" t="s">
        <v>65</v>
      </c>
      <c r="P78" s="10" t="s">
        <v>65</v>
      </c>
      <c r="Q78" s="10" t="s">
        <v>65</v>
      </c>
    </row>
    <row r="79" spans="1:17" x14ac:dyDescent="0.25">
      <c r="A79" s="11" t="s">
        <v>63</v>
      </c>
      <c r="B79" s="12" t="s">
        <v>89</v>
      </c>
      <c r="E79" s="13">
        <f>'NFL Schedule'!E76</f>
        <v>69</v>
      </c>
      <c r="F79" s="14">
        <v>45</v>
      </c>
      <c r="G79" s="14">
        <v>45</v>
      </c>
      <c r="H79" s="14">
        <v>51</v>
      </c>
      <c r="I79" s="14">
        <v>40</v>
      </c>
      <c r="J79" s="14">
        <v>32</v>
      </c>
      <c r="K79" s="14">
        <v>42</v>
      </c>
      <c r="L79" s="14">
        <v>42</v>
      </c>
      <c r="M79" s="14">
        <v>45</v>
      </c>
      <c r="N79" s="14">
        <v>49</v>
      </c>
      <c r="O79" s="14">
        <v>42</v>
      </c>
      <c r="P79" s="14">
        <v>41</v>
      </c>
      <c r="Q79" s="14">
        <v>44</v>
      </c>
    </row>
    <row r="80" spans="1:17" ht="15" customHeight="1" x14ac:dyDescent="0.25">
      <c r="A80" s="25" t="s">
        <v>93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</row>
    <row r="81" spans="1:17" ht="15" customHeight="1" x14ac:dyDescent="0.25">
      <c r="A81" s="6" t="s">
        <v>27</v>
      </c>
      <c r="B81" s="6" t="s">
        <v>53</v>
      </c>
      <c r="C81" s="6" t="s">
        <v>54</v>
      </c>
      <c r="D81" s="6" t="s">
        <v>55</v>
      </c>
      <c r="E81" s="6" t="s">
        <v>56</v>
      </c>
      <c r="F81" s="6" t="s">
        <v>5</v>
      </c>
      <c r="G81" s="6" t="s">
        <v>8</v>
      </c>
      <c r="H81" s="6" t="s">
        <v>9</v>
      </c>
      <c r="I81" s="6" t="s">
        <v>10</v>
      </c>
      <c r="J81" s="6" t="s">
        <v>11</v>
      </c>
      <c r="K81" s="6" t="s">
        <v>14</v>
      </c>
      <c r="L81" s="6" t="s">
        <v>15</v>
      </c>
      <c r="M81" s="6" t="s">
        <v>16</v>
      </c>
      <c r="N81" s="6" t="s">
        <v>17</v>
      </c>
      <c r="O81" s="6" t="s">
        <v>20</v>
      </c>
      <c r="P81" s="6" t="s">
        <v>21</v>
      </c>
      <c r="Q81" s="6" t="s">
        <v>22</v>
      </c>
    </row>
    <row r="82" spans="1:17" ht="15" customHeight="1" x14ac:dyDescent="0.25">
      <c r="A82" s="7">
        <v>1</v>
      </c>
      <c r="B82" s="7" t="s">
        <v>63</v>
      </c>
      <c r="C82" s="8" t="s">
        <v>54</v>
      </c>
      <c r="D82" s="7" t="s">
        <v>85</v>
      </c>
      <c r="E82" s="9" t="str">
        <f>'NFL Schedule'!J79</f>
        <v>TB</v>
      </c>
      <c r="F82" s="10" t="s">
        <v>63</v>
      </c>
      <c r="G82" s="10" t="s">
        <v>85</v>
      </c>
      <c r="H82" s="10" t="s">
        <v>85</v>
      </c>
      <c r="I82" s="10"/>
      <c r="J82" s="10"/>
      <c r="K82" s="10" t="s">
        <v>85</v>
      </c>
      <c r="L82" s="10" t="s">
        <v>85</v>
      </c>
      <c r="M82" s="10" t="s">
        <v>85</v>
      </c>
      <c r="N82" s="10" t="s">
        <v>63</v>
      </c>
      <c r="O82" s="10"/>
      <c r="P82" s="10"/>
      <c r="Q82" s="10" t="s">
        <v>85</v>
      </c>
    </row>
    <row r="83" spans="1:17" ht="15" customHeight="1" x14ac:dyDescent="0.25">
      <c r="A83" s="7">
        <v>2</v>
      </c>
      <c r="B83" s="7" t="s">
        <v>84</v>
      </c>
      <c r="C83" s="8" t="s">
        <v>54</v>
      </c>
      <c r="D83" s="7" t="s">
        <v>72</v>
      </c>
      <c r="E83" s="9" t="str">
        <f>'NFL Schedule'!J80</f>
        <v>PHI</v>
      </c>
      <c r="F83" s="10" t="s">
        <v>72</v>
      </c>
      <c r="G83" s="10" t="s">
        <v>84</v>
      </c>
      <c r="H83" s="10" t="s">
        <v>72</v>
      </c>
      <c r="I83" s="10"/>
      <c r="J83" s="10" t="s">
        <v>72</v>
      </c>
      <c r="K83" s="10" t="s">
        <v>84</v>
      </c>
      <c r="L83" s="10" t="s">
        <v>72</v>
      </c>
      <c r="M83" s="10" t="s">
        <v>72</v>
      </c>
      <c r="N83" s="10" t="s">
        <v>72</v>
      </c>
      <c r="O83" s="10" t="s">
        <v>72</v>
      </c>
      <c r="P83" s="10" t="s">
        <v>72</v>
      </c>
      <c r="Q83" s="10" t="s">
        <v>72</v>
      </c>
    </row>
    <row r="84" spans="1:17" ht="15" customHeight="1" x14ac:dyDescent="0.25">
      <c r="A84" s="7">
        <v>3</v>
      </c>
      <c r="B84" s="7" t="s">
        <v>68</v>
      </c>
      <c r="C84" s="8" t="s">
        <v>54</v>
      </c>
      <c r="D84" s="7" t="s">
        <v>76</v>
      </c>
      <c r="E84" s="9" t="str">
        <f>'NFL Schedule'!J81</f>
        <v>HOU</v>
      </c>
      <c r="F84" s="10" t="s">
        <v>68</v>
      </c>
      <c r="G84" s="10" t="s">
        <v>68</v>
      </c>
      <c r="H84" s="10" t="s">
        <v>76</v>
      </c>
      <c r="I84" s="10"/>
      <c r="J84" s="10" t="s">
        <v>68</v>
      </c>
      <c r="K84" s="10" t="s">
        <v>68</v>
      </c>
      <c r="L84" s="10" t="s">
        <v>76</v>
      </c>
      <c r="M84" s="10" t="s">
        <v>68</v>
      </c>
      <c r="N84" s="10" t="s">
        <v>76</v>
      </c>
      <c r="O84" s="10" t="s">
        <v>68</v>
      </c>
      <c r="P84" s="10" t="s">
        <v>68</v>
      </c>
      <c r="Q84" s="10"/>
    </row>
    <row r="85" spans="1:17" ht="15" customHeight="1" x14ac:dyDescent="0.25">
      <c r="A85" s="7">
        <v>4</v>
      </c>
      <c r="B85" s="7" t="s">
        <v>64</v>
      </c>
      <c r="C85" s="8" t="s">
        <v>54</v>
      </c>
      <c r="D85" s="7" t="s">
        <v>79</v>
      </c>
      <c r="E85" s="9" t="str">
        <f>'NFL Schedule'!J82</f>
        <v>MIA</v>
      </c>
      <c r="F85" s="10" t="s">
        <v>64</v>
      </c>
      <c r="G85" s="10" t="s">
        <v>64</v>
      </c>
      <c r="H85" s="10" t="s">
        <v>64</v>
      </c>
      <c r="I85" s="10"/>
      <c r="J85" s="10" t="s">
        <v>64</v>
      </c>
      <c r="K85" s="10" t="s">
        <v>64</v>
      </c>
      <c r="L85" s="10" t="s">
        <v>64</v>
      </c>
      <c r="M85" s="10" t="s">
        <v>64</v>
      </c>
      <c r="N85" s="10" t="s">
        <v>79</v>
      </c>
      <c r="O85" s="10" t="s">
        <v>64</v>
      </c>
      <c r="P85" s="10" t="s">
        <v>64</v>
      </c>
      <c r="Q85" s="10" t="s">
        <v>64</v>
      </c>
    </row>
    <row r="86" spans="1:17" ht="15" customHeight="1" x14ac:dyDescent="0.25">
      <c r="A86" s="7">
        <v>5</v>
      </c>
      <c r="B86" s="7" t="s">
        <v>80</v>
      </c>
      <c r="C86" s="8" t="s">
        <v>54</v>
      </c>
      <c r="D86" s="7" t="s">
        <v>57</v>
      </c>
      <c r="E86" s="9" t="str">
        <f>'NFL Schedule'!J83</f>
        <v>NE</v>
      </c>
      <c r="F86" s="10" t="s">
        <v>57</v>
      </c>
      <c r="G86" s="10" t="s">
        <v>80</v>
      </c>
      <c r="H86" s="10" t="s">
        <v>57</v>
      </c>
      <c r="I86" s="10"/>
      <c r="J86" s="10" t="s">
        <v>80</v>
      </c>
      <c r="K86" s="10" t="s">
        <v>80</v>
      </c>
      <c r="L86" s="10" t="s">
        <v>57</v>
      </c>
      <c r="M86" s="10" t="s">
        <v>57</v>
      </c>
      <c r="N86" s="10" t="s">
        <v>80</v>
      </c>
      <c r="O86" s="10" t="s">
        <v>57</v>
      </c>
      <c r="P86" s="10" t="s">
        <v>80</v>
      </c>
      <c r="Q86" s="10" t="s">
        <v>57</v>
      </c>
    </row>
    <row r="87" spans="1:17" ht="15" customHeight="1" x14ac:dyDescent="0.25">
      <c r="A87" s="7">
        <v>6</v>
      </c>
      <c r="B87" s="7" t="s">
        <v>82</v>
      </c>
      <c r="C87" s="8" t="s">
        <v>54</v>
      </c>
      <c r="D87" s="7" t="s">
        <v>65</v>
      </c>
      <c r="E87" s="9" t="str">
        <f>'NFL Schedule'!J84</f>
        <v>MIN</v>
      </c>
      <c r="F87" s="10" t="s">
        <v>82</v>
      </c>
      <c r="G87" s="10" t="s">
        <v>82</v>
      </c>
      <c r="H87" s="10" t="s">
        <v>65</v>
      </c>
      <c r="I87" s="10"/>
      <c r="J87" s="10" t="s">
        <v>82</v>
      </c>
      <c r="K87" s="10" t="s">
        <v>82</v>
      </c>
      <c r="L87" s="10" t="s">
        <v>82</v>
      </c>
      <c r="M87" s="10" t="s">
        <v>82</v>
      </c>
      <c r="N87" s="10" t="s">
        <v>65</v>
      </c>
      <c r="O87" s="10" t="s">
        <v>82</v>
      </c>
      <c r="P87" s="10" t="s">
        <v>65</v>
      </c>
      <c r="Q87" s="10" t="s">
        <v>65</v>
      </c>
    </row>
    <row r="88" spans="1:17" ht="15" customHeight="1" x14ac:dyDescent="0.25">
      <c r="A88" s="7">
        <v>7</v>
      </c>
      <c r="B88" s="7" t="s">
        <v>71</v>
      </c>
      <c r="C88" s="8" t="s">
        <v>54</v>
      </c>
      <c r="D88" s="7" t="s">
        <v>75</v>
      </c>
      <c r="E88" s="9" t="str">
        <f>'NFL Schedule'!J85</f>
        <v>NYJ</v>
      </c>
      <c r="F88" s="10" t="s">
        <v>71</v>
      </c>
      <c r="G88" s="10" t="s">
        <v>71</v>
      </c>
      <c r="H88" s="10" t="s">
        <v>71</v>
      </c>
      <c r="I88" s="10"/>
      <c r="J88" s="10" t="s">
        <v>71</v>
      </c>
      <c r="K88" s="10" t="s">
        <v>71</v>
      </c>
      <c r="L88" s="10" t="s">
        <v>71</v>
      </c>
      <c r="M88" s="10" t="s">
        <v>71</v>
      </c>
      <c r="N88" s="10" t="s">
        <v>71</v>
      </c>
      <c r="O88" s="10" t="s">
        <v>71</v>
      </c>
      <c r="P88" s="10" t="s">
        <v>71</v>
      </c>
      <c r="Q88" s="10" t="s">
        <v>71</v>
      </c>
    </row>
    <row r="89" spans="1:17" ht="15" customHeight="1" x14ac:dyDescent="0.25">
      <c r="A89" s="7">
        <v>8</v>
      </c>
      <c r="B89" s="7" t="s">
        <v>70</v>
      </c>
      <c r="C89" s="8" t="s">
        <v>54</v>
      </c>
      <c r="D89" s="7" t="s">
        <v>74</v>
      </c>
      <c r="E89" s="9" t="str">
        <f>'NFL Schedule'!J86</f>
        <v>PIT</v>
      </c>
      <c r="F89" s="10" t="s">
        <v>70</v>
      </c>
      <c r="G89" s="10" t="s">
        <v>70</v>
      </c>
      <c r="H89" s="10" t="s">
        <v>70</v>
      </c>
      <c r="I89" s="10"/>
      <c r="J89" s="10" t="s">
        <v>74</v>
      </c>
      <c r="K89" s="10" t="s">
        <v>74</v>
      </c>
      <c r="L89" s="10" t="s">
        <v>70</v>
      </c>
      <c r="M89" s="10" t="s">
        <v>70</v>
      </c>
      <c r="N89" s="10" t="s">
        <v>70</v>
      </c>
      <c r="O89" s="10" t="s">
        <v>70</v>
      </c>
      <c r="P89" s="10" t="s">
        <v>70</v>
      </c>
      <c r="Q89" s="10" t="s">
        <v>74</v>
      </c>
    </row>
    <row r="90" spans="1:17" ht="15" customHeight="1" x14ac:dyDescent="0.25">
      <c r="A90" s="7">
        <v>9</v>
      </c>
      <c r="B90" s="7" t="s">
        <v>86</v>
      </c>
      <c r="C90" s="8" t="s">
        <v>54</v>
      </c>
      <c r="D90" s="7" t="s">
        <v>83</v>
      </c>
      <c r="E90" s="9" t="str">
        <f>'NFL Schedule'!J87</f>
        <v>NYG</v>
      </c>
      <c r="F90" s="10" t="s">
        <v>86</v>
      </c>
      <c r="G90" s="10" t="s">
        <v>86</v>
      </c>
      <c r="H90" s="10" t="s">
        <v>86</v>
      </c>
      <c r="I90" s="10"/>
      <c r="J90" s="10" t="s">
        <v>86</v>
      </c>
      <c r="K90" s="10" t="s">
        <v>86</v>
      </c>
      <c r="L90" s="10" t="s">
        <v>86</v>
      </c>
      <c r="M90" s="10" t="s">
        <v>83</v>
      </c>
      <c r="N90" s="10" t="s">
        <v>86</v>
      </c>
      <c r="O90" s="10" t="s">
        <v>83</v>
      </c>
      <c r="P90" s="10" t="s">
        <v>86</v>
      </c>
      <c r="Q90" s="10" t="s">
        <v>83</v>
      </c>
    </row>
    <row r="91" spans="1:17" ht="15" customHeight="1" x14ac:dyDescent="0.25">
      <c r="A91" s="7">
        <v>10</v>
      </c>
      <c r="B91" s="7" t="s">
        <v>87</v>
      </c>
      <c r="C91" s="8" t="s">
        <v>54</v>
      </c>
      <c r="D91" s="7" t="s">
        <v>78</v>
      </c>
      <c r="E91" s="9" t="str">
        <f>'NFL Schedule'!J88</f>
        <v>DEN</v>
      </c>
      <c r="F91" s="10" t="s">
        <v>87</v>
      </c>
      <c r="G91" s="10" t="s">
        <v>87</v>
      </c>
      <c r="H91" s="10" t="s">
        <v>87</v>
      </c>
      <c r="I91" s="10"/>
      <c r="J91" s="10" t="s">
        <v>87</v>
      </c>
      <c r="K91" s="10" t="s">
        <v>87</v>
      </c>
      <c r="L91" s="10" t="s">
        <v>87</v>
      </c>
      <c r="M91" s="10" t="s">
        <v>87</v>
      </c>
      <c r="N91" s="10" t="s">
        <v>78</v>
      </c>
      <c r="O91" s="10" t="s">
        <v>87</v>
      </c>
      <c r="P91" s="10" t="s">
        <v>87</v>
      </c>
      <c r="Q91" s="10" t="s">
        <v>87</v>
      </c>
    </row>
    <row r="92" spans="1:17" ht="15" customHeight="1" x14ac:dyDescent="0.25">
      <c r="A92" s="7">
        <v>11</v>
      </c>
      <c r="B92" s="7" t="s">
        <v>61</v>
      </c>
      <c r="C92" s="8" t="s">
        <v>54</v>
      </c>
      <c r="D92" s="7" t="s">
        <v>81</v>
      </c>
      <c r="E92" s="9" t="str">
        <f>'NFL Schedule'!J89</f>
        <v>GB</v>
      </c>
      <c r="F92" s="10" t="s">
        <v>61</v>
      </c>
      <c r="G92" s="10" t="s">
        <v>61</v>
      </c>
      <c r="H92" s="10" t="s">
        <v>61</v>
      </c>
      <c r="I92" s="10"/>
      <c r="J92" s="10" t="s">
        <v>81</v>
      </c>
      <c r="K92" s="10" t="s">
        <v>61</v>
      </c>
      <c r="L92" s="10" t="s">
        <v>61</v>
      </c>
      <c r="M92" s="10" t="s">
        <v>61</v>
      </c>
      <c r="N92" s="10" t="s">
        <v>81</v>
      </c>
      <c r="O92" s="10" t="s">
        <v>61</v>
      </c>
      <c r="P92" s="10" t="s">
        <v>61</v>
      </c>
      <c r="Q92" s="10" t="s">
        <v>61</v>
      </c>
    </row>
    <row r="93" spans="1:17" ht="15" customHeight="1" x14ac:dyDescent="0.25">
      <c r="A93" s="7">
        <v>12</v>
      </c>
      <c r="B93" s="7" t="s">
        <v>66</v>
      </c>
      <c r="C93" s="8" t="s">
        <v>54</v>
      </c>
      <c r="D93" s="7" t="s">
        <v>77</v>
      </c>
      <c r="E93" s="9" t="str">
        <f>'NFL Schedule'!J90</f>
        <v>DET</v>
      </c>
      <c r="F93" s="10" t="s">
        <v>77</v>
      </c>
      <c r="G93" s="10" t="s">
        <v>66</v>
      </c>
      <c r="H93" s="10" t="s">
        <v>66</v>
      </c>
      <c r="I93" s="10"/>
      <c r="J93" s="10" t="s">
        <v>77</v>
      </c>
      <c r="K93" s="10" t="s">
        <v>66</v>
      </c>
      <c r="L93" s="10" t="s">
        <v>66</v>
      </c>
      <c r="M93" s="10" t="s">
        <v>66</v>
      </c>
      <c r="N93" s="10" t="s">
        <v>77</v>
      </c>
      <c r="O93" s="10" t="s">
        <v>66</v>
      </c>
      <c r="P93" s="10" t="s">
        <v>77</v>
      </c>
      <c r="Q93" s="10" t="s">
        <v>77</v>
      </c>
    </row>
    <row r="94" spans="1:17" ht="15" customHeight="1" x14ac:dyDescent="0.25">
      <c r="A94" s="7">
        <v>13</v>
      </c>
      <c r="B94" s="7" t="s">
        <v>59</v>
      </c>
      <c r="C94" s="8" t="s">
        <v>54</v>
      </c>
      <c r="D94" s="7" t="s">
        <v>58</v>
      </c>
      <c r="E94" s="9" t="str">
        <f>'NFL Schedule'!J91</f>
        <v>SF</v>
      </c>
      <c r="F94" s="10" t="s">
        <v>59</v>
      </c>
      <c r="G94" s="10" t="s">
        <v>59</v>
      </c>
      <c r="H94" s="10" t="s">
        <v>58</v>
      </c>
      <c r="I94" s="10"/>
      <c r="J94" s="10" t="s">
        <v>59</v>
      </c>
      <c r="K94" s="10" t="s">
        <v>59</v>
      </c>
      <c r="L94" s="10" t="s">
        <v>59</v>
      </c>
      <c r="M94" s="10" t="s">
        <v>59</v>
      </c>
      <c r="N94" s="10" t="s">
        <v>59</v>
      </c>
      <c r="O94" s="10" t="s">
        <v>59</v>
      </c>
      <c r="P94" s="10" t="s">
        <v>58</v>
      </c>
      <c r="Q94" s="10" t="s">
        <v>58</v>
      </c>
    </row>
    <row r="95" spans="1:17" ht="15" customHeight="1" x14ac:dyDescent="0.25">
      <c r="A95" s="7">
        <v>14</v>
      </c>
      <c r="B95" s="7" t="s">
        <v>69</v>
      </c>
      <c r="C95" s="8" t="s">
        <v>54</v>
      </c>
      <c r="D95" s="7" t="s">
        <v>73</v>
      </c>
      <c r="E95" s="9" t="str">
        <f>'NFL Schedule'!J92</f>
        <v>BAL</v>
      </c>
      <c r="F95" s="10" t="s">
        <v>69</v>
      </c>
      <c r="G95" s="10" t="s">
        <v>69</v>
      </c>
      <c r="H95" s="10" t="s">
        <v>73</v>
      </c>
      <c r="I95" s="10"/>
      <c r="J95" s="10" t="s">
        <v>69</v>
      </c>
      <c r="K95" s="10" t="s">
        <v>69</v>
      </c>
      <c r="L95" s="10" t="s">
        <v>73</v>
      </c>
      <c r="M95" s="10" t="s">
        <v>73</v>
      </c>
      <c r="N95" s="10" t="s">
        <v>73</v>
      </c>
      <c r="O95" s="10" t="s">
        <v>69</v>
      </c>
      <c r="P95" s="10" t="s">
        <v>69</v>
      </c>
      <c r="Q95" s="10" t="s">
        <v>73</v>
      </c>
    </row>
    <row r="96" spans="1:17" ht="15" customHeight="1" x14ac:dyDescent="0.25">
      <c r="A96" s="7">
        <v>15</v>
      </c>
      <c r="B96" s="7" t="s">
        <v>67</v>
      </c>
      <c r="C96" s="8" t="s">
        <v>54</v>
      </c>
      <c r="D96" s="7" t="s">
        <v>60</v>
      </c>
      <c r="E96" s="9" t="str">
        <f>'NFL Schedule'!J93</f>
        <v>BUF</v>
      </c>
      <c r="F96" s="10" t="s">
        <v>67</v>
      </c>
      <c r="G96" s="10" t="s">
        <v>67</v>
      </c>
      <c r="H96" s="10" t="s">
        <v>67</v>
      </c>
      <c r="I96" s="10"/>
      <c r="J96" s="10" t="s">
        <v>67</v>
      </c>
      <c r="K96" s="10" t="s">
        <v>67</v>
      </c>
      <c r="L96" s="10" t="s">
        <v>67</v>
      </c>
      <c r="M96" s="10" t="s">
        <v>67</v>
      </c>
      <c r="N96" s="10" t="s">
        <v>67</v>
      </c>
      <c r="O96" s="10" t="s">
        <v>60</v>
      </c>
      <c r="P96" s="10" t="s">
        <v>67</v>
      </c>
      <c r="Q96" s="10" t="s">
        <v>67</v>
      </c>
    </row>
    <row r="97" spans="1:17" x14ac:dyDescent="0.25">
      <c r="A97" s="11" t="s">
        <v>63</v>
      </c>
      <c r="B97" s="12" t="s">
        <v>89</v>
      </c>
      <c r="E97" s="13">
        <f>'NFL Schedule'!E94</f>
        <v>71</v>
      </c>
      <c r="F97" s="14">
        <v>51</v>
      </c>
      <c r="G97" s="14">
        <v>52</v>
      </c>
      <c r="H97" s="14">
        <v>43</v>
      </c>
      <c r="I97" s="14"/>
      <c r="J97" s="14">
        <v>45</v>
      </c>
      <c r="K97" s="14">
        <v>42</v>
      </c>
      <c r="L97" s="14">
        <v>52</v>
      </c>
      <c r="M97" s="14">
        <v>45</v>
      </c>
      <c r="N97" s="14">
        <v>55</v>
      </c>
      <c r="O97" s="14">
        <v>50</v>
      </c>
      <c r="P97" s="14">
        <v>52</v>
      </c>
      <c r="Q97" s="14">
        <v>51</v>
      </c>
    </row>
    <row r="98" spans="1:17" ht="15" customHeight="1" x14ac:dyDescent="0.25">
      <c r="A98" s="25" t="s">
        <v>94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 spans="1:17" ht="15" customHeight="1" x14ac:dyDescent="0.25">
      <c r="A99" s="6" t="s">
        <v>27</v>
      </c>
      <c r="B99" s="6" t="s">
        <v>53</v>
      </c>
      <c r="C99" s="6" t="s">
        <v>54</v>
      </c>
      <c r="D99" s="6" t="s">
        <v>55</v>
      </c>
      <c r="E99" s="6" t="s">
        <v>56</v>
      </c>
      <c r="F99" s="6" t="s">
        <v>5</v>
      </c>
      <c r="G99" s="6" t="s">
        <v>8</v>
      </c>
      <c r="H99" s="6" t="s">
        <v>9</v>
      </c>
      <c r="I99" s="6" t="s">
        <v>10</v>
      </c>
      <c r="J99" s="6" t="s">
        <v>11</v>
      </c>
      <c r="K99" s="6" t="s">
        <v>14</v>
      </c>
      <c r="L99" s="6" t="s">
        <v>15</v>
      </c>
      <c r="M99" s="6" t="s">
        <v>16</v>
      </c>
      <c r="N99" s="6" t="s">
        <v>17</v>
      </c>
      <c r="O99" s="6" t="s">
        <v>20</v>
      </c>
      <c r="P99" s="6" t="s">
        <v>21</v>
      </c>
      <c r="Q99" s="6" t="s">
        <v>22</v>
      </c>
    </row>
    <row r="100" spans="1:17" ht="15" customHeight="1" x14ac:dyDescent="0.25">
      <c r="A100" s="7">
        <v>1</v>
      </c>
      <c r="B100" s="7" t="s">
        <v>58</v>
      </c>
      <c r="C100" s="8" t="s">
        <v>54</v>
      </c>
      <c r="D100" s="7" t="s">
        <v>87</v>
      </c>
      <c r="E100" s="9" t="str">
        <f>'NFL Schedule'!J97</f>
        <v>DEN</v>
      </c>
      <c r="F100" s="10" t="s">
        <v>87</v>
      </c>
      <c r="G100" s="10" t="s">
        <v>58</v>
      </c>
      <c r="H100" s="10" t="s">
        <v>58</v>
      </c>
      <c r="I100" s="10"/>
      <c r="J100" s="10"/>
      <c r="K100" s="10" t="s">
        <v>58</v>
      </c>
      <c r="L100" s="10" t="s">
        <v>58</v>
      </c>
      <c r="M100" s="10" t="s">
        <v>87</v>
      </c>
      <c r="N100" s="10" t="s">
        <v>58</v>
      </c>
      <c r="O100" s="10" t="s">
        <v>58</v>
      </c>
      <c r="P100" s="10"/>
      <c r="Q100" s="10"/>
    </row>
    <row r="101" spans="1:17" ht="15" customHeight="1" x14ac:dyDescent="0.25">
      <c r="A101" s="7">
        <v>2</v>
      </c>
      <c r="B101" s="7" t="s">
        <v>68</v>
      </c>
      <c r="C101" s="8" t="s">
        <v>54</v>
      </c>
      <c r="D101" s="7" t="s">
        <v>72</v>
      </c>
      <c r="E101" s="9" t="str">
        <f>'NFL Schedule'!J98</f>
        <v>HOU</v>
      </c>
      <c r="F101" s="10" t="s">
        <v>68</v>
      </c>
      <c r="G101" s="10" t="s">
        <v>72</v>
      </c>
      <c r="H101" s="10" t="s">
        <v>72</v>
      </c>
      <c r="I101" s="10"/>
      <c r="J101" s="10" t="s">
        <v>72</v>
      </c>
      <c r="K101" s="10" t="s">
        <v>72</v>
      </c>
      <c r="L101" s="10" t="s">
        <v>72</v>
      </c>
      <c r="M101" s="10" t="s">
        <v>72</v>
      </c>
      <c r="N101" s="10" t="s">
        <v>68</v>
      </c>
      <c r="O101" s="10" t="s">
        <v>72</v>
      </c>
      <c r="P101" s="10" t="s">
        <v>68</v>
      </c>
      <c r="Q101" s="10" t="s">
        <v>72</v>
      </c>
    </row>
    <row r="102" spans="1:17" ht="15" customHeight="1" x14ac:dyDescent="0.25">
      <c r="A102" s="7">
        <v>3</v>
      </c>
      <c r="B102" s="7" t="s">
        <v>61</v>
      </c>
      <c r="C102" s="8" t="s">
        <v>54</v>
      </c>
      <c r="D102" s="7" t="s">
        <v>73</v>
      </c>
      <c r="E102" s="9" t="str">
        <f>'NFL Schedule'!J99</f>
        <v>CHI</v>
      </c>
      <c r="F102" s="10" t="s">
        <v>73</v>
      </c>
      <c r="G102" s="10" t="s">
        <v>61</v>
      </c>
      <c r="H102" s="10" t="s">
        <v>61</v>
      </c>
      <c r="I102" s="10"/>
      <c r="J102" s="10" t="s">
        <v>61</v>
      </c>
      <c r="K102" s="10" t="s">
        <v>61</v>
      </c>
      <c r="L102" s="10" t="s">
        <v>61</v>
      </c>
      <c r="M102" s="10" t="s">
        <v>61</v>
      </c>
      <c r="N102" s="10" t="s">
        <v>73</v>
      </c>
      <c r="O102" s="10" t="s">
        <v>73</v>
      </c>
      <c r="P102" s="10" t="s">
        <v>61</v>
      </c>
      <c r="Q102" s="10" t="s">
        <v>61</v>
      </c>
    </row>
    <row r="103" spans="1:17" ht="15" customHeight="1" x14ac:dyDescent="0.25">
      <c r="A103" s="7">
        <v>4</v>
      </c>
      <c r="B103" s="7" t="s">
        <v>69</v>
      </c>
      <c r="C103" s="8" t="s">
        <v>54</v>
      </c>
      <c r="D103" s="7" t="s">
        <v>71</v>
      </c>
      <c r="E103" s="9" t="str">
        <f>'NFL Schedule'!J100</f>
        <v>CLE</v>
      </c>
      <c r="F103" s="10" t="s">
        <v>69</v>
      </c>
      <c r="G103" s="10" t="s">
        <v>69</v>
      </c>
      <c r="H103" s="10" t="s">
        <v>71</v>
      </c>
      <c r="I103" s="10"/>
      <c r="J103" s="10" t="s">
        <v>71</v>
      </c>
      <c r="K103" s="10" t="s">
        <v>71</v>
      </c>
      <c r="L103" s="10" t="s">
        <v>69</v>
      </c>
      <c r="M103" s="10" t="s">
        <v>69</v>
      </c>
      <c r="N103" s="10" t="s">
        <v>69</v>
      </c>
      <c r="O103" s="10" t="s">
        <v>71</v>
      </c>
      <c r="P103" s="10" t="s">
        <v>71</v>
      </c>
      <c r="Q103" s="10" t="s">
        <v>69</v>
      </c>
    </row>
    <row r="104" spans="1:17" ht="15" customHeight="1" x14ac:dyDescent="0.25">
      <c r="A104" s="7">
        <v>5</v>
      </c>
      <c r="B104" s="7" t="s">
        <v>76</v>
      </c>
      <c r="C104" s="8" t="s">
        <v>54</v>
      </c>
      <c r="D104" s="7" t="s">
        <v>70</v>
      </c>
      <c r="E104" s="9" t="str">
        <f>'NFL Schedule'!J101</f>
        <v>TEN</v>
      </c>
      <c r="F104" s="10" t="s">
        <v>76</v>
      </c>
      <c r="G104" s="10" t="s">
        <v>70</v>
      </c>
      <c r="H104" s="10" t="s">
        <v>76</v>
      </c>
      <c r="I104" s="10"/>
      <c r="J104" s="10" t="s">
        <v>70</v>
      </c>
      <c r="K104" s="10" t="s">
        <v>70</v>
      </c>
      <c r="L104" s="10" t="s">
        <v>70</v>
      </c>
      <c r="M104" s="10" t="s">
        <v>70</v>
      </c>
      <c r="N104" s="10" t="s">
        <v>70</v>
      </c>
      <c r="O104" s="10" t="s">
        <v>70</v>
      </c>
      <c r="P104" s="10" t="s">
        <v>70</v>
      </c>
      <c r="Q104" s="10" t="s">
        <v>70</v>
      </c>
    </row>
    <row r="105" spans="1:17" ht="15" customHeight="1" x14ac:dyDescent="0.25">
      <c r="A105" s="7">
        <v>6</v>
      </c>
      <c r="B105" s="7" t="s">
        <v>75</v>
      </c>
      <c r="C105" s="8" t="s">
        <v>54</v>
      </c>
      <c r="D105" s="7" t="s">
        <v>57</v>
      </c>
      <c r="E105" s="9" t="str">
        <f>'NFL Schedule'!J102</f>
        <v>NYJ</v>
      </c>
      <c r="F105" s="10" t="s">
        <v>57</v>
      </c>
      <c r="G105" s="10" t="s">
        <v>57</v>
      </c>
      <c r="H105" s="10" t="s">
        <v>57</v>
      </c>
      <c r="I105" s="10"/>
      <c r="J105" s="10" t="s">
        <v>75</v>
      </c>
      <c r="K105" s="10" t="s">
        <v>57</v>
      </c>
      <c r="L105" s="10" t="s">
        <v>75</v>
      </c>
      <c r="M105" s="10" t="s">
        <v>57</v>
      </c>
      <c r="N105" s="10" t="s">
        <v>75</v>
      </c>
      <c r="O105" s="10" t="s">
        <v>57</v>
      </c>
      <c r="P105" s="10" t="s">
        <v>57</v>
      </c>
      <c r="Q105" s="10" t="s">
        <v>57</v>
      </c>
    </row>
    <row r="106" spans="1:17" ht="15" customHeight="1" x14ac:dyDescent="0.25">
      <c r="A106" s="7">
        <v>7</v>
      </c>
      <c r="B106" s="7" t="s">
        <v>65</v>
      </c>
      <c r="C106" s="8" t="s">
        <v>54</v>
      </c>
      <c r="D106" s="7" t="s">
        <v>86</v>
      </c>
      <c r="E106" s="9" t="str">
        <f>'NFL Schedule'!J103</f>
        <v>NO</v>
      </c>
      <c r="F106" s="10" t="s">
        <v>86</v>
      </c>
      <c r="G106" s="10" t="s">
        <v>86</v>
      </c>
      <c r="H106" s="10" t="s">
        <v>86</v>
      </c>
      <c r="I106" s="10"/>
      <c r="J106" s="10" t="s">
        <v>86</v>
      </c>
      <c r="K106" s="10" t="s">
        <v>86</v>
      </c>
      <c r="L106" s="10" t="s">
        <v>86</v>
      </c>
      <c r="M106" s="10" t="s">
        <v>86</v>
      </c>
      <c r="N106" s="10" t="s">
        <v>65</v>
      </c>
      <c r="O106" s="10" t="s">
        <v>86</v>
      </c>
      <c r="P106" s="10" t="s">
        <v>86</v>
      </c>
      <c r="Q106" s="10" t="s">
        <v>65</v>
      </c>
    </row>
    <row r="107" spans="1:17" ht="15" customHeight="1" x14ac:dyDescent="0.25">
      <c r="A107" s="7">
        <v>8</v>
      </c>
      <c r="B107" s="7" t="s">
        <v>62</v>
      </c>
      <c r="C107" s="8" t="s">
        <v>54</v>
      </c>
      <c r="D107" s="7" t="s">
        <v>84</v>
      </c>
      <c r="E107" s="9" t="str">
        <f>'NFL Schedule'!J104</f>
        <v>CAR</v>
      </c>
      <c r="F107" s="10" t="s">
        <v>62</v>
      </c>
      <c r="G107" s="10" t="s">
        <v>62</v>
      </c>
      <c r="H107" s="10" t="s">
        <v>62</v>
      </c>
      <c r="I107" s="10"/>
      <c r="J107" s="10" t="s">
        <v>84</v>
      </c>
      <c r="K107" s="10" t="s">
        <v>84</v>
      </c>
      <c r="L107" s="10" t="s">
        <v>62</v>
      </c>
      <c r="M107" s="10" t="s">
        <v>62</v>
      </c>
      <c r="N107" s="10" t="s">
        <v>62</v>
      </c>
      <c r="O107" s="10" t="s">
        <v>62</v>
      </c>
      <c r="P107" s="10" t="s">
        <v>62</v>
      </c>
      <c r="Q107" s="10" t="s">
        <v>62</v>
      </c>
    </row>
    <row r="108" spans="1:17" ht="15" customHeight="1" x14ac:dyDescent="0.25">
      <c r="A108" s="7">
        <v>9</v>
      </c>
      <c r="B108" s="7" t="s">
        <v>74</v>
      </c>
      <c r="C108" s="8" t="s">
        <v>54</v>
      </c>
      <c r="D108" s="7" t="s">
        <v>63</v>
      </c>
      <c r="E108" s="9" t="str">
        <f>'NFL Schedule'!J105</f>
        <v>PIT</v>
      </c>
      <c r="F108" s="10" t="s">
        <v>74</v>
      </c>
      <c r="G108" s="10" t="s">
        <v>74</v>
      </c>
      <c r="H108" s="10" t="s">
        <v>74</v>
      </c>
      <c r="I108" s="10"/>
      <c r="J108" s="10" t="s">
        <v>74</v>
      </c>
      <c r="K108" s="10" t="s">
        <v>63</v>
      </c>
      <c r="L108" s="10" t="s">
        <v>74</v>
      </c>
      <c r="M108" s="10" t="s">
        <v>74</v>
      </c>
      <c r="N108" s="10" t="s">
        <v>63</v>
      </c>
      <c r="O108" s="10" t="s">
        <v>74</v>
      </c>
      <c r="P108" s="10" t="s">
        <v>74</v>
      </c>
      <c r="Q108" s="10" t="s">
        <v>74</v>
      </c>
    </row>
    <row r="109" spans="1:17" ht="15" customHeight="1" x14ac:dyDescent="0.25">
      <c r="A109" s="7">
        <v>10</v>
      </c>
      <c r="B109" s="7" t="s">
        <v>77</v>
      </c>
      <c r="C109" s="8" t="s">
        <v>54</v>
      </c>
      <c r="D109" s="7" t="s">
        <v>60</v>
      </c>
      <c r="E109" s="9" t="str">
        <f>'NFL Schedule'!J106</f>
        <v>ARI</v>
      </c>
      <c r="F109" s="10" t="s">
        <v>60</v>
      </c>
      <c r="G109" s="10" t="s">
        <v>60</v>
      </c>
      <c r="H109" s="10" t="s">
        <v>77</v>
      </c>
      <c r="I109" s="10"/>
      <c r="J109" s="10" t="s">
        <v>77</v>
      </c>
      <c r="K109" s="10" t="s">
        <v>60</v>
      </c>
      <c r="L109" s="10" t="s">
        <v>77</v>
      </c>
      <c r="M109" s="10" t="s">
        <v>60</v>
      </c>
      <c r="N109" s="10" t="s">
        <v>77</v>
      </c>
      <c r="O109" s="10" t="s">
        <v>77</v>
      </c>
      <c r="P109" s="10" t="s">
        <v>60</v>
      </c>
      <c r="Q109" s="10" t="s">
        <v>60</v>
      </c>
    </row>
    <row r="110" spans="1:17" ht="15" customHeight="1" x14ac:dyDescent="0.25">
      <c r="A110" s="7">
        <v>11</v>
      </c>
      <c r="B110" s="7" t="s">
        <v>78</v>
      </c>
      <c r="C110" s="8" t="s">
        <v>54</v>
      </c>
      <c r="D110" s="7" t="s">
        <v>88</v>
      </c>
      <c r="E110" s="9" t="str">
        <f>'NFL Schedule'!J107</f>
        <v>KC</v>
      </c>
      <c r="F110" s="10" t="s">
        <v>78</v>
      </c>
      <c r="G110" s="10" t="s">
        <v>88</v>
      </c>
      <c r="H110" s="10" t="s">
        <v>78</v>
      </c>
      <c r="I110" s="10"/>
      <c r="J110" s="10" t="s">
        <v>88</v>
      </c>
      <c r="K110" s="10" t="s">
        <v>88</v>
      </c>
      <c r="L110" s="10" t="s">
        <v>88</v>
      </c>
      <c r="M110" s="10" t="s">
        <v>88</v>
      </c>
      <c r="N110" s="10" t="s">
        <v>78</v>
      </c>
      <c r="O110" s="10" t="s">
        <v>88</v>
      </c>
      <c r="P110" s="10" t="s">
        <v>88</v>
      </c>
      <c r="Q110" s="10" t="s">
        <v>88</v>
      </c>
    </row>
    <row r="111" spans="1:17" ht="15" customHeight="1" x14ac:dyDescent="0.25">
      <c r="A111" s="7">
        <v>12</v>
      </c>
      <c r="B111" s="7" t="s">
        <v>67</v>
      </c>
      <c r="C111" s="8" t="s">
        <v>54</v>
      </c>
      <c r="D111" s="7" t="s">
        <v>80</v>
      </c>
      <c r="E111" s="9" t="str">
        <f>'NFL Schedule'!J108</f>
        <v>LV</v>
      </c>
      <c r="F111" s="10" t="s">
        <v>67</v>
      </c>
      <c r="G111" s="10" t="s">
        <v>67</v>
      </c>
      <c r="H111" s="10" t="s">
        <v>67</v>
      </c>
      <c r="I111" s="10"/>
      <c r="J111" s="10" t="s">
        <v>67</v>
      </c>
      <c r="K111" s="10" t="s">
        <v>67</v>
      </c>
      <c r="L111" s="10" t="s">
        <v>67</v>
      </c>
      <c r="M111" s="10" t="s">
        <v>80</v>
      </c>
      <c r="N111" s="10" t="s">
        <v>80</v>
      </c>
      <c r="O111" s="10" t="s">
        <v>67</v>
      </c>
      <c r="P111" s="10" t="s">
        <v>67</v>
      </c>
      <c r="Q111" s="10" t="s">
        <v>67</v>
      </c>
    </row>
    <row r="112" spans="1:17" ht="15" customHeight="1" x14ac:dyDescent="0.25">
      <c r="A112" s="7">
        <v>13</v>
      </c>
      <c r="B112" s="7" t="s">
        <v>85</v>
      </c>
      <c r="C112" s="8" t="s">
        <v>54</v>
      </c>
      <c r="D112" s="7" t="s">
        <v>81</v>
      </c>
      <c r="E112" s="9" t="str">
        <f>'NFL Schedule'!J109</f>
        <v>GB</v>
      </c>
      <c r="F112" s="10" t="s">
        <v>85</v>
      </c>
      <c r="G112" s="10" t="s">
        <v>81</v>
      </c>
      <c r="H112" s="10" t="s">
        <v>81</v>
      </c>
      <c r="I112" s="10"/>
      <c r="J112" s="10" t="s">
        <v>81</v>
      </c>
      <c r="K112" s="10" t="s">
        <v>81</v>
      </c>
      <c r="L112" s="10" t="s">
        <v>81</v>
      </c>
      <c r="M112" s="10" t="s">
        <v>81</v>
      </c>
      <c r="N112" s="10" t="s">
        <v>85</v>
      </c>
      <c r="O112" s="10" t="s">
        <v>81</v>
      </c>
      <c r="P112" s="10" t="s">
        <v>85</v>
      </c>
      <c r="Q112" s="10" t="s">
        <v>81</v>
      </c>
    </row>
    <row r="113" spans="1:30" ht="15" customHeight="1" x14ac:dyDescent="0.25">
      <c r="A113" s="7">
        <v>14</v>
      </c>
      <c r="B113" s="7" t="s">
        <v>83</v>
      </c>
      <c r="C113" s="8" t="s">
        <v>54</v>
      </c>
      <c r="D113" s="7" t="s">
        <v>59</v>
      </c>
      <c r="E113" s="9" t="str">
        <f>'NFL Schedule'!J110</f>
        <v>WAS</v>
      </c>
      <c r="F113" s="10" t="s">
        <v>59</v>
      </c>
      <c r="G113" s="10" t="s">
        <v>59</v>
      </c>
      <c r="H113" s="10" t="s">
        <v>59</v>
      </c>
      <c r="I113" s="10"/>
      <c r="J113" s="10" t="s">
        <v>59</v>
      </c>
      <c r="K113" s="10" t="s">
        <v>59</v>
      </c>
      <c r="L113" s="10" t="s">
        <v>59</v>
      </c>
      <c r="M113" s="10" t="s">
        <v>59</v>
      </c>
      <c r="N113" s="10" t="s">
        <v>83</v>
      </c>
      <c r="O113" s="10" t="s">
        <v>59</v>
      </c>
      <c r="P113" s="10" t="s">
        <v>59</v>
      </c>
      <c r="Q113" s="10" t="s">
        <v>59</v>
      </c>
    </row>
    <row r="114" spans="1:30" x14ac:dyDescent="0.25">
      <c r="A114" s="11" t="s">
        <v>63</v>
      </c>
      <c r="B114" s="12" t="s">
        <v>89</v>
      </c>
      <c r="E114" s="13">
        <f>'NFL Schedule'!E111</f>
        <v>40</v>
      </c>
      <c r="F114" s="14">
        <v>46</v>
      </c>
      <c r="G114" s="14">
        <v>52</v>
      </c>
      <c r="H114" s="14">
        <v>49</v>
      </c>
      <c r="I114" s="14"/>
      <c r="J114" s="14">
        <v>50</v>
      </c>
      <c r="K114" s="14">
        <v>42</v>
      </c>
      <c r="L114" s="14">
        <v>42</v>
      </c>
      <c r="M114" s="14">
        <v>47</v>
      </c>
      <c r="N114" s="14">
        <v>50</v>
      </c>
      <c r="O114" s="14">
        <v>45</v>
      </c>
      <c r="P114" s="14">
        <v>43</v>
      </c>
      <c r="Q114" s="14">
        <v>51</v>
      </c>
    </row>
    <row r="115" spans="1:30" ht="15" customHeight="1" x14ac:dyDescent="0.25">
      <c r="A115" s="25" t="s">
        <v>95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S115" s="25" t="s">
        <v>96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5" customHeight="1" x14ac:dyDescent="0.25">
      <c r="A116" s="6" t="s">
        <v>27</v>
      </c>
      <c r="B116" s="6" t="s">
        <v>53</v>
      </c>
      <c r="C116" s="6" t="s">
        <v>54</v>
      </c>
      <c r="D116" s="6" t="s">
        <v>55</v>
      </c>
      <c r="E116" s="6" t="s">
        <v>56</v>
      </c>
      <c r="F116" s="6" t="s">
        <v>5</v>
      </c>
      <c r="G116" s="6" t="s">
        <v>8</v>
      </c>
      <c r="H116" s="6" t="s">
        <v>9</v>
      </c>
      <c r="I116" s="6" t="s">
        <v>10</v>
      </c>
      <c r="J116" s="6" t="s">
        <v>11</v>
      </c>
      <c r="K116" s="6" t="s">
        <v>14</v>
      </c>
      <c r="L116" s="6" t="s">
        <v>15</v>
      </c>
      <c r="M116" s="6" t="s">
        <v>16</v>
      </c>
      <c r="N116" s="6" t="s">
        <v>17</v>
      </c>
      <c r="O116" s="6" t="s">
        <v>20</v>
      </c>
      <c r="P116" s="6" t="s">
        <v>21</v>
      </c>
      <c r="Q116" s="6" t="s">
        <v>22</v>
      </c>
      <c r="S116" s="6" t="s">
        <v>97</v>
      </c>
      <c r="T116" s="6" t="s">
        <v>98</v>
      </c>
      <c r="U116" s="6" t="s">
        <v>99</v>
      </c>
      <c r="V116" s="6" t="s">
        <v>100</v>
      </c>
      <c r="W116" s="6" t="s">
        <v>101</v>
      </c>
      <c r="X116" s="6" t="s">
        <v>102</v>
      </c>
      <c r="Y116" s="6" t="s">
        <v>103</v>
      </c>
      <c r="Z116" s="6" t="s">
        <v>104</v>
      </c>
      <c r="AA116" s="6" t="s">
        <v>105</v>
      </c>
      <c r="AB116" s="6" t="s">
        <v>106</v>
      </c>
      <c r="AC116" s="6" t="s">
        <v>107</v>
      </c>
      <c r="AD116" s="6" t="s">
        <v>108</v>
      </c>
    </row>
    <row r="117" spans="1:30" ht="15" customHeight="1" x14ac:dyDescent="0.25">
      <c r="A117" s="7">
        <v>1</v>
      </c>
      <c r="B117" s="7" t="s">
        <v>57</v>
      </c>
      <c r="C117" s="8" t="s">
        <v>54</v>
      </c>
      <c r="D117" s="7" t="s">
        <v>61</v>
      </c>
      <c r="E117" s="9" t="str">
        <f>'NFL Schedule'!J114</f>
        <v/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15" customHeight="1" x14ac:dyDescent="0.25">
      <c r="A118" s="7">
        <v>2</v>
      </c>
      <c r="B118" s="7" t="s">
        <v>74</v>
      </c>
      <c r="C118" s="8" t="s">
        <v>54</v>
      </c>
      <c r="D118" s="7" t="s">
        <v>65</v>
      </c>
      <c r="E118" s="9" t="str">
        <f>'NFL Schedule'!J115</f>
        <v/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ht="15" customHeight="1" x14ac:dyDescent="0.25">
      <c r="A119" s="7">
        <v>3</v>
      </c>
      <c r="B119" s="7" t="s">
        <v>59</v>
      </c>
      <c r="C119" s="8" t="s">
        <v>54</v>
      </c>
      <c r="D119" s="7" t="s">
        <v>73</v>
      </c>
      <c r="E119" s="9" t="str">
        <f>'NFL Schedule'!J116</f>
        <v/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ht="15" customHeight="1" x14ac:dyDescent="0.25">
      <c r="A120" s="7">
        <v>4</v>
      </c>
      <c r="B120" s="7" t="s">
        <v>71</v>
      </c>
      <c r="C120" s="8" t="s">
        <v>54</v>
      </c>
      <c r="D120" s="7" t="s">
        <v>76</v>
      </c>
      <c r="E120" s="9" t="str">
        <f>'NFL Schedule'!J117</f>
        <v/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 ht="15" customHeight="1" x14ac:dyDescent="0.25">
      <c r="A121" s="7">
        <v>5</v>
      </c>
      <c r="B121" s="7" t="s">
        <v>70</v>
      </c>
      <c r="C121" s="8" t="s">
        <v>54</v>
      </c>
      <c r="D121" s="7" t="s">
        <v>82</v>
      </c>
      <c r="E121" s="9" t="str">
        <f>'NFL Schedule'!J118</f>
        <v/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ht="15" customHeight="1" x14ac:dyDescent="0.25">
      <c r="A122" s="7">
        <v>6</v>
      </c>
      <c r="B122" s="7" t="s">
        <v>79</v>
      </c>
      <c r="C122" s="8" t="s">
        <v>54</v>
      </c>
      <c r="D122" s="7" t="s">
        <v>75</v>
      </c>
      <c r="E122" s="9" t="str">
        <f>'NFL Schedule'!J119</f>
        <v/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 ht="15" customHeight="1" x14ac:dyDescent="0.25">
      <c r="A123" s="7">
        <v>7</v>
      </c>
      <c r="B123" s="7" t="s">
        <v>63</v>
      </c>
      <c r="C123" s="8" t="s">
        <v>54</v>
      </c>
      <c r="D123" s="7" t="s">
        <v>62</v>
      </c>
      <c r="E123" s="9" t="str">
        <f>'NFL Schedule'!J120</f>
        <v/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 ht="15" customHeight="1" x14ac:dyDescent="0.25">
      <c r="A124" s="7">
        <v>8</v>
      </c>
      <c r="B124" s="7" t="s">
        <v>64</v>
      </c>
      <c r="C124" s="8" t="s">
        <v>54</v>
      </c>
      <c r="D124" s="7" t="s">
        <v>69</v>
      </c>
      <c r="E124" s="9" t="str">
        <f>'NFL Schedule'!J121</f>
        <v/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 ht="15" customHeight="1" x14ac:dyDescent="0.25">
      <c r="A125" s="7">
        <v>9</v>
      </c>
      <c r="B125" s="7" t="s">
        <v>86</v>
      </c>
      <c r="C125" s="8" t="s">
        <v>54</v>
      </c>
      <c r="D125" s="7" t="s">
        <v>68</v>
      </c>
      <c r="E125" s="9" t="str">
        <f>'NFL Schedule'!J122</f>
        <v/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 ht="15" customHeight="1" x14ac:dyDescent="0.25">
      <c r="A126" s="7">
        <v>10</v>
      </c>
      <c r="B126" s="7" t="s">
        <v>87</v>
      </c>
      <c r="C126" s="8" t="s">
        <v>54</v>
      </c>
      <c r="D126" s="7" t="s">
        <v>77</v>
      </c>
      <c r="E126" s="9" t="str">
        <f>'NFL Schedule'!J123</f>
        <v/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15" customHeight="1" x14ac:dyDescent="0.25">
      <c r="A127" s="7">
        <v>11</v>
      </c>
      <c r="B127" s="7" t="s">
        <v>81</v>
      </c>
      <c r="C127" s="8" t="s">
        <v>54</v>
      </c>
      <c r="D127" s="7" t="s">
        <v>66</v>
      </c>
      <c r="E127" s="9" t="str">
        <f>'NFL Schedule'!J124</f>
        <v/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ht="15" customHeight="1" x14ac:dyDescent="0.25">
      <c r="A128" s="7">
        <v>12</v>
      </c>
      <c r="B128" s="7" t="s">
        <v>60</v>
      </c>
      <c r="C128" s="8" t="s">
        <v>54</v>
      </c>
      <c r="D128" s="7" t="s">
        <v>80</v>
      </c>
      <c r="E128" s="9" t="str">
        <f>'NFL Schedule'!J125</f>
        <v/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 ht="15" customHeight="1" x14ac:dyDescent="0.25">
      <c r="A129" s="7">
        <v>13</v>
      </c>
      <c r="B129" s="7" t="s">
        <v>88</v>
      </c>
      <c r="C129" s="8" t="s">
        <v>54</v>
      </c>
      <c r="D129" s="7" t="s">
        <v>58</v>
      </c>
      <c r="E129" s="9" t="str">
        <f>'NFL Schedule'!J126</f>
        <v/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ht="15" customHeight="1" x14ac:dyDescent="0.25">
      <c r="A130" s="7">
        <v>14</v>
      </c>
      <c r="B130" s="7" t="s">
        <v>85</v>
      </c>
      <c r="C130" s="8" t="s">
        <v>54</v>
      </c>
      <c r="D130" s="7" t="s">
        <v>84</v>
      </c>
      <c r="E130" s="9" t="str">
        <f>'NFL Schedule'!J127</f>
        <v/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x14ac:dyDescent="0.25">
      <c r="A131" s="11" t="s">
        <v>63</v>
      </c>
      <c r="B131" s="12" t="s">
        <v>89</v>
      </c>
      <c r="E131" s="13" t="str">
        <f>'NFL Schedule'!E128</f>
        <v/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S131" s="11" t="str">
        <f t="shared" ref="S131:AD131" si="0">IF(COUNT(S117:S130)=0,"",IF(AND(COUNT(S117:S130)=8,SUM(S117:S130)=36,MIN(S117:S130)&gt;=1,MAX(S117:S130)&lt;=8,SUMPRODUCT((S117:S130&lt;&gt;"")*(COUNTIF(S117:S130,S117:S130)&gt;1))=0,COUNTA(F117:F130)=8),"✓","FIX"))</f>
        <v/>
      </c>
      <c r="T131" s="11" t="str">
        <f t="shared" si="0"/>
        <v/>
      </c>
      <c r="U131" s="11" t="str">
        <f t="shared" si="0"/>
        <v/>
      </c>
      <c r="V131" s="11" t="str">
        <f t="shared" si="0"/>
        <v/>
      </c>
      <c r="W131" s="11" t="str">
        <f t="shared" si="0"/>
        <v/>
      </c>
      <c r="X131" s="11" t="str">
        <f t="shared" si="0"/>
        <v/>
      </c>
      <c r="Y131" s="11" t="str">
        <f t="shared" si="0"/>
        <v/>
      </c>
      <c r="Z131" s="11" t="str">
        <f t="shared" si="0"/>
        <v/>
      </c>
      <c r="AA131" s="11" t="str">
        <f t="shared" si="0"/>
        <v/>
      </c>
      <c r="AB131" s="11" t="str">
        <f t="shared" si="0"/>
        <v/>
      </c>
      <c r="AC131" s="11" t="str">
        <f t="shared" si="0"/>
        <v/>
      </c>
      <c r="AD131" s="11" t="str">
        <f t="shared" si="0"/>
        <v/>
      </c>
    </row>
    <row r="132" spans="1:30" ht="15" customHeight="1" x14ac:dyDescent="0.25">
      <c r="A132" s="25" t="s">
        <v>109</v>
      </c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S132" s="25" t="s">
        <v>96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5" customHeight="1" x14ac:dyDescent="0.25">
      <c r="A133" s="6" t="s">
        <v>27</v>
      </c>
      <c r="B133" s="6" t="s">
        <v>53</v>
      </c>
      <c r="C133" s="6" t="s">
        <v>54</v>
      </c>
      <c r="D133" s="6" t="s">
        <v>55</v>
      </c>
      <c r="E133" s="6" t="s">
        <v>56</v>
      </c>
      <c r="F133" s="6" t="s">
        <v>5</v>
      </c>
      <c r="G133" s="6" t="s">
        <v>8</v>
      </c>
      <c r="H133" s="6" t="s">
        <v>9</v>
      </c>
      <c r="I133" s="6" t="s">
        <v>10</v>
      </c>
      <c r="J133" s="6" t="s">
        <v>11</v>
      </c>
      <c r="K133" s="6" t="s">
        <v>14</v>
      </c>
      <c r="L133" s="6" t="s">
        <v>15</v>
      </c>
      <c r="M133" s="6" t="s">
        <v>16</v>
      </c>
      <c r="N133" s="6" t="s">
        <v>17</v>
      </c>
      <c r="O133" s="6" t="s">
        <v>20</v>
      </c>
      <c r="P133" s="6" t="s">
        <v>21</v>
      </c>
      <c r="Q133" s="6" t="s">
        <v>22</v>
      </c>
      <c r="S133" s="6" t="s">
        <v>97</v>
      </c>
      <c r="T133" s="6" t="s">
        <v>98</v>
      </c>
      <c r="U133" s="6" t="s">
        <v>99</v>
      </c>
      <c r="V133" s="6" t="s">
        <v>100</v>
      </c>
      <c r="W133" s="6" t="s">
        <v>101</v>
      </c>
      <c r="X133" s="6" t="s">
        <v>102</v>
      </c>
      <c r="Y133" s="6" t="s">
        <v>103</v>
      </c>
      <c r="Z133" s="6" t="s">
        <v>104</v>
      </c>
      <c r="AA133" s="6" t="s">
        <v>105</v>
      </c>
      <c r="AB133" s="6" t="s">
        <v>106</v>
      </c>
      <c r="AC133" s="6" t="s">
        <v>107</v>
      </c>
      <c r="AD133" s="6" t="s">
        <v>108</v>
      </c>
    </row>
    <row r="134" spans="1:30" ht="15" customHeight="1" x14ac:dyDescent="0.25">
      <c r="A134" s="7">
        <v>1</v>
      </c>
      <c r="B134" s="7" t="s">
        <v>62</v>
      </c>
      <c r="C134" s="8" t="s">
        <v>54</v>
      </c>
      <c r="D134" s="7" t="s">
        <v>81</v>
      </c>
      <c r="E134" s="9" t="str">
        <f>'NFL Schedule'!J131</f>
        <v/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ht="15" customHeight="1" x14ac:dyDescent="0.25">
      <c r="A135" s="7">
        <v>2</v>
      </c>
      <c r="B135" s="7" t="s">
        <v>69</v>
      </c>
      <c r="C135" s="8" t="s">
        <v>54</v>
      </c>
      <c r="D135" s="7" t="s">
        <v>67</v>
      </c>
      <c r="E135" s="9" t="str">
        <f>'NFL Schedule'!J132</f>
        <v/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 ht="15" customHeight="1" x14ac:dyDescent="0.25">
      <c r="A136" s="7">
        <v>3</v>
      </c>
      <c r="B136" s="7" t="s">
        <v>76</v>
      </c>
      <c r="C136" s="8" t="s">
        <v>54</v>
      </c>
      <c r="D136" s="7" t="s">
        <v>64</v>
      </c>
      <c r="E136" s="9" t="str">
        <f>'NFL Schedule'!J133</f>
        <v/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15" customHeight="1" x14ac:dyDescent="0.25">
      <c r="A137" s="7">
        <v>4</v>
      </c>
      <c r="B137" s="7" t="s">
        <v>77</v>
      </c>
      <c r="C137" s="8" t="s">
        <v>54</v>
      </c>
      <c r="D137" s="7" t="s">
        <v>85</v>
      </c>
      <c r="E137" s="9" t="str">
        <f>'NFL Schedule'!J134</f>
        <v/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 ht="15" customHeight="1" x14ac:dyDescent="0.25">
      <c r="A138" s="7">
        <v>5</v>
      </c>
      <c r="B138" s="7" t="s">
        <v>82</v>
      </c>
      <c r="C138" s="8" t="s">
        <v>54</v>
      </c>
      <c r="D138" s="7" t="s">
        <v>66</v>
      </c>
      <c r="E138" s="9" t="str">
        <f>'NFL Schedule'!J135</f>
        <v/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ht="15" customHeight="1" x14ac:dyDescent="0.25">
      <c r="A139" s="7">
        <v>6</v>
      </c>
      <c r="B139" s="7" t="s">
        <v>80</v>
      </c>
      <c r="C139" s="8" t="s">
        <v>54</v>
      </c>
      <c r="D139" s="7" t="s">
        <v>75</v>
      </c>
      <c r="E139" s="9" t="str">
        <f>'NFL Schedule'!J136</f>
        <v/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 ht="15" customHeight="1" x14ac:dyDescent="0.25">
      <c r="A140" s="7">
        <v>7</v>
      </c>
      <c r="B140" s="7" t="s">
        <v>71</v>
      </c>
      <c r="C140" s="8" t="s">
        <v>54</v>
      </c>
      <c r="D140" s="7" t="s">
        <v>74</v>
      </c>
      <c r="E140" s="9" t="str">
        <f>'NFL Schedule'!J137</f>
        <v/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15" customHeight="1" x14ac:dyDescent="0.25">
      <c r="A141" s="7">
        <v>8</v>
      </c>
      <c r="B141" s="7" t="s">
        <v>73</v>
      </c>
      <c r="C141" s="8" t="s">
        <v>54</v>
      </c>
      <c r="D141" s="7" t="s">
        <v>63</v>
      </c>
      <c r="E141" s="9" t="str">
        <f>'NFL Schedule'!J138</f>
        <v/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 ht="15" customHeight="1" x14ac:dyDescent="0.25">
      <c r="A142" s="7">
        <v>9</v>
      </c>
      <c r="B142" s="7" t="s">
        <v>70</v>
      </c>
      <c r="C142" s="8" t="s">
        <v>54</v>
      </c>
      <c r="D142" s="7" t="s">
        <v>72</v>
      </c>
      <c r="E142" s="9" t="str">
        <f>'NFL Schedule'!J139</f>
        <v/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 ht="15" customHeight="1" x14ac:dyDescent="0.25">
      <c r="A143" s="7">
        <v>10</v>
      </c>
      <c r="B143" s="7" t="s">
        <v>60</v>
      </c>
      <c r="C143" s="8" t="s">
        <v>54</v>
      </c>
      <c r="D143" s="7" t="s">
        <v>78</v>
      </c>
      <c r="E143" s="9" t="str">
        <f>'NFL Schedule'!J140</f>
        <v/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ht="15" customHeight="1" x14ac:dyDescent="0.25">
      <c r="A144" s="7">
        <v>11</v>
      </c>
      <c r="B144" s="7" t="s">
        <v>88</v>
      </c>
      <c r="C144" s="8" t="s">
        <v>54</v>
      </c>
      <c r="D144" s="7" t="s">
        <v>87</v>
      </c>
      <c r="E144" s="9" t="str">
        <f>'NFL Schedule'!J141</f>
        <v/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 ht="15" customHeight="1" x14ac:dyDescent="0.25">
      <c r="A145" s="7">
        <v>12</v>
      </c>
      <c r="B145" s="7" t="s">
        <v>57</v>
      </c>
      <c r="C145" s="8" t="s">
        <v>54</v>
      </c>
      <c r="D145" s="7" t="s">
        <v>79</v>
      </c>
      <c r="E145" s="9" t="str">
        <f>'NFL Schedule'!J142</f>
        <v/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 ht="15" customHeight="1" x14ac:dyDescent="0.25">
      <c r="A146" s="7">
        <v>13</v>
      </c>
      <c r="B146" s="7" t="s">
        <v>84</v>
      </c>
      <c r="C146" s="8" t="s">
        <v>54</v>
      </c>
      <c r="D146" s="7" t="s">
        <v>83</v>
      </c>
      <c r="E146" s="9" t="str">
        <f>'NFL Schedule'!J143</f>
        <v/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15" customHeight="1" x14ac:dyDescent="0.25">
      <c r="A147" s="7">
        <v>14</v>
      </c>
      <c r="B147" s="7" t="s">
        <v>61</v>
      </c>
      <c r="C147" s="8" t="s">
        <v>54</v>
      </c>
      <c r="D147" s="7" t="s">
        <v>58</v>
      </c>
      <c r="E147" s="9" t="str">
        <f>'NFL Schedule'!J144</f>
        <v/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x14ac:dyDescent="0.25">
      <c r="A148" s="11" t="s">
        <v>63</v>
      </c>
      <c r="B148" s="12" t="s">
        <v>89</v>
      </c>
      <c r="E148" s="13" t="str">
        <f>'NFL Schedule'!E145</f>
        <v/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S148" s="11" t="str">
        <f t="shared" ref="S148:AD148" si="1">IF(COUNT(S134:S147)=0,"",IF(AND(COUNT(S134:S147)=8,SUM(S134:S147)=36,MIN(S134:S147)&gt;=1,MAX(S134:S147)&lt;=8,SUMPRODUCT((S134:S147&lt;&gt;"")*(COUNTIF(S134:S147,S134:S147)&gt;1))=0,COUNTA(F134:F147)=8),"✓","FIX"))</f>
        <v/>
      </c>
      <c r="T148" s="11" t="str">
        <f t="shared" si="1"/>
        <v/>
      </c>
      <c r="U148" s="11" t="str">
        <f t="shared" si="1"/>
        <v/>
      </c>
      <c r="V148" s="11" t="str">
        <f t="shared" si="1"/>
        <v/>
      </c>
      <c r="W148" s="11" t="str">
        <f t="shared" si="1"/>
        <v/>
      </c>
      <c r="X148" s="11" t="str">
        <f t="shared" si="1"/>
        <v/>
      </c>
      <c r="Y148" s="11" t="str">
        <f t="shared" si="1"/>
        <v/>
      </c>
      <c r="Z148" s="11" t="str">
        <f t="shared" si="1"/>
        <v/>
      </c>
      <c r="AA148" s="11" t="str">
        <f t="shared" si="1"/>
        <v/>
      </c>
      <c r="AB148" s="11" t="str">
        <f t="shared" si="1"/>
        <v/>
      </c>
      <c r="AC148" s="11" t="str">
        <f t="shared" si="1"/>
        <v/>
      </c>
      <c r="AD148" s="11" t="str">
        <f t="shared" si="1"/>
        <v/>
      </c>
    </row>
    <row r="149" spans="1:30" ht="15" customHeight="1" x14ac:dyDescent="0.25">
      <c r="A149" s="25" t="s">
        <v>110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S149" s="25" t="s">
        <v>96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5" customHeight="1" x14ac:dyDescent="0.25">
      <c r="A150" s="6" t="s">
        <v>27</v>
      </c>
      <c r="B150" s="6" t="s">
        <v>53</v>
      </c>
      <c r="C150" s="6" t="s">
        <v>54</v>
      </c>
      <c r="D150" s="6" t="s">
        <v>55</v>
      </c>
      <c r="E150" s="6" t="s">
        <v>56</v>
      </c>
      <c r="F150" s="6" t="s">
        <v>5</v>
      </c>
      <c r="G150" s="6" t="s">
        <v>8</v>
      </c>
      <c r="H150" s="6" t="s">
        <v>9</v>
      </c>
      <c r="I150" s="6" t="s">
        <v>10</v>
      </c>
      <c r="J150" s="6" t="s">
        <v>11</v>
      </c>
      <c r="K150" s="6" t="s">
        <v>14</v>
      </c>
      <c r="L150" s="6" t="s">
        <v>15</v>
      </c>
      <c r="M150" s="6" t="s">
        <v>16</v>
      </c>
      <c r="N150" s="6" t="s">
        <v>17</v>
      </c>
      <c r="O150" s="6" t="s">
        <v>20</v>
      </c>
      <c r="P150" s="6" t="s">
        <v>21</v>
      </c>
      <c r="Q150" s="6" t="s">
        <v>22</v>
      </c>
      <c r="S150" s="6" t="s">
        <v>97</v>
      </c>
      <c r="T150" s="6" t="s">
        <v>98</v>
      </c>
      <c r="U150" s="6" t="s">
        <v>99</v>
      </c>
      <c r="V150" s="6" t="s">
        <v>100</v>
      </c>
      <c r="W150" s="6" t="s">
        <v>101</v>
      </c>
      <c r="X150" s="6" t="s">
        <v>102</v>
      </c>
      <c r="Y150" s="6" t="s">
        <v>103</v>
      </c>
      <c r="Z150" s="6" t="s">
        <v>104</v>
      </c>
      <c r="AA150" s="6" t="s">
        <v>105</v>
      </c>
      <c r="AB150" s="6" t="s">
        <v>106</v>
      </c>
      <c r="AC150" s="6" t="s">
        <v>107</v>
      </c>
      <c r="AD150" s="6" t="s">
        <v>108</v>
      </c>
    </row>
    <row r="151" spans="1:30" ht="15" customHeight="1" x14ac:dyDescent="0.25">
      <c r="A151" s="7">
        <v>1</v>
      </c>
      <c r="B151" s="7" t="s">
        <v>72</v>
      </c>
      <c r="C151" s="8" t="s">
        <v>54</v>
      </c>
      <c r="D151" s="7" t="s">
        <v>69</v>
      </c>
      <c r="E151" s="9" t="str">
        <f>'NFL Schedule'!J148</f>
        <v/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 ht="15" customHeight="1" x14ac:dyDescent="0.25">
      <c r="A152" s="7">
        <v>2</v>
      </c>
      <c r="B152" s="7" t="s">
        <v>64</v>
      </c>
      <c r="C152" s="8" t="s">
        <v>54</v>
      </c>
      <c r="D152" s="7" t="s">
        <v>73</v>
      </c>
      <c r="E152" s="9" t="str">
        <f>'NFL Schedule'!J149</f>
        <v/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 ht="15" customHeight="1" x14ac:dyDescent="0.25">
      <c r="A153" s="7">
        <v>3</v>
      </c>
      <c r="B153" s="7" t="s">
        <v>85</v>
      </c>
      <c r="C153" s="8" t="s">
        <v>54</v>
      </c>
      <c r="D153" s="7" t="s">
        <v>70</v>
      </c>
      <c r="E153" s="9" t="str">
        <f>'NFL Schedule'!J150</f>
        <v/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 ht="15" customHeight="1" x14ac:dyDescent="0.25">
      <c r="A154" s="7">
        <v>4</v>
      </c>
      <c r="B154" s="7" t="s">
        <v>75</v>
      </c>
      <c r="C154" s="8" t="s">
        <v>54</v>
      </c>
      <c r="D154" s="7" t="s">
        <v>88</v>
      </c>
      <c r="E154" s="9" t="str">
        <f>'NFL Schedule'!J151</f>
        <v/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15" customHeight="1" x14ac:dyDescent="0.25">
      <c r="A155" s="7">
        <v>5</v>
      </c>
      <c r="B155" s="7" t="s">
        <v>66</v>
      </c>
      <c r="C155" s="8" t="s">
        <v>54</v>
      </c>
      <c r="D155" s="7" t="s">
        <v>79</v>
      </c>
      <c r="E155" s="9" t="str">
        <f>'NFL Schedule'!J152</f>
        <v/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 ht="15" customHeight="1" x14ac:dyDescent="0.25">
      <c r="A156" s="7">
        <v>6</v>
      </c>
      <c r="B156" s="7" t="s">
        <v>71</v>
      </c>
      <c r="C156" s="8" t="s">
        <v>54</v>
      </c>
      <c r="D156" s="7" t="s">
        <v>65</v>
      </c>
      <c r="E156" s="9" t="str">
        <f>'NFL Schedule'!J153</f>
        <v/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 ht="15" customHeight="1" x14ac:dyDescent="0.25">
      <c r="A157" s="7">
        <v>7</v>
      </c>
      <c r="B157" s="7" t="s">
        <v>86</v>
      </c>
      <c r="C157" s="8" t="s">
        <v>54</v>
      </c>
      <c r="D157" s="7" t="s">
        <v>84</v>
      </c>
      <c r="E157" s="9" t="str">
        <f>'NFL Schedule'!J154</f>
        <v/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15" customHeight="1" x14ac:dyDescent="0.25">
      <c r="A158" s="7">
        <v>8</v>
      </c>
      <c r="B158" s="7" t="s">
        <v>60</v>
      </c>
      <c r="C158" s="8" t="s">
        <v>54</v>
      </c>
      <c r="D158" s="7" t="s">
        <v>83</v>
      </c>
      <c r="E158" s="9" t="str">
        <f>'NFL Schedule'!J155</f>
        <v/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 ht="15" customHeight="1" x14ac:dyDescent="0.25">
      <c r="A159" s="7">
        <v>9</v>
      </c>
      <c r="B159" s="7" t="s">
        <v>87</v>
      </c>
      <c r="C159" s="8" t="s">
        <v>54</v>
      </c>
      <c r="D159" s="7" t="s">
        <v>62</v>
      </c>
      <c r="E159" s="9" t="str">
        <f>'NFL Schedule'!J156</f>
        <v/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 ht="15" customHeight="1" x14ac:dyDescent="0.25">
      <c r="A160" s="7">
        <v>10</v>
      </c>
      <c r="B160" s="7" t="s">
        <v>68</v>
      </c>
      <c r="C160" s="8" t="s">
        <v>54</v>
      </c>
      <c r="D160" s="7" t="s">
        <v>78</v>
      </c>
      <c r="E160" s="9" t="str">
        <f>'NFL Schedule'!J157</f>
        <v/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15" customHeight="1" x14ac:dyDescent="0.25">
      <c r="A161" s="7">
        <v>11</v>
      </c>
      <c r="B161" s="7" t="s">
        <v>80</v>
      </c>
      <c r="C161" s="8" t="s">
        <v>54</v>
      </c>
      <c r="D161" s="7" t="s">
        <v>59</v>
      </c>
      <c r="E161" s="9" t="str">
        <f>'NFL Schedule'!J158</f>
        <v/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ht="15" customHeight="1" x14ac:dyDescent="0.25">
      <c r="A162" s="7">
        <v>12</v>
      </c>
      <c r="B162" s="7" t="s">
        <v>81</v>
      </c>
      <c r="C162" s="8" t="s">
        <v>54</v>
      </c>
      <c r="D162" s="7" t="s">
        <v>57</v>
      </c>
      <c r="E162" s="9" t="str">
        <f>'NFL Schedule'!J159</f>
        <v/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15" customHeight="1" x14ac:dyDescent="0.25">
      <c r="A163" s="7">
        <v>13</v>
      </c>
      <c r="B163" s="7" t="s">
        <v>77</v>
      </c>
      <c r="C163" s="8" t="s">
        <v>54</v>
      </c>
      <c r="D163" s="7" t="s">
        <v>58</v>
      </c>
      <c r="E163" s="9" t="str">
        <f>'NFL Schedule'!J160</f>
        <v/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15" customHeight="1" x14ac:dyDescent="0.25">
      <c r="A164" s="7">
        <v>14</v>
      </c>
      <c r="B164" s="7" t="s">
        <v>63</v>
      </c>
      <c r="C164" s="8" t="s">
        <v>54</v>
      </c>
      <c r="D164" s="7" t="s">
        <v>61</v>
      </c>
      <c r="E164" s="9" t="str">
        <f>'NFL Schedule'!J161</f>
        <v/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ht="15" customHeight="1" x14ac:dyDescent="0.25">
      <c r="A165" s="7">
        <v>15</v>
      </c>
      <c r="B165" s="7" t="s">
        <v>67</v>
      </c>
      <c r="C165" s="8" t="s">
        <v>54</v>
      </c>
      <c r="D165" s="7" t="s">
        <v>82</v>
      </c>
      <c r="E165" s="9" t="str">
        <f>'NFL Schedule'!J162</f>
        <v/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 x14ac:dyDescent="0.25">
      <c r="A166" s="11" t="s">
        <v>63</v>
      </c>
      <c r="B166" s="12" t="s">
        <v>89</v>
      </c>
      <c r="E166" s="13" t="str">
        <f>'NFL Schedule'!E163</f>
        <v/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S166" s="11" t="str">
        <f t="shared" ref="S166:AD166" si="2">IF(COUNT(S151:S165)=0,"",IF(AND(COUNT(S151:S165)=8,SUM(S151:S165)=36,MIN(S151:S165)&gt;=1,MAX(S151:S165)&lt;=8,SUMPRODUCT((S151:S165&lt;&gt;"")*(COUNTIF(S151:S165,S151:S165)&gt;1))=0,COUNTA(F151:F165)=8),"✓","FIX"))</f>
        <v/>
      </c>
      <c r="T166" s="11" t="str">
        <f t="shared" si="2"/>
        <v/>
      </c>
      <c r="U166" s="11" t="str">
        <f t="shared" si="2"/>
        <v/>
      </c>
      <c r="V166" s="11" t="str">
        <f t="shared" si="2"/>
        <v/>
      </c>
      <c r="W166" s="11" t="str">
        <f t="shared" si="2"/>
        <v/>
      </c>
      <c r="X166" s="11" t="str">
        <f t="shared" si="2"/>
        <v/>
      </c>
      <c r="Y166" s="11" t="str">
        <f t="shared" si="2"/>
        <v/>
      </c>
      <c r="Z166" s="11" t="str">
        <f t="shared" si="2"/>
        <v/>
      </c>
      <c r="AA166" s="11" t="str">
        <f t="shared" si="2"/>
        <v/>
      </c>
      <c r="AB166" s="11" t="str">
        <f t="shared" si="2"/>
        <v/>
      </c>
      <c r="AC166" s="11" t="str">
        <f t="shared" si="2"/>
        <v/>
      </c>
      <c r="AD166" s="11" t="str">
        <f t="shared" si="2"/>
        <v/>
      </c>
    </row>
    <row r="167" spans="1:30" ht="15" customHeight="1" x14ac:dyDescent="0.25">
      <c r="A167" s="25" t="s">
        <v>111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S167" s="25" t="s">
        <v>96</v>
      </c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5" customHeight="1" x14ac:dyDescent="0.25">
      <c r="A168" s="6" t="s">
        <v>27</v>
      </c>
      <c r="B168" s="6" t="s">
        <v>53</v>
      </c>
      <c r="C168" s="6" t="s">
        <v>54</v>
      </c>
      <c r="D168" s="6" t="s">
        <v>55</v>
      </c>
      <c r="E168" s="6" t="s">
        <v>56</v>
      </c>
      <c r="F168" s="6" t="s">
        <v>5</v>
      </c>
      <c r="G168" s="6" t="s">
        <v>8</v>
      </c>
      <c r="H168" s="6" t="s">
        <v>9</v>
      </c>
      <c r="I168" s="6" t="s">
        <v>10</v>
      </c>
      <c r="J168" s="6" t="s">
        <v>11</v>
      </c>
      <c r="K168" s="6" t="s">
        <v>14</v>
      </c>
      <c r="L168" s="6" t="s">
        <v>15</v>
      </c>
      <c r="M168" s="6" t="s">
        <v>16</v>
      </c>
      <c r="N168" s="6" t="s">
        <v>17</v>
      </c>
      <c r="O168" s="6" t="s">
        <v>20</v>
      </c>
      <c r="P168" s="6" t="s">
        <v>21</v>
      </c>
      <c r="Q168" s="6" t="s">
        <v>22</v>
      </c>
      <c r="S168" s="6" t="s">
        <v>97</v>
      </c>
      <c r="T168" s="6" t="s">
        <v>98</v>
      </c>
      <c r="U168" s="6" t="s">
        <v>99</v>
      </c>
      <c r="V168" s="6" t="s">
        <v>100</v>
      </c>
      <c r="W168" s="6" t="s">
        <v>101</v>
      </c>
      <c r="X168" s="6" t="s">
        <v>102</v>
      </c>
      <c r="Y168" s="6" t="s">
        <v>103</v>
      </c>
      <c r="Z168" s="6" t="s">
        <v>104</v>
      </c>
      <c r="AA168" s="6" t="s">
        <v>105</v>
      </c>
      <c r="AB168" s="6" t="s">
        <v>106</v>
      </c>
      <c r="AC168" s="6" t="s">
        <v>107</v>
      </c>
      <c r="AD168" s="6" t="s">
        <v>108</v>
      </c>
    </row>
    <row r="169" spans="1:30" ht="15" customHeight="1" x14ac:dyDescent="0.25">
      <c r="A169" s="7">
        <v>1</v>
      </c>
      <c r="B169" s="7" t="s">
        <v>83</v>
      </c>
      <c r="C169" s="8" t="s">
        <v>54</v>
      </c>
      <c r="D169" s="7" t="s">
        <v>86</v>
      </c>
      <c r="E169" s="9" t="str">
        <f>'NFL Schedule'!J166</f>
        <v/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 ht="15" customHeight="1" x14ac:dyDescent="0.25">
      <c r="A170" s="7">
        <v>2</v>
      </c>
      <c r="B170" s="7" t="s">
        <v>57</v>
      </c>
      <c r="C170" s="8" t="s">
        <v>54</v>
      </c>
      <c r="D170" s="7" t="s">
        <v>66</v>
      </c>
      <c r="E170" s="9" t="str">
        <f>'NFL Schedule'!J167</f>
        <v/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spans="1:30" ht="15" customHeight="1" x14ac:dyDescent="0.25">
      <c r="A171" s="7">
        <v>3</v>
      </c>
      <c r="B171" s="7" t="s">
        <v>88</v>
      </c>
      <c r="C171" s="8" t="s">
        <v>54</v>
      </c>
      <c r="D171" s="7" t="s">
        <v>73</v>
      </c>
      <c r="E171" s="9" t="str">
        <f>'NFL Schedule'!J168</f>
        <v/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spans="1:30" ht="15" customHeight="1" x14ac:dyDescent="0.25">
      <c r="A172" s="7">
        <v>4</v>
      </c>
      <c r="B172" s="7" t="s">
        <v>68</v>
      </c>
      <c r="C172" s="8" t="s">
        <v>54</v>
      </c>
      <c r="D172" s="7" t="s">
        <v>71</v>
      </c>
      <c r="E172" s="9" t="str">
        <f>'NFL Schedule'!J169</f>
        <v/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 ht="15" customHeight="1" x14ac:dyDescent="0.25">
      <c r="A173" s="7">
        <v>5</v>
      </c>
      <c r="B173" s="7" t="s">
        <v>82</v>
      </c>
      <c r="C173" s="8" t="s">
        <v>54</v>
      </c>
      <c r="D173" s="7" t="s">
        <v>81</v>
      </c>
      <c r="E173" s="9" t="str">
        <f>'NFL Schedule'!J170</f>
        <v/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 ht="15" customHeight="1" x14ac:dyDescent="0.25">
      <c r="A174" s="7">
        <v>6</v>
      </c>
      <c r="B174" s="7" t="s">
        <v>72</v>
      </c>
      <c r="C174" s="8" t="s">
        <v>54</v>
      </c>
      <c r="D174" s="7" t="s">
        <v>76</v>
      </c>
      <c r="E174" s="9" t="str">
        <f>'NFL Schedule'!J171</f>
        <v/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 ht="15" customHeight="1" x14ac:dyDescent="0.25">
      <c r="A175" s="7">
        <v>7</v>
      </c>
      <c r="B175" s="7" t="s">
        <v>79</v>
      </c>
      <c r="C175" s="8" t="s">
        <v>54</v>
      </c>
      <c r="D175" s="7" t="s">
        <v>70</v>
      </c>
      <c r="E175" s="9" t="str">
        <f>'NFL Schedule'!J172</f>
        <v/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 ht="15" customHeight="1" x14ac:dyDescent="0.25">
      <c r="A176" s="7">
        <v>8</v>
      </c>
      <c r="B176" s="7" t="s">
        <v>62</v>
      </c>
      <c r="C176" s="8" t="s">
        <v>54</v>
      </c>
      <c r="D176" s="7" t="s">
        <v>65</v>
      </c>
      <c r="E176" s="9" t="str">
        <f>'NFL Schedule'!J173</f>
        <v/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 ht="15" customHeight="1" x14ac:dyDescent="0.25">
      <c r="A177" s="7">
        <v>9</v>
      </c>
      <c r="B177" s="7" t="s">
        <v>67</v>
      </c>
      <c r="C177" s="8" t="s">
        <v>54</v>
      </c>
      <c r="D177" s="7" t="s">
        <v>75</v>
      </c>
      <c r="E177" s="9" t="str">
        <f>'NFL Schedule'!J174</f>
        <v/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spans="1:30" ht="15" customHeight="1" x14ac:dyDescent="0.25">
      <c r="A178" s="7">
        <v>10</v>
      </c>
      <c r="B178" s="7" t="s">
        <v>58</v>
      </c>
      <c r="C178" s="8" t="s">
        <v>54</v>
      </c>
      <c r="D178" s="7" t="s">
        <v>80</v>
      </c>
      <c r="E178" s="9" t="str">
        <f>'NFL Schedule'!J175</f>
        <v/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ht="15" customHeight="1" x14ac:dyDescent="0.25">
      <c r="A179" s="7">
        <v>11</v>
      </c>
      <c r="B179" s="7" t="s">
        <v>60</v>
      </c>
      <c r="C179" s="8" t="s">
        <v>54</v>
      </c>
      <c r="D179" s="7" t="s">
        <v>77</v>
      </c>
      <c r="E179" s="9" t="str">
        <f>'NFL Schedule'!J176</f>
        <v/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spans="1:30" ht="15" customHeight="1" x14ac:dyDescent="0.25">
      <c r="A180" s="7">
        <v>12</v>
      </c>
      <c r="B180" s="7" t="s">
        <v>59</v>
      </c>
      <c r="C180" s="8" t="s">
        <v>54</v>
      </c>
      <c r="D180" s="7" t="s">
        <v>85</v>
      </c>
      <c r="E180" s="9" t="str">
        <f>'NFL Schedule'!J177</f>
        <v/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spans="1:30" ht="15" customHeight="1" x14ac:dyDescent="0.25">
      <c r="A181" s="7">
        <v>13</v>
      </c>
      <c r="B181" s="7" t="s">
        <v>74</v>
      </c>
      <c r="C181" s="8" t="s">
        <v>54</v>
      </c>
      <c r="D181" s="7" t="s">
        <v>64</v>
      </c>
      <c r="E181" s="9" t="str">
        <f>'NFL Schedule'!J178</f>
        <v/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 ht="15" customHeight="1" x14ac:dyDescent="0.25">
      <c r="A182" s="7">
        <v>14</v>
      </c>
      <c r="B182" s="7" t="s">
        <v>78</v>
      </c>
      <c r="C182" s="8" t="s">
        <v>54</v>
      </c>
      <c r="D182" s="7" t="s">
        <v>69</v>
      </c>
      <c r="E182" s="9" t="str">
        <f>'NFL Schedule'!J179</f>
        <v/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spans="1:30" x14ac:dyDescent="0.25">
      <c r="A183" s="11" t="s">
        <v>63</v>
      </c>
      <c r="B183" s="12" t="s">
        <v>89</v>
      </c>
      <c r="E183" s="13" t="str">
        <f>'NFL Schedule'!E180</f>
        <v/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S183" s="11" t="str">
        <f t="shared" ref="S183:AD183" si="3">IF(COUNT(S169:S182)=0,"",IF(AND(COUNT(S169:S182)=8,SUM(S169:S182)=36,MIN(S169:S182)&gt;=1,MAX(S169:S182)&lt;=8,SUMPRODUCT((S169:S182&lt;&gt;"")*(COUNTIF(S169:S182,S169:S182)&gt;1))=0,COUNTA(F169:F182)=8),"✓","FIX"))</f>
        <v/>
      </c>
      <c r="T183" s="11" t="str">
        <f t="shared" si="3"/>
        <v/>
      </c>
      <c r="U183" s="11" t="str">
        <f t="shared" si="3"/>
        <v/>
      </c>
      <c r="V183" s="11" t="str">
        <f t="shared" si="3"/>
        <v/>
      </c>
      <c r="W183" s="11" t="str">
        <f t="shared" si="3"/>
        <v/>
      </c>
      <c r="X183" s="11" t="str">
        <f t="shared" si="3"/>
        <v/>
      </c>
      <c r="Y183" s="11" t="str">
        <f t="shared" si="3"/>
        <v/>
      </c>
      <c r="Z183" s="11" t="str">
        <f t="shared" si="3"/>
        <v/>
      </c>
      <c r="AA183" s="11" t="str">
        <f t="shared" si="3"/>
        <v/>
      </c>
      <c r="AB183" s="11" t="str">
        <f t="shared" si="3"/>
        <v/>
      </c>
      <c r="AC183" s="11" t="str">
        <f t="shared" si="3"/>
        <v/>
      </c>
      <c r="AD183" s="11" t="str">
        <f t="shared" si="3"/>
        <v/>
      </c>
    </row>
    <row r="184" spans="1:30" ht="15" customHeight="1" x14ac:dyDescent="0.25">
      <c r="A184" s="25" t="s">
        <v>112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S184" s="25" t="s">
        <v>96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5" customHeight="1" x14ac:dyDescent="0.25">
      <c r="A185" s="6" t="s">
        <v>27</v>
      </c>
      <c r="B185" s="6" t="s">
        <v>53</v>
      </c>
      <c r="C185" s="6" t="s">
        <v>54</v>
      </c>
      <c r="D185" s="6" t="s">
        <v>55</v>
      </c>
      <c r="E185" s="6" t="s">
        <v>56</v>
      </c>
      <c r="F185" s="6" t="s">
        <v>5</v>
      </c>
      <c r="G185" s="6" t="s">
        <v>8</v>
      </c>
      <c r="H185" s="6" t="s">
        <v>9</v>
      </c>
      <c r="I185" s="6" t="s">
        <v>10</v>
      </c>
      <c r="J185" s="6" t="s">
        <v>11</v>
      </c>
      <c r="K185" s="6" t="s">
        <v>14</v>
      </c>
      <c r="L185" s="6" t="s">
        <v>15</v>
      </c>
      <c r="M185" s="6" t="s">
        <v>16</v>
      </c>
      <c r="N185" s="6" t="s">
        <v>17</v>
      </c>
      <c r="O185" s="6" t="s">
        <v>20</v>
      </c>
      <c r="P185" s="6" t="s">
        <v>21</v>
      </c>
      <c r="Q185" s="6" t="s">
        <v>22</v>
      </c>
      <c r="S185" s="6" t="s">
        <v>97</v>
      </c>
      <c r="T185" s="6" t="s">
        <v>98</v>
      </c>
      <c r="U185" s="6" t="s">
        <v>99</v>
      </c>
      <c r="V185" s="6" t="s">
        <v>100</v>
      </c>
      <c r="W185" s="6" t="s">
        <v>101</v>
      </c>
      <c r="X185" s="6" t="s">
        <v>102</v>
      </c>
      <c r="Y185" s="6" t="s">
        <v>103</v>
      </c>
      <c r="Z185" s="6" t="s">
        <v>104</v>
      </c>
      <c r="AA185" s="6" t="s">
        <v>105</v>
      </c>
      <c r="AB185" s="6" t="s">
        <v>106</v>
      </c>
      <c r="AC185" s="6" t="s">
        <v>107</v>
      </c>
      <c r="AD185" s="6" t="s">
        <v>108</v>
      </c>
    </row>
    <row r="186" spans="1:30" ht="15" customHeight="1" x14ac:dyDescent="0.25">
      <c r="A186" s="7">
        <v>1</v>
      </c>
      <c r="B186" s="7" t="s">
        <v>70</v>
      </c>
      <c r="C186" s="8" t="s">
        <v>54</v>
      </c>
      <c r="D186" s="7" t="s">
        <v>68</v>
      </c>
      <c r="E186" s="9" t="str">
        <f>'NFL Schedule'!J183</f>
        <v/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spans="1:30" ht="15" customHeight="1" x14ac:dyDescent="0.25">
      <c r="A187" s="7">
        <v>2</v>
      </c>
      <c r="B187" s="7" t="s">
        <v>79</v>
      </c>
      <c r="C187" s="8" t="s">
        <v>54</v>
      </c>
      <c r="D187" s="7" t="s">
        <v>67</v>
      </c>
      <c r="E187" s="9" t="str">
        <f>'NFL Schedule'!J184</f>
        <v/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 ht="15" customHeight="1" x14ac:dyDescent="0.25">
      <c r="A188" s="7">
        <v>3</v>
      </c>
      <c r="B188" s="7" t="s">
        <v>65</v>
      </c>
      <c r="C188" s="8" t="s">
        <v>54</v>
      </c>
      <c r="D188" s="7" t="s">
        <v>61</v>
      </c>
      <c r="E188" s="9" t="str">
        <f>'NFL Schedule'!J185</f>
        <v/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spans="1:30" ht="15" customHeight="1" x14ac:dyDescent="0.25">
      <c r="A189" s="7">
        <v>4</v>
      </c>
      <c r="B189" s="7" t="s">
        <v>76</v>
      </c>
      <c r="C189" s="8" t="s">
        <v>54</v>
      </c>
      <c r="D189" s="7" t="s">
        <v>85</v>
      </c>
      <c r="E189" s="9" t="str">
        <f>'NFL Schedule'!J186</f>
        <v/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spans="1:30" ht="15" customHeight="1" x14ac:dyDescent="0.25">
      <c r="A190" s="7">
        <v>5</v>
      </c>
      <c r="B190" s="7" t="s">
        <v>63</v>
      </c>
      <c r="C190" s="8" t="s">
        <v>54</v>
      </c>
      <c r="D190" s="7" t="s">
        <v>66</v>
      </c>
      <c r="E190" s="9" t="str">
        <f>'NFL Schedule'!J187</f>
        <v/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spans="1:30" ht="15" customHeight="1" x14ac:dyDescent="0.25">
      <c r="A191" s="7">
        <v>6</v>
      </c>
      <c r="B191" s="7" t="s">
        <v>77</v>
      </c>
      <c r="C191" s="8" t="s">
        <v>54</v>
      </c>
      <c r="D191" s="7" t="s">
        <v>88</v>
      </c>
      <c r="E191" s="9" t="str">
        <f>'NFL Schedule'!J188</f>
        <v/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spans="1:30" ht="15" customHeight="1" x14ac:dyDescent="0.25">
      <c r="A192" s="7">
        <v>7</v>
      </c>
      <c r="B192" s="7" t="s">
        <v>72</v>
      </c>
      <c r="C192" s="8" t="s">
        <v>54</v>
      </c>
      <c r="D192" s="7" t="s">
        <v>86</v>
      </c>
      <c r="E192" s="9" t="str">
        <f>'NFL Schedule'!J189</f>
        <v/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spans="1:30" ht="15" customHeight="1" x14ac:dyDescent="0.25">
      <c r="A193" s="7">
        <v>8</v>
      </c>
      <c r="B193" s="7" t="s">
        <v>69</v>
      </c>
      <c r="C193" s="8" t="s">
        <v>54</v>
      </c>
      <c r="D193" s="7" t="s">
        <v>62</v>
      </c>
      <c r="E193" s="9" t="str">
        <f>'NFL Schedule'!J190</f>
        <v/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spans="1:30" ht="15" customHeight="1" x14ac:dyDescent="0.25">
      <c r="A194" s="7">
        <v>9</v>
      </c>
      <c r="B194" s="7" t="s">
        <v>75</v>
      </c>
      <c r="C194" s="8" t="s">
        <v>54</v>
      </c>
      <c r="D194" s="7" t="s">
        <v>78</v>
      </c>
      <c r="E194" s="9" t="str">
        <f>'NFL Schedule'!J191</f>
        <v/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spans="1:30" ht="15" customHeight="1" x14ac:dyDescent="0.25">
      <c r="A195" s="7">
        <v>10</v>
      </c>
      <c r="B195" s="7" t="s">
        <v>80</v>
      </c>
      <c r="C195" s="8" t="s">
        <v>54</v>
      </c>
      <c r="D195" s="7" t="s">
        <v>87</v>
      </c>
      <c r="E195" s="9" t="str">
        <f>'NFL Schedule'!J192</f>
        <v/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spans="1:30" ht="15" customHeight="1" x14ac:dyDescent="0.25">
      <c r="A196" s="7">
        <v>11</v>
      </c>
      <c r="B196" s="7" t="s">
        <v>74</v>
      </c>
      <c r="C196" s="8" t="s">
        <v>54</v>
      </c>
      <c r="D196" s="7" t="s">
        <v>84</v>
      </c>
      <c r="E196" s="9" t="str">
        <f>'NFL Schedule'!J193</f>
        <v/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spans="1:30" ht="15" customHeight="1" x14ac:dyDescent="0.25">
      <c r="A197" s="7">
        <v>12</v>
      </c>
      <c r="B197" s="7" t="s">
        <v>82</v>
      </c>
      <c r="C197" s="8" t="s">
        <v>54</v>
      </c>
      <c r="D197" s="7" t="s">
        <v>59</v>
      </c>
      <c r="E197" s="9" t="str">
        <f>'NFL Schedule'!J194</f>
        <v/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spans="1:30" ht="15" customHeight="1" x14ac:dyDescent="0.25">
      <c r="A198" s="7">
        <v>13</v>
      </c>
      <c r="B198" s="7" t="s">
        <v>64</v>
      </c>
      <c r="C198" s="8" t="s">
        <v>54</v>
      </c>
      <c r="D198" s="7" t="s">
        <v>83</v>
      </c>
      <c r="E198" s="9" t="str">
        <f>'NFL Schedule'!J195</f>
        <v/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spans="1:30" x14ac:dyDescent="0.25">
      <c r="A199" s="11" t="s">
        <v>63</v>
      </c>
      <c r="B199" s="12" t="s">
        <v>89</v>
      </c>
      <c r="E199" s="13" t="str">
        <f>'NFL Schedule'!E196</f>
        <v/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S199" s="11" t="str">
        <f t="shared" ref="S199:AD199" si="4">IF(COUNT(S186:S198)=0,"",IF(AND(COUNT(S186:S198)=8,SUM(S186:S198)=36,MIN(S186:S198)&gt;=1,MAX(S186:S198)&lt;=8,SUMPRODUCT((S186:S198&lt;&gt;"")*(COUNTIF(S186:S198,S186:S198)&gt;1))=0,COUNTA(F186:F198)=8),"✓","FIX"))</f>
        <v/>
      </c>
      <c r="T199" s="11" t="str">
        <f t="shared" si="4"/>
        <v/>
      </c>
      <c r="U199" s="11" t="str">
        <f t="shared" si="4"/>
        <v/>
      </c>
      <c r="V199" s="11" t="str">
        <f t="shared" si="4"/>
        <v/>
      </c>
      <c r="W199" s="11" t="str">
        <f t="shared" si="4"/>
        <v/>
      </c>
      <c r="X199" s="11" t="str">
        <f t="shared" si="4"/>
        <v/>
      </c>
      <c r="Y199" s="11" t="str">
        <f t="shared" si="4"/>
        <v/>
      </c>
      <c r="Z199" s="11" t="str">
        <f t="shared" si="4"/>
        <v/>
      </c>
      <c r="AA199" s="11" t="str">
        <f t="shared" si="4"/>
        <v/>
      </c>
      <c r="AB199" s="11" t="str">
        <f t="shared" si="4"/>
        <v/>
      </c>
      <c r="AC199" s="11" t="str">
        <f t="shared" si="4"/>
        <v/>
      </c>
      <c r="AD199" s="11" t="str">
        <f t="shared" si="4"/>
        <v/>
      </c>
    </row>
    <row r="200" spans="1:30" ht="15" customHeight="1" x14ac:dyDescent="0.25">
      <c r="A200" s="25" t="s">
        <v>113</v>
      </c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S200" s="25" t="s">
        <v>96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5" customHeight="1" x14ac:dyDescent="0.25">
      <c r="A201" s="6" t="s">
        <v>27</v>
      </c>
      <c r="B201" s="6" t="s">
        <v>53</v>
      </c>
      <c r="C201" s="6" t="s">
        <v>54</v>
      </c>
      <c r="D201" s="6" t="s">
        <v>55</v>
      </c>
      <c r="E201" s="6" t="s">
        <v>56</v>
      </c>
      <c r="F201" s="6" t="s">
        <v>5</v>
      </c>
      <c r="G201" s="6" t="s">
        <v>8</v>
      </c>
      <c r="H201" s="6" t="s">
        <v>9</v>
      </c>
      <c r="I201" s="6" t="s">
        <v>10</v>
      </c>
      <c r="J201" s="6" t="s">
        <v>11</v>
      </c>
      <c r="K201" s="6" t="s">
        <v>14</v>
      </c>
      <c r="L201" s="6" t="s">
        <v>15</v>
      </c>
      <c r="M201" s="6" t="s">
        <v>16</v>
      </c>
      <c r="N201" s="6" t="s">
        <v>17</v>
      </c>
      <c r="O201" s="6" t="s">
        <v>20</v>
      </c>
      <c r="P201" s="6" t="s">
        <v>21</v>
      </c>
      <c r="Q201" s="6" t="s">
        <v>22</v>
      </c>
      <c r="S201" s="6" t="s">
        <v>97</v>
      </c>
      <c r="T201" s="6" t="s">
        <v>98</v>
      </c>
      <c r="U201" s="6" t="s">
        <v>99</v>
      </c>
      <c r="V201" s="6" t="s">
        <v>100</v>
      </c>
      <c r="W201" s="6" t="s">
        <v>101</v>
      </c>
      <c r="X201" s="6" t="s">
        <v>102</v>
      </c>
      <c r="Y201" s="6" t="s">
        <v>103</v>
      </c>
      <c r="Z201" s="6" t="s">
        <v>104</v>
      </c>
      <c r="AA201" s="6" t="s">
        <v>105</v>
      </c>
      <c r="AB201" s="6" t="s">
        <v>106</v>
      </c>
      <c r="AC201" s="6" t="s">
        <v>107</v>
      </c>
      <c r="AD201" s="6" t="s">
        <v>108</v>
      </c>
    </row>
    <row r="202" spans="1:30" ht="15" customHeight="1" x14ac:dyDescent="0.25">
      <c r="A202" s="7">
        <v>1</v>
      </c>
      <c r="B202" s="7" t="s">
        <v>81</v>
      </c>
      <c r="C202" s="8" t="s">
        <v>54</v>
      </c>
      <c r="D202" s="7" t="s">
        <v>60</v>
      </c>
      <c r="E202" s="9" t="str">
        <f>'NFL Schedule'!J199</f>
        <v/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 ht="15" customHeight="1" x14ac:dyDescent="0.25">
      <c r="A203" s="7">
        <v>2</v>
      </c>
      <c r="B203" s="7" t="s">
        <v>61</v>
      </c>
      <c r="C203" s="8" t="s">
        <v>54</v>
      </c>
      <c r="D203" s="7" t="s">
        <v>66</v>
      </c>
      <c r="E203" s="9" t="str">
        <f>'NFL Schedule'!J200</f>
        <v/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30" ht="15" customHeight="1" x14ac:dyDescent="0.25">
      <c r="A204" s="7">
        <v>3</v>
      </c>
      <c r="B204" s="7" t="s">
        <v>84</v>
      </c>
      <c r="C204" s="8" t="s">
        <v>54</v>
      </c>
      <c r="D204" s="7" t="s">
        <v>85</v>
      </c>
      <c r="E204" s="9" t="str">
        <f>'NFL Schedule'!J201</f>
        <v/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30" ht="15" customHeight="1" x14ac:dyDescent="0.25">
      <c r="A205" s="7">
        <v>4</v>
      </c>
      <c r="B205" s="7" t="s">
        <v>88</v>
      </c>
      <c r="C205" s="8" t="s">
        <v>54</v>
      </c>
      <c r="D205" s="7" t="s">
        <v>67</v>
      </c>
      <c r="E205" s="9" t="str">
        <f>'NFL Schedule'!J202</f>
        <v/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30" ht="15" customHeight="1" x14ac:dyDescent="0.25">
      <c r="A206" s="7">
        <v>5</v>
      </c>
      <c r="B206" s="7" t="s">
        <v>87</v>
      </c>
      <c r="C206" s="8" t="s">
        <v>54</v>
      </c>
      <c r="D206" s="7" t="s">
        <v>74</v>
      </c>
      <c r="E206" s="9" t="str">
        <f>'NFL Schedule'!J203</f>
        <v/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30" ht="15" customHeight="1" x14ac:dyDescent="0.25">
      <c r="A207" s="7">
        <v>6</v>
      </c>
      <c r="B207" s="7" t="s">
        <v>65</v>
      </c>
      <c r="C207" s="8" t="s">
        <v>54</v>
      </c>
      <c r="D207" s="7" t="s">
        <v>64</v>
      </c>
      <c r="E207" s="9" t="str">
        <f>'NFL Schedule'!J204</f>
        <v/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30" ht="15" customHeight="1" x14ac:dyDescent="0.25">
      <c r="A208" s="7">
        <v>7</v>
      </c>
      <c r="B208" s="7" t="s">
        <v>80</v>
      </c>
      <c r="C208" s="8" t="s">
        <v>54</v>
      </c>
      <c r="D208" s="7" t="s">
        <v>71</v>
      </c>
      <c r="E208" s="9" t="str">
        <f>'NFL Schedule'!J205</f>
        <v/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ht="15" customHeight="1" x14ac:dyDescent="0.25">
      <c r="A209" s="7">
        <v>8</v>
      </c>
      <c r="B209" s="7" t="s">
        <v>86</v>
      </c>
      <c r="C209" s="8" t="s">
        <v>54</v>
      </c>
      <c r="D209" s="7" t="s">
        <v>70</v>
      </c>
      <c r="E209" s="9" t="str">
        <f>'NFL Schedule'!J206</f>
        <v/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ht="15" customHeight="1" x14ac:dyDescent="0.25">
      <c r="A210" s="7">
        <v>9</v>
      </c>
      <c r="B210" s="7" t="s">
        <v>75</v>
      </c>
      <c r="C210" s="8" t="s">
        <v>54</v>
      </c>
      <c r="D210" s="7" t="s">
        <v>79</v>
      </c>
      <c r="E210" s="9" t="str">
        <f>'NFL Schedule'!J207</f>
        <v/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1:30" ht="15" customHeight="1" x14ac:dyDescent="0.25">
      <c r="A211" s="7">
        <v>10</v>
      </c>
      <c r="B211" s="7" t="s">
        <v>73</v>
      </c>
      <c r="C211" s="8" t="s">
        <v>54</v>
      </c>
      <c r="D211" s="7" t="s">
        <v>82</v>
      </c>
      <c r="E211" s="9" t="str">
        <f>'NFL Schedule'!J208</f>
        <v/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1:30" ht="15" customHeight="1" x14ac:dyDescent="0.25">
      <c r="A212" s="7">
        <v>11</v>
      </c>
      <c r="B212" s="7" t="s">
        <v>69</v>
      </c>
      <c r="C212" s="8" t="s">
        <v>54</v>
      </c>
      <c r="D212" s="7" t="s">
        <v>68</v>
      </c>
      <c r="E212" s="9" t="str">
        <f>'NFL Schedule'!J209</f>
        <v/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1:30" ht="15" customHeight="1" x14ac:dyDescent="0.25">
      <c r="A213" s="7">
        <v>12</v>
      </c>
      <c r="B213" s="7" t="s">
        <v>76</v>
      </c>
      <c r="C213" s="8" t="s">
        <v>54</v>
      </c>
      <c r="D213" s="7" t="s">
        <v>72</v>
      </c>
      <c r="E213" s="9" t="str">
        <f>'NFL Schedule'!J210</f>
        <v/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1:30" ht="15" customHeight="1" x14ac:dyDescent="0.25">
      <c r="A214" s="7">
        <v>13</v>
      </c>
      <c r="B214" s="7" t="s">
        <v>83</v>
      </c>
      <c r="C214" s="8" t="s">
        <v>54</v>
      </c>
      <c r="D214" s="7" t="s">
        <v>77</v>
      </c>
      <c r="E214" s="9" t="str">
        <f>'NFL Schedule'!J211</f>
        <v/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spans="1:30" ht="15" customHeight="1" x14ac:dyDescent="0.25">
      <c r="A215" s="7">
        <v>14</v>
      </c>
      <c r="B215" s="7" t="s">
        <v>58</v>
      </c>
      <c r="C215" s="8" t="s">
        <v>54</v>
      </c>
      <c r="D215" s="7" t="s">
        <v>59</v>
      </c>
      <c r="E215" s="9" t="str">
        <f>'NFL Schedule'!J212</f>
        <v/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1:30" ht="15" customHeight="1" x14ac:dyDescent="0.25">
      <c r="A216" s="7">
        <v>15</v>
      </c>
      <c r="B216" s="7" t="s">
        <v>57</v>
      </c>
      <c r="C216" s="8" t="s">
        <v>54</v>
      </c>
      <c r="D216" s="7" t="s">
        <v>78</v>
      </c>
      <c r="E216" s="9" t="str">
        <f>'NFL Schedule'!J213</f>
        <v/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1:30" ht="15" customHeight="1" x14ac:dyDescent="0.25">
      <c r="A217" s="7">
        <v>16</v>
      </c>
      <c r="B217" s="7" t="s">
        <v>62</v>
      </c>
      <c r="C217" s="8" t="s">
        <v>54</v>
      </c>
      <c r="D217" s="7" t="s">
        <v>63</v>
      </c>
      <c r="E217" s="9" t="str">
        <f>'NFL Schedule'!J214</f>
        <v/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spans="1:30" x14ac:dyDescent="0.25">
      <c r="A218" s="11" t="s">
        <v>63</v>
      </c>
      <c r="B218" s="12" t="s">
        <v>89</v>
      </c>
      <c r="E218" s="13" t="str">
        <f>'NFL Schedule'!E215</f>
        <v/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S218" s="11" t="str">
        <f t="shared" ref="S218:AD218" si="5">IF(COUNT(S202:S217)=0,"",IF(AND(COUNT(S202:S217)=8,SUM(S202:S217)=36,MIN(S202:S217)&gt;=1,MAX(S202:S217)&lt;=8,SUMPRODUCT((S202:S217&lt;&gt;"")*(COUNTIF(S202:S217,S202:S217)&gt;1))=0,COUNTA(F202:F217)=8),"✓","FIX"))</f>
        <v/>
      </c>
      <c r="T218" s="11" t="str">
        <f t="shared" si="5"/>
        <v/>
      </c>
      <c r="U218" s="11" t="str">
        <f t="shared" si="5"/>
        <v/>
      </c>
      <c r="V218" s="11" t="str">
        <f t="shared" si="5"/>
        <v/>
      </c>
      <c r="W218" s="11" t="str">
        <f t="shared" si="5"/>
        <v/>
      </c>
      <c r="X218" s="11" t="str">
        <f t="shared" si="5"/>
        <v/>
      </c>
      <c r="Y218" s="11" t="str">
        <f t="shared" si="5"/>
        <v/>
      </c>
      <c r="Z218" s="11" t="str">
        <f t="shared" si="5"/>
        <v/>
      </c>
      <c r="AA218" s="11" t="str">
        <f t="shared" si="5"/>
        <v/>
      </c>
      <c r="AB218" s="11" t="str">
        <f t="shared" si="5"/>
        <v/>
      </c>
      <c r="AC218" s="11" t="str">
        <f t="shared" si="5"/>
        <v/>
      </c>
      <c r="AD218" s="11" t="str">
        <f t="shared" si="5"/>
        <v/>
      </c>
    </row>
    <row r="219" spans="1:30" ht="15" customHeight="1" x14ac:dyDescent="0.25">
      <c r="A219" s="25" t="s">
        <v>114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spans="1:30" ht="15" customHeight="1" x14ac:dyDescent="0.25">
      <c r="A220" s="6" t="s">
        <v>27</v>
      </c>
      <c r="B220" s="6" t="s">
        <v>53</v>
      </c>
      <c r="C220" s="6" t="s">
        <v>54</v>
      </c>
      <c r="D220" s="6" t="s">
        <v>55</v>
      </c>
      <c r="E220" s="6" t="s">
        <v>56</v>
      </c>
      <c r="F220" s="6" t="s">
        <v>5</v>
      </c>
      <c r="G220" s="6" t="s">
        <v>8</v>
      </c>
      <c r="H220" s="6" t="s">
        <v>9</v>
      </c>
      <c r="I220" s="6" t="s">
        <v>10</v>
      </c>
      <c r="J220" s="6" t="s">
        <v>11</v>
      </c>
      <c r="K220" s="6" t="s">
        <v>14</v>
      </c>
      <c r="L220" s="6" t="s">
        <v>15</v>
      </c>
      <c r="M220" s="6" t="s">
        <v>16</v>
      </c>
      <c r="N220" s="6" t="s">
        <v>17</v>
      </c>
      <c r="O220" s="6" t="s">
        <v>20</v>
      </c>
      <c r="P220" s="6" t="s">
        <v>21</v>
      </c>
      <c r="Q220" s="6" t="s">
        <v>22</v>
      </c>
    </row>
    <row r="221" spans="1:30" ht="15" customHeight="1" x14ac:dyDescent="0.25">
      <c r="A221" s="7">
        <v>1</v>
      </c>
      <c r="B221" s="7" t="s">
        <v>88</v>
      </c>
      <c r="C221" s="8" t="s">
        <v>54</v>
      </c>
      <c r="D221" s="7" t="s">
        <v>78</v>
      </c>
      <c r="E221" s="9" t="str">
        <f>'NFL Schedule'!J218</f>
        <v/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30" ht="15" customHeight="1" x14ac:dyDescent="0.25">
      <c r="A222" s="7">
        <v>2</v>
      </c>
      <c r="B222" s="7" t="s">
        <v>66</v>
      </c>
      <c r="C222" s="8" t="s">
        <v>54</v>
      </c>
      <c r="D222" s="7" t="s">
        <v>73</v>
      </c>
      <c r="E222" s="9" t="str">
        <f>'NFL Schedule'!J219</f>
        <v/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30" ht="15" customHeight="1" x14ac:dyDescent="0.25">
      <c r="A223" s="7">
        <v>3</v>
      </c>
      <c r="B223" s="7" t="s">
        <v>72</v>
      </c>
      <c r="C223" s="8" t="s">
        <v>54</v>
      </c>
      <c r="D223" s="7" t="s">
        <v>61</v>
      </c>
      <c r="E223" s="9" t="str">
        <f>'NFL Schedule'!J220</f>
        <v/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30" ht="15" customHeight="1" x14ac:dyDescent="0.25">
      <c r="A224" s="7">
        <v>4</v>
      </c>
      <c r="B224" s="7" t="s">
        <v>64</v>
      </c>
      <c r="C224" s="8" t="s">
        <v>54</v>
      </c>
      <c r="D224" s="7" t="s">
        <v>71</v>
      </c>
      <c r="E224" s="9" t="str">
        <f>'NFL Schedule'!J221</f>
        <v/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 ht="15" customHeight="1" x14ac:dyDescent="0.25">
      <c r="A225" s="7">
        <v>5</v>
      </c>
      <c r="B225" s="7" t="s">
        <v>83</v>
      </c>
      <c r="C225" s="8" t="s">
        <v>54</v>
      </c>
      <c r="D225" s="7" t="s">
        <v>76</v>
      </c>
      <c r="E225" s="9" t="str">
        <f>'NFL Schedule'!J222</f>
        <v/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 ht="15" customHeight="1" x14ac:dyDescent="0.25">
      <c r="A226" s="7">
        <v>6</v>
      </c>
      <c r="B226" s="7" t="s">
        <v>81</v>
      </c>
      <c r="C226" s="8" t="s">
        <v>54</v>
      </c>
      <c r="D226" s="7" t="s">
        <v>65</v>
      </c>
      <c r="E226" s="9" t="str">
        <f>'NFL Schedule'!J223</f>
        <v/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 ht="15" customHeight="1" x14ac:dyDescent="0.25">
      <c r="A227" s="7">
        <v>7</v>
      </c>
      <c r="B227" s="7" t="s">
        <v>59</v>
      </c>
      <c r="C227" s="8" t="s">
        <v>54</v>
      </c>
      <c r="D227" s="7" t="s">
        <v>86</v>
      </c>
      <c r="E227" s="9" t="str">
        <f>'NFL Schedule'!J224</f>
        <v/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 ht="15" customHeight="1" x14ac:dyDescent="0.25">
      <c r="A228" s="7">
        <v>8</v>
      </c>
      <c r="B228" s="7" t="s">
        <v>60</v>
      </c>
      <c r="C228" s="8" t="s">
        <v>54</v>
      </c>
      <c r="D228" s="7" t="s">
        <v>63</v>
      </c>
      <c r="E228" s="9" t="str">
        <f>'NFL Schedule'!J225</f>
        <v/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ht="15" customHeight="1" x14ac:dyDescent="0.25">
      <c r="A229" s="7">
        <v>9</v>
      </c>
      <c r="B229" s="7" t="s">
        <v>79</v>
      </c>
      <c r="C229" s="8" t="s">
        <v>54</v>
      </c>
      <c r="D229" s="7" t="s">
        <v>87</v>
      </c>
      <c r="E229" s="9" t="str">
        <f>'NFL Schedule'!J226</f>
        <v/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 ht="15" customHeight="1" x14ac:dyDescent="0.25">
      <c r="A230" s="7">
        <v>10</v>
      </c>
      <c r="B230" s="7" t="s">
        <v>84</v>
      </c>
      <c r="C230" s="8" t="s">
        <v>54</v>
      </c>
      <c r="D230" s="7" t="s">
        <v>77</v>
      </c>
      <c r="E230" s="9" t="str">
        <f>'NFL Schedule'!J227</f>
        <v/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 ht="15" customHeight="1" x14ac:dyDescent="0.25">
      <c r="A231" s="7">
        <v>11</v>
      </c>
      <c r="B231" s="7" t="s">
        <v>62</v>
      </c>
      <c r="C231" s="8" t="s">
        <v>54</v>
      </c>
      <c r="D231" s="7" t="s">
        <v>82</v>
      </c>
      <c r="E231" s="9" t="str">
        <f>'NFL Schedule'!J228</f>
        <v/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 ht="15" customHeight="1" x14ac:dyDescent="0.25">
      <c r="A232" s="7">
        <v>12</v>
      </c>
      <c r="B232" s="7" t="s">
        <v>67</v>
      </c>
      <c r="C232" s="8" t="s">
        <v>54</v>
      </c>
      <c r="D232" s="7" t="s">
        <v>57</v>
      </c>
      <c r="E232" s="9" t="str">
        <f>'NFL Schedule'!J229</f>
        <v/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 ht="15" customHeight="1" x14ac:dyDescent="0.25">
      <c r="A233" s="7">
        <v>13</v>
      </c>
      <c r="B233" s="7" t="s">
        <v>68</v>
      </c>
      <c r="C233" s="8" t="s">
        <v>54</v>
      </c>
      <c r="D233" s="7" t="s">
        <v>74</v>
      </c>
      <c r="E233" s="9" t="str">
        <f>'NFL Schedule'!J230</f>
        <v/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 ht="15" customHeight="1" x14ac:dyDescent="0.25">
      <c r="A234" s="7">
        <v>14</v>
      </c>
      <c r="B234" s="7" t="s">
        <v>85</v>
      </c>
      <c r="C234" s="8" t="s">
        <v>54</v>
      </c>
      <c r="D234" s="7" t="s">
        <v>58</v>
      </c>
      <c r="E234" s="9" t="str">
        <f>'NFL Schedule'!J231</f>
        <v/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 x14ac:dyDescent="0.25">
      <c r="A235" s="11" t="s">
        <v>63</v>
      </c>
      <c r="B235" s="12" t="s">
        <v>89</v>
      </c>
      <c r="E235" s="13" t="str">
        <f>'NFL Schedule'!E232</f>
        <v/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 spans="1:17" ht="15" customHeight="1" x14ac:dyDescent="0.25">
      <c r="A236" s="25" t="s">
        <v>115</v>
      </c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spans="1:17" ht="15" customHeight="1" x14ac:dyDescent="0.25">
      <c r="A237" s="6" t="s">
        <v>27</v>
      </c>
      <c r="B237" s="6" t="s">
        <v>53</v>
      </c>
      <c r="C237" s="6" t="s">
        <v>54</v>
      </c>
      <c r="D237" s="6" t="s">
        <v>55</v>
      </c>
      <c r="E237" s="6" t="s">
        <v>56</v>
      </c>
      <c r="F237" s="6" t="s">
        <v>5</v>
      </c>
      <c r="G237" s="6" t="s">
        <v>8</v>
      </c>
      <c r="H237" s="6" t="s">
        <v>9</v>
      </c>
      <c r="I237" s="6" t="s">
        <v>10</v>
      </c>
      <c r="J237" s="6" t="s">
        <v>11</v>
      </c>
      <c r="K237" s="6" t="s">
        <v>14</v>
      </c>
      <c r="L237" s="6" t="s">
        <v>15</v>
      </c>
      <c r="M237" s="6" t="s">
        <v>16</v>
      </c>
      <c r="N237" s="6" t="s">
        <v>17</v>
      </c>
      <c r="O237" s="6" t="s">
        <v>20</v>
      </c>
      <c r="P237" s="6" t="s">
        <v>21</v>
      </c>
      <c r="Q237" s="6" t="s">
        <v>22</v>
      </c>
    </row>
    <row r="238" spans="1:17" ht="15" customHeight="1" x14ac:dyDescent="0.25">
      <c r="A238" s="7">
        <v>1</v>
      </c>
      <c r="B238" s="7" t="s">
        <v>82</v>
      </c>
      <c r="C238" s="8" t="s">
        <v>54</v>
      </c>
      <c r="D238" s="7" t="s">
        <v>57</v>
      </c>
      <c r="E238" s="9" t="str">
        <f>'NFL Schedule'!J235</f>
        <v/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 ht="15" customHeight="1" x14ac:dyDescent="0.25">
      <c r="A239" s="7">
        <v>2</v>
      </c>
      <c r="B239" s="7" t="s">
        <v>73</v>
      </c>
      <c r="C239" s="8" t="s">
        <v>54</v>
      </c>
      <c r="D239" s="7" t="s">
        <v>71</v>
      </c>
      <c r="E239" s="9" t="str">
        <f>'NFL Schedule'!J236</f>
        <v/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 ht="15" customHeight="1" x14ac:dyDescent="0.25">
      <c r="A240" s="7">
        <v>3</v>
      </c>
      <c r="B240" s="7" t="s">
        <v>76</v>
      </c>
      <c r="C240" s="8" t="s">
        <v>54</v>
      </c>
      <c r="D240" s="7" t="s">
        <v>66</v>
      </c>
      <c r="E240" s="9" t="str">
        <f>'NFL Schedule'!J237</f>
        <v/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 ht="15" customHeight="1" x14ac:dyDescent="0.25">
      <c r="A241" s="7">
        <v>4</v>
      </c>
      <c r="B241" s="7" t="s">
        <v>61</v>
      </c>
      <c r="C241" s="8" t="s">
        <v>54</v>
      </c>
      <c r="D241" s="7" t="s">
        <v>79</v>
      </c>
      <c r="E241" s="9" t="str">
        <f>'NFL Schedule'!J238</f>
        <v/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ht="15" customHeight="1" x14ac:dyDescent="0.25">
      <c r="A242" s="7">
        <v>5</v>
      </c>
      <c r="B242" s="7" t="s">
        <v>87</v>
      </c>
      <c r="C242" s="8" t="s">
        <v>54</v>
      </c>
      <c r="D242" s="7" t="s">
        <v>75</v>
      </c>
      <c r="E242" s="9" t="str">
        <f>'NFL Schedule'!J239</f>
        <v/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 ht="15" customHeight="1" x14ac:dyDescent="0.25">
      <c r="A243" s="7">
        <v>6</v>
      </c>
      <c r="B243" s="7" t="s">
        <v>70</v>
      </c>
      <c r="C243" s="8" t="s">
        <v>54</v>
      </c>
      <c r="D243" s="7" t="s">
        <v>84</v>
      </c>
      <c r="E243" s="9" t="str">
        <f>'NFL Schedule'!J240</f>
        <v/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 ht="15" customHeight="1" x14ac:dyDescent="0.25">
      <c r="A244" s="7">
        <v>7</v>
      </c>
      <c r="B244" s="7" t="s">
        <v>68</v>
      </c>
      <c r="C244" s="8" t="s">
        <v>54</v>
      </c>
      <c r="D244" s="7" t="s">
        <v>83</v>
      </c>
      <c r="E244" s="9" t="str">
        <f>'NFL Schedule'!J241</f>
        <v/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 ht="15" customHeight="1" x14ac:dyDescent="0.25">
      <c r="A245" s="7">
        <v>8</v>
      </c>
      <c r="B245" s="7" t="s">
        <v>65</v>
      </c>
      <c r="C245" s="8" t="s">
        <v>54</v>
      </c>
      <c r="D245" s="7" t="s">
        <v>62</v>
      </c>
      <c r="E245" s="9" t="str">
        <f>'NFL Schedule'!J242</f>
        <v/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 ht="15" customHeight="1" x14ac:dyDescent="0.25">
      <c r="A246" s="7">
        <v>9</v>
      </c>
      <c r="B246" s="7" t="s">
        <v>63</v>
      </c>
      <c r="C246" s="8" t="s">
        <v>54</v>
      </c>
      <c r="D246" s="7" t="s">
        <v>69</v>
      </c>
      <c r="E246" s="9" t="str">
        <f>'NFL Schedule'!J243</f>
        <v/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 ht="15" customHeight="1" x14ac:dyDescent="0.25">
      <c r="A247" s="7">
        <v>10</v>
      </c>
      <c r="B247" s="7" t="s">
        <v>78</v>
      </c>
      <c r="C247" s="8" t="s">
        <v>54</v>
      </c>
      <c r="D247" s="7" t="s">
        <v>80</v>
      </c>
      <c r="E247" s="9" t="str">
        <f>'NFL Schedule'!J244</f>
        <v/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 ht="15" customHeight="1" x14ac:dyDescent="0.25">
      <c r="A248" s="7">
        <v>11</v>
      </c>
      <c r="B248" s="7" t="s">
        <v>88</v>
      </c>
      <c r="C248" s="8" t="s">
        <v>54</v>
      </c>
      <c r="D248" s="7" t="s">
        <v>64</v>
      </c>
      <c r="E248" s="9" t="str">
        <f>'NFL Schedule'!J245</f>
        <v/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ht="15" customHeight="1" x14ac:dyDescent="0.25">
      <c r="A249" s="7">
        <v>12</v>
      </c>
      <c r="B249" s="7" t="s">
        <v>60</v>
      </c>
      <c r="C249" s="8" t="s">
        <v>54</v>
      </c>
      <c r="D249" s="7" t="s">
        <v>59</v>
      </c>
      <c r="E249" s="9" t="str">
        <f>'NFL Schedule'!J246</f>
        <v/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 ht="15" customHeight="1" x14ac:dyDescent="0.25">
      <c r="A250" s="7">
        <v>13</v>
      </c>
      <c r="B250" s="7" t="s">
        <v>86</v>
      </c>
      <c r="C250" s="8" t="s">
        <v>54</v>
      </c>
      <c r="D250" s="7" t="s">
        <v>58</v>
      </c>
      <c r="E250" s="9" t="str">
        <f>'NFL Schedule'!J247</f>
        <v/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 ht="15" customHeight="1" x14ac:dyDescent="0.25">
      <c r="A251" s="7">
        <v>14</v>
      </c>
      <c r="B251" s="7" t="s">
        <v>67</v>
      </c>
      <c r="C251" s="8" t="s">
        <v>54</v>
      </c>
      <c r="D251" s="7" t="s">
        <v>81</v>
      </c>
      <c r="E251" s="9" t="str">
        <f>'NFL Schedule'!J248</f>
        <v/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 ht="15" customHeight="1" x14ac:dyDescent="0.25">
      <c r="A252" s="7">
        <v>15</v>
      </c>
      <c r="B252" s="7" t="s">
        <v>74</v>
      </c>
      <c r="C252" s="8" t="s">
        <v>54</v>
      </c>
      <c r="D252" s="7" t="s">
        <v>72</v>
      </c>
      <c r="E252" s="9" t="str">
        <f>'NFL Schedule'!J249</f>
        <v/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 x14ac:dyDescent="0.25">
      <c r="A253" s="11" t="s">
        <v>63</v>
      </c>
      <c r="B253" s="12" t="s">
        <v>89</v>
      </c>
      <c r="E253" s="13" t="str">
        <f>'NFL Schedule'!E250</f>
        <v/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  <row r="254" spans="1:17" ht="15" customHeight="1" x14ac:dyDescent="0.25">
      <c r="A254" s="25" t="s">
        <v>116</v>
      </c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</row>
    <row r="255" spans="1:17" ht="15" customHeight="1" x14ac:dyDescent="0.25">
      <c r="A255" s="6" t="s">
        <v>27</v>
      </c>
      <c r="B255" s="6" t="s">
        <v>53</v>
      </c>
      <c r="C255" s="6" t="s">
        <v>54</v>
      </c>
      <c r="D255" s="6" t="s">
        <v>55</v>
      </c>
      <c r="E255" s="6" t="s">
        <v>56</v>
      </c>
      <c r="F255" s="6" t="s">
        <v>5</v>
      </c>
      <c r="G255" s="6" t="s">
        <v>8</v>
      </c>
      <c r="H255" s="6" t="s">
        <v>9</v>
      </c>
      <c r="I255" s="6" t="s">
        <v>10</v>
      </c>
      <c r="J255" s="6" t="s">
        <v>11</v>
      </c>
      <c r="K255" s="6" t="s">
        <v>14</v>
      </c>
      <c r="L255" s="6" t="s">
        <v>15</v>
      </c>
      <c r="M255" s="6" t="s">
        <v>16</v>
      </c>
      <c r="N255" s="6" t="s">
        <v>17</v>
      </c>
      <c r="O255" s="6" t="s">
        <v>20</v>
      </c>
      <c r="P255" s="6" t="s">
        <v>21</v>
      </c>
      <c r="Q255" s="6" t="s">
        <v>22</v>
      </c>
    </row>
    <row r="256" spans="1:17" ht="15" customHeight="1" x14ac:dyDescent="0.25">
      <c r="A256" s="7">
        <v>1</v>
      </c>
      <c r="B256" s="7" t="s">
        <v>59</v>
      </c>
      <c r="C256" s="8" t="s">
        <v>54</v>
      </c>
      <c r="D256" s="7" t="s">
        <v>78</v>
      </c>
      <c r="E256" s="9" t="str">
        <f>'NFL Schedule'!J253</f>
        <v/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 ht="15" customHeight="1" x14ac:dyDescent="0.25">
      <c r="A257" s="7">
        <v>2</v>
      </c>
      <c r="B257" s="7" t="s">
        <v>58</v>
      </c>
      <c r="C257" s="8" t="s">
        <v>54</v>
      </c>
      <c r="D257" s="7" t="s">
        <v>84</v>
      </c>
      <c r="E257" s="9" t="str">
        <f>'NFL Schedule'!J254</f>
        <v/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ht="15" customHeight="1" x14ac:dyDescent="0.25">
      <c r="A258" s="7">
        <v>3</v>
      </c>
      <c r="B258" s="7" t="s">
        <v>61</v>
      </c>
      <c r="C258" s="8" t="s">
        <v>54</v>
      </c>
      <c r="D258" s="7" t="s">
        <v>67</v>
      </c>
      <c r="E258" s="9" t="str">
        <f>'NFL Schedule'!J255</f>
        <v/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ht="15" customHeight="1" x14ac:dyDescent="0.25">
      <c r="A259" s="7">
        <v>4</v>
      </c>
      <c r="B259" s="7" t="s">
        <v>79</v>
      </c>
      <c r="C259" s="8" t="s">
        <v>54</v>
      </c>
      <c r="D259" s="7" t="s">
        <v>81</v>
      </c>
      <c r="E259" s="9" t="str">
        <f>'NFL Schedule'!J256</f>
        <v/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ht="15" customHeight="1" x14ac:dyDescent="0.25">
      <c r="A260" s="7">
        <v>5</v>
      </c>
      <c r="B260" s="7" t="s">
        <v>70</v>
      </c>
      <c r="C260" s="8" t="s">
        <v>54</v>
      </c>
      <c r="D260" s="7" t="s">
        <v>76</v>
      </c>
      <c r="E260" s="9" t="str">
        <f>'NFL Schedule'!J257</f>
        <v/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ht="15" customHeight="1" x14ac:dyDescent="0.25">
      <c r="A261" s="7">
        <v>6</v>
      </c>
      <c r="B261" s="7" t="s">
        <v>71</v>
      </c>
      <c r="C261" s="8" t="s">
        <v>54</v>
      </c>
      <c r="D261" s="7" t="s">
        <v>86</v>
      </c>
      <c r="E261" s="9" t="str">
        <f>'NFL Schedule'!J258</f>
        <v/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ht="15" customHeight="1" x14ac:dyDescent="0.25">
      <c r="A262" s="7">
        <v>7</v>
      </c>
      <c r="B262" s="7" t="s">
        <v>69</v>
      </c>
      <c r="C262" s="8" t="s">
        <v>54</v>
      </c>
      <c r="D262" s="7" t="s">
        <v>74</v>
      </c>
      <c r="E262" s="9" t="str">
        <f>'NFL Schedule'!J259</f>
        <v/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 ht="15" customHeight="1" x14ac:dyDescent="0.25">
      <c r="A263" s="7">
        <v>8</v>
      </c>
      <c r="B263" s="7" t="s">
        <v>65</v>
      </c>
      <c r="C263" s="8" t="s">
        <v>54</v>
      </c>
      <c r="D263" s="7" t="s">
        <v>63</v>
      </c>
      <c r="E263" s="9" t="str">
        <f>'NFL Schedule'!J260</f>
        <v/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 ht="15" customHeight="1" x14ac:dyDescent="0.25">
      <c r="A264" s="7">
        <v>9</v>
      </c>
      <c r="B264" s="7" t="s">
        <v>73</v>
      </c>
      <c r="C264" s="8" t="s">
        <v>54</v>
      </c>
      <c r="D264" s="7" t="s">
        <v>83</v>
      </c>
      <c r="E264" s="9" t="str">
        <f>'NFL Schedule'!J261</f>
        <v/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ht="15" customHeight="1" x14ac:dyDescent="0.25">
      <c r="A265" s="7">
        <v>10</v>
      </c>
      <c r="B265" s="7" t="s">
        <v>64</v>
      </c>
      <c r="C265" s="8" t="s">
        <v>54</v>
      </c>
      <c r="D265" s="7" t="s">
        <v>62</v>
      </c>
      <c r="E265" s="9" t="str">
        <f>'NFL Schedule'!J262</f>
        <v/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ht="15" customHeight="1" x14ac:dyDescent="0.25">
      <c r="A266" s="7">
        <v>11</v>
      </c>
      <c r="B266" s="7" t="s">
        <v>72</v>
      </c>
      <c r="C266" s="8" t="s">
        <v>54</v>
      </c>
      <c r="D266" s="7" t="s">
        <v>68</v>
      </c>
      <c r="E266" s="9" t="str">
        <f>'NFL Schedule'!J263</f>
        <v/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 ht="15" customHeight="1" x14ac:dyDescent="0.25">
      <c r="A267" s="7">
        <v>12</v>
      </c>
      <c r="B267" s="7" t="s">
        <v>75</v>
      </c>
      <c r="C267" s="8" t="s">
        <v>54</v>
      </c>
      <c r="D267" s="7" t="s">
        <v>77</v>
      </c>
      <c r="E267" s="9" t="str">
        <f>'NFL Schedule'!J264</f>
        <v/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 ht="15" customHeight="1" x14ac:dyDescent="0.25">
      <c r="A268" s="7">
        <v>13</v>
      </c>
      <c r="B268" s="7" t="s">
        <v>87</v>
      </c>
      <c r="C268" s="8" t="s">
        <v>54</v>
      </c>
      <c r="D268" s="7" t="s">
        <v>80</v>
      </c>
      <c r="E268" s="9" t="str">
        <f>'NFL Schedule'!J265</f>
        <v/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 ht="15" customHeight="1" x14ac:dyDescent="0.25">
      <c r="A269" s="7">
        <v>14</v>
      </c>
      <c r="B269" s="7" t="s">
        <v>85</v>
      </c>
      <c r="C269" s="8" t="s">
        <v>54</v>
      </c>
      <c r="D269" s="7" t="s">
        <v>60</v>
      </c>
      <c r="E269" s="9" t="str">
        <f>'NFL Schedule'!J266</f>
        <v/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 ht="15" customHeight="1" x14ac:dyDescent="0.25">
      <c r="A270" s="7">
        <v>15</v>
      </c>
      <c r="B270" s="7" t="s">
        <v>66</v>
      </c>
      <c r="C270" s="8" t="s">
        <v>54</v>
      </c>
      <c r="D270" s="7" t="s">
        <v>82</v>
      </c>
      <c r="E270" s="9" t="str">
        <f>'NFL Schedule'!J267</f>
        <v/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 ht="15" customHeight="1" x14ac:dyDescent="0.25">
      <c r="A271" s="7">
        <v>16</v>
      </c>
      <c r="B271" s="7" t="s">
        <v>57</v>
      </c>
      <c r="C271" s="8" t="s">
        <v>54</v>
      </c>
      <c r="D271" s="7" t="s">
        <v>88</v>
      </c>
      <c r="E271" s="9" t="str">
        <f>'NFL Schedule'!J268</f>
        <v/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x14ac:dyDescent="0.25">
      <c r="A272" s="11" t="s">
        <v>63</v>
      </c>
      <c r="B272" s="12" t="s">
        <v>89</v>
      </c>
      <c r="E272" s="13" t="str">
        <f>'NFL Schedule'!E269</f>
        <v/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 spans="1:17" ht="15" customHeight="1" x14ac:dyDescent="0.25">
      <c r="A273" s="25" t="s">
        <v>117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</row>
    <row r="274" spans="1:17" ht="15" customHeight="1" x14ac:dyDescent="0.25">
      <c r="A274" s="6" t="s">
        <v>27</v>
      </c>
      <c r="B274" s="6" t="s">
        <v>53</v>
      </c>
      <c r="C274" s="6" t="s">
        <v>54</v>
      </c>
      <c r="D274" s="6" t="s">
        <v>55</v>
      </c>
      <c r="E274" s="6" t="s">
        <v>56</v>
      </c>
      <c r="F274" s="6" t="s">
        <v>5</v>
      </c>
      <c r="G274" s="6" t="s">
        <v>8</v>
      </c>
      <c r="H274" s="6" t="s">
        <v>9</v>
      </c>
      <c r="I274" s="6" t="s">
        <v>10</v>
      </c>
      <c r="J274" s="6" t="s">
        <v>11</v>
      </c>
      <c r="K274" s="6" t="s">
        <v>14</v>
      </c>
      <c r="L274" s="6" t="s">
        <v>15</v>
      </c>
      <c r="M274" s="6" t="s">
        <v>16</v>
      </c>
      <c r="N274" s="6" t="s">
        <v>17</v>
      </c>
      <c r="O274" s="6" t="s">
        <v>20</v>
      </c>
      <c r="P274" s="6" t="s">
        <v>21</v>
      </c>
      <c r="Q274" s="6" t="s">
        <v>22</v>
      </c>
    </row>
    <row r="275" spans="1:17" ht="15" customHeight="1" x14ac:dyDescent="0.25">
      <c r="A275" s="7">
        <v>1</v>
      </c>
      <c r="B275" s="7" t="s">
        <v>68</v>
      </c>
      <c r="C275" s="8" t="s">
        <v>54</v>
      </c>
      <c r="D275" s="7" t="s">
        <v>84</v>
      </c>
      <c r="E275" s="9" t="str">
        <f>'NFL Schedule'!J272</f>
        <v/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 ht="15" customHeight="1" x14ac:dyDescent="0.25">
      <c r="A276" s="7">
        <v>2</v>
      </c>
      <c r="B276" s="7" t="s">
        <v>81</v>
      </c>
      <c r="C276" s="8" t="s">
        <v>54</v>
      </c>
      <c r="D276" s="7" t="s">
        <v>61</v>
      </c>
      <c r="E276" s="9" t="str">
        <f>'NFL Schedule'!J273</f>
        <v/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 ht="15" customHeight="1" x14ac:dyDescent="0.25">
      <c r="A277" s="7">
        <v>3</v>
      </c>
      <c r="B277" s="7" t="s">
        <v>67</v>
      </c>
      <c r="C277" s="8" t="s">
        <v>54</v>
      </c>
      <c r="D277" s="7" t="s">
        <v>87</v>
      </c>
      <c r="E277" s="9" t="str">
        <f>'NFL Schedule'!J274</f>
        <v/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 ht="15" customHeight="1" x14ac:dyDescent="0.25">
      <c r="A278" s="7">
        <v>4</v>
      </c>
      <c r="B278" s="7" t="s">
        <v>60</v>
      </c>
      <c r="C278" s="8" t="s">
        <v>54</v>
      </c>
      <c r="D278" s="7" t="s">
        <v>58</v>
      </c>
      <c r="E278" s="9" t="str">
        <f>'NFL Schedule'!J275</f>
        <v/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 ht="15" customHeight="1" x14ac:dyDescent="0.25">
      <c r="A279" s="7">
        <v>5</v>
      </c>
      <c r="B279" s="7" t="s">
        <v>78</v>
      </c>
      <c r="C279" s="8" t="s">
        <v>54</v>
      </c>
      <c r="D279" s="7" t="s">
        <v>79</v>
      </c>
      <c r="E279" s="9" t="str">
        <f>'NFL Schedule'!J276</f>
        <v/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 ht="15" customHeight="1" x14ac:dyDescent="0.25">
      <c r="A280" s="7">
        <v>6</v>
      </c>
      <c r="B280" s="7" t="s">
        <v>77</v>
      </c>
      <c r="C280" s="8" t="s">
        <v>54</v>
      </c>
      <c r="D280" s="7" t="s">
        <v>65</v>
      </c>
      <c r="E280" s="9" t="str">
        <f>'NFL Schedule'!J277</f>
        <v/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 ht="15" customHeight="1" x14ac:dyDescent="0.25">
      <c r="A281" s="7">
        <v>7</v>
      </c>
      <c r="B281" s="7" t="s">
        <v>57</v>
      </c>
      <c r="C281" s="8" t="s">
        <v>54</v>
      </c>
      <c r="D281" s="7" t="s">
        <v>75</v>
      </c>
      <c r="E281" s="9" t="str">
        <f>'NFL Schedule'!J278</f>
        <v/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ht="15" customHeight="1" x14ac:dyDescent="0.25">
      <c r="A282" s="7">
        <v>8</v>
      </c>
      <c r="B282" s="7" t="s">
        <v>71</v>
      </c>
      <c r="C282" s="8" t="s">
        <v>54</v>
      </c>
      <c r="D282" s="7" t="s">
        <v>69</v>
      </c>
      <c r="E282" s="9" t="str">
        <f>'NFL Schedule'!J279</f>
        <v/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 ht="15" customHeight="1" x14ac:dyDescent="0.25">
      <c r="A283" s="7">
        <v>9</v>
      </c>
      <c r="B283" s="7" t="s">
        <v>76</v>
      </c>
      <c r="C283" s="8" t="s">
        <v>54</v>
      </c>
      <c r="D283" s="7" t="s">
        <v>80</v>
      </c>
      <c r="E283" s="9" t="str">
        <f>'NFL Schedule'!J280</f>
        <v/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 ht="15" customHeight="1" x14ac:dyDescent="0.25">
      <c r="A284" s="7">
        <v>10</v>
      </c>
      <c r="B284" s="7" t="s">
        <v>59</v>
      </c>
      <c r="C284" s="8" t="s">
        <v>54</v>
      </c>
      <c r="D284" s="7" t="s">
        <v>88</v>
      </c>
      <c r="E284" s="9" t="str">
        <f>'NFL Schedule'!J281</f>
        <v/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 ht="15" customHeight="1" x14ac:dyDescent="0.25">
      <c r="A285" s="7">
        <v>11</v>
      </c>
      <c r="B285" s="7" t="s">
        <v>72</v>
      </c>
      <c r="C285" s="8" t="s">
        <v>54</v>
      </c>
      <c r="D285" s="7" t="s">
        <v>85</v>
      </c>
      <c r="E285" s="9" t="str">
        <f>'NFL Schedule'!J282</f>
        <v/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 ht="15" customHeight="1" x14ac:dyDescent="0.25">
      <c r="A286" s="7">
        <v>12</v>
      </c>
      <c r="B286" s="7" t="s">
        <v>86</v>
      </c>
      <c r="C286" s="8" t="s">
        <v>54</v>
      </c>
      <c r="D286" s="7" t="s">
        <v>66</v>
      </c>
      <c r="E286" s="9" t="str">
        <f>'NFL Schedule'!J283</f>
        <v/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 ht="15" customHeight="1" x14ac:dyDescent="0.25">
      <c r="A287" s="7">
        <v>13</v>
      </c>
      <c r="B287" s="7" t="s">
        <v>63</v>
      </c>
      <c r="C287" s="8" t="s">
        <v>54</v>
      </c>
      <c r="D287" s="7" t="s">
        <v>73</v>
      </c>
      <c r="E287" s="9" t="str">
        <f>'NFL Schedule'!J284</f>
        <v/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 ht="15" customHeight="1" x14ac:dyDescent="0.25">
      <c r="A288" s="7">
        <v>14</v>
      </c>
      <c r="B288" s="7" t="s">
        <v>64</v>
      </c>
      <c r="C288" s="8" t="s">
        <v>54</v>
      </c>
      <c r="D288" s="7" t="s">
        <v>70</v>
      </c>
      <c r="E288" s="9" t="str">
        <f>'NFL Schedule'!J285</f>
        <v/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 ht="15" customHeight="1" x14ac:dyDescent="0.25">
      <c r="A289" s="7">
        <v>15</v>
      </c>
      <c r="B289" s="7" t="s">
        <v>83</v>
      </c>
      <c r="C289" s="8" t="s">
        <v>54</v>
      </c>
      <c r="D289" s="7" t="s">
        <v>82</v>
      </c>
      <c r="E289" s="9" t="str">
        <f>'NFL Schedule'!J286</f>
        <v/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 ht="15" customHeight="1" x14ac:dyDescent="0.25">
      <c r="A290" s="7">
        <v>16</v>
      </c>
      <c r="B290" s="7" t="s">
        <v>62</v>
      </c>
      <c r="C290" s="8" t="s">
        <v>54</v>
      </c>
      <c r="D290" s="7" t="s">
        <v>74</v>
      </c>
      <c r="E290" s="9" t="str">
        <f>'NFL Schedule'!J287</f>
        <v/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 x14ac:dyDescent="0.25">
      <c r="A291" s="11" t="s">
        <v>63</v>
      </c>
      <c r="B291" s="12" t="s">
        <v>89</v>
      </c>
      <c r="E291" s="13" t="str">
        <f>'NFL Schedule'!E288</f>
        <v/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</row>
    <row r="292" spans="1:17" ht="15" customHeight="1" x14ac:dyDescent="0.25">
      <c r="A292" s="25" t="s">
        <v>118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</row>
    <row r="293" spans="1:17" ht="15" customHeight="1" x14ac:dyDescent="0.25">
      <c r="A293" s="6" t="s">
        <v>27</v>
      </c>
      <c r="B293" s="6" t="s">
        <v>53</v>
      </c>
      <c r="C293" s="6" t="s">
        <v>54</v>
      </c>
      <c r="D293" s="6" t="s">
        <v>55</v>
      </c>
      <c r="E293" s="6" t="s">
        <v>56</v>
      </c>
      <c r="F293" s="6" t="s">
        <v>5</v>
      </c>
      <c r="G293" s="6" t="s">
        <v>8</v>
      </c>
      <c r="H293" s="6" t="s">
        <v>9</v>
      </c>
      <c r="I293" s="6" t="s">
        <v>10</v>
      </c>
      <c r="J293" s="6" t="s">
        <v>11</v>
      </c>
      <c r="K293" s="6" t="s">
        <v>14</v>
      </c>
      <c r="L293" s="6" t="s">
        <v>15</v>
      </c>
      <c r="M293" s="6" t="s">
        <v>16</v>
      </c>
      <c r="N293" s="6" t="s">
        <v>17</v>
      </c>
      <c r="O293" s="6" t="s">
        <v>20</v>
      </c>
      <c r="P293" s="6" t="s">
        <v>21</v>
      </c>
      <c r="Q293" s="6" t="s">
        <v>22</v>
      </c>
    </row>
    <row r="294" spans="1:17" ht="15" customHeight="1" x14ac:dyDescent="0.25">
      <c r="A294" s="7">
        <v>1</v>
      </c>
      <c r="B294" s="7" t="s">
        <v>69</v>
      </c>
      <c r="C294" s="8" t="s">
        <v>54</v>
      </c>
      <c r="D294" s="7" t="s">
        <v>64</v>
      </c>
      <c r="E294" s="9" t="str">
        <f>'NFL Schedule'!J291</f>
        <v/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ht="15" customHeight="1" x14ac:dyDescent="0.25">
      <c r="A295" s="7">
        <v>2</v>
      </c>
      <c r="B295" s="7" t="s">
        <v>65</v>
      </c>
      <c r="C295" s="8" t="s">
        <v>54</v>
      </c>
      <c r="D295" s="7" t="s">
        <v>73</v>
      </c>
      <c r="E295" s="9" t="str">
        <f>'NFL Schedule'!J292</f>
        <v/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ht="15" customHeight="1" x14ac:dyDescent="0.25">
      <c r="A296" s="7">
        <v>3</v>
      </c>
      <c r="B296" s="7" t="s">
        <v>70</v>
      </c>
      <c r="C296" s="8" t="s">
        <v>54</v>
      </c>
      <c r="D296" s="7" t="s">
        <v>71</v>
      </c>
      <c r="E296" s="9" t="str">
        <f>'NFL Schedule'!J293</f>
        <v/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 ht="15" customHeight="1" x14ac:dyDescent="0.25">
      <c r="A297" s="7">
        <v>4</v>
      </c>
      <c r="B297" s="7" t="s">
        <v>86</v>
      </c>
      <c r="C297" s="8" t="s">
        <v>54</v>
      </c>
      <c r="D297" s="7" t="s">
        <v>85</v>
      </c>
      <c r="E297" s="9" t="str">
        <f>'NFL Schedule'!J294</f>
        <v/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ht="15" customHeight="1" x14ac:dyDescent="0.25">
      <c r="A298" s="7">
        <v>5</v>
      </c>
      <c r="B298" s="7" t="s">
        <v>74</v>
      </c>
      <c r="C298" s="8" t="s">
        <v>54</v>
      </c>
      <c r="D298" s="7" t="s">
        <v>76</v>
      </c>
      <c r="E298" s="9" t="str">
        <f>'NFL Schedule'!J295</f>
        <v/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 ht="15" customHeight="1" x14ac:dyDescent="0.25">
      <c r="A299" s="7">
        <v>6</v>
      </c>
      <c r="B299" s="7" t="s">
        <v>67</v>
      </c>
      <c r="C299" s="8" t="s">
        <v>54</v>
      </c>
      <c r="D299" s="7" t="s">
        <v>79</v>
      </c>
      <c r="E299" s="9" t="str">
        <f>'NFL Schedule'!J296</f>
        <v/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 ht="15" customHeight="1" x14ac:dyDescent="0.25">
      <c r="A300" s="7">
        <v>7</v>
      </c>
      <c r="B300" s="7" t="s">
        <v>82</v>
      </c>
      <c r="C300" s="8" t="s">
        <v>54</v>
      </c>
      <c r="D300" s="7" t="s">
        <v>75</v>
      </c>
      <c r="E300" s="9" t="str">
        <f>'NFL Schedule'!J297</f>
        <v/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 ht="15" customHeight="1" x14ac:dyDescent="0.25">
      <c r="A301" s="7">
        <v>8</v>
      </c>
      <c r="B301" s="7" t="s">
        <v>58</v>
      </c>
      <c r="C301" s="8" t="s">
        <v>54</v>
      </c>
      <c r="D301" s="7" t="s">
        <v>62</v>
      </c>
      <c r="E301" s="9" t="str">
        <f>'NFL Schedule'!J298</f>
        <v/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ht="15" customHeight="1" x14ac:dyDescent="0.25">
      <c r="A302" s="7">
        <v>9</v>
      </c>
      <c r="B302" s="7" t="s">
        <v>80</v>
      </c>
      <c r="C302" s="8" t="s">
        <v>54</v>
      </c>
      <c r="D302" s="7" t="s">
        <v>77</v>
      </c>
      <c r="E302" s="9" t="str">
        <f>'NFL Schedule'!J299</f>
        <v/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ht="15" customHeight="1" x14ac:dyDescent="0.25">
      <c r="A303" s="7">
        <v>10</v>
      </c>
      <c r="B303" s="7" t="s">
        <v>66</v>
      </c>
      <c r="C303" s="8" t="s">
        <v>54</v>
      </c>
      <c r="D303" s="7" t="s">
        <v>61</v>
      </c>
      <c r="E303" s="9" t="str">
        <f>'NFL Schedule'!J300</f>
        <v/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ht="15" customHeight="1" x14ac:dyDescent="0.25">
      <c r="A304" s="7">
        <v>11</v>
      </c>
      <c r="B304" s="7" t="s">
        <v>84</v>
      </c>
      <c r="C304" s="8" t="s">
        <v>54</v>
      </c>
      <c r="D304" s="7" t="s">
        <v>59</v>
      </c>
      <c r="E304" s="9" t="str">
        <f>'NFL Schedule'!J301</f>
        <v/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ht="15" customHeight="1" x14ac:dyDescent="0.25">
      <c r="A305" s="7">
        <v>12</v>
      </c>
      <c r="B305" s="7" t="s">
        <v>68</v>
      </c>
      <c r="C305" s="8" t="s">
        <v>54</v>
      </c>
      <c r="D305" s="7" t="s">
        <v>81</v>
      </c>
      <c r="E305" s="9" t="str">
        <f>'NFL Schedule'!J302</f>
        <v/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15" customHeight="1" x14ac:dyDescent="0.25">
      <c r="A306" s="7">
        <v>13</v>
      </c>
      <c r="B306" s="7" t="s">
        <v>87</v>
      </c>
      <c r="C306" s="8" t="s">
        <v>54</v>
      </c>
      <c r="D306" s="7" t="s">
        <v>57</v>
      </c>
      <c r="E306" s="9" t="str">
        <f>'NFL Schedule'!J303</f>
        <v/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ht="15" customHeight="1" x14ac:dyDescent="0.25">
      <c r="A307" s="7">
        <v>14</v>
      </c>
      <c r="B307" s="7" t="s">
        <v>88</v>
      </c>
      <c r="C307" s="8" t="s">
        <v>54</v>
      </c>
      <c r="D307" s="7" t="s">
        <v>78</v>
      </c>
      <c r="E307" s="9" t="str">
        <f>'NFL Schedule'!J304</f>
        <v/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ht="15" customHeight="1" x14ac:dyDescent="0.25">
      <c r="A308" s="7">
        <v>15</v>
      </c>
      <c r="B308" s="7" t="s">
        <v>60</v>
      </c>
      <c r="C308" s="8" t="s">
        <v>54</v>
      </c>
      <c r="D308" s="7" t="s">
        <v>63</v>
      </c>
      <c r="E308" s="9" t="str">
        <f>'NFL Schedule'!J305</f>
        <v/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ht="15" customHeight="1" x14ac:dyDescent="0.25">
      <c r="A309" s="7">
        <v>16</v>
      </c>
      <c r="B309" s="7" t="s">
        <v>83</v>
      </c>
      <c r="C309" s="8" t="s">
        <v>54</v>
      </c>
      <c r="D309" s="7" t="s">
        <v>72</v>
      </c>
      <c r="E309" s="9" t="str">
        <f>'NFL Schedule'!J306</f>
        <v/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x14ac:dyDescent="0.25">
      <c r="A310" s="11" t="s">
        <v>63</v>
      </c>
      <c r="B310" s="12" t="s">
        <v>89</v>
      </c>
      <c r="E310" s="13" t="str">
        <f>'NFL Schedule'!E307</f>
        <v/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</row>
    <row r="311" spans="1:17" ht="15" customHeight="1" x14ac:dyDescent="0.25">
      <c r="A311" s="25" t="s">
        <v>119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</row>
    <row r="312" spans="1:17" ht="15" customHeight="1" x14ac:dyDescent="0.25">
      <c r="A312" s="6" t="s">
        <v>27</v>
      </c>
      <c r="B312" s="6" t="s">
        <v>53</v>
      </c>
      <c r="C312" s="6" t="s">
        <v>54</v>
      </c>
      <c r="D312" s="6" t="s">
        <v>55</v>
      </c>
      <c r="E312" s="6" t="s">
        <v>56</v>
      </c>
      <c r="F312" s="6" t="s">
        <v>5</v>
      </c>
      <c r="G312" s="6" t="s">
        <v>8</v>
      </c>
      <c r="H312" s="6" t="s">
        <v>9</v>
      </c>
      <c r="I312" s="6" t="s">
        <v>10</v>
      </c>
      <c r="J312" s="6" t="s">
        <v>11</v>
      </c>
      <c r="K312" s="6" t="s">
        <v>14</v>
      </c>
      <c r="L312" s="6" t="s">
        <v>15</v>
      </c>
      <c r="M312" s="6" t="s">
        <v>16</v>
      </c>
      <c r="N312" s="6" t="s">
        <v>17</v>
      </c>
      <c r="O312" s="6" t="s">
        <v>20</v>
      </c>
      <c r="P312" s="6" t="s">
        <v>21</v>
      </c>
      <c r="Q312" s="6" t="s">
        <v>22</v>
      </c>
    </row>
    <row r="313" spans="1:17" ht="15" customHeight="1" x14ac:dyDescent="0.25">
      <c r="A313" s="7">
        <v>1</v>
      </c>
      <c r="B313" s="7" t="s">
        <v>75</v>
      </c>
      <c r="C313" s="8" t="s">
        <v>54</v>
      </c>
      <c r="D313" s="7" t="s">
        <v>67</v>
      </c>
      <c r="E313" s="9" t="str">
        <f>'NFL Schedule'!J310</f>
        <v/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ht="15" customHeight="1" x14ac:dyDescent="0.25">
      <c r="A314" s="7">
        <v>2</v>
      </c>
      <c r="B314" s="7" t="s">
        <v>71</v>
      </c>
      <c r="C314" s="8" t="s">
        <v>54</v>
      </c>
      <c r="D314" s="7" t="s">
        <v>64</v>
      </c>
      <c r="E314" s="9" t="str">
        <f>'NFL Schedule'!J311</f>
        <v/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ht="15" customHeight="1" x14ac:dyDescent="0.25">
      <c r="A315" s="7">
        <v>3</v>
      </c>
      <c r="B315" s="7" t="s">
        <v>60</v>
      </c>
      <c r="C315" s="8" t="s">
        <v>54</v>
      </c>
      <c r="D315" s="7" t="s">
        <v>87</v>
      </c>
      <c r="E315" s="9" t="str">
        <f>'NFL Schedule'!J312</f>
        <v/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ht="15" customHeight="1" x14ac:dyDescent="0.25">
      <c r="A316" s="7">
        <v>4</v>
      </c>
      <c r="B316" s="7" t="s">
        <v>66</v>
      </c>
      <c r="C316" s="8" t="s">
        <v>54</v>
      </c>
      <c r="D316" s="7" t="s">
        <v>81</v>
      </c>
      <c r="E316" s="9" t="str">
        <f>'NFL Schedule'!J313</f>
        <v/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ht="15" customHeight="1" x14ac:dyDescent="0.25">
      <c r="A317" s="7">
        <v>5</v>
      </c>
      <c r="B317" s="7" t="s">
        <v>72</v>
      </c>
      <c r="C317" s="8" t="s">
        <v>54</v>
      </c>
      <c r="D317" s="7" t="s">
        <v>70</v>
      </c>
      <c r="E317" s="9" t="str">
        <f>'NFL Schedule'!J314</f>
        <v/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ht="15" customHeight="1" x14ac:dyDescent="0.25">
      <c r="A318" s="7">
        <v>6</v>
      </c>
      <c r="B318" s="7" t="s">
        <v>80</v>
      </c>
      <c r="C318" s="8" t="s">
        <v>54</v>
      </c>
      <c r="D318" s="7" t="s">
        <v>88</v>
      </c>
      <c r="E318" s="9" t="str">
        <f>'NFL Schedule'!J315</f>
        <v/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ht="15" customHeight="1" x14ac:dyDescent="0.25">
      <c r="A319" s="7">
        <v>7</v>
      </c>
      <c r="B319" s="7" t="s">
        <v>58</v>
      </c>
      <c r="C319" s="8" t="s">
        <v>54</v>
      </c>
      <c r="D319" s="7" t="s">
        <v>78</v>
      </c>
      <c r="E319" s="9" t="str">
        <f>'NFL Schedule'!J316</f>
        <v/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15" customHeight="1" x14ac:dyDescent="0.25">
      <c r="A320" s="7">
        <v>8</v>
      </c>
      <c r="B320" s="7" t="s">
        <v>61</v>
      </c>
      <c r="C320" s="8" t="s">
        <v>54</v>
      </c>
      <c r="D320" s="7" t="s">
        <v>82</v>
      </c>
      <c r="E320" s="9" t="str">
        <f>'NFL Schedule'!J317</f>
        <v/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ht="15" customHeight="1" x14ac:dyDescent="0.25">
      <c r="A321" s="7">
        <v>9</v>
      </c>
      <c r="B321" s="7" t="s">
        <v>79</v>
      </c>
      <c r="C321" s="8" t="s">
        <v>54</v>
      </c>
      <c r="D321" s="7" t="s">
        <v>57</v>
      </c>
      <c r="E321" s="9" t="str">
        <f>'NFL Schedule'!J318</f>
        <v/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ht="15" customHeight="1" x14ac:dyDescent="0.25">
      <c r="A322" s="7">
        <v>10</v>
      </c>
      <c r="B322" s="7" t="s">
        <v>63</v>
      </c>
      <c r="C322" s="8" t="s">
        <v>54</v>
      </c>
      <c r="D322" s="7" t="s">
        <v>65</v>
      </c>
      <c r="E322" s="9" t="str">
        <f>'NFL Schedule'!J319</f>
        <v/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ht="15" customHeight="1" x14ac:dyDescent="0.25">
      <c r="A323" s="7">
        <v>11</v>
      </c>
      <c r="B323" s="7" t="s">
        <v>84</v>
      </c>
      <c r="C323" s="8" t="s">
        <v>54</v>
      </c>
      <c r="D323" s="7" t="s">
        <v>86</v>
      </c>
      <c r="E323" s="9" t="str">
        <f>'NFL Schedule'!J320</f>
        <v/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ht="15" customHeight="1" x14ac:dyDescent="0.25">
      <c r="A324" s="7">
        <v>12</v>
      </c>
      <c r="B324" s="7" t="s">
        <v>59</v>
      </c>
      <c r="C324" s="8" t="s">
        <v>54</v>
      </c>
      <c r="D324" s="7" t="s">
        <v>77</v>
      </c>
      <c r="E324" s="9" t="str">
        <f>'NFL Schedule'!J321</f>
        <v/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ht="15" customHeight="1" x14ac:dyDescent="0.25">
      <c r="A325" s="7">
        <v>13</v>
      </c>
      <c r="B325" s="7" t="s">
        <v>85</v>
      </c>
      <c r="C325" s="8" t="s">
        <v>54</v>
      </c>
      <c r="D325" s="7" t="s">
        <v>83</v>
      </c>
      <c r="E325" s="9" t="str">
        <f>'NFL Schedule'!J322</f>
        <v/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ht="15" customHeight="1" x14ac:dyDescent="0.25">
      <c r="A326" s="7">
        <v>14</v>
      </c>
      <c r="B326" s="7" t="s">
        <v>73</v>
      </c>
      <c r="C326" s="8" t="s">
        <v>54</v>
      </c>
      <c r="D326" s="7" t="s">
        <v>62</v>
      </c>
      <c r="E326" s="9" t="str">
        <f>'NFL Schedule'!J323</f>
        <v/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ht="15" customHeight="1" x14ac:dyDescent="0.25">
      <c r="A327" s="7">
        <v>15</v>
      </c>
      <c r="B327" s="7" t="s">
        <v>74</v>
      </c>
      <c r="C327" s="8" t="s">
        <v>54</v>
      </c>
      <c r="D327" s="7" t="s">
        <v>69</v>
      </c>
      <c r="E327" s="9" t="str">
        <f>'NFL Schedule'!J324</f>
        <v/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ht="15" customHeight="1" x14ac:dyDescent="0.25">
      <c r="A328" s="7">
        <v>16</v>
      </c>
      <c r="B328" s="7" t="s">
        <v>76</v>
      </c>
      <c r="C328" s="8" t="s">
        <v>54</v>
      </c>
      <c r="D328" s="7" t="s">
        <v>68</v>
      </c>
      <c r="E328" s="9" t="str">
        <f>'NFL Schedule'!J325</f>
        <v/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x14ac:dyDescent="0.25">
      <c r="A329" s="11" t="s">
        <v>63</v>
      </c>
      <c r="B329" s="12" t="s">
        <v>89</v>
      </c>
      <c r="E329" s="13" t="str">
        <f>'NFL Schedule'!E326</f>
        <v/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</row>
  </sheetData>
  <mergeCells count="26">
    <mergeCell ref="A1:Q1"/>
    <mergeCell ref="A2:Q2"/>
    <mergeCell ref="A4:Q4"/>
    <mergeCell ref="A23:Q23"/>
    <mergeCell ref="A42:Q42"/>
    <mergeCell ref="A61:Q61"/>
    <mergeCell ref="A80:Q80"/>
    <mergeCell ref="A98:Q98"/>
    <mergeCell ref="A115:Q115"/>
    <mergeCell ref="S115:AD115"/>
    <mergeCell ref="A132:Q132"/>
    <mergeCell ref="S132:AD132"/>
    <mergeCell ref="A149:Q149"/>
    <mergeCell ref="S149:AD149"/>
    <mergeCell ref="A167:Q167"/>
    <mergeCell ref="S167:AD167"/>
    <mergeCell ref="A184:Q184"/>
    <mergeCell ref="S184:AD184"/>
    <mergeCell ref="A200:Q200"/>
    <mergeCell ref="S200:AD200"/>
    <mergeCell ref="A219:Q219"/>
    <mergeCell ref="A236:Q236"/>
    <mergeCell ref="A254:Q254"/>
    <mergeCell ref="A273:Q273"/>
    <mergeCell ref="A292:Q292"/>
    <mergeCell ref="A311:Q311"/>
  </mergeCells>
  <conditionalFormatting sqref="S117:AD130">
    <cfRule type="expression" dxfId="23" priority="2">
      <formula>AND(S117&lt;&gt;"",COUNTIF(S$117:S$130,S117)&gt;1)</formula>
    </cfRule>
    <cfRule type="expression" dxfId="22" priority="3">
      <formula>OR(AND(F117&lt;&gt;"",S117=""),AND(F117="",S117&lt;&gt;""))</formula>
    </cfRule>
  </conditionalFormatting>
  <conditionalFormatting sqref="S131:AD131">
    <cfRule type="expression" dxfId="21" priority="4">
      <formula>S131="✓"</formula>
    </cfRule>
    <cfRule type="expression" dxfId="20" priority="5">
      <formula>S131="FIX"</formula>
    </cfRule>
  </conditionalFormatting>
  <conditionalFormatting sqref="S134:AD147">
    <cfRule type="expression" dxfId="19" priority="6">
      <formula>AND(S134&lt;&gt;"",COUNTIF(S$134:S$147,S134)&gt;1)</formula>
    </cfRule>
    <cfRule type="expression" dxfId="18" priority="7">
      <formula>OR(AND(F134&lt;&gt;"",S134=""),AND(F134="",S134&lt;&gt;""))</formula>
    </cfRule>
  </conditionalFormatting>
  <conditionalFormatting sqref="S148:AD148">
    <cfRule type="expression" dxfId="17" priority="8">
      <formula>S148="✓"</formula>
    </cfRule>
    <cfRule type="expression" dxfId="16" priority="9">
      <formula>S148="FIX"</formula>
    </cfRule>
  </conditionalFormatting>
  <conditionalFormatting sqref="S151:AD165">
    <cfRule type="expression" dxfId="15" priority="10">
      <formula>AND(S151&lt;&gt;"",COUNTIF(S$151:S$165,S151)&gt;1)</formula>
    </cfRule>
    <cfRule type="expression" dxfId="14" priority="11">
      <formula>OR(AND(F151&lt;&gt;"",S151=""),AND(F151="",S151&lt;&gt;""))</formula>
    </cfRule>
  </conditionalFormatting>
  <conditionalFormatting sqref="S166:AD166">
    <cfRule type="expression" dxfId="13" priority="12">
      <formula>S166="✓"</formula>
    </cfRule>
    <cfRule type="expression" dxfId="12" priority="13">
      <formula>S166="FIX"</formula>
    </cfRule>
  </conditionalFormatting>
  <conditionalFormatting sqref="S169:AD182">
    <cfRule type="expression" dxfId="11" priority="14">
      <formula>AND(S169&lt;&gt;"",COUNTIF(S$169:S$182,S169)&gt;1)</formula>
    </cfRule>
    <cfRule type="expression" dxfId="10" priority="15">
      <formula>OR(AND(F169&lt;&gt;"",S169=""),AND(F169="",S169&lt;&gt;""))</formula>
    </cfRule>
  </conditionalFormatting>
  <conditionalFormatting sqref="S183:AD183">
    <cfRule type="expression" dxfId="9" priority="16">
      <formula>S183="✓"</formula>
    </cfRule>
    <cfRule type="expression" dxfId="8" priority="17">
      <formula>S183="FIX"</formula>
    </cfRule>
  </conditionalFormatting>
  <conditionalFormatting sqref="S186:AD198">
    <cfRule type="expression" dxfId="7" priority="18">
      <formula>AND(S186&lt;&gt;"",COUNTIF(S$186:S$198,S186)&gt;1)</formula>
    </cfRule>
    <cfRule type="expression" dxfId="6" priority="19">
      <formula>OR(AND(F186&lt;&gt;"",S186=""),AND(F186="",S186&lt;&gt;""))</formula>
    </cfRule>
  </conditionalFormatting>
  <conditionalFormatting sqref="S199:AD199">
    <cfRule type="expression" dxfId="5" priority="20">
      <formula>S199="✓"</formula>
    </cfRule>
    <cfRule type="expression" dxfId="4" priority="21">
      <formula>S199="FIX"</formula>
    </cfRule>
  </conditionalFormatting>
  <conditionalFormatting sqref="S202:AD217">
    <cfRule type="expression" dxfId="3" priority="22">
      <formula>AND(S202&lt;&gt;"",COUNTIF(S$202:S$217,S202)&gt;1)</formula>
    </cfRule>
    <cfRule type="expression" dxfId="2" priority="23">
      <formula>OR(AND(F202&lt;&gt;"",S202=""),AND(F202="",S202&lt;&gt;""))</formula>
    </cfRule>
  </conditionalFormatting>
  <conditionalFormatting sqref="S218:AD218">
    <cfRule type="expression" dxfId="1" priority="24">
      <formula>S218="✓"</formula>
    </cfRule>
    <cfRule type="expression" dxfId="0" priority="25">
      <formula>S218="FIX"</formula>
    </cfRule>
  </conditionalFormatting>
  <dataValidations count="274">
    <dataValidation type="list" allowBlank="1" showInputMessage="1" showErrorMessage="1" errorTitle="Invalid Pick" error="Pick must be NE or SEA" promptTitle="ATS Pick" prompt="Pick NE or SEA" sqref="F6:Q6" xr:uid="{00000000-0002-0000-0200-000000000000}">
      <formula1>"NE,SEA"</formula1>
      <formula2>0</formula2>
    </dataValidation>
    <dataValidation type="list" allowBlank="1" showInputMessage="1" showErrorMessage="1" errorTitle="Invalid Pick" error="Pick must be SF or LAR" promptTitle="ATS Pick" prompt="Pick SF or LAR" sqref="F7:Q7" xr:uid="{00000000-0002-0000-0200-000001000000}">
      <formula1>"SF,LAR"</formula1>
      <formula2>0</formula2>
    </dataValidation>
    <dataValidation type="list" allowBlank="1" showInputMessage="1" showErrorMessage="1" errorTitle="Invalid Pick" error="Pick must be CHI or CAR" promptTitle="ATS Pick" prompt="Pick CHI or CAR" sqref="F8:Q8" xr:uid="{00000000-0002-0000-0200-000002000000}">
      <formula1>"CHI,CAR"</formula1>
      <formula2>0</formula2>
    </dataValidation>
    <dataValidation type="list" allowBlank="1" showInputMessage="1" showErrorMessage="1" errorTitle="Invalid Pick" error="Pick must be TB or CIN" promptTitle="ATS Pick" prompt="Pick TB or CIN" sqref="F9:Q9" xr:uid="{00000000-0002-0000-0200-000003000000}">
      <formula1>"TB,CIN"</formula1>
      <formula2>0</formula2>
    </dataValidation>
    <dataValidation type="list" allowBlank="1" showInputMessage="1" showErrorMessage="1" errorTitle="Invalid Pick" error="Pick must be NO or DET" promptTitle="ATS Pick" prompt="Pick NO or DET" sqref="F10:Q10" xr:uid="{00000000-0002-0000-0200-000004000000}">
      <formula1>"NO,DET"</formula1>
      <formula2>0</formula2>
    </dataValidation>
    <dataValidation type="list" allowBlank="1" showInputMessage="1" showErrorMessage="1" errorTitle="Invalid Pick" error="Pick must be BUF or HOU" promptTitle="ATS Pick" prompt="Pick BUF or HOU" sqref="F11:Q11" xr:uid="{00000000-0002-0000-0200-000005000000}">
      <formula1>"BUF,HOU"</formula1>
      <formula2>0</formula2>
    </dataValidation>
    <dataValidation type="list" allowBlank="1" showInputMessage="1" showErrorMessage="1" errorTitle="Invalid Pick" error="Pick must be BAL or IND" promptTitle="ATS Pick" prompt="Pick BAL or IND" sqref="F12:Q12" xr:uid="{00000000-0002-0000-0200-000006000000}">
      <formula1>"BAL,IND"</formula1>
      <formula2>0</formula2>
    </dataValidation>
    <dataValidation type="list" allowBlank="1" showInputMessage="1" showErrorMessage="1" errorTitle="Invalid Pick" error="Pick must be CLE or JAX" promptTitle="ATS Pick" prompt="Pick CLE or JAX" sqref="F13:Q13" xr:uid="{00000000-0002-0000-0200-000007000000}">
      <formula1>"CLE,JAX"</formula1>
      <formula2>0</formula2>
    </dataValidation>
    <dataValidation type="list" allowBlank="1" showInputMessage="1" showErrorMessage="1" errorTitle="Invalid Pick" error="Pick must be ATL or PIT" promptTitle="ATS Pick" prompt="Pick ATL or PIT" sqref="F14:Q14" xr:uid="{00000000-0002-0000-0200-000008000000}">
      <formula1>"ATL,PIT"</formula1>
      <formula2>0</formula2>
    </dataValidation>
    <dataValidation type="list" allowBlank="1" showInputMessage="1" showErrorMessage="1" errorTitle="Invalid Pick" error="Pick must be NYJ or TEN" promptTitle="ATS Pick" prompt="Pick NYJ or TEN" sqref="F15:Q15" xr:uid="{00000000-0002-0000-0200-000009000000}">
      <formula1>"NYJ,TEN"</formula1>
      <formula2>0</formula2>
    </dataValidation>
    <dataValidation type="list" allowBlank="1" showInputMessage="1" showErrorMessage="1" errorTitle="Invalid Pick" error="Pick must be ARI or LAC" promptTitle="ATS Pick" prompt="Pick ARI or LAC" sqref="F16:Q16 F109:Q109" xr:uid="{00000000-0002-0000-0200-00000A000000}">
      <formula1>"ARI,LAC"</formula1>
      <formula2>0</formula2>
    </dataValidation>
    <dataValidation type="list" allowBlank="1" showInputMessage="1" showErrorMessage="1" errorTitle="Invalid Pick" error="Pick must be MIA or LV" promptTitle="ATS Pick" prompt="Pick MIA or LV" sqref="F17:Q17" xr:uid="{00000000-0002-0000-0200-00000B000000}">
      <formula1>"MIA,LV"</formula1>
      <formula2>0</formula2>
    </dataValidation>
    <dataValidation type="list" allowBlank="1" showInputMessage="1" showErrorMessage="1" errorTitle="Invalid Pick" error="Pick must be GB or MIN" promptTitle="ATS Pick" prompt="Pick GB or MIN" sqref="F18:Q18" xr:uid="{00000000-0002-0000-0200-00000C000000}">
      <formula1>"GB,MIN"</formula1>
      <formula2>0</formula2>
    </dataValidation>
    <dataValidation type="list" allowBlank="1" showInputMessage="1" showErrorMessage="1" errorTitle="Invalid Pick" error="Pick must be WAS or PHI" promptTitle="ATS Pick" prompt="Pick WAS or PHI" sqref="F19:Q19" xr:uid="{00000000-0002-0000-0200-00000D000000}">
      <formula1>"WAS,PHI"</formula1>
      <formula2>0</formula2>
    </dataValidation>
    <dataValidation type="list" allowBlank="1" showInputMessage="1" showErrorMessage="1" errorTitle="Invalid Pick" error="Pick must be DAL or NYG" promptTitle="ATS Pick" prompt="Pick DAL or NYG" sqref="F20:Q20" xr:uid="{00000000-0002-0000-0200-00000E000000}">
      <formula1>"DAL,NYG"</formula1>
      <formula2>0</formula2>
    </dataValidation>
    <dataValidation type="list" allowBlank="1" showInputMessage="1" showErrorMessage="1" errorTitle="Invalid Pick" error="Pick must be DEN or KC" promptTitle="ATS Pick" prompt="Pick DEN or KC" sqref="F21:Q21" xr:uid="{00000000-0002-0000-0200-00000F000000}">
      <formula1>"DEN,KC"</formula1>
      <formula2>0</formula2>
    </dataValidation>
    <dataValidation type="list" allowBlank="1" showInputMessage="1" showErrorMessage="1" errorTitle="Invalid Pick" error="Pick must be DET or BUF" promptTitle="ATS Pick" prompt="Pick DET or BUF" sqref="F25:Q25" xr:uid="{00000000-0002-0000-0200-000010000000}">
      <formula1>"DET,BUF"</formula1>
      <formula2>0</formula2>
    </dataValidation>
    <dataValidation type="list" allowBlank="1" showInputMessage="1" showErrorMessage="1" errorTitle="Invalid Pick" error="Pick must be CAR or ATL" promptTitle="ATS Pick" prompt="Pick CAR or ATL" sqref="F26:Q26" xr:uid="{00000000-0002-0000-0200-000011000000}">
      <formula1>"CAR,ATL"</formula1>
      <formula2>0</formula2>
    </dataValidation>
    <dataValidation type="list" allowBlank="1" showInputMessage="1" showErrorMessage="1" errorTitle="Invalid Pick" error="Pick must be NO or BAL" promptTitle="ATS Pick" prompt="Pick NO or BAL" sqref="F27:Q27" xr:uid="{00000000-0002-0000-0200-000012000000}">
      <formula1>"NO,BAL"</formula1>
      <formula2>0</formula2>
    </dataValidation>
    <dataValidation type="list" allowBlank="1" showInputMessage="1" showErrorMessage="1" errorTitle="Invalid Pick" error="Pick must be MIN or CHI" promptTitle="ATS Pick" prompt="Pick MIN or CHI" sqref="F28:Q28" xr:uid="{00000000-0002-0000-0200-000013000000}">
      <formula1>"MIN,CHI"</formula1>
      <formula2>0</formula2>
    </dataValidation>
    <dataValidation type="list" allowBlank="1" showInputMessage="1" showErrorMessage="1" errorTitle="Invalid Pick" error="Pick must be CIN or HOU" promptTitle="ATS Pick" prompt="Pick CIN or HOU" sqref="F29:Q29" xr:uid="{00000000-0002-0000-0200-000014000000}">
      <formula1>"CIN,HOU"</formula1>
      <formula2>0</formula2>
    </dataValidation>
    <dataValidation type="list" allowBlank="1" showInputMessage="1" showErrorMessage="1" errorTitle="Invalid Pick" error="Pick must be PIT or NE" promptTitle="ATS Pick" prompt="Pick PIT or NE" sqref="F30:Q30" xr:uid="{00000000-0002-0000-0200-000015000000}">
      <formula1>"PIT,NE"</formula1>
      <formula2>0</formula2>
    </dataValidation>
    <dataValidation type="list" allowBlank="1" showInputMessage="1" showErrorMessage="1" errorTitle="Invalid Pick" error="Pick must be GB or NYJ" promptTitle="ATS Pick" prompt="Pick GB or NYJ" sqref="F31:Q31" xr:uid="{00000000-0002-0000-0200-000016000000}">
      <formula1>"GB,NYJ"</formula1>
      <formula2>0</formula2>
    </dataValidation>
    <dataValidation type="list" allowBlank="1" showInputMessage="1" showErrorMessage="1" errorTitle="Invalid Pick" error="Pick must be CLE or TB" promptTitle="ATS Pick" prompt="Pick CLE or TB" sqref="F32:Q32" xr:uid="{00000000-0002-0000-0200-000017000000}">
      <formula1>"CLE,TB"</formula1>
      <formula2>0</formula2>
    </dataValidation>
    <dataValidation type="list" allowBlank="1" showInputMessage="1" showErrorMessage="1" errorTitle="Invalid Pick" error="Pick must be PHI or TEN" promptTitle="ATS Pick" prompt="Pick PHI or TEN" sqref="F33:Q33" xr:uid="{00000000-0002-0000-0200-000018000000}">
      <formula1>"PHI,TEN"</formula1>
      <formula2>0</formula2>
    </dataValidation>
    <dataValidation type="list" allowBlank="1" showInputMessage="1" showErrorMessage="1" errorTitle="Invalid Pick" error="Pick must be JAX or DEN" promptTitle="ATS Pick" prompt="Pick JAX or DEN" sqref="F34:Q34" xr:uid="{00000000-0002-0000-0200-000019000000}">
      <formula1>"JAX,DEN"</formula1>
      <formula2>0</formula2>
    </dataValidation>
    <dataValidation type="list" allowBlank="1" showInputMessage="1" showErrorMessage="1" errorTitle="Invalid Pick" error="Pick must be LV or LAC" promptTitle="ATS Pick" prompt="Pick LV or LAC" sqref="F35:Q35" xr:uid="{00000000-0002-0000-0200-00001A000000}">
      <formula1>"LV,LAC"</formula1>
      <formula2>0</formula2>
    </dataValidation>
    <dataValidation type="list" allowBlank="1" showInputMessage="1" showErrorMessage="1" errorTitle="Invalid Pick" error="Pick must be SEA or ARI" promptTitle="ATS Pick" prompt="Pick SEA or ARI" sqref="F36:Q36" xr:uid="{00000000-0002-0000-0200-00001B000000}">
      <formula1>"SEA,ARI"</formula1>
      <formula2>0</formula2>
    </dataValidation>
    <dataValidation type="list" allowBlank="1" showInputMessage="1" showErrorMessage="1" errorTitle="Invalid Pick" error="Pick must be WAS or DAL" promptTitle="ATS Pick" prompt="Pick WAS or DAL" sqref="F37:Q37" xr:uid="{00000000-0002-0000-0200-00001C000000}">
      <formula1>"WAS,DAL"</formula1>
      <formula2>0</formula2>
    </dataValidation>
    <dataValidation type="list" allowBlank="1" showInputMessage="1" showErrorMessage="1" errorTitle="Invalid Pick" error="Pick must be MIA or SF" promptTitle="ATS Pick" prompt="Pick MIA or SF" sqref="F38:Q38" xr:uid="{00000000-0002-0000-0200-00001D000000}">
      <formula1>"MIA,SF"</formula1>
      <formula2>0</formula2>
    </dataValidation>
    <dataValidation type="list" allowBlank="1" showInputMessage="1" showErrorMessage="1" errorTitle="Invalid Pick" error="Pick must be IND or KC" promptTitle="ATS Pick" prompt="Pick IND or KC" sqref="F39:Q39" xr:uid="{00000000-0002-0000-0200-00001E000000}">
      <formula1>"IND,KC"</formula1>
      <formula2>0</formula2>
    </dataValidation>
    <dataValidation type="list" allowBlank="1" showInputMessage="1" showErrorMessage="1" errorTitle="Invalid Pick" error="Pick must be NYG or LAR" promptTitle="ATS Pick" prompt="Pick NYG or LAR" sqref="F40:Q40" xr:uid="{00000000-0002-0000-0200-00001F000000}">
      <formula1>"NYG,LAR"</formula1>
      <formula2>0</formula2>
    </dataValidation>
    <dataValidation type="list" allowBlank="1" showInputMessage="1" showErrorMessage="1" errorTitle="Invalid Pick" error="Pick must be ATL or GB" promptTitle="ATS Pick" prompt="Pick ATL or GB" sqref="F44:Q44" xr:uid="{00000000-0002-0000-0200-000020000000}">
      <formula1>"ATL,GB"</formula1>
      <formula2>0</formula2>
    </dataValidation>
    <dataValidation type="list" allowBlank="1" showInputMessage="1" showErrorMessage="1" errorTitle="Invalid Pick" error="Pick must be LAC or BUF" promptTitle="ATS Pick" prompt="Pick LAC or BUF" sqref="F45:Q45" xr:uid="{00000000-0002-0000-0200-000021000000}">
      <formula1>"LAC,BUF"</formula1>
      <formula2>0</formula2>
    </dataValidation>
    <dataValidation type="list" allowBlank="1" showInputMessage="1" showErrorMessage="1" errorTitle="Invalid Pick" error="Pick must be CAR or CLE" promptTitle="ATS Pick" prompt="Pick CAR or CLE" sqref="F46:Q46" xr:uid="{00000000-0002-0000-0200-000022000000}">
      <formula1>"CAR,CLE"</formula1>
      <formula2>0</formula2>
    </dataValidation>
    <dataValidation type="list" allowBlank="1" showInputMessage="1" showErrorMessage="1" errorTitle="Invalid Pick" error="Pick must be NYJ or DET" promptTitle="ATS Pick" prompt="Pick NYJ or DET" sqref="F47:Q47" xr:uid="{00000000-0002-0000-0200-000023000000}">
      <formula1>"NYJ,DET"</formula1>
      <formula2>0</formula2>
    </dataValidation>
    <dataValidation type="list" allowBlank="1" showInputMessage="1" showErrorMessage="1" errorTitle="Invalid Pick" error="Pick must be HOU or IND" promptTitle="ATS Pick" prompt="Pick HOU or IND" sqref="F48:Q48" xr:uid="{00000000-0002-0000-0200-000024000000}">
      <formula1>"HOU,IND"</formula1>
      <formula2>0</formula2>
    </dataValidation>
    <dataValidation type="list" allowBlank="1" showInputMessage="1" showErrorMessage="1" errorTitle="Invalid Pick" error="Pick must be KC or MIA" promptTitle="ATS Pick" prompt="Pick KC or MIA" sqref="F49:Q49" xr:uid="{00000000-0002-0000-0200-000025000000}">
      <formula1>"KC,MIA"</formula1>
      <formula2>0</formula2>
    </dataValidation>
    <dataValidation type="list" allowBlank="1" showInputMessage="1" showErrorMessage="1" errorTitle="Invalid Pick" error="Pick must be TEN or NYG" promptTitle="ATS Pick" prompt="Pick TEN or NYG" sqref="F50:Q50" xr:uid="{00000000-0002-0000-0200-000026000000}">
      <formula1>"TEN,NYG"</formula1>
      <formula2>0</formula2>
    </dataValidation>
    <dataValidation type="list" allowBlank="1" showInputMessage="1" showErrorMessage="1" errorTitle="Invalid Pick" error="Pick must be CIN or PIT" promptTitle="ATS Pick" prompt="Pick CIN or PIT" sqref="F51:Q51" xr:uid="{00000000-0002-0000-0200-000027000000}">
      <formula1>"CIN,PIT"</formula1>
      <formula2>0</formula2>
    </dataValidation>
    <dataValidation type="list" allowBlank="1" showInputMessage="1" showErrorMessage="1" errorTitle="Invalid Pick" error="Pick must be SEA or WAS" promptTitle="ATS Pick" prompt="Pick SEA or WAS" sqref="F52:Q52" xr:uid="{00000000-0002-0000-0200-000028000000}">
      <formula1>"SEA,WAS"</formula1>
      <formula2>0</formula2>
    </dataValidation>
    <dataValidation type="list" allowBlank="1" showInputMessage="1" showErrorMessage="1" errorTitle="Invalid Pick" error="Pick must be NE or JAX" promptTitle="ATS Pick" prompt="Pick NE or JAX" sqref="F53:Q53" xr:uid="{00000000-0002-0000-0200-000029000000}">
      <formula1>"NE,JAX"</formula1>
      <formula2>0</formula2>
    </dataValidation>
    <dataValidation type="list" allowBlank="1" showInputMessage="1" showErrorMessage="1" errorTitle="Invalid Pick" error="Pick must be ARI or SF" promptTitle="ATS Pick" prompt="Pick ARI or SF" sqref="F54:Q54" xr:uid="{00000000-0002-0000-0200-00002A000000}">
      <formula1>"ARI,SF"</formula1>
      <formula2>0</formula2>
    </dataValidation>
    <dataValidation type="list" allowBlank="1" showInputMessage="1" showErrorMessage="1" errorTitle="Invalid Pick" error="Pick must be MIN or TB" promptTitle="ATS Pick" prompt="Pick MIN or TB" sqref="F55:Q55" xr:uid="{00000000-0002-0000-0200-00002B000000}">
      <formula1>"MIN,TB"</formula1>
      <formula2>0</formula2>
    </dataValidation>
    <dataValidation type="list" allowBlank="1" showInputMessage="1" showErrorMessage="1" errorTitle="Invalid Pick" error="Pick must be BAL or DAL" promptTitle="ATS Pick" prompt="Pick BAL or DAL" sqref="F56:Q56" xr:uid="{00000000-0002-0000-0200-00002C000000}">
      <formula1>"BAL,DAL"</formula1>
      <formula2>0</formula2>
    </dataValidation>
    <dataValidation type="list" allowBlank="1" showInputMessage="1" showErrorMessage="1" errorTitle="Invalid Pick" error="Pick must be LV or NO" promptTitle="ATS Pick" prompt="Pick LV or NO" sqref="F57:Q57" xr:uid="{00000000-0002-0000-0200-00002D000000}">
      <formula1>"LV,NO"</formula1>
      <formula2>0</formula2>
    </dataValidation>
    <dataValidation type="list" allowBlank="1" showInputMessage="1" showErrorMessage="1" errorTitle="Invalid Pick" error="Pick must be LAR or DEN" promptTitle="ATS Pick" prompt="Pick LAR or DEN" sqref="F58:Q58 F315:Q315" xr:uid="{00000000-0002-0000-0200-00002E000000}">
      <formula1>"LAR,DEN"</formula1>
      <formula2>0</formula2>
    </dataValidation>
    <dataValidation type="list" allowBlank="1" showInputMessage="1" showErrorMessage="1" errorTitle="Invalid Pick" error="Pick must be PHI or CHI" promptTitle="ATS Pick" prompt="Pick PHI or CHI" sqref="F59:Q59" xr:uid="{00000000-0002-0000-0200-00002F000000}">
      <formula1>"PHI,CHI"</formula1>
      <formula2>0</formula2>
    </dataValidation>
    <dataValidation type="list" allowBlank="1" showInputMessage="1" showErrorMessage="1" errorTitle="Invalid Pick" error="Pick must be PIT or CLE" promptTitle="ATS Pick" prompt="Pick PIT or CLE" sqref="F63:Q63" xr:uid="{00000000-0002-0000-0200-000030000000}">
      <formula1>"PIT,CLE"</formula1>
      <formula2>0</formula2>
    </dataValidation>
    <dataValidation type="list" allowBlank="1" showInputMessage="1" showErrorMessage="1" errorTitle="Invalid Pick" error="Pick must be IND or WAS" promptTitle="ATS Pick" prompt="Pick IND or WAS" sqref="F64:Q64" xr:uid="{00000000-0002-0000-0200-000031000000}">
      <formula1>"IND,WAS"</formula1>
      <formula2>0</formula2>
    </dataValidation>
    <dataValidation type="list" allowBlank="1" showInputMessage="1" showErrorMessage="1" errorTitle="Invalid Pick" error="Pick must be NE or BUF" promptTitle="ATS Pick" prompt="Pick NE or BUF" sqref="F65:Q65" xr:uid="{00000000-0002-0000-0200-000032000000}">
      <formula1>"NE,BUF"</formula1>
      <formula2>0</formula2>
    </dataValidation>
    <dataValidation type="list" allowBlank="1" showInputMessage="1" showErrorMessage="1" errorTitle="Invalid Pick" error="Pick must be NYJ or CHI" promptTitle="ATS Pick" prompt="Pick NYJ or CHI" sqref="F66:Q66" xr:uid="{00000000-0002-0000-0200-000033000000}">
      <formula1>"NYJ,CHI"</formula1>
      <formula2>0</formula2>
    </dataValidation>
    <dataValidation type="list" allowBlank="1" showInputMessage="1" showErrorMessage="1" errorTitle="Invalid Pick" error="Pick must be JAX or CIN" promptTitle="ATS Pick" prompt="Pick JAX or CIN" sqref="F67:Q67" xr:uid="{00000000-0002-0000-0200-000034000000}">
      <formula1>"JAX,CIN"</formula1>
      <formula2>0</formula2>
    </dataValidation>
    <dataValidation type="list" allowBlank="1" showInputMessage="1" showErrorMessage="1" errorTitle="Invalid Pick" error="Pick must be ARI or NYG" promptTitle="ATS Pick" prompt="Pick ARI or NYG" sqref="F68:Q68" xr:uid="{00000000-0002-0000-0200-000035000000}">
      <formula1>"ARI,NYG"</formula1>
      <formula2>0</formula2>
    </dataValidation>
    <dataValidation type="list" allowBlank="1" showInputMessage="1" showErrorMessage="1" errorTitle="Invalid Pick" error="Pick must be LAR or PHI" promptTitle="ATS Pick" prompt="Pick LAR or PHI" sqref="F69:Q69" xr:uid="{00000000-0002-0000-0200-000036000000}">
      <formula1>"LAR,PHI"</formula1>
      <formula2>0</formula2>
    </dataValidation>
    <dataValidation type="list" allowBlank="1" showInputMessage="1" showErrorMessage="1" errorTitle="Invalid Pick" error="Pick must be GB or TB" promptTitle="ATS Pick" prompt="Pick GB or TB" sqref="F70:Q70" xr:uid="{00000000-0002-0000-0200-000037000000}">
      <formula1>"GB,TB"</formula1>
      <formula2>0</formula2>
    </dataValidation>
    <dataValidation type="list" allowBlank="1" showInputMessage="1" showErrorMessage="1" errorTitle="Invalid Pick" error="Pick must be TEN or BAL" promptTitle="ATS Pick" prompt="Pick TEN or BAL" sqref="F71:Q71" xr:uid="{00000000-0002-0000-0200-000038000000}">
      <formula1>"TEN,BAL"</formula1>
      <formula2>0</formula2>
    </dataValidation>
    <dataValidation type="list" allowBlank="1" showInputMessage="1" showErrorMessage="1" errorTitle="Invalid Pick" error="Pick must be DAL or HOU" promptTitle="ATS Pick" prompt="Pick DAL or HOU" sqref="F72:Q72" xr:uid="{00000000-0002-0000-0200-000039000000}">
      <formula1>"DAL,HOU"</formula1>
      <formula2>0</formula2>
    </dataValidation>
    <dataValidation type="list" allowBlank="1" showInputMessage="1" showErrorMessage="1" errorTitle="Invalid Pick" error="Pick must be MIA or MIN" promptTitle="ATS Pick" prompt="Pick MIA or MIN" sqref="F73:Q73" xr:uid="{00000000-0002-0000-0200-00003A000000}">
      <formula1>"MIA,MIN"</formula1>
      <formula2>0</formula2>
    </dataValidation>
    <dataValidation type="list" allowBlank="1" showInputMessage="1" showErrorMessage="1" errorTitle="Invalid Pick" error="Pick must be KC or LV" promptTitle="ATS Pick" prompt="Pick KC or LV" sqref="F74:Q74" xr:uid="{00000000-0002-0000-0200-00003B000000}">
      <formula1>"KC,LV"</formula1>
      <formula2>0</formula2>
    </dataValidation>
    <dataValidation type="list" allowBlank="1" showInputMessage="1" showErrorMessage="1" errorTitle="Invalid Pick" error="Pick must be DEN or SF" promptTitle="ATS Pick" prompt="Pick DEN or SF" sqref="F75:Q75" xr:uid="{00000000-0002-0000-0200-00003C000000}">
      <formula1>"DEN,SF"</formula1>
      <formula2>0</formula2>
    </dataValidation>
    <dataValidation type="list" allowBlank="1" showInputMessage="1" showErrorMessage="1" errorTitle="Invalid Pick" error="Pick must be LAC or SEA" promptTitle="ATS Pick" prompt="Pick LAC or SEA" sqref="F76:Q76" xr:uid="{00000000-0002-0000-0200-00003D000000}">
      <formula1>"LAC,SEA"</formula1>
      <formula2>0</formula2>
    </dataValidation>
    <dataValidation type="list" allowBlank="1" showInputMessage="1" showErrorMessage="1" errorTitle="Invalid Pick" error="Pick must be DET or CAR" promptTitle="ATS Pick" prompt="Pick DET or CAR" sqref="F77:Q77" xr:uid="{00000000-0002-0000-0200-00003E000000}">
      <formula1>"DET,CAR"</formula1>
      <formula2>0</formula2>
    </dataValidation>
    <dataValidation type="list" allowBlank="1" showInputMessage="1" showErrorMessage="1" errorTitle="Invalid Pick" error="Pick must be ATL or NO" promptTitle="ATS Pick" prompt="Pick ATL or NO" sqref="F78:Q78" xr:uid="{00000000-0002-0000-0200-00003F000000}">
      <formula1>"ATL,NO"</formula1>
      <formula2>0</formula2>
    </dataValidation>
    <dataValidation type="list" allowBlank="1" showInputMessage="1" showErrorMessage="1" errorTitle="Invalid Pick" error="Pick must be TB or DAL" promptTitle="ATS Pick" prompt="Pick TB or DAL" sqref="F82:Q82" xr:uid="{00000000-0002-0000-0200-000040000000}">
      <formula1>"TB,DAL"</formula1>
      <formula2>0</formula2>
    </dataValidation>
    <dataValidation type="list" allowBlank="1" showInputMessage="1" showErrorMessage="1" errorTitle="Invalid Pick" error="Pick must be PHI or JAX" promptTitle="ATS Pick" prompt="Pick PHI or JAX" sqref="F83:Q83" xr:uid="{00000000-0002-0000-0200-000041000000}">
      <formula1>"PHI,JAX"</formula1>
      <formula2>0</formula2>
    </dataValidation>
    <dataValidation type="list" allowBlank="1" showInputMessage="1" showErrorMessage="1" errorTitle="Invalid Pick" error="Pick must be HOU or TEN" promptTitle="ATS Pick" prompt="Pick HOU or TEN" sqref="F84:Q84" xr:uid="{00000000-0002-0000-0200-000042000000}">
      <formula1>"HOU,TEN"</formula1>
      <formula2>0</formula2>
    </dataValidation>
    <dataValidation type="list" allowBlank="1" showInputMessage="1" showErrorMessage="1" errorTitle="Invalid Pick" error="Pick must be CIN or MIA" promptTitle="ATS Pick" prompt="Pick CIN or MIA" sqref="F85:Q85" xr:uid="{00000000-0002-0000-0200-000043000000}">
      <formula1>"CIN,MIA"</formula1>
      <formula2>0</formula2>
    </dataValidation>
    <dataValidation type="list" allowBlank="1" showInputMessage="1" showErrorMessage="1" errorTitle="Invalid Pick" error="Pick must be LV or NE" promptTitle="ATS Pick" prompt="Pick LV or NE" sqref="F86:Q86" xr:uid="{00000000-0002-0000-0200-000044000000}">
      <formula1>"LV,NE"</formula1>
      <formula2>0</formula2>
    </dataValidation>
    <dataValidation type="list" allowBlank="1" showInputMessage="1" showErrorMessage="1" errorTitle="Invalid Pick" error="Pick must be MIN or NO" promptTitle="ATS Pick" prompt="Pick MIN or NO" sqref="F87:Q87" xr:uid="{00000000-0002-0000-0200-000045000000}">
      <formula1>"MIN,NO"</formula1>
      <formula2>0</formula2>
    </dataValidation>
    <dataValidation type="list" allowBlank="1" showInputMessage="1" showErrorMessage="1" errorTitle="Invalid Pick" error="Pick must be CLE or NYJ" promptTitle="ATS Pick" prompt="Pick CLE or NYJ" sqref="F88:Q88" xr:uid="{00000000-0002-0000-0200-000046000000}">
      <formula1>"CLE,NYJ"</formula1>
      <formula2>0</formula2>
    </dataValidation>
    <dataValidation type="list" allowBlank="1" showInputMessage="1" showErrorMessage="1" errorTitle="Invalid Pick" error="Pick must be IND or PIT" promptTitle="ATS Pick" prompt="Pick IND or PIT" sqref="F89:Q89" xr:uid="{00000000-0002-0000-0200-000047000000}">
      <formula1>"IND,PIT"</formula1>
      <formula2>0</formula2>
    </dataValidation>
    <dataValidation type="list" allowBlank="1" showInputMessage="1" showErrorMessage="1" errorTitle="Invalid Pick" error="Pick must be NYG or WAS" promptTitle="ATS Pick" prompt="Pick NYG or WAS" sqref="F90:Q90" xr:uid="{00000000-0002-0000-0200-000048000000}">
      <formula1>"NYG,WAS"</formula1>
      <formula2>0</formula2>
    </dataValidation>
    <dataValidation type="list" allowBlank="1" showInputMessage="1" showErrorMessage="1" errorTitle="Invalid Pick" error="Pick must be DEN or LAC" promptTitle="ATS Pick" prompt="Pick DEN or LAC" sqref="F91:Q91" xr:uid="{00000000-0002-0000-0200-000049000000}">
      <formula1>"DEN,LAC"</formula1>
      <formula2>0</formula2>
    </dataValidation>
    <dataValidation type="list" allowBlank="1" showInputMessage="1" showErrorMessage="1" errorTitle="Invalid Pick" error="Pick must be CHI or GB" promptTitle="ATS Pick" prompt="Pick CHI or GB" sqref="F92:Q92" xr:uid="{00000000-0002-0000-0200-00004A000000}">
      <formula1>"CHI,GB"</formula1>
      <formula2>0</formula2>
    </dataValidation>
    <dataValidation type="list" allowBlank="1" showInputMessage="1" showErrorMessage="1" errorTitle="Invalid Pick" error="Pick must be DET or ARI" promptTitle="ATS Pick" prompt="Pick DET or ARI" sqref="F93:Q93" xr:uid="{00000000-0002-0000-0200-00004B000000}">
      <formula1>"DET,ARI"</formula1>
      <formula2>0</formula2>
    </dataValidation>
    <dataValidation type="list" allowBlank="1" showInputMessage="1" showErrorMessage="1" errorTitle="Invalid Pick" error="Pick must be SF or SEA" promptTitle="ATS Pick" prompt="Pick SF or SEA" sqref="F94:Q94" xr:uid="{00000000-0002-0000-0200-00004C000000}">
      <formula1>"SF,SEA"</formula1>
      <formula2>0</formula2>
    </dataValidation>
    <dataValidation type="list" allowBlank="1" showInputMessage="1" showErrorMessage="1" errorTitle="Invalid Pick" error="Pick must be BAL or ATL" promptTitle="ATS Pick" prompt="Pick BAL or ATL" sqref="F95:Q95" xr:uid="{00000000-0002-0000-0200-00004D000000}">
      <formula1>"BAL,ATL"</formula1>
      <formula2>0</formula2>
    </dataValidation>
    <dataValidation type="list" allowBlank="1" showInputMessage="1" showErrorMessage="1" errorTitle="Invalid Pick" error="Pick must be BUF or LAR" promptTitle="ATS Pick" prompt="Pick BUF or LAR" sqref="F96:Q96" xr:uid="{00000000-0002-0000-0200-00004E000000}">
      <formula1>"BUF,LAR"</formula1>
      <formula2>0</formula2>
    </dataValidation>
    <dataValidation type="list" allowBlank="1" showInputMessage="1" showErrorMessage="1" errorTitle="Invalid Pick" error="Pick must be SEA or DEN" promptTitle="ATS Pick" prompt="Pick SEA or DEN" sqref="F100:Q100" xr:uid="{00000000-0002-0000-0200-00004F000000}">
      <formula1>"SEA,DEN"</formula1>
      <formula2>0</formula2>
    </dataValidation>
    <dataValidation type="list" allowBlank="1" showInputMessage="1" showErrorMessage="1" errorTitle="Invalid Pick" error="Pick must be HOU or JAX" promptTitle="ATS Pick" prompt="Pick HOU or JAX" sqref="F101:Q101" xr:uid="{00000000-0002-0000-0200-000050000000}">
      <formula1>"HOU,JAX"</formula1>
      <formula2>0</formula2>
    </dataValidation>
    <dataValidation type="list" allowBlank="1" showInputMessage="1" showErrorMessage="1" errorTitle="Invalid Pick" error="Pick must be CHI or ATL" promptTitle="ATS Pick" prompt="Pick CHI or ATL" sqref="F102:Q102" xr:uid="{00000000-0002-0000-0200-000051000000}">
      <formula1>"CHI,ATL"</formula1>
      <formula2>0</formula2>
    </dataValidation>
    <dataValidation type="list" allowBlank="1" showInputMessage="1" showErrorMessage="1" errorTitle="Invalid Pick" error="Pick must be BAL or CLE" promptTitle="ATS Pick" prompt="Pick BAL or CLE" sqref="F103:Q103" xr:uid="{00000000-0002-0000-0200-000052000000}">
      <formula1>"BAL,CLE"</formula1>
      <formula2>0</formula2>
    </dataValidation>
    <dataValidation type="list" allowBlank="1" showInputMessage="1" showErrorMessage="1" errorTitle="Invalid Pick" error="Pick must be TEN or IND" promptTitle="ATS Pick" prompt="Pick TEN or IND" sqref="F104:Q104" xr:uid="{00000000-0002-0000-0200-000053000000}">
      <formula1>"TEN,IND"</formula1>
      <formula2>0</formula2>
    </dataValidation>
    <dataValidation type="list" allowBlank="1" showInputMessage="1" showErrorMessage="1" errorTitle="Invalid Pick" error="Pick must be NYJ or NE" promptTitle="ATS Pick" prompt="Pick NYJ or NE" sqref="F105:Q105" xr:uid="{00000000-0002-0000-0200-000054000000}">
      <formula1>"NYJ,NE"</formula1>
      <formula2>0</formula2>
    </dataValidation>
    <dataValidation type="list" allowBlank="1" showInputMessage="1" showErrorMessage="1" errorTitle="Invalid Pick" error="Pick must be NO or NYG" promptTitle="ATS Pick" prompt="Pick NO or NYG" sqref="F106:Q106" xr:uid="{00000000-0002-0000-0200-000055000000}">
      <formula1>"NO,NYG"</formula1>
      <formula2>0</formula2>
    </dataValidation>
    <dataValidation type="list" allowBlank="1" showInputMessage="1" showErrorMessage="1" errorTitle="Invalid Pick" error="Pick must be CAR or PHI" promptTitle="ATS Pick" prompt="Pick CAR or PHI" sqref="F107:Q107" xr:uid="{00000000-0002-0000-0200-000056000000}">
      <formula1>"CAR,PHI"</formula1>
      <formula2>0</formula2>
    </dataValidation>
    <dataValidation type="list" allowBlank="1" showInputMessage="1" showErrorMessage="1" errorTitle="Invalid Pick" error="Pick must be PIT or TB" promptTitle="ATS Pick" prompt="Pick PIT or TB" sqref="F108:Q108" xr:uid="{00000000-0002-0000-0200-000057000000}">
      <formula1>"PIT,TB"</formula1>
      <formula2>0</formula2>
    </dataValidation>
    <dataValidation type="list" allowBlank="1" showInputMessage="1" showErrorMessage="1" errorTitle="Invalid Pick" error="Pick must be LAR or KC" promptTitle="ATS Pick" prompt="Pick LAR or KC" sqref="F110:Q110" xr:uid="{00000000-0002-0000-0200-000058000000}">
      <formula1>"LAR,KC"</formula1>
      <formula2>0</formula2>
    </dataValidation>
    <dataValidation type="list" allowBlank="1" showInputMessage="1" showErrorMessage="1" errorTitle="Invalid Pick" error="Pick must be BUF or LV" promptTitle="ATS Pick" prompt="Pick BUF or LV" sqref="F111:Q111" xr:uid="{00000000-0002-0000-0200-000059000000}">
      <formula1>"BUF,LV"</formula1>
      <formula2>0</formula2>
    </dataValidation>
    <dataValidation type="list" allowBlank="1" showInputMessage="1" showErrorMessage="1" errorTitle="Invalid Pick" error="Pick must be DAL or GB" promptTitle="ATS Pick" prompt="Pick DAL or GB" sqref="F112:Q112" xr:uid="{00000000-0002-0000-0200-00005A000000}">
      <formula1>"DAL,GB"</formula1>
      <formula2>0</formula2>
    </dataValidation>
    <dataValidation type="list" allowBlank="1" showInputMessage="1" showErrorMessage="1" errorTitle="Invalid Pick" error="Pick must be WAS or SF" promptTitle="ATS Pick" prompt="Pick WAS or SF" sqref="F113:Q113" xr:uid="{00000000-0002-0000-0200-00005B000000}">
      <formula1>"WAS,SF"</formula1>
      <formula2>0</formula2>
    </dataValidation>
    <dataValidation type="list" allowBlank="1" showInputMessage="1" showErrorMessage="1" errorTitle="Invalid Pick" error="Pick must be NE or CHI" promptTitle="ATS Pick" prompt="Pick NE or CHI" sqref="F117:Q117" xr:uid="{00000000-0002-0000-0200-00005C000000}">
      <formula1>"NE,CHI"</formula1>
      <formula2>0</formula2>
    </dataValidation>
    <dataValidation type="list" allowBlank="1" showInputMessage="1" showErrorMessage="1" errorTitle="Invalid Pick" error="Pick must be PIT or NO" promptTitle="ATS Pick" prompt="Pick PIT or NO" sqref="F118:Q118" xr:uid="{00000000-0002-0000-0200-00005D000000}">
      <formula1>"PIT,NO"</formula1>
      <formula2>0</formula2>
    </dataValidation>
    <dataValidation type="list" allowBlank="1" showInputMessage="1" showErrorMessage="1" errorTitle="Invalid Pick" error="Pick must be SF or ATL" promptTitle="ATS Pick" prompt="Pick SF or ATL" sqref="F119:Q119" xr:uid="{00000000-0002-0000-0200-00005E000000}">
      <formula1>"SF,ATL"</formula1>
      <formula2>0</formula2>
    </dataValidation>
    <dataValidation type="list" allowBlank="1" showInputMessage="1" showErrorMessage="1" errorTitle="Invalid Pick" error="Pick must be CLE or TEN" promptTitle="ATS Pick" prompt="Pick CLE or TEN" sqref="F120:Q120" xr:uid="{00000000-0002-0000-0200-00005F000000}">
      <formula1>"CLE,TEN"</formula1>
      <formula2>0</formula2>
    </dataValidation>
    <dataValidation type="list" allowBlank="1" showInputMessage="1" showErrorMessage="1" errorTitle="Invalid Pick" error="Pick must be IND or MIN" promptTitle="ATS Pick" prompt="Pick IND or MIN" sqref="F121:Q121" xr:uid="{00000000-0002-0000-0200-000060000000}">
      <formula1>"IND,MIN"</formula1>
      <formula2>0</formula2>
    </dataValidation>
    <dataValidation type="list" allowBlank="1" showInputMessage="1" showErrorMessage="1" errorTitle="Invalid Pick" error="Pick must be MIA or NYJ" promptTitle="ATS Pick" prompt="Pick MIA or NYJ" sqref="F122:Q122" xr:uid="{00000000-0002-0000-0200-000061000000}">
      <formula1>"MIA,NYJ"</formula1>
      <formula2>0</formula2>
    </dataValidation>
    <dataValidation type="list" allowBlank="1" showInputMessage="1" showErrorMessage="1" errorTitle="Invalid Pick" error="Pick must be TB or CAR" promptTitle="ATS Pick" prompt="Pick TB or CAR" sqref="F123:Q123" xr:uid="{00000000-0002-0000-0200-000062000000}">
      <formula1>"TB,CAR"</formula1>
      <formula2>0</formula2>
    </dataValidation>
    <dataValidation type="list" allowBlank="1" showInputMessage="1" showErrorMessage="1" errorTitle="Invalid Pick" error="Pick must be CIN or BAL" promptTitle="ATS Pick" prompt="Pick CIN or BAL" sqref="F124:Q124" xr:uid="{00000000-0002-0000-0200-000063000000}">
      <formula1>"CIN,BAL"</formula1>
      <formula2>0</formula2>
    </dataValidation>
    <dataValidation type="list" allowBlank="1" showInputMessage="1" showErrorMessage="1" errorTitle="Invalid Pick" error="Pick must be NYG or HOU" promptTitle="ATS Pick" prompt="Pick NYG or HOU" sqref="F125:Q125" xr:uid="{00000000-0002-0000-0200-000064000000}">
      <formula1>"NYG,HOU"</formula1>
      <formula2>0</formula2>
    </dataValidation>
    <dataValidation type="list" allowBlank="1" showInputMessage="1" showErrorMessage="1" errorTitle="Invalid Pick" error="Pick must be DEN or ARI" promptTitle="ATS Pick" prompt="Pick DEN or ARI" sqref="F126:Q126" xr:uid="{00000000-0002-0000-0200-000065000000}">
      <formula1>"DEN,ARI"</formula1>
      <formula2>0</formula2>
    </dataValidation>
    <dataValidation type="list" allowBlank="1" showInputMessage="1" showErrorMessage="1" errorTitle="Invalid Pick" error="Pick must be GB or DET" promptTitle="ATS Pick" prompt="Pick GB or DET" sqref="F127:Q127" xr:uid="{00000000-0002-0000-0200-000066000000}">
      <formula1>"GB,DET"</formula1>
      <formula2>0</formula2>
    </dataValidation>
    <dataValidation type="list" allowBlank="1" showInputMessage="1" showErrorMessage="1" errorTitle="Invalid Pick" error="Pick must be LAR or LV" promptTitle="ATS Pick" prompt="Pick LAR or LV" sqref="F128:Q128" xr:uid="{00000000-0002-0000-0200-000067000000}">
      <formula1>"LAR,LV"</formula1>
      <formula2>0</formula2>
    </dataValidation>
    <dataValidation type="list" allowBlank="1" showInputMessage="1" showErrorMessage="1" errorTitle="Invalid Pick" error="Pick must be KC or SEA" promptTitle="ATS Pick" prompt="Pick KC or SEA" sqref="F129:Q129" xr:uid="{00000000-0002-0000-0200-000068000000}">
      <formula1>"KC,SEA"</formula1>
      <formula2>0</formula2>
    </dataValidation>
    <dataValidation type="list" allowBlank="1" showInputMessage="1" showErrorMessage="1" errorTitle="Invalid Pick" error="Pick must be DAL or PHI" promptTitle="ATS Pick" prompt="Pick DAL or PHI" sqref="F130:Q130" xr:uid="{00000000-0002-0000-0200-000069000000}">
      <formula1>"DAL,PHI"</formula1>
      <formula2>0</formula2>
    </dataValidation>
    <dataValidation type="list" allowBlank="1" showInputMessage="1" showErrorMessage="1" errorTitle="Invalid Pick" error="Pick must be CAR or GB" promptTitle="ATS Pick" prompt="Pick CAR or GB" sqref="F134:Q134" xr:uid="{00000000-0002-0000-0200-00006A000000}">
      <formula1>"CAR,GB"</formula1>
      <formula2>0</formula2>
    </dataValidation>
    <dataValidation type="list" allowBlank="1" showInputMessage="1" showErrorMessage="1" errorTitle="Invalid Pick" error="Pick must be BAL or BUF" promptTitle="ATS Pick" prompt="Pick BAL or BUF" sqref="F135:Q135" xr:uid="{00000000-0002-0000-0200-00006B000000}">
      <formula1>"BAL,BUF"</formula1>
      <formula2>0</formula2>
    </dataValidation>
    <dataValidation type="list" allowBlank="1" showInputMessage="1" showErrorMessage="1" errorTitle="Invalid Pick" error="Pick must be TEN or CIN" promptTitle="ATS Pick" prompt="Pick TEN or CIN" sqref="F136:Q136" xr:uid="{00000000-0002-0000-0200-00006C000000}">
      <formula1>"TEN,CIN"</formula1>
      <formula2>0</formula2>
    </dataValidation>
    <dataValidation type="list" allowBlank="1" showInputMessage="1" showErrorMessage="1" errorTitle="Invalid Pick" error="Pick must be ARI or DAL" promptTitle="ATS Pick" prompt="Pick ARI or DAL" sqref="F137:Q137" xr:uid="{00000000-0002-0000-0200-00006D000000}">
      <formula1>"ARI,DAL"</formula1>
      <formula2>0</formula2>
    </dataValidation>
    <dataValidation type="list" allowBlank="1" showInputMessage="1" showErrorMessage="1" errorTitle="Invalid Pick" error="Pick must be MIN or DET" promptTitle="ATS Pick" prompt="Pick MIN or DET" sqref="F138:Q138" xr:uid="{00000000-0002-0000-0200-00006E000000}">
      <formula1>"MIN,DET"</formula1>
      <formula2>0</formula2>
    </dataValidation>
    <dataValidation type="list" allowBlank="1" showInputMessage="1" showErrorMessage="1" errorTitle="Invalid Pick" error="Pick must be LV or NYJ" promptTitle="ATS Pick" prompt="Pick LV or NYJ" sqref="F139:Q139" xr:uid="{00000000-0002-0000-0200-00006F000000}">
      <formula1>"LV,NYJ"</formula1>
      <formula2>0</formula2>
    </dataValidation>
    <dataValidation type="list" allowBlank="1" showInputMessage="1" showErrorMessage="1" errorTitle="Invalid Pick" error="Pick must be CLE or PIT" promptTitle="ATS Pick" prompt="Pick CLE or PIT" sqref="F140:Q140" xr:uid="{00000000-0002-0000-0200-000070000000}">
      <formula1>"CLE,PIT"</formula1>
      <formula2>0</formula2>
    </dataValidation>
    <dataValidation type="list" allowBlank="1" showInputMessage="1" showErrorMessage="1" errorTitle="Invalid Pick" error="Pick must be ATL or TB" promptTitle="ATS Pick" prompt="Pick ATL or TB" sqref="F141:Q141" xr:uid="{00000000-0002-0000-0200-000071000000}">
      <formula1>"ATL,TB"</formula1>
      <formula2>0</formula2>
    </dataValidation>
    <dataValidation type="list" allowBlank="1" showInputMessage="1" showErrorMessage="1" errorTitle="Invalid Pick" error="Pick must be IND or JAX" promptTitle="ATS Pick" prompt="Pick IND or JAX" sqref="F142:Q142" xr:uid="{00000000-0002-0000-0200-000072000000}">
      <formula1>"IND,JAX"</formula1>
      <formula2>0</formula2>
    </dataValidation>
    <dataValidation type="list" allowBlank="1" showInputMessage="1" showErrorMessage="1" errorTitle="Invalid Pick" error="Pick must be LAR or LAC" promptTitle="ATS Pick" prompt="Pick LAR or LAC" sqref="F143:Q143" xr:uid="{00000000-0002-0000-0200-000073000000}">
      <formula1>"LAR,LAC"</formula1>
      <formula2>0</formula2>
    </dataValidation>
    <dataValidation type="list" allowBlank="1" showInputMessage="1" showErrorMessage="1" errorTitle="Invalid Pick" error="Pick must be KC or DEN" promptTitle="ATS Pick" prompt="Pick KC or DEN" sqref="F144:Q144" xr:uid="{00000000-0002-0000-0200-000074000000}">
      <formula1>"KC,DEN"</formula1>
      <formula2>0</formula2>
    </dataValidation>
    <dataValidation type="list" allowBlank="1" showInputMessage="1" showErrorMessage="1" errorTitle="Invalid Pick" error="Pick must be NE or MIA" promptTitle="ATS Pick" prompt="Pick NE or MIA" sqref="F145:Q145" xr:uid="{00000000-0002-0000-0200-000075000000}">
      <formula1>"NE,MIA"</formula1>
      <formula2>0</formula2>
    </dataValidation>
    <dataValidation type="list" allowBlank="1" showInputMessage="1" showErrorMessage="1" errorTitle="Invalid Pick" error="Pick must be PHI or WAS" promptTitle="ATS Pick" prompt="Pick PHI or WAS" sqref="F146:Q146" xr:uid="{00000000-0002-0000-0200-000076000000}">
      <formula1>"PHI,WAS"</formula1>
      <formula2>0</formula2>
    </dataValidation>
    <dataValidation type="list" allowBlank="1" showInputMessage="1" showErrorMessage="1" errorTitle="Invalid Pick" error="Pick must be CHI or SEA" promptTitle="ATS Pick" prompt="Pick CHI or SEA" sqref="F147:Q147" xr:uid="{00000000-0002-0000-0200-000077000000}">
      <formula1>"CHI,SEA"</formula1>
      <formula2>0</formula2>
    </dataValidation>
    <dataValidation type="list" allowBlank="1" showInputMessage="1" showErrorMessage="1" errorTitle="Invalid Pick" error="Pick must be JAX or BAL" promptTitle="ATS Pick" prompt="Pick JAX or BAL" sqref="F151:Q151" xr:uid="{00000000-0002-0000-0200-000078000000}">
      <formula1>"JAX,BAL"</formula1>
      <formula2>0</formula2>
    </dataValidation>
    <dataValidation type="list" allowBlank="1" showInputMessage="1" showErrorMessage="1" errorTitle="Invalid Pick" error="Pick must be CIN or ATL" promptTitle="ATS Pick" prompt="Pick CIN or ATL" sqref="F152:Q152" xr:uid="{00000000-0002-0000-0200-000079000000}">
      <formula1>"CIN,ATL"</formula1>
      <formula2>0</formula2>
    </dataValidation>
    <dataValidation type="list" allowBlank="1" showInputMessage="1" showErrorMessage="1" errorTitle="Invalid Pick" error="Pick must be DAL or IND" promptTitle="ATS Pick" prompt="Pick DAL or IND" sqref="F153:Q153" xr:uid="{00000000-0002-0000-0200-00007A000000}">
      <formula1>"DAL,IND"</formula1>
      <formula2>0</formula2>
    </dataValidation>
    <dataValidation type="list" allowBlank="1" showInputMessage="1" showErrorMessage="1" errorTitle="Invalid Pick" error="Pick must be NYJ or KC" promptTitle="ATS Pick" prompt="Pick NYJ or KC" sqref="F154:Q154" xr:uid="{00000000-0002-0000-0200-00007B000000}">
      <formula1>"NYJ,KC"</formula1>
      <formula2>0</formula2>
    </dataValidation>
    <dataValidation type="list" allowBlank="1" showInputMessage="1" showErrorMessage="1" errorTitle="Invalid Pick" error="Pick must be DET or MIA" promptTitle="ATS Pick" prompt="Pick DET or MIA" sqref="F155:Q155" xr:uid="{00000000-0002-0000-0200-00007C000000}">
      <formula1>"DET,MIA"</formula1>
      <formula2>0</formula2>
    </dataValidation>
    <dataValidation type="list" allowBlank="1" showInputMessage="1" showErrorMessage="1" errorTitle="Invalid Pick" error="Pick must be CLE or NO" promptTitle="ATS Pick" prompt="Pick CLE or NO" sqref="F156:Q156" xr:uid="{00000000-0002-0000-0200-00007D000000}">
      <formula1>"CLE,NO"</formula1>
      <formula2>0</formula2>
    </dataValidation>
    <dataValidation type="list" allowBlank="1" showInputMessage="1" showErrorMessage="1" errorTitle="Invalid Pick" error="Pick must be NYG or PHI" promptTitle="ATS Pick" prompt="Pick NYG or PHI" sqref="F157:Q157" xr:uid="{00000000-0002-0000-0200-00007E000000}">
      <formula1>"NYG,PHI"</formula1>
      <formula2>0</formula2>
    </dataValidation>
    <dataValidation type="list" allowBlank="1" showInputMessage="1" showErrorMessage="1" errorTitle="Invalid Pick" error="Pick must be LAR or WAS" promptTitle="ATS Pick" prompt="Pick LAR or WAS" sqref="F158:Q158" xr:uid="{00000000-0002-0000-0200-00007F000000}">
      <formula1>"LAR,WAS"</formula1>
      <formula2>0</formula2>
    </dataValidation>
    <dataValidation type="list" allowBlank="1" showInputMessage="1" showErrorMessage="1" errorTitle="Invalid Pick" error="Pick must be DEN or CAR" promptTitle="ATS Pick" prompt="Pick DEN or CAR" sqref="F159:Q159" xr:uid="{00000000-0002-0000-0200-000080000000}">
      <formula1>"DEN,CAR"</formula1>
      <formula2>0</formula2>
    </dataValidation>
    <dataValidation type="list" allowBlank="1" showInputMessage="1" showErrorMessage="1" errorTitle="Invalid Pick" error="Pick must be HOU or LAC" promptTitle="ATS Pick" prompt="Pick HOU or LAC" sqref="F160:Q160" xr:uid="{00000000-0002-0000-0200-000081000000}">
      <formula1>"HOU,LAC"</formula1>
      <formula2>0</formula2>
    </dataValidation>
    <dataValidation type="list" allowBlank="1" showInputMessage="1" showErrorMessage="1" errorTitle="Invalid Pick" error="Pick must be LV or SF" promptTitle="ATS Pick" prompt="Pick LV or SF" sqref="F161:Q161" xr:uid="{00000000-0002-0000-0200-000082000000}">
      <formula1>"LV,SF"</formula1>
      <formula2>0</formula2>
    </dataValidation>
    <dataValidation type="list" allowBlank="1" showInputMessage="1" showErrorMessage="1" errorTitle="Invalid Pick" error="Pick must be GB or NE" promptTitle="ATS Pick" prompt="Pick GB or NE" sqref="F162:Q162" xr:uid="{00000000-0002-0000-0200-000083000000}">
      <formula1>"GB,NE"</formula1>
      <formula2>0</formula2>
    </dataValidation>
    <dataValidation type="list" allowBlank="1" showInputMessage="1" showErrorMessage="1" errorTitle="Invalid Pick" error="Pick must be ARI or SEA" promptTitle="ATS Pick" prompt="Pick ARI or SEA" sqref="F163:Q163" xr:uid="{00000000-0002-0000-0200-000084000000}">
      <formula1>"ARI,SEA"</formula1>
      <formula2>0</formula2>
    </dataValidation>
    <dataValidation type="list" allowBlank="1" showInputMessage="1" showErrorMessage="1" errorTitle="Invalid Pick" error="Pick must be TB or CHI" promptTitle="ATS Pick" prompt="Pick TB or CHI" sqref="F164:Q164" xr:uid="{00000000-0002-0000-0200-000085000000}">
      <formula1>"TB,CHI"</formula1>
      <formula2>0</formula2>
    </dataValidation>
    <dataValidation type="list" allowBlank="1" showInputMessage="1" showErrorMessage="1" errorTitle="Invalid Pick" error="Pick must be BUF or MIN" promptTitle="ATS Pick" prompt="Pick BUF or MIN" sqref="F165:Q165" xr:uid="{00000000-0002-0000-0200-000086000000}">
      <formula1>"BUF,MIN"</formula1>
      <formula2>0</formula2>
    </dataValidation>
    <dataValidation type="list" allowBlank="1" showInputMessage="1" showErrorMessage="1" errorTitle="Invalid Pick" error="Pick must be WAS or NYG" promptTitle="ATS Pick" prompt="Pick WAS or NYG" sqref="F169:Q169" xr:uid="{00000000-0002-0000-0200-000087000000}">
      <formula1>"WAS,NYG"</formula1>
      <formula2>0</formula2>
    </dataValidation>
    <dataValidation type="list" allowBlank="1" showInputMessage="1" showErrorMessage="1" errorTitle="Invalid Pick" error="Pick must be NE or DET" promptTitle="ATS Pick" prompt="Pick NE or DET" sqref="F170:Q170" xr:uid="{00000000-0002-0000-0200-000088000000}">
      <formula1>"NE,DET"</formula1>
      <formula2>0</formula2>
    </dataValidation>
    <dataValidation type="list" allowBlank="1" showInputMessage="1" showErrorMessage="1" errorTitle="Invalid Pick" error="Pick must be KC or ATL" promptTitle="ATS Pick" prompt="Pick KC or ATL" sqref="F171:Q171" xr:uid="{00000000-0002-0000-0200-000089000000}">
      <formula1>"KC,ATL"</formula1>
      <formula2>0</formula2>
    </dataValidation>
    <dataValidation type="list" allowBlank="1" showInputMessage="1" showErrorMessage="1" errorTitle="Invalid Pick" error="Pick must be HOU or CLE" promptTitle="ATS Pick" prompt="Pick HOU or CLE" sqref="F172:Q172" xr:uid="{00000000-0002-0000-0200-00008A000000}">
      <formula1>"HOU,CLE"</formula1>
      <formula2>0</formula2>
    </dataValidation>
    <dataValidation type="list" allowBlank="1" showInputMessage="1" showErrorMessage="1" errorTitle="Invalid Pick" error="Pick must be MIN or GB" promptTitle="ATS Pick" prompt="Pick MIN or GB" sqref="F173:Q173" xr:uid="{00000000-0002-0000-0200-00008B000000}">
      <formula1>"MIN,GB"</formula1>
      <formula2>0</formula2>
    </dataValidation>
    <dataValidation type="list" allowBlank="1" showInputMessage="1" showErrorMessage="1" errorTitle="Invalid Pick" error="Pick must be JAX or TEN" promptTitle="ATS Pick" prompt="Pick JAX or TEN" sqref="F174:Q174" xr:uid="{00000000-0002-0000-0200-00008C000000}">
      <formula1>"JAX,TEN"</formula1>
      <formula2>0</formula2>
    </dataValidation>
    <dataValidation type="list" allowBlank="1" showInputMessage="1" showErrorMessage="1" errorTitle="Invalid Pick" error="Pick must be MIA or IND" promptTitle="ATS Pick" prompt="Pick MIA or IND" sqref="F175:Q175" xr:uid="{00000000-0002-0000-0200-00008D000000}">
      <formula1>"MIA,IND"</formula1>
      <formula2>0</formula2>
    </dataValidation>
    <dataValidation type="list" allowBlank="1" showInputMessage="1" showErrorMessage="1" errorTitle="Invalid Pick" error="Pick must be CAR or NO" promptTitle="ATS Pick" prompt="Pick CAR or NO" sqref="F176:Q176" xr:uid="{00000000-0002-0000-0200-00008E000000}">
      <formula1>"CAR,NO"</formula1>
      <formula2>0</formula2>
    </dataValidation>
    <dataValidation type="list" allowBlank="1" showInputMessage="1" showErrorMessage="1" errorTitle="Invalid Pick" error="Pick must be BUF or NYJ" promptTitle="ATS Pick" prompt="Pick BUF or NYJ" sqref="F177:Q177" xr:uid="{00000000-0002-0000-0200-00008F000000}">
      <formula1>"BUF,NYJ"</formula1>
      <formula2>0</formula2>
    </dataValidation>
    <dataValidation type="list" allowBlank="1" showInputMessage="1" showErrorMessage="1" errorTitle="Invalid Pick" error="Pick must be SEA or LV" promptTitle="ATS Pick" prompt="Pick SEA or LV" sqref="F178:Q178" xr:uid="{00000000-0002-0000-0200-000090000000}">
      <formula1>"SEA,LV"</formula1>
      <formula2>0</formula2>
    </dataValidation>
    <dataValidation type="list" allowBlank="1" showInputMessage="1" showErrorMessage="1" errorTitle="Invalid Pick" error="Pick must be LAR or ARI" promptTitle="ATS Pick" prompt="Pick LAR or ARI" sqref="F179:Q179" xr:uid="{00000000-0002-0000-0200-000091000000}">
      <formula1>"LAR,ARI"</formula1>
      <formula2>0</formula2>
    </dataValidation>
    <dataValidation type="list" allowBlank="1" showInputMessage="1" showErrorMessage="1" errorTitle="Invalid Pick" error="Pick must be SF or DAL" promptTitle="ATS Pick" prompt="Pick SF or DAL" sqref="F180:Q180" xr:uid="{00000000-0002-0000-0200-000092000000}">
      <formula1>"SF,DAL"</formula1>
      <formula2>0</formula2>
    </dataValidation>
    <dataValidation type="list" allowBlank="1" showInputMessage="1" showErrorMessage="1" errorTitle="Invalid Pick" error="Pick must be PIT or CIN" promptTitle="ATS Pick" prompt="Pick PIT or CIN" sqref="F181:Q181" xr:uid="{00000000-0002-0000-0200-000093000000}">
      <formula1>"PIT,CIN"</formula1>
      <formula2>0</formula2>
    </dataValidation>
    <dataValidation type="list" allowBlank="1" showInputMessage="1" showErrorMessage="1" errorTitle="Invalid Pick" error="Pick must be LAC or BAL" promptTitle="ATS Pick" prompt="Pick LAC or BAL" sqref="F182:Q182" xr:uid="{00000000-0002-0000-0200-000094000000}">
      <formula1>"LAC,BAL"</formula1>
      <formula2>0</formula2>
    </dataValidation>
    <dataValidation type="list" allowBlank="1" showInputMessage="1" showErrorMessage="1" errorTitle="Invalid Pick" error="Pick must be IND or HOU" promptTitle="ATS Pick" prompt="Pick IND or HOU" sqref="F186:Q186" xr:uid="{00000000-0002-0000-0200-000095000000}">
      <formula1>"IND,HOU"</formula1>
      <formula2>0</formula2>
    </dataValidation>
    <dataValidation type="list" allowBlank="1" showInputMessage="1" showErrorMessage="1" errorTitle="Invalid Pick" error="Pick must be MIA or BUF" promptTitle="ATS Pick" prompt="Pick MIA or BUF" sqref="F187:Q187" xr:uid="{00000000-0002-0000-0200-000096000000}">
      <formula1>"MIA,BUF"</formula1>
      <formula2>0</formula2>
    </dataValidation>
    <dataValidation type="list" allowBlank="1" showInputMessage="1" showErrorMessage="1" errorTitle="Invalid Pick" error="Pick must be NO or CHI" promptTitle="ATS Pick" prompt="Pick NO or CHI" sqref="F188:Q188" xr:uid="{00000000-0002-0000-0200-000097000000}">
      <formula1>"NO,CHI"</formula1>
      <formula2>0</formula2>
    </dataValidation>
    <dataValidation type="list" allowBlank="1" showInputMessage="1" showErrorMessage="1" errorTitle="Invalid Pick" error="Pick must be TEN or DAL" promptTitle="ATS Pick" prompt="Pick TEN or DAL" sqref="F189:Q189" xr:uid="{00000000-0002-0000-0200-000098000000}">
      <formula1>"TEN,DAL"</formula1>
      <formula2>0</formula2>
    </dataValidation>
    <dataValidation type="list" allowBlank="1" showInputMessage="1" showErrorMessage="1" errorTitle="Invalid Pick" error="Pick must be TB or DET" promptTitle="ATS Pick" prompt="Pick TB or DET" sqref="F190:Q190" xr:uid="{00000000-0002-0000-0200-000099000000}">
      <formula1>"TB,DET"</formula1>
      <formula2>0</formula2>
    </dataValidation>
    <dataValidation type="list" allowBlank="1" showInputMessage="1" showErrorMessage="1" errorTitle="Invalid Pick" error="Pick must be ARI or KC" promptTitle="ATS Pick" prompt="Pick ARI or KC" sqref="F191:Q191" xr:uid="{00000000-0002-0000-0200-00009A000000}">
      <formula1>"ARI,KC"</formula1>
      <formula2>0</formula2>
    </dataValidation>
    <dataValidation type="list" allowBlank="1" showInputMessage="1" showErrorMessage="1" errorTitle="Invalid Pick" error="Pick must be JAX or NYG" promptTitle="ATS Pick" prompt="Pick JAX or NYG" sqref="F192:Q192" xr:uid="{00000000-0002-0000-0200-00009B000000}">
      <formula1>"JAX,NYG"</formula1>
      <formula2>0</formula2>
    </dataValidation>
    <dataValidation type="list" allowBlank="1" showInputMessage="1" showErrorMessage="1" errorTitle="Invalid Pick" error="Pick must be BAL or CAR" promptTitle="ATS Pick" prompt="Pick BAL or CAR" sqref="F193:Q193" xr:uid="{00000000-0002-0000-0200-00009C000000}">
      <formula1>"BAL,CAR"</formula1>
      <formula2>0</formula2>
    </dataValidation>
    <dataValidation type="list" allowBlank="1" showInputMessage="1" showErrorMessage="1" errorTitle="Invalid Pick" error="Pick must be NYJ or LAC" promptTitle="ATS Pick" prompt="Pick NYJ or LAC" sqref="F194:Q194" xr:uid="{00000000-0002-0000-0200-00009D000000}">
      <formula1>"NYJ,LAC"</formula1>
      <formula2>0</formula2>
    </dataValidation>
    <dataValidation type="list" allowBlank="1" showInputMessage="1" showErrorMessage="1" errorTitle="Invalid Pick" error="Pick must be LV or DEN" promptTitle="ATS Pick" prompt="Pick LV or DEN" sqref="F195:Q195" xr:uid="{00000000-0002-0000-0200-00009E000000}">
      <formula1>"LV,DEN"</formula1>
      <formula2>0</formula2>
    </dataValidation>
    <dataValidation type="list" allowBlank="1" showInputMessage="1" showErrorMessage="1" errorTitle="Invalid Pick" error="Pick must be PIT or PHI" promptTitle="ATS Pick" prompt="Pick PIT or PHI" sqref="F196:Q196" xr:uid="{00000000-0002-0000-0200-00009F000000}">
      <formula1>"PIT,PHI"</formula1>
      <formula2>0</formula2>
    </dataValidation>
    <dataValidation type="list" allowBlank="1" showInputMessage="1" showErrorMessage="1" errorTitle="Invalid Pick" error="Pick must be MIN or SF" promptTitle="ATS Pick" prompt="Pick MIN or SF" sqref="F197:Q197" xr:uid="{00000000-0002-0000-0200-0000A0000000}">
      <formula1>"MIN,SF"</formula1>
      <formula2>0</formula2>
    </dataValidation>
    <dataValidation type="list" allowBlank="1" showInputMessage="1" showErrorMessage="1" errorTitle="Invalid Pick" error="Pick must be CIN or WAS" promptTitle="ATS Pick" prompt="Pick CIN or WAS" sqref="F198:Q198" xr:uid="{00000000-0002-0000-0200-0000A1000000}">
      <formula1>"CIN,WAS"</formula1>
      <formula2>0</formula2>
    </dataValidation>
    <dataValidation type="list" allowBlank="1" showInputMessage="1" showErrorMessage="1" errorTitle="Invalid Pick" error="Pick must be GB or LAR" promptTitle="ATS Pick" prompt="Pick GB or LAR" sqref="F202:Q202" xr:uid="{00000000-0002-0000-0200-0000A2000000}">
      <formula1>"GB,LAR"</formula1>
      <formula2>0</formula2>
    </dataValidation>
    <dataValidation type="list" allowBlank="1" showInputMessage="1" showErrorMessage="1" errorTitle="Invalid Pick" error="Pick must be CHI or DET" promptTitle="ATS Pick" prompt="Pick CHI or DET" sqref="F203:Q203" xr:uid="{00000000-0002-0000-0200-0000A3000000}">
      <formula1>"CHI,DET"</formula1>
      <formula2>0</formula2>
    </dataValidation>
    <dataValidation type="list" allowBlank="1" showInputMessage="1" showErrorMessage="1" errorTitle="Invalid Pick" error="Pick must be PHI or DAL" promptTitle="ATS Pick" prompt="Pick PHI or DAL" sqref="F204:Q204" xr:uid="{00000000-0002-0000-0200-0000A4000000}">
      <formula1>"PHI,DAL"</formula1>
      <formula2>0</formula2>
    </dataValidation>
    <dataValidation type="list" allowBlank="1" showInputMessage="1" showErrorMessage="1" errorTitle="Invalid Pick" error="Pick must be KC or BUF" promptTitle="ATS Pick" prompt="Pick KC or BUF" sqref="F205:Q205" xr:uid="{00000000-0002-0000-0200-0000A5000000}">
      <formula1>"KC,BUF"</formula1>
      <formula2>0</formula2>
    </dataValidation>
    <dataValidation type="list" allowBlank="1" showInputMessage="1" showErrorMessage="1" errorTitle="Invalid Pick" error="Pick must be DEN or PIT" promptTitle="ATS Pick" prompt="Pick DEN or PIT" sqref="F206:Q206" xr:uid="{00000000-0002-0000-0200-0000A6000000}">
      <formula1>"DEN,PIT"</formula1>
      <formula2>0</formula2>
    </dataValidation>
    <dataValidation type="list" allowBlank="1" showInputMessage="1" showErrorMessage="1" errorTitle="Invalid Pick" error="Pick must be NO or CIN" promptTitle="ATS Pick" prompt="Pick NO or CIN" sqref="F207:Q207" xr:uid="{00000000-0002-0000-0200-0000A7000000}">
      <formula1>"NO,CIN"</formula1>
      <formula2>0</formula2>
    </dataValidation>
    <dataValidation type="list" allowBlank="1" showInputMessage="1" showErrorMessage="1" errorTitle="Invalid Pick" error="Pick must be LV or CLE" promptTitle="ATS Pick" prompt="Pick LV or CLE" sqref="F208:Q208" xr:uid="{00000000-0002-0000-0200-0000A8000000}">
      <formula1>"LV,CLE"</formula1>
      <formula2>0</formula2>
    </dataValidation>
    <dataValidation type="list" allowBlank="1" showInputMessage="1" showErrorMessage="1" errorTitle="Invalid Pick" error="Pick must be NYG or IND" promptTitle="ATS Pick" prompt="Pick NYG or IND" sqref="F209:Q209" xr:uid="{00000000-0002-0000-0200-0000A9000000}">
      <formula1>"NYG,IND"</formula1>
      <formula2>0</formula2>
    </dataValidation>
    <dataValidation type="list" allowBlank="1" showInputMessage="1" showErrorMessage="1" errorTitle="Invalid Pick" error="Pick must be NYJ or MIA" promptTitle="ATS Pick" prompt="Pick NYJ or MIA" sqref="F210:Q210" xr:uid="{00000000-0002-0000-0200-0000AA000000}">
      <formula1>"NYJ,MIA"</formula1>
      <formula2>0</formula2>
    </dataValidation>
    <dataValidation type="list" allowBlank="1" showInputMessage="1" showErrorMessage="1" errorTitle="Invalid Pick" error="Pick must be ATL or MIN" promptTitle="ATS Pick" prompt="Pick ATL or MIN" sqref="F211:Q211" xr:uid="{00000000-0002-0000-0200-0000AB000000}">
      <formula1>"ATL,MIN"</formula1>
      <formula2>0</formula2>
    </dataValidation>
    <dataValidation type="list" allowBlank="1" showInputMessage="1" showErrorMessage="1" errorTitle="Invalid Pick" error="Pick must be BAL or HOU" promptTitle="ATS Pick" prompt="Pick BAL or HOU" sqref="F212:Q212" xr:uid="{00000000-0002-0000-0200-0000AC000000}">
      <formula1>"BAL,HOU"</formula1>
      <formula2>0</formula2>
    </dataValidation>
    <dataValidation type="list" allowBlank="1" showInputMessage="1" showErrorMessage="1" errorTitle="Invalid Pick" error="Pick must be TEN or JAX" promptTitle="ATS Pick" prompt="Pick TEN or JAX" sqref="F213:Q213" xr:uid="{00000000-0002-0000-0200-0000AD000000}">
      <formula1>"TEN,JAX"</formula1>
      <formula2>0</formula2>
    </dataValidation>
    <dataValidation type="list" allowBlank="1" showInputMessage="1" showErrorMessage="1" errorTitle="Invalid Pick" error="Pick must be WAS or ARI" promptTitle="ATS Pick" prompt="Pick WAS or ARI" sqref="F214:Q214" xr:uid="{00000000-0002-0000-0200-0000AE000000}">
      <formula1>"WAS,ARI"</formula1>
      <formula2>0</formula2>
    </dataValidation>
    <dataValidation type="list" allowBlank="1" showInputMessage="1" showErrorMessage="1" errorTitle="Invalid Pick" error="Pick must be SEA or SF" promptTitle="ATS Pick" prompt="Pick SEA or SF" sqref="F215:Q215" xr:uid="{00000000-0002-0000-0200-0000AF000000}">
      <formula1>"SEA,SF"</formula1>
      <formula2>0</formula2>
    </dataValidation>
    <dataValidation type="list" allowBlank="1" showInputMessage="1" showErrorMessage="1" errorTitle="Invalid Pick" error="Pick must be NE or LAC" promptTitle="ATS Pick" prompt="Pick NE or LAC" sqref="F216:Q216" xr:uid="{00000000-0002-0000-0200-0000B0000000}">
      <formula1>"NE,LAC"</formula1>
      <formula2>0</formula2>
    </dataValidation>
    <dataValidation type="list" allowBlank="1" showInputMessage="1" showErrorMessage="1" errorTitle="Invalid Pick" error="Pick must be CAR or TB" promptTitle="ATS Pick" prompt="Pick CAR or TB" sqref="F217:Q217" xr:uid="{00000000-0002-0000-0200-0000B1000000}">
      <formula1>"CAR,TB"</formula1>
      <formula2>0</formula2>
    </dataValidation>
    <dataValidation type="list" allowBlank="1" showInputMessage="1" showErrorMessage="1" errorTitle="Invalid Pick" error="Pick must be KC or LAC" promptTitle="ATS Pick" prompt="Pick KC or LAC" sqref="F221:Q221 F307:Q307" xr:uid="{00000000-0002-0000-0200-0000B2000000}">
      <formula1>"KC,LAC"</formula1>
      <formula2>0</formula2>
    </dataValidation>
    <dataValidation type="list" allowBlank="1" showInputMessage="1" showErrorMessage="1" errorTitle="Invalid Pick" error="Pick must be DET or ATL" promptTitle="ATS Pick" prompt="Pick DET or ATL" sqref="F222:Q222" xr:uid="{00000000-0002-0000-0200-0000B3000000}">
      <formula1>"DET,ATL"</formula1>
      <formula2>0</formula2>
    </dataValidation>
    <dataValidation type="list" allowBlank="1" showInputMessage="1" showErrorMessage="1" errorTitle="Invalid Pick" error="Pick must be JAX or CHI" promptTitle="ATS Pick" prompt="Pick JAX or CHI" sqref="F223:Q223" xr:uid="{00000000-0002-0000-0200-0000B4000000}">
      <formula1>"JAX,CHI"</formula1>
      <formula2>0</formula2>
    </dataValidation>
    <dataValidation type="list" allowBlank="1" showInputMessage="1" showErrorMessage="1" errorTitle="Invalid Pick" error="Pick must be CIN or CLE" promptTitle="ATS Pick" prompt="Pick CIN or CLE" sqref="F224:Q224" xr:uid="{00000000-0002-0000-0200-0000B5000000}">
      <formula1>"CIN,CLE"</formula1>
      <formula2>0</formula2>
    </dataValidation>
    <dataValidation type="list" allowBlank="1" showInputMessage="1" showErrorMessage="1" errorTitle="Invalid Pick" error="Pick must be WAS or TEN" promptTitle="ATS Pick" prompt="Pick WAS or TEN" sqref="F225:Q225" xr:uid="{00000000-0002-0000-0200-0000B6000000}">
      <formula1>"WAS,TEN"</formula1>
      <formula2>0</formula2>
    </dataValidation>
    <dataValidation type="list" allowBlank="1" showInputMessage="1" showErrorMessage="1" errorTitle="Invalid Pick" error="Pick must be GB or NO" promptTitle="ATS Pick" prompt="Pick GB or NO" sqref="F226:Q226" xr:uid="{00000000-0002-0000-0200-0000B7000000}">
      <formula1>"GB,NO"</formula1>
      <formula2>0</formula2>
    </dataValidation>
    <dataValidation type="list" allowBlank="1" showInputMessage="1" showErrorMessage="1" errorTitle="Invalid Pick" error="Pick must be SF or NYG" promptTitle="ATS Pick" prompt="Pick SF or NYG" sqref="F227:Q227" xr:uid="{00000000-0002-0000-0200-0000B8000000}">
      <formula1>"SF,NYG"</formula1>
      <formula2>0</formula2>
    </dataValidation>
    <dataValidation type="list" allowBlank="1" showInputMessage="1" showErrorMessage="1" errorTitle="Invalid Pick" error="Pick must be LAR or TB" promptTitle="ATS Pick" prompt="Pick LAR or TB" sqref="F228:Q228 F308:Q308" xr:uid="{00000000-0002-0000-0200-0000B9000000}">
      <formula1>"LAR,TB"</formula1>
      <formula2>0</formula2>
    </dataValidation>
    <dataValidation type="list" allowBlank="1" showInputMessage="1" showErrorMessage="1" errorTitle="Invalid Pick" error="Pick must be MIA or DEN" promptTitle="ATS Pick" prompt="Pick MIA or DEN" sqref="F229:Q229" xr:uid="{00000000-0002-0000-0200-0000BA000000}">
      <formula1>"MIA,DEN"</formula1>
      <formula2>0</formula2>
    </dataValidation>
    <dataValidation type="list" allowBlank="1" showInputMessage="1" showErrorMessage="1" errorTitle="Invalid Pick" error="Pick must be PHI or ARI" promptTitle="ATS Pick" prompt="Pick PHI or ARI" sqref="F230:Q230" xr:uid="{00000000-0002-0000-0200-0000BB000000}">
      <formula1>"PHI,ARI"</formula1>
      <formula2>0</formula2>
    </dataValidation>
    <dataValidation type="list" allowBlank="1" showInputMessage="1" showErrorMessage="1" errorTitle="Invalid Pick" error="Pick must be CAR or MIN" promptTitle="ATS Pick" prompt="Pick CAR or MIN" sqref="F231:Q231" xr:uid="{00000000-0002-0000-0200-0000BC000000}">
      <formula1>"CAR,MIN"</formula1>
      <formula2>0</formula2>
    </dataValidation>
    <dataValidation type="list" allowBlank="1" showInputMessage="1" showErrorMessage="1" errorTitle="Invalid Pick" error="Pick must be BUF or NE" promptTitle="ATS Pick" prompt="Pick BUF or NE" sqref="F232:Q232" xr:uid="{00000000-0002-0000-0200-0000BD000000}">
      <formula1>"BUF,NE"</formula1>
      <formula2>0</formula2>
    </dataValidation>
    <dataValidation type="list" allowBlank="1" showInputMessage="1" showErrorMessage="1" errorTitle="Invalid Pick" error="Pick must be HOU or PIT" promptTitle="ATS Pick" prompt="Pick HOU or PIT" sqref="F233:Q233" xr:uid="{00000000-0002-0000-0200-0000BE000000}">
      <formula1>"HOU,PIT"</formula1>
      <formula2>0</formula2>
    </dataValidation>
    <dataValidation type="list" allowBlank="1" showInputMessage="1" showErrorMessage="1" errorTitle="Invalid Pick" error="Pick must be DAL or SEA" promptTitle="ATS Pick" prompt="Pick DAL or SEA" sqref="F234:Q234" xr:uid="{00000000-0002-0000-0200-0000BF000000}">
      <formula1>"DAL,SEA"</formula1>
      <formula2>0</formula2>
    </dataValidation>
    <dataValidation type="list" allowBlank="1" showInputMessage="1" showErrorMessage="1" errorTitle="Invalid Pick" error="Pick must be MIN or NE" promptTitle="ATS Pick" prompt="Pick MIN or NE" sqref="F238:Q238" xr:uid="{00000000-0002-0000-0200-0000C0000000}">
      <formula1>"MIN,NE"</formula1>
      <formula2>0</formula2>
    </dataValidation>
    <dataValidation type="list" allowBlank="1" showInputMessage="1" showErrorMessage="1" errorTitle="Invalid Pick" error="Pick must be ATL or CLE" promptTitle="ATS Pick" prompt="Pick ATL or CLE" sqref="F239:Q239" xr:uid="{00000000-0002-0000-0200-0000C1000000}">
      <formula1>"ATL,CLE"</formula1>
      <formula2>0</formula2>
    </dataValidation>
    <dataValidation type="list" allowBlank="1" showInputMessage="1" showErrorMessage="1" errorTitle="Invalid Pick" error="Pick must be TEN or DET" promptTitle="ATS Pick" prompt="Pick TEN or DET" sqref="F240:Q240" xr:uid="{00000000-0002-0000-0200-0000C2000000}">
      <formula1>"TEN,DET"</formula1>
      <formula2>0</formula2>
    </dataValidation>
    <dataValidation type="list" allowBlank="1" showInputMessage="1" showErrorMessage="1" errorTitle="Invalid Pick" error="Pick must be CHI or MIA" promptTitle="ATS Pick" prompt="Pick CHI or MIA" sqref="F241:Q241" xr:uid="{00000000-0002-0000-0200-0000C3000000}">
      <formula1>"CHI,MIA"</formula1>
      <formula2>0</formula2>
    </dataValidation>
    <dataValidation type="list" allowBlank="1" showInputMessage="1" showErrorMessage="1" errorTitle="Invalid Pick" error="Pick must be DEN or NYJ" promptTitle="ATS Pick" prompt="Pick DEN or NYJ" sqref="F242:Q242" xr:uid="{00000000-0002-0000-0200-0000C4000000}">
      <formula1>"DEN,NYJ"</formula1>
      <formula2>0</formula2>
    </dataValidation>
    <dataValidation type="list" allowBlank="1" showInputMessage="1" showErrorMessage="1" errorTitle="Invalid Pick" error="Pick must be IND or PHI" promptTitle="ATS Pick" prompt="Pick IND or PHI" sqref="F243:Q243" xr:uid="{00000000-0002-0000-0200-0000C5000000}">
      <formula1>"IND,PHI"</formula1>
      <formula2>0</formula2>
    </dataValidation>
    <dataValidation type="list" allowBlank="1" showInputMessage="1" showErrorMessage="1" errorTitle="Invalid Pick" error="Pick must be HOU or WAS" promptTitle="ATS Pick" prompt="Pick HOU or WAS" sqref="F244:Q244" xr:uid="{00000000-0002-0000-0200-0000C6000000}">
      <formula1>"HOU,WAS"</formula1>
      <formula2>0</formula2>
    </dataValidation>
    <dataValidation type="list" allowBlank="1" showInputMessage="1" showErrorMessage="1" errorTitle="Invalid Pick" error="Pick must be NO or CAR" promptTitle="ATS Pick" prompt="Pick NO or CAR" sqref="F245:Q245" xr:uid="{00000000-0002-0000-0200-0000C7000000}">
      <formula1>"NO,CAR"</formula1>
      <formula2>0</formula2>
    </dataValidation>
    <dataValidation type="list" allowBlank="1" showInputMessage="1" showErrorMessage="1" errorTitle="Invalid Pick" error="Pick must be TB or BAL" promptTitle="ATS Pick" prompt="Pick TB or BAL" sqref="F246:Q246" xr:uid="{00000000-0002-0000-0200-0000C8000000}">
      <formula1>"TB,BAL"</formula1>
      <formula2>0</formula2>
    </dataValidation>
    <dataValidation type="list" allowBlank="1" showInputMessage="1" showErrorMessage="1" errorTitle="Invalid Pick" error="Pick must be LAC or LV" promptTitle="ATS Pick" prompt="Pick LAC or LV" sqref="F247:Q247" xr:uid="{00000000-0002-0000-0200-0000C9000000}">
      <formula1>"LAC,LV"</formula1>
      <formula2>0</formula2>
    </dataValidation>
    <dataValidation type="list" allowBlank="1" showInputMessage="1" showErrorMessage="1" errorTitle="Invalid Pick" error="Pick must be KC or CIN" promptTitle="ATS Pick" prompt="Pick KC or CIN" sqref="F248:Q248" xr:uid="{00000000-0002-0000-0200-0000CA000000}">
      <formula1>"KC,CIN"</formula1>
      <formula2>0</formula2>
    </dataValidation>
    <dataValidation type="list" allowBlank="1" showInputMessage="1" showErrorMessage="1" errorTitle="Invalid Pick" error="Pick must be LAR or SF" promptTitle="ATS Pick" prompt="Pick LAR or SF" sqref="F249:Q249" xr:uid="{00000000-0002-0000-0200-0000CB000000}">
      <formula1>"LAR,SF"</formula1>
      <formula2>0</formula2>
    </dataValidation>
    <dataValidation type="list" allowBlank="1" showInputMessage="1" showErrorMessage="1" errorTitle="Invalid Pick" error="Pick must be NYG or SEA" promptTitle="ATS Pick" prompt="Pick NYG or SEA" sqref="F250:Q250" xr:uid="{00000000-0002-0000-0200-0000CC000000}">
      <formula1>"NYG,SEA"</formula1>
      <formula2>0</formula2>
    </dataValidation>
    <dataValidation type="list" allowBlank="1" showInputMessage="1" showErrorMessage="1" errorTitle="Invalid Pick" error="Pick must be BUF or GB" promptTitle="ATS Pick" prompt="Pick BUF or GB" sqref="F251:Q251" xr:uid="{00000000-0002-0000-0200-0000CD000000}">
      <formula1>"BUF,GB"</formula1>
      <formula2>0</formula2>
    </dataValidation>
    <dataValidation type="list" allowBlank="1" showInputMessage="1" showErrorMessage="1" errorTitle="Invalid Pick" error="Pick must be PIT or JAX" promptTitle="ATS Pick" prompt="Pick PIT or JAX" sqref="F252:Q252" xr:uid="{00000000-0002-0000-0200-0000CE000000}">
      <formula1>"PIT,JAX"</formula1>
      <formula2>0</formula2>
    </dataValidation>
    <dataValidation type="list" allowBlank="1" showInputMessage="1" showErrorMessage="1" errorTitle="Invalid Pick" error="Pick must be SF or LAC" promptTitle="ATS Pick" prompt="Pick SF or LAC" sqref="F256:Q256" xr:uid="{00000000-0002-0000-0200-0000CF000000}">
      <formula1>"SF,LAC"</formula1>
      <formula2>0</formula2>
    </dataValidation>
    <dataValidation type="list" allowBlank="1" showInputMessage="1" showErrorMessage="1" errorTitle="Invalid Pick" error="Pick must be SEA or PHI" promptTitle="ATS Pick" prompt="Pick SEA or PHI" sqref="F257:Q257" xr:uid="{00000000-0002-0000-0200-0000D0000000}">
      <formula1>"SEA,PHI"</formula1>
      <formula2>0</formula2>
    </dataValidation>
    <dataValidation type="list" allowBlank="1" showInputMessage="1" showErrorMessage="1" errorTitle="Invalid Pick" error="Pick must be CHI or BUF" promptTitle="ATS Pick" prompt="Pick CHI or BUF" sqref="F258:Q258" xr:uid="{00000000-0002-0000-0200-0000D1000000}">
      <formula1>"CHI,BUF"</formula1>
      <formula2>0</formula2>
    </dataValidation>
    <dataValidation type="list" allowBlank="1" showInputMessage="1" showErrorMessage="1" errorTitle="Invalid Pick" error="Pick must be MIA or GB" promptTitle="ATS Pick" prompt="Pick MIA or GB" sqref="F259:Q259" xr:uid="{00000000-0002-0000-0200-0000D2000000}">
      <formula1>"MIA,GB"</formula1>
      <formula2>0</formula2>
    </dataValidation>
    <dataValidation type="list" allowBlank="1" showInputMessage="1" showErrorMessage="1" errorTitle="Invalid Pick" error="Pick must be IND or TEN" promptTitle="ATS Pick" prompt="Pick IND or TEN" sqref="F260:Q260" xr:uid="{00000000-0002-0000-0200-0000D3000000}">
      <formula1>"IND,TEN"</formula1>
      <formula2>0</formula2>
    </dataValidation>
    <dataValidation type="list" allowBlank="1" showInputMessage="1" showErrorMessage="1" errorTitle="Invalid Pick" error="Pick must be CLE or NYG" promptTitle="ATS Pick" prompt="Pick CLE or NYG" sqref="F261:Q261" xr:uid="{00000000-0002-0000-0200-0000D4000000}">
      <formula1>"CLE,NYG"</formula1>
      <formula2>0</formula2>
    </dataValidation>
    <dataValidation type="list" allowBlank="1" showInputMessage="1" showErrorMessage="1" errorTitle="Invalid Pick" error="Pick must be BAL or PIT" promptTitle="ATS Pick" prompt="Pick BAL or PIT" sqref="F262:Q262" xr:uid="{00000000-0002-0000-0200-0000D5000000}">
      <formula1>"BAL,PIT"</formula1>
      <formula2>0</formula2>
    </dataValidation>
    <dataValidation type="list" allowBlank="1" showInputMessage="1" showErrorMessage="1" errorTitle="Invalid Pick" error="Pick must be NO or TB" promptTitle="ATS Pick" prompt="Pick NO or TB" sqref="F263:Q263" xr:uid="{00000000-0002-0000-0200-0000D6000000}">
      <formula1>"NO,TB"</formula1>
      <formula2>0</formula2>
    </dataValidation>
    <dataValidation type="list" allowBlank="1" showInputMessage="1" showErrorMessage="1" errorTitle="Invalid Pick" error="Pick must be ATL or WAS" promptTitle="ATS Pick" prompt="Pick ATL or WAS" sqref="F264:Q264" xr:uid="{00000000-0002-0000-0200-0000D7000000}">
      <formula1>"ATL,WAS"</formula1>
      <formula2>0</formula2>
    </dataValidation>
    <dataValidation type="list" allowBlank="1" showInputMessage="1" showErrorMessage="1" errorTitle="Invalid Pick" error="Pick must be CIN or CAR" promptTitle="ATS Pick" prompt="Pick CIN or CAR" sqref="F265:Q265" xr:uid="{00000000-0002-0000-0200-0000D8000000}">
      <formula1>"CIN,CAR"</formula1>
      <formula2>0</formula2>
    </dataValidation>
    <dataValidation type="list" allowBlank="1" showInputMessage="1" showErrorMessage="1" errorTitle="Invalid Pick" error="Pick must be JAX or HOU" promptTitle="ATS Pick" prompt="Pick JAX or HOU" sqref="F266:Q266" xr:uid="{00000000-0002-0000-0200-0000D9000000}">
      <formula1>"JAX,HOU"</formula1>
      <formula2>0</formula2>
    </dataValidation>
    <dataValidation type="list" allowBlank="1" showInputMessage="1" showErrorMessage="1" errorTitle="Invalid Pick" error="Pick must be NYJ or ARI" promptTitle="ATS Pick" prompt="Pick NYJ or ARI" sqref="F267:Q267" xr:uid="{00000000-0002-0000-0200-0000DA000000}">
      <formula1>"NYJ,ARI"</formula1>
      <formula2>0</formula2>
    </dataValidation>
    <dataValidation type="list" allowBlank="1" showInputMessage="1" showErrorMessage="1" errorTitle="Invalid Pick" error="Pick must be DEN or LV" promptTitle="ATS Pick" prompt="Pick DEN or LV" sqref="F268:Q268" xr:uid="{00000000-0002-0000-0200-0000DB000000}">
      <formula1>"DEN,LV"</formula1>
      <formula2>0</formula2>
    </dataValidation>
    <dataValidation type="list" allowBlank="1" showInputMessage="1" showErrorMessage="1" errorTitle="Invalid Pick" error="Pick must be DAL or LAR" promptTitle="ATS Pick" prompt="Pick DAL or LAR" sqref="F269:Q269" xr:uid="{00000000-0002-0000-0200-0000DC000000}">
      <formula1>"DAL,LAR"</formula1>
      <formula2>0</formula2>
    </dataValidation>
    <dataValidation type="list" allowBlank="1" showInputMessage="1" showErrorMessage="1" errorTitle="Invalid Pick" error="Pick must be DET or MIN" promptTitle="ATS Pick" prompt="Pick DET or MIN" sqref="F270:Q270" xr:uid="{00000000-0002-0000-0200-0000DD000000}">
      <formula1>"DET,MIN"</formula1>
      <formula2>0</formula2>
    </dataValidation>
    <dataValidation type="list" allowBlank="1" showInputMessage="1" showErrorMessage="1" errorTitle="Invalid Pick" error="Pick must be NE or KC" promptTitle="ATS Pick" prompt="Pick NE or KC" sqref="F271:Q271" xr:uid="{00000000-0002-0000-0200-0000DE000000}">
      <formula1>"NE,KC"</formula1>
      <formula2>0</formula2>
    </dataValidation>
    <dataValidation type="list" allowBlank="1" showInputMessage="1" showErrorMessage="1" errorTitle="Invalid Pick" error="Pick must be HOU or PHI" promptTitle="ATS Pick" prompt="Pick HOU or PHI" sqref="F275:Q275" xr:uid="{00000000-0002-0000-0200-0000DF000000}">
      <formula1>"HOU,PHI"</formula1>
      <formula2>0</formula2>
    </dataValidation>
    <dataValidation type="list" allowBlank="1" showInputMessage="1" showErrorMessage="1" errorTitle="Invalid Pick" error="Pick must be GB or CHI" promptTitle="ATS Pick" prompt="Pick GB or CHI" sqref="F276:Q276" xr:uid="{00000000-0002-0000-0200-0000E0000000}">
      <formula1>"GB,CHI"</formula1>
      <formula2>0</formula2>
    </dataValidation>
    <dataValidation type="list" allowBlank="1" showInputMessage="1" showErrorMessage="1" errorTitle="Invalid Pick" error="Pick must be BUF or DEN" promptTitle="ATS Pick" prompt="Pick BUF or DEN" sqref="F277:Q277" xr:uid="{00000000-0002-0000-0200-0000E1000000}">
      <formula1>"BUF,DEN"</formula1>
      <formula2>0</formula2>
    </dataValidation>
    <dataValidation type="list" allowBlank="1" showInputMessage="1" showErrorMessage="1" errorTitle="Invalid Pick" error="Pick must be LAR or SEA" promptTitle="ATS Pick" prompt="Pick LAR or SEA" sqref="F278:Q278" xr:uid="{00000000-0002-0000-0200-0000E2000000}">
      <formula1>"LAR,SEA"</formula1>
      <formula2>0</formula2>
    </dataValidation>
    <dataValidation type="list" allowBlank="1" showInputMessage="1" showErrorMessage="1" errorTitle="Invalid Pick" error="Pick must be LAC or MIA" promptTitle="ATS Pick" prompt="Pick LAC or MIA" sqref="F279:Q279" xr:uid="{00000000-0002-0000-0200-0000E3000000}">
      <formula1>"LAC,MIA"</formula1>
      <formula2>0</formula2>
    </dataValidation>
    <dataValidation type="list" allowBlank="1" showInputMessage="1" showErrorMessage="1" errorTitle="Invalid Pick" error="Pick must be ARI or NO" promptTitle="ATS Pick" prompt="Pick ARI or NO" sqref="F280:Q280" xr:uid="{00000000-0002-0000-0200-0000E4000000}">
      <formula1>"ARI,NO"</formula1>
      <formula2>0</formula2>
    </dataValidation>
    <dataValidation type="list" allowBlank="1" showInputMessage="1" showErrorMessage="1" errorTitle="Invalid Pick" error="Pick must be NE or NYJ" promptTitle="ATS Pick" prompt="Pick NE or NYJ" sqref="F281:Q281" xr:uid="{00000000-0002-0000-0200-0000E5000000}">
      <formula1>"NE,NYJ"</formula1>
      <formula2>0</formula2>
    </dataValidation>
    <dataValidation type="list" allowBlank="1" showInputMessage="1" showErrorMessage="1" errorTitle="Invalid Pick" error="Pick must be CLE or BAL" promptTitle="ATS Pick" prompt="Pick CLE or BAL" sqref="F282:Q282" xr:uid="{00000000-0002-0000-0200-0000E6000000}">
      <formula1>"CLE,BAL"</formula1>
      <formula2>0</formula2>
    </dataValidation>
    <dataValidation type="list" allowBlank="1" showInputMessage="1" showErrorMessage="1" errorTitle="Invalid Pick" error="Pick must be TEN or LV" promptTitle="ATS Pick" prompt="Pick TEN or LV" sqref="F283:Q283" xr:uid="{00000000-0002-0000-0200-0000E7000000}">
      <formula1>"TEN,LV"</formula1>
      <formula2>0</formula2>
    </dataValidation>
    <dataValidation type="list" allowBlank="1" showInputMessage="1" showErrorMessage="1" errorTitle="Invalid Pick" error="Pick must be SF or KC" promptTitle="ATS Pick" prompt="Pick SF or KC" sqref="F284:Q284" xr:uid="{00000000-0002-0000-0200-0000E8000000}">
      <formula1>"SF,KC"</formula1>
      <formula2>0</formula2>
    </dataValidation>
    <dataValidation type="list" allowBlank="1" showInputMessage="1" showErrorMessage="1" errorTitle="Invalid Pick" error="Pick must be JAX or DAL" promptTitle="ATS Pick" prompt="Pick JAX or DAL" sqref="F285:Q285" xr:uid="{00000000-0002-0000-0200-0000E9000000}">
      <formula1>"JAX,DAL"</formula1>
      <formula2>0</formula2>
    </dataValidation>
    <dataValidation type="list" allowBlank="1" showInputMessage="1" showErrorMessage="1" errorTitle="Invalid Pick" error="Pick must be NYG or DET" promptTitle="ATS Pick" prompt="Pick NYG or DET" sqref="F286:Q286" xr:uid="{00000000-0002-0000-0200-0000EA000000}">
      <formula1>"NYG,DET"</formula1>
      <formula2>0</formula2>
    </dataValidation>
    <dataValidation type="list" allowBlank="1" showInputMessage="1" showErrorMessage="1" errorTitle="Invalid Pick" error="Pick must be TB or ATL" promptTitle="ATS Pick" prompt="Pick TB or ATL" sqref="F287:Q287" xr:uid="{00000000-0002-0000-0200-0000EB000000}">
      <formula1>"TB,ATL"</formula1>
      <formula2>0</formula2>
    </dataValidation>
    <dataValidation type="list" allowBlank="1" showInputMessage="1" showErrorMessage="1" errorTitle="Invalid Pick" error="Pick must be CIN or IND" promptTitle="ATS Pick" prompt="Pick CIN or IND" sqref="F288:Q288" xr:uid="{00000000-0002-0000-0200-0000EC000000}">
      <formula1>"CIN,IND"</formula1>
      <formula2>0</formula2>
    </dataValidation>
    <dataValidation type="list" allowBlank="1" showInputMessage="1" showErrorMessage="1" errorTitle="Invalid Pick" error="Pick must be WAS or MIN" promptTitle="ATS Pick" prompt="Pick WAS or MIN" sqref="F289:Q289" xr:uid="{00000000-0002-0000-0200-0000ED000000}">
      <formula1>"WAS,MIN"</formula1>
      <formula2>0</formula2>
    </dataValidation>
    <dataValidation type="list" allowBlank="1" showInputMessage="1" showErrorMessage="1" errorTitle="Invalid Pick" error="Pick must be CAR or PIT" promptTitle="ATS Pick" prompt="Pick CAR or PIT" sqref="F290:Q290" xr:uid="{00000000-0002-0000-0200-0000EE000000}">
      <formula1>"CAR,PIT"</formula1>
      <formula2>0</formula2>
    </dataValidation>
    <dataValidation type="list" allowBlank="1" showInputMessage="1" showErrorMessage="1" errorTitle="Invalid Pick" error="Pick must be BAL or CIN" promptTitle="ATS Pick" prompt="Pick BAL or CIN" sqref="F294:Q294" xr:uid="{00000000-0002-0000-0200-0000EF000000}">
      <formula1>"BAL,CIN"</formula1>
      <formula2>0</formula2>
    </dataValidation>
    <dataValidation type="list" allowBlank="1" showInputMessage="1" showErrorMessage="1" errorTitle="Invalid Pick" error="Pick must be NO or ATL" promptTitle="ATS Pick" prompt="Pick NO or ATL" sqref="F295:Q295" xr:uid="{00000000-0002-0000-0200-0000F0000000}">
      <formula1>"NO,ATL"</formula1>
      <formula2>0</formula2>
    </dataValidation>
    <dataValidation type="list" allowBlank="1" showInputMessage="1" showErrorMessage="1" errorTitle="Invalid Pick" error="Pick must be IND or CLE" promptTitle="ATS Pick" prompt="Pick IND or CLE" sqref="F296:Q296" xr:uid="{00000000-0002-0000-0200-0000F1000000}">
      <formula1>"IND,CLE"</formula1>
      <formula2>0</formula2>
    </dataValidation>
    <dataValidation type="list" allowBlank="1" showInputMessage="1" showErrorMessage="1" errorTitle="Invalid Pick" error="Pick must be NYG or DAL" promptTitle="ATS Pick" prompt="Pick NYG or DAL" sqref="F297:Q297" xr:uid="{00000000-0002-0000-0200-0000F2000000}">
      <formula1>"NYG,DAL"</formula1>
      <formula2>0</formula2>
    </dataValidation>
    <dataValidation type="list" allowBlank="1" showInputMessage="1" showErrorMessage="1" errorTitle="Invalid Pick" error="Pick must be PIT or TEN" promptTitle="ATS Pick" prompt="Pick PIT or TEN" sqref="F298:Q298" xr:uid="{00000000-0002-0000-0200-0000F3000000}">
      <formula1>"PIT,TEN"</formula1>
      <formula2>0</formula2>
    </dataValidation>
    <dataValidation type="list" allowBlank="1" showInputMessage="1" showErrorMessage="1" errorTitle="Invalid Pick" error="Pick must be BUF or MIA" promptTitle="ATS Pick" prompt="Pick BUF or MIA" sqref="F299:Q299" xr:uid="{00000000-0002-0000-0200-0000F4000000}">
      <formula1>"BUF,MIA"</formula1>
      <formula2>0</formula2>
    </dataValidation>
    <dataValidation type="list" allowBlank="1" showInputMessage="1" showErrorMessage="1" errorTitle="Invalid Pick" error="Pick must be MIN or NYJ" promptTitle="ATS Pick" prompt="Pick MIN or NYJ" sqref="F300:Q300" xr:uid="{00000000-0002-0000-0200-0000F5000000}">
      <formula1>"MIN,NYJ"</formula1>
      <formula2>0</formula2>
    </dataValidation>
    <dataValidation type="list" allowBlank="1" showInputMessage="1" showErrorMessage="1" errorTitle="Invalid Pick" error="Pick must be SEA or CAR" promptTitle="ATS Pick" prompt="Pick SEA or CAR" sqref="F301:Q301" xr:uid="{00000000-0002-0000-0200-0000F6000000}">
      <formula1>"SEA,CAR"</formula1>
      <formula2>0</formula2>
    </dataValidation>
    <dataValidation type="list" allowBlank="1" showInputMessage="1" showErrorMessage="1" errorTitle="Invalid Pick" error="Pick must be LV or ARI" promptTitle="ATS Pick" prompt="Pick LV or ARI" sqref="F302:Q302" xr:uid="{00000000-0002-0000-0200-0000F7000000}">
      <formula1>"LV,ARI"</formula1>
      <formula2>0</formula2>
    </dataValidation>
    <dataValidation type="list" allowBlank="1" showInputMessage="1" showErrorMessage="1" errorTitle="Invalid Pick" error="Pick must be DET or CHI" promptTitle="ATS Pick" prompt="Pick DET or CHI" sqref="F303:Q303" xr:uid="{00000000-0002-0000-0200-0000F8000000}">
      <formula1>"DET,CHI"</formula1>
      <formula2>0</formula2>
    </dataValidation>
    <dataValidation type="list" allowBlank="1" showInputMessage="1" showErrorMessage="1" errorTitle="Invalid Pick" error="Pick must be PHI or SF" promptTitle="ATS Pick" prompt="Pick PHI or SF" sqref="F304:Q304" xr:uid="{00000000-0002-0000-0200-0000F9000000}">
      <formula1>"PHI,SF"</formula1>
      <formula2>0</formula2>
    </dataValidation>
    <dataValidation type="list" allowBlank="1" showInputMessage="1" showErrorMessage="1" errorTitle="Invalid Pick" error="Pick must be HOU or GB" promptTitle="ATS Pick" prompt="Pick HOU or GB" sqref="F305:Q305" xr:uid="{00000000-0002-0000-0200-0000FA000000}">
      <formula1>"HOU,GB"</formula1>
      <formula2>0</formula2>
    </dataValidation>
    <dataValidation type="list" allowBlank="1" showInputMessage="1" showErrorMessage="1" errorTitle="Invalid Pick" error="Pick must be DEN or NE" promptTitle="ATS Pick" prompt="Pick DEN or NE" sqref="F306:Q306" xr:uid="{00000000-0002-0000-0200-0000FB000000}">
      <formula1>"DEN,NE"</formula1>
      <formula2>0</formula2>
    </dataValidation>
    <dataValidation type="list" allowBlank="1" showInputMessage="1" showErrorMessage="1" errorTitle="Invalid Pick" error="Pick must be WAS or JAX" promptTitle="ATS Pick" prompt="Pick WAS or JAX" sqref="F309:Q309" xr:uid="{00000000-0002-0000-0200-0000FC000000}">
      <formula1>"WAS,JAX"</formula1>
      <formula2>0</formula2>
    </dataValidation>
    <dataValidation type="list" allowBlank="1" showInputMessage="1" showErrorMessage="1" errorTitle="Invalid Pick" error="Pick must be NYJ or BUF" promptTitle="ATS Pick" prompt="Pick NYJ or BUF" sqref="F313:Q313" xr:uid="{00000000-0002-0000-0200-0000FD000000}">
      <formula1>"NYJ,BUF"</formula1>
      <formula2>0</formula2>
    </dataValidation>
    <dataValidation type="list" allowBlank="1" showInputMessage="1" showErrorMessage="1" errorTitle="Invalid Pick" error="Pick must be CLE or CIN" promptTitle="ATS Pick" prompt="Pick CLE or CIN" sqref="F314:Q314" xr:uid="{00000000-0002-0000-0200-0000FE000000}">
      <formula1>"CLE,CIN"</formula1>
      <formula2>0</formula2>
    </dataValidation>
    <dataValidation type="list" allowBlank="1" showInputMessage="1" showErrorMessage="1" errorTitle="Invalid Pick" error="Pick must be DET or GB" promptTitle="ATS Pick" prompt="Pick DET or GB" sqref="F316:Q316" xr:uid="{00000000-0002-0000-0200-0000FF000000}">
      <formula1>"DET,GB"</formula1>
      <formula2>0</formula2>
    </dataValidation>
    <dataValidation type="list" allowBlank="1" showInputMessage="1" showErrorMessage="1" errorTitle="Invalid Pick" error="Pick must be JAX or IND" promptTitle="ATS Pick" prompt="Pick JAX or IND" sqref="F317:Q317" xr:uid="{00000000-0002-0000-0200-000000010000}">
      <formula1>"JAX,IND"</formula1>
      <formula2>0</formula2>
    </dataValidation>
    <dataValidation type="list" allowBlank="1" showInputMessage="1" showErrorMessage="1" errorTitle="Invalid Pick" error="Pick must be LV or KC" promptTitle="ATS Pick" prompt="Pick LV or KC" sqref="F318:Q318" xr:uid="{00000000-0002-0000-0200-000001010000}">
      <formula1>"LV,KC"</formula1>
      <formula2>0</formula2>
    </dataValidation>
    <dataValidation type="list" allowBlank="1" showInputMessage="1" showErrorMessage="1" errorTitle="Invalid Pick" error="Pick must be SEA or LAC" promptTitle="ATS Pick" prompt="Pick SEA or LAC" sqref="F319:Q319" xr:uid="{00000000-0002-0000-0200-000002010000}">
      <formula1>"SEA,LAC"</formula1>
      <formula2>0</formula2>
    </dataValidation>
    <dataValidation type="list" allowBlank="1" showInputMessage="1" showErrorMessage="1" errorTitle="Invalid Pick" error="Pick must be CHI or MIN" promptTitle="ATS Pick" prompt="Pick CHI or MIN" sqref="F320:Q320" xr:uid="{00000000-0002-0000-0200-000003010000}">
      <formula1>"CHI,MIN"</formula1>
      <formula2>0</formula2>
    </dataValidation>
    <dataValidation type="list" allowBlank="1" showInputMessage="1" showErrorMessage="1" errorTitle="Invalid Pick" error="Pick must be MIA or NE" promptTitle="ATS Pick" prompt="Pick MIA or NE" sqref="F321:Q321" xr:uid="{00000000-0002-0000-0200-000004010000}">
      <formula1>"MIA,NE"</formula1>
      <formula2>0</formula2>
    </dataValidation>
    <dataValidation type="list" allowBlank="1" showInputMessage="1" showErrorMessage="1" errorTitle="Invalid Pick" error="Pick must be TB or NO" promptTitle="ATS Pick" prompt="Pick TB or NO" sqref="F322:Q322" xr:uid="{00000000-0002-0000-0200-000005010000}">
      <formula1>"TB,NO"</formula1>
      <formula2>0</formula2>
    </dataValidation>
    <dataValidation type="list" allowBlank="1" showInputMessage="1" showErrorMessage="1" errorTitle="Invalid Pick" error="Pick must be PHI or NYG" promptTitle="ATS Pick" prompt="Pick PHI or NYG" sqref="F323:Q323" xr:uid="{00000000-0002-0000-0200-000006010000}">
      <formula1>"PHI,NYG"</formula1>
      <formula2>0</formula2>
    </dataValidation>
    <dataValidation type="list" allowBlank="1" showInputMessage="1" showErrorMessage="1" errorTitle="Invalid Pick" error="Pick must be SF or ARI" promptTitle="ATS Pick" prompt="Pick SF or ARI" sqref="F324:Q324" xr:uid="{00000000-0002-0000-0200-000007010000}">
      <formula1>"SF,ARI"</formula1>
      <formula2>0</formula2>
    </dataValidation>
    <dataValidation type="list" allowBlank="1" showInputMessage="1" showErrorMessage="1" errorTitle="Invalid Pick" error="Pick must be DAL or WAS" promptTitle="ATS Pick" prompt="Pick DAL or WAS" sqref="F325:Q325" xr:uid="{00000000-0002-0000-0200-000008010000}">
      <formula1>"DAL,WAS"</formula1>
      <formula2>0</formula2>
    </dataValidation>
    <dataValidation type="list" allowBlank="1" showInputMessage="1" showErrorMessage="1" errorTitle="Invalid Pick" error="Pick must be ATL or CAR" promptTitle="ATS Pick" prompt="Pick ATL or CAR" sqref="F326:Q326" xr:uid="{00000000-0002-0000-0200-000009010000}">
      <formula1>"ATL,CAR"</formula1>
      <formula2>0</formula2>
    </dataValidation>
    <dataValidation type="list" allowBlank="1" showInputMessage="1" showErrorMessage="1" errorTitle="Invalid Pick" error="Pick must be PIT or BAL" promptTitle="ATS Pick" prompt="Pick PIT or BAL" sqref="F327:Q327" xr:uid="{00000000-0002-0000-0200-00000A010000}">
      <formula1>"PIT,BAL"</formula1>
      <formula2>0</formula2>
    </dataValidation>
    <dataValidation type="list" allowBlank="1" showInputMessage="1" showErrorMessage="1" errorTitle="Invalid Pick" error="Pick must be TEN or HOU" promptTitle="ATS Pick" prompt="Pick TEN or HOU" sqref="F328:Q328" xr:uid="{00000000-0002-0000-0200-00000B010000}">
      <formula1>"TEN,HOU"</formula1>
      <formula2>0</formula2>
    </dataValidation>
    <dataValidation type="custom" allowBlank="1" showInputMessage="1" showErrorMessage="1" errorTitle="Invalid point value" error="Enter a whole number 1-8 that this player has not already used this week." promptTitle="Weighted points" prompt="1-8, each value used once per week" sqref="S117:AD130" xr:uid="{00000000-0002-0000-0200-00000C010000}">
      <formula1>AND(ISNUMBER(S117),S117&gt;=1,S117&lt;=8,INT(S117)=S117,COUNTIF(S$117:S$130,S117)=1)</formula1>
      <formula2>0</formula2>
    </dataValidation>
    <dataValidation type="custom" allowBlank="1" showInputMessage="1" showErrorMessage="1" errorTitle="Invalid point value" error="Enter a whole number 1-8 that this player has not already used this week." promptTitle="Weighted points" prompt="1-8, each value used once per week" sqref="S134:AD147" xr:uid="{00000000-0002-0000-0200-00000D010000}">
      <formula1>AND(ISNUMBER(S134),S134&gt;=1,S134&lt;=8,INT(S134)=S134,COUNTIF(S$134:S$147,S134)=1)</formula1>
      <formula2>0</formula2>
    </dataValidation>
    <dataValidation type="custom" allowBlank="1" showInputMessage="1" showErrorMessage="1" errorTitle="Invalid point value" error="Enter a whole number 1-8 that this player has not already used this week." promptTitle="Weighted points" prompt="1-8, each value used once per week" sqref="S151:AD165" xr:uid="{00000000-0002-0000-0200-00000E010000}">
      <formula1>AND(ISNUMBER(S151),S151&gt;=1,S151&lt;=8,INT(S151)=S151,COUNTIF(S$151:S$165,S151)=1)</formula1>
      <formula2>0</formula2>
    </dataValidation>
    <dataValidation type="custom" allowBlank="1" showInputMessage="1" showErrorMessage="1" errorTitle="Invalid point value" error="Enter a whole number 1-8 that this player has not already used this week." promptTitle="Weighted points" prompt="1-8, each value used once per week" sqref="S169:AD182" xr:uid="{00000000-0002-0000-0200-00000F010000}">
      <formula1>AND(ISNUMBER(S169),S169&gt;=1,S169&lt;=8,INT(S169)=S169,COUNTIF(S$169:S$182,S169)=1)</formula1>
      <formula2>0</formula2>
    </dataValidation>
    <dataValidation type="custom" allowBlank="1" showInputMessage="1" showErrorMessage="1" errorTitle="Invalid point value" error="Enter a whole number 1-8 that this player has not already used this week." promptTitle="Weighted points" prompt="1-8, each value used once per week" sqref="S186:AD198" xr:uid="{00000000-0002-0000-0200-000010010000}">
      <formula1>AND(ISNUMBER(S186),S186&gt;=1,S186&lt;=8,INT(S186)=S186,COUNTIF(S$186:S$198,S186)=1)</formula1>
      <formula2>0</formula2>
    </dataValidation>
    <dataValidation type="custom" allowBlank="1" showInputMessage="1" showErrorMessage="1" errorTitle="Invalid point value" error="Enter a whole number 1-8 that this player has not already used this week." promptTitle="Weighted points" prompt="1-8, each value used once per week" sqref="S202:AD217" xr:uid="{00000000-0002-0000-0200-000011010000}">
      <formula1>AND(ISNUMBER(S202),S202&gt;=1,S202&lt;=8,INT(S202)=S202,COUNTIF(S$202:S$217,S202)=1)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8"/>
  <sheetViews>
    <sheetView topLeftCell="A94" zoomScaleNormal="100" workbookViewId="0">
      <selection activeCell="M121" sqref="M121"/>
    </sheetView>
  </sheetViews>
  <sheetFormatPr defaultColWidth="8.7109375" defaultRowHeight="15" x14ac:dyDescent="0.25"/>
  <cols>
    <col min="1" max="10" width="12" customWidth="1"/>
  </cols>
  <sheetData>
    <row r="1" spans="1:10" ht="15" customHeight="1" x14ac:dyDescent="0.25">
      <c r="A1" t="s">
        <v>52</v>
      </c>
    </row>
    <row r="2" spans="1:10" ht="15" customHeight="1" x14ac:dyDescent="0.25">
      <c r="A2" t="s">
        <v>120</v>
      </c>
      <c r="B2" t="s">
        <v>121</v>
      </c>
      <c r="C2" t="s">
        <v>122</v>
      </c>
      <c r="D2" t="s">
        <v>53</v>
      </c>
      <c r="E2" t="s">
        <v>123</v>
      </c>
      <c r="F2" t="s">
        <v>55</v>
      </c>
      <c r="G2" t="s">
        <v>124</v>
      </c>
      <c r="H2" t="s">
        <v>125</v>
      </c>
      <c r="I2" t="s">
        <v>126</v>
      </c>
      <c r="J2" t="s">
        <v>127</v>
      </c>
    </row>
    <row r="3" spans="1:10" ht="15" customHeight="1" x14ac:dyDescent="0.25">
      <c r="A3">
        <v>1</v>
      </c>
      <c r="B3" t="s">
        <v>128</v>
      </c>
      <c r="C3" t="s">
        <v>129</v>
      </c>
      <c r="D3" t="s">
        <v>57</v>
      </c>
      <c r="E3">
        <v>10</v>
      </c>
      <c r="F3" t="s">
        <v>58</v>
      </c>
      <c r="G3">
        <v>13</v>
      </c>
      <c r="H3">
        <v>3.5</v>
      </c>
      <c r="I3" t="str">
        <f t="shared" ref="I3:I18" si="0">IF(OR(E3="",G3=""),"",IF(E3&gt;G3,D3,IF(G3&gt;E3,F3,"TIE")))</f>
        <v>SEA</v>
      </c>
      <c r="J3" t="str">
        <f t="shared" ref="J3:J18" si="1">IF(OR(E3="",G3="",H3=""),"",IF(E3+H3&gt;G3,D3,IF(E3+H3&lt;G3,F3,"PUSH")))</f>
        <v>NE</v>
      </c>
    </row>
    <row r="4" spans="1:10" ht="15" customHeight="1" x14ac:dyDescent="0.25">
      <c r="A4">
        <v>1</v>
      </c>
      <c r="B4" t="s">
        <v>130</v>
      </c>
      <c r="C4" t="s">
        <v>131</v>
      </c>
      <c r="D4" t="s">
        <v>59</v>
      </c>
      <c r="E4">
        <v>27</v>
      </c>
      <c r="F4" t="s">
        <v>60</v>
      </c>
      <c r="G4">
        <v>7</v>
      </c>
      <c r="H4">
        <v>3.5</v>
      </c>
      <c r="I4" t="str">
        <f t="shared" si="0"/>
        <v>SF</v>
      </c>
      <c r="J4" t="str">
        <f t="shared" si="1"/>
        <v>SF</v>
      </c>
    </row>
    <row r="5" spans="1:10" ht="15" customHeight="1" x14ac:dyDescent="0.25">
      <c r="A5">
        <v>1</v>
      </c>
      <c r="B5" t="s">
        <v>132</v>
      </c>
      <c r="C5" t="s">
        <v>133</v>
      </c>
      <c r="D5" t="s">
        <v>61</v>
      </c>
      <c r="E5">
        <v>59</v>
      </c>
      <c r="F5" t="s">
        <v>62</v>
      </c>
      <c r="G5">
        <v>37</v>
      </c>
      <c r="H5">
        <v>-2.5</v>
      </c>
      <c r="I5" t="str">
        <f t="shared" si="0"/>
        <v>CHI</v>
      </c>
      <c r="J5" t="str">
        <f t="shared" si="1"/>
        <v>CHI</v>
      </c>
    </row>
    <row r="6" spans="1:10" ht="15" customHeight="1" x14ac:dyDescent="0.25">
      <c r="A6">
        <v>1</v>
      </c>
      <c r="B6" t="s">
        <v>132</v>
      </c>
      <c r="C6" t="s">
        <v>133</v>
      </c>
      <c r="D6" t="s">
        <v>63</v>
      </c>
      <c r="E6">
        <v>27</v>
      </c>
      <c r="F6" t="s">
        <v>64</v>
      </c>
      <c r="G6">
        <v>33</v>
      </c>
      <c r="H6">
        <v>3.5</v>
      </c>
      <c r="I6" t="str">
        <f t="shared" si="0"/>
        <v>CIN</v>
      </c>
      <c r="J6" t="str">
        <f t="shared" si="1"/>
        <v>CIN</v>
      </c>
    </row>
    <row r="7" spans="1:10" ht="15" customHeight="1" x14ac:dyDescent="0.25">
      <c r="A7">
        <v>1</v>
      </c>
      <c r="B7" t="s">
        <v>132</v>
      </c>
      <c r="C7" t="s">
        <v>133</v>
      </c>
      <c r="D7" t="s">
        <v>65</v>
      </c>
      <c r="E7">
        <v>30</v>
      </c>
      <c r="F7" t="s">
        <v>66</v>
      </c>
      <c r="G7">
        <v>31</v>
      </c>
      <c r="H7">
        <v>7.5</v>
      </c>
      <c r="I7" t="str">
        <f t="shared" si="0"/>
        <v>DET</v>
      </c>
      <c r="J7" t="str">
        <f t="shared" si="1"/>
        <v>NO</v>
      </c>
    </row>
    <row r="8" spans="1:10" ht="15" customHeight="1" x14ac:dyDescent="0.25">
      <c r="A8">
        <v>1</v>
      </c>
      <c r="B8" t="s">
        <v>132</v>
      </c>
      <c r="C8" t="s">
        <v>133</v>
      </c>
      <c r="D8" t="s">
        <v>67</v>
      </c>
      <c r="E8">
        <v>36</v>
      </c>
      <c r="F8" t="s">
        <v>68</v>
      </c>
      <c r="G8">
        <v>31</v>
      </c>
      <c r="H8">
        <v>1.5</v>
      </c>
      <c r="I8" t="str">
        <f t="shared" si="0"/>
        <v>BUF</v>
      </c>
      <c r="J8" t="str">
        <f t="shared" si="1"/>
        <v>BUF</v>
      </c>
    </row>
    <row r="9" spans="1:10" ht="15" customHeight="1" x14ac:dyDescent="0.25">
      <c r="A9">
        <v>1</v>
      </c>
      <c r="B9" t="s">
        <v>132</v>
      </c>
      <c r="C9" t="s">
        <v>133</v>
      </c>
      <c r="D9" t="s">
        <v>69</v>
      </c>
      <c r="E9">
        <v>41</v>
      </c>
      <c r="F9" t="s">
        <v>70</v>
      </c>
      <c r="G9">
        <v>23</v>
      </c>
      <c r="H9">
        <v>-3.5</v>
      </c>
      <c r="I9" t="str">
        <f t="shared" si="0"/>
        <v>BAL</v>
      </c>
      <c r="J9" t="str">
        <f t="shared" si="1"/>
        <v>BAL</v>
      </c>
    </row>
    <row r="10" spans="1:10" ht="15" customHeight="1" x14ac:dyDescent="0.25">
      <c r="A10">
        <v>1</v>
      </c>
      <c r="B10" t="s">
        <v>132</v>
      </c>
      <c r="C10" t="s">
        <v>133</v>
      </c>
      <c r="D10" t="s">
        <v>71</v>
      </c>
      <c r="E10">
        <v>10</v>
      </c>
      <c r="F10" t="s">
        <v>72</v>
      </c>
      <c r="G10">
        <v>34</v>
      </c>
      <c r="H10">
        <v>7.5</v>
      </c>
      <c r="I10" t="str">
        <f t="shared" si="0"/>
        <v>JAX</v>
      </c>
      <c r="J10" t="str">
        <f t="shared" si="1"/>
        <v>JAX</v>
      </c>
    </row>
    <row r="11" spans="1:10" ht="15" customHeight="1" x14ac:dyDescent="0.25">
      <c r="A11">
        <v>1</v>
      </c>
      <c r="B11" t="s">
        <v>132</v>
      </c>
      <c r="C11" t="s">
        <v>133</v>
      </c>
      <c r="D11" t="s">
        <v>73</v>
      </c>
      <c r="E11">
        <v>13</v>
      </c>
      <c r="F11" t="s">
        <v>74</v>
      </c>
      <c r="G11">
        <v>20</v>
      </c>
      <c r="H11">
        <v>3.5</v>
      </c>
      <c r="I11" t="str">
        <f t="shared" si="0"/>
        <v>PIT</v>
      </c>
      <c r="J11" t="str">
        <f t="shared" si="1"/>
        <v>PIT</v>
      </c>
    </row>
    <row r="12" spans="1:10" ht="15" customHeight="1" x14ac:dyDescent="0.25">
      <c r="A12">
        <v>1</v>
      </c>
      <c r="B12" t="s">
        <v>132</v>
      </c>
      <c r="C12" t="s">
        <v>133</v>
      </c>
      <c r="D12" t="s">
        <v>75</v>
      </c>
      <c r="E12">
        <v>23</v>
      </c>
      <c r="F12" t="s">
        <v>76</v>
      </c>
      <c r="G12">
        <v>10</v>
      </c>
      <c r="H12">
        <v>2.5</v>
      </c>
      <c r="I12" t="str">
        <f t="shared" si="0"/>
        <v>NYJ</v>
      </c>
      <c r="J12" t="str">
        <f t="shared" si="1"/>
        <v>NYJ</v>
      </c>
    </row>
    <row r="13" spans="1:10" ht="15" customHeight="1" x14ac:dyDescent="0.25">
      <c r="A13">
        <v>1</v>
      </c>
      <c r="B13" t="s">
        <v>132</v>
      </c>
      <c r="C13" t="s">
        <v>134</v>
      </c>
      <c r="D13" t="s">
        <v>77</v>
      </c>
      <c r="E13">
        <v>26</v>
      </c>
      <c r="F13" t="s">
        <v>78</v>
      </c>
      <c r="G13">
        <v>14</v>
      </c>
      <c r="H13">
        <v>10.5</v>
      </c>
      <c r="I13" t="str">
        <f t="shared" si="0"/>
        <v>ARI</v>
      </c>
      <c r="J13" t="str">
        <f t="shared" si="1"/>
        <v>ARI</v>
      </c>
    </row>
    <row r="14" spans="1:10" ht="15" customHeight="1" x14ac:dyDescent="0.25">
      <c r="A14">
        <v>1</v>
      </c>
      <c r="B14" t="s">
        <v>132</v>
      </c>
      <c r="C14" t="s">
        <v>134</v>
      </c>
      <c r="D14" t="s">
        <v>79</v>
      </c>
      <c r="E14">
        <v>13</v>
      </c>
      <c r="F14" t="s">
        <v>80</v>
      </c>
      <c r="G14">
        <v>27</v>
      </c>
      <c r="H14">
        <v>3.5</v>
      </c>
      <c r="I14" t="str">
        <f t="shared" si="0"/>
        <v>LV</v>
      </c>
      <c r="J14" t="str">
        <f t="shared" si="1"/>
        <v>LV</v>
      </c>
    </row>
    <row r="15" spans="1:10" ht="15" customHeight="1" x14ac:dyDescent="0.25">
      <c r="A15">
        <v>1</v>
      </c>
      <c r="B15" t="s">
        <v>132</v>
      </c>
      <c r="C15" t="s">
        <v>134</v>
      </c>
      <c r="D15" t="s">
        <v>81</v>
      </c>
      <c r="E15">
        <v>22</v>
      </c>
      <c r="F15" t="s">
        <v>82</v>
      </c>
      <c r="G15">
        <v>39</v>
      </c>
      <c r="H15">
        <v>1.5</v>
      </c>
      <c r="I15" t="str">
        <f t="shared" si="0"/>
        <v>MIN</v>
      </c>
      <c r="J15" t="str">
        <f t="shared" si="1"/>
        <v>MIN</v>
      </c>
    </row>
    <row r="16" spans="1:10" ht="15" customHeight="1" x14ac:dyDescent="0.25">
      <c r="A16">
        <v>1</v>
      </c>
      <c r="B16" t="s">
        <v>132</v>
      </c>
      <c r="C16" t="s">
        <v>134</v>
      </c>
      <c r="D16" t="s">
        <v>83</v>
      </c>
      <c r="E16">
        <v>22</v>
      </c>
      <c r="F16" t="s">
        <v>84</v>
      </c>
      <c r="G16">
        <v>24</v>
      </c>
      <c r="H16">
        <v>4.5</v>
      </c>
      <c r="I16" t="str">
        <f t="shared" si="0"/>
        <v>PHI</v>
      </c>
      <c r="J16" t="str">
        <f t="shared" si="1"/>
        <v>WAS</v>
      </c>
    </row>
    <row r="17" spans="1:10" ht="15" customHeight="1" x14ac:dyDescent="0.25">
      <c r="A17">
        <v>1</v>
      </c>
      <c r="B17" t="s">
        <v>132</v>
      </c>
      <c r="C17" t="s">
        <v>129</v>
      </c>
      <c r="D17" t="s">
        <v>85</v>
      </c>
      <c r="E17">
        <v>20</v>
      </c>
      <c r="F17" t="s">
        <v>86</v>
      </c>
      <c r="G17">
        <v>28</v>
      </c>
      <c r="H17">
        <v>-2.5</v>
      </c>
      <c r="I17" t="str">
        <f t="shared" si="0"/>
        <v>NYG</v>
      </c>
      <c r="J17" t="str">
        <f t="shared" si="1"/>
        <v>NYG</v>
      </c>
    </row>
    <row r="18" spans="1:10" ht="15" customHeight="1" x14ac:dyDescent="0.25">
      <c r="A18">
        <v>1</v>
      </c>
      <c r="B18" t="s">
        <v>135</v>
      </c>
      <c r="C18" t="s">
        <v>136</v>
      </c>
      <c r="D18" t="s">
        <v>87</v>
      </c>
      <c r="E18">
        <v>10</v>
      </c>
      <c r="F18" t="s">
        <v>88</v>
      </c>
      <c r="G18">
        <v>31</v>
      </c>
      <c r="H18">
        <v>2.5</v>
      </c>
      <c r="I18" t="str">
        <f t="shared" si="0"/>
        <v>KC</v>
      </c>
      <c r="J18" t="str">
        <f t="shared" si="1"/>
        <v>KC</v>
      </c>
    </row>
    <row r="19" spans="1:10" x14ac:dyDescent="0.25">
      <c r="D19" s="16" t="s">
        <v>89</v>
      </c>
      <c r="E19" s="17">
        <f>IF(AND(E18&lt;&gt;"",G18&lt;&gt;""),E18+G18,"")</f>
        <v>41</v>
      </c>
    </row>
    <row r="20" spans="1:10" ht="15" customHeight="1" x14ac:dyDescent="0.25">
      <c r="A20" t="s">
        <v>90</v>
      </c>
    </row>
    <row r="21" spans="1:10" ht="15" customHeight="1" x14ac:dyDescent="0.25">
      <c r="A21" t="s">
        <v>120</v>
      </c>
      <c r="B21" t="s">
        <v>121</v>
      </c>
      <c r="C21" t="s">
        <v>122</v>
      </c>
      <c r="D21" t="s">
        <v>53</v>
      </c>
      <c r="E21" t="s">
        <v>123</v>
      </c>
      <c r="F21" t="s">
        <v>55</v>
      </c>
      <c r="G21" t="s">
        <v>124</v>
      </c>
      <c r="H21" t="s">
        <v>125</v>
      </c>
      <c r="I21" t="s">
        <v>126</v>
      </c>
      <c r="J21" t="s">
        <v>127</v>
      </c>
    </row>
    <row r="22" spans="1:10" ht="15" customHeight="1" x14ac:dyDescent="0.25">
      <c r="A22">
        <v>2</v>
      </c>
      <c r="B22" t="s">
        <v>137</v>
      </c>
      <c r="C22" t="s">
        <v>136</v>
      </c>
      <c r="D22" t="s">
        <v>66</v>
      </c>
      <c r="E22">
        <v>31</v>
      </c>
      <c r="F22" t="s">
        <v>67</v>
      </c>
      <c r="G22">
        <v>41</v>
      </c>
      <c r="H22">
        <v>4.5</v>
      </c>
      <c r="I22" t="str">
        <f t="shared" ref="I22:I37" si="2">IF(OR(E22="",G22=""),"",IF(E22&gt;G22,D22,IF(G22&gt;E22,F22,"TIE")))</f>
        <v>BUF</v>
      </c>
      <c r="J22" t="str">
        <f t="shared" ref="J22:J37" si="3">IF(OR(E22="",G22="",H22=""),"",IF(E22+H22&gt;G22,D22,IF(E22+H22&lt;G22,F22,"PUSH")))</f>
        <v>BUF</v>
      </c>
    </row>
    <row r="23" spans="1:10" ht="15" customHeight="1" x14ac:dyDescent="0.25">
      <c r="A23">
        <v>2</v>
      </c>
      <c r="B23" t="s">
        <v>138</v>
      </c>
      <c r="C23" t="s">
        <v>133</v>
      </c>
      <c r="D23" t="s">
        <v>62</v>
      </c>
      <c r="E23">
        <v>34</v>
      </c>
      <c r="F23" t="s">
        <v>73</v>
      </c>
      <c r="G23">
        <v>3</v>
      </c>
      <c r="H23">
        <v>-1.5</v>
      </c>
      <c r="I23" t="str">
        <f t="shared" si="2"/>
        <v>CAR</v>
      </c>
      <c r="J23" t="str">
        <f t="shared" si="3"/>
        <v>CAR</v>
      </c>
    </row>
    <row r="24" spans="1:10" ht="15" customHeight="1" x14ac:dyDescent="0.25">
      <c r="A24">
        <v>2</v>
      </c>
      <c r="B24" t="s">
        <v>138</v>
      </c>
      <c r="C24" t="s">
        <v>133</v>
      </c>
      <c r="D24" t="s">
        <v>65</v>
      </c>
      <c r="E24">
        <v>24</v>
      </c>
      <c r="F24" t="s">
        <v>69</v>
      </c>
      <c r="G24">
        <v>17</v>
      </c>
      <c r="H24">
        <v>8.5</v>
      </c>
      <c r="I24" t="str">
        <f t="shared" si="2"/>
        <v>NO</v>
      </c>
      <c r="J24" t="str">
        <f t="shared" si="3"/>
        <v>NO</v>
      </c>
    </row>
    <row r="25" spans="1:10" ht="15" customHeight="1" x14ac:dyDescent="0.25">
      <c r="A25">
        <v>2</v>
      </c>
      <c r="B25" t="s">
        <v>138</v>
      </c>
      <c r="C25" t="s">
        <v>133</v>
      </c>
      <c r="D25" t="s">
        <v>82</v>
      </c>
      <c r="E25">
        <v>9</v>
      </c>
      <c r="F25" t="s">
        <v>61</v>
      </c>
      <c r="G25">
        <v>3</v>
      </c>
      <c r="H25">
        <v>5.5</v>
      </c>
      <c r="I25" t="str">
        <f t="shared" si="2"/>
        <v>MIN</v>
      </c>
      <c r="J25" t="str">
        <f t="shared" si="3"/>
        <v>MIN</v>
      </c>
    </row>
    <row r="26" spans="1:10" ht="15" customHeight="1" x14ac:dyDescent="0.25">
      <c r="A26">
        <v>2</v>
      </c>
      <c r="B26" t="s">
        <v>138</v>
      </c>
      <c r="C26" t="s">
        <v>133</v>
      </c>
      <c r="D26" t="s">
        <v>64</v>
      </c>
      <c r="E26">
        <v>20</v>
      </c>
      <c r="F26" t="s">
        <v>68</v>
      </c>
      <c r="G26">
        <v>6</v>
      </c>
      <c r="H26">
        <v>2.5</v>
      </c>
      <c r="I26" t="str">
        <f t="shared" si="2"/>
        <v>CIN</v>
      </c>
      <c r="J26" t="str">
        <f t="shared" si="3"/>
        <v>CIN</v>
      </c>
    </row>
    <row r="27" spans="1:10" ht="15" customHeight="1" x14ac:dyDescent="0.25">
      <c r="A27">
        <v>2</v>
      </c>
      <c r="B27" t="s">
        <v>138</v>
      </c>
      <c r="C27" t="s">
        <v>133</v>
      </c>
      <c r="D27" t="s">
        <v>74</v>
      </c>
      <c r="E27">
        <v>3</v>
      </c>
      <c r="F27" t="s">
        <v>57</v>
      </c>
      <c r="G27">
        <v>20</v>
      </c>
      <c r="H27">
        <v>5.5</v>
      </c>
      <c r="I27" t="str">
        <f t="shared" si="2"/>
        <v>NE</v>
      </c>
      <c r="J27" t="str">
        <f t="shared" si="3"/>
        <v>NE</v>
      </c>
    </row>
    <row r="28" spans="1:10" ht="15" customHeight="1" x14ac:dyDescent="0.25">
      <c r="A28">
        <v>2</v>
      </c>
      <c r="B28" t="s">
        <v>138</v>
      </c>
      <c r="C28" t="s">
        <v>133</v>
      </c>
      <c r="D28" t="s">
        <v>81</v>
      </c>
      <c r="E28">
        <v>20</v>
      </c>
      <c r="F28" t="s">
        <v>75</v>
      </c>
      <c r="G28">
        <v>17</v>
      </c>
      <c r="H28">
        <v>-3.5</v>
      </c>
      <c r="I28" t="str">
        <f t="shared" si="2"/>
        <v>GB</v>
      </c>
      <c r="J28" t="str">
        <f t="shared" si="3"/>
        <v>NYJ</v>
      </c>
    </row>
    <row r="29" spans="1:10" ht="15" customHeight="1" x14ac:dyDescent="0.25">
      <c r="A29">
        <v>2</v>
      </c>
      <c r="B29" t="s">
        <v>138</v>
      </c>
      <c r="C29" t="s">
        <v>133</v>
      </c>
      <c r="D29" t="s">
        <v>71</v>
      </c>
      <c r="E29">
        <v>23</v>
      </c>
      <c r="F29" t="s">
        <v>63</v>
      </c>
      <c r="G29">
        <v>19</v>
      </c>
      <c r="H29">
        <v>8.5</v>
      </c>
      <c r="I29" t="str">
        <f t="shared" si="2"/>
        <v>CLE</v>
      </c>
      <c r="J29" t="str">
        <f t="shared" si="3"/>
        <v>CLE</v>
      </c>
    </row>
    <row r="30" spans="1:10" ht="15" customHeight="1" x14ac:dyDescent="0.25">
      <c r="A30">
        <v>2</v>
      </c>
      <c r="B30" t="s">
        <v>138</v>
      </c>
      <c r="C30" t="s">
        <v>133</v>
      </c>
      <c r="D30" t="s">
        <v>84</v>
      </c>
      <c r="E30">
        <v>24</v>
      </c>
      <c r="F30" t="s">
        <v>76</v>
      </c>
      <c r="G30">
        <v>20</v>
      </c>
      <c r="H30">
        <v>-7.5</v>
      </c>
      <c r="I30" t="str">
        <f t="shared" si="2"/>
        <v>PHI</v>
      </c>
      <c r="J30" t="str">
        <f t="shared" si="3"/>
        <v>TEN</v>
      </c>
    </row>
    <row r="31" spans="1:10" ht="15" customHeight="1" x14ac:dyDescent="0.25">
      <c r="A31">
        <v>2</v>
      </c>
      <c r="B31" t="s">
        <v>138</v>
      </c>
      <c r="C31" t="s">
        <v>139</v>
      </c>
      <c r="D31" t="s">
        <v>72</v>
      </c>
      <c r="E31">
        <v>13</v>
      </c>
      <c r="F31" t="s">
        <v>87</v>
      </c>
      <c r="G31">
        <v>20</v>
      </c>
      <c r="H31">
        <v>2.5</v>
      </c>
      <c r="I31" t="str">
        <f t="shared" si="2"/>
        <v>DEN</v>
      </c>
      <c r="J31" t="str">
        <f t="shared" si="3"/>
        <v>DEN</v>
      </c>
    </row>
    <row r="32" spans="1:10" ht="15" customHeight="1" x14ac:dyDescent="0.25">
      <c r="A32">
        <v>2</v>
      </c>
      <c r="B32" t="s">
        <v>138</v>
      </c>
      <c r="C32" t="s">
        <v>139</v>
      </c>
      <c r="D32" t="s">
        <v>80</v>
      </c>
      <c r="E32">
        <v>26</v>
      </c>
      <c r="F32" t="s">
        <v>78</v>
      </c>
      <c r="G32">
        <v>14</v>
      </c>
      <c r="H32">
        <v>6.5</v>
      </c>
      <c r="I32" t="str">
        <f t="shared" si="2"/>
        <v>LV</v>
      </c>
      <c r="J32" t="str">
        <f t="shared" si="3"/>
        <v>LV</v>
      </c>
    </row>
    <row r="33" spans="1:10" ht="15" customHeight="1" x14ac:dyDescent="0.25">
      <c r="A33">
        <v>2</v>
      </c>
      <c r="B33" t="s">
        <v>138</v>
      </c>
      <c r="C33" t="s">
        <v>134</v>
      </c>
      <c r="D33" t="s">
        <v>58</v>
      </c>
      <c r="E33">
        <v>31</v>
      </c>
      <c r="F33" t="s">
        <v>77</v>
      </c>
      <c r="G33">
        <v>7</v>
      </c>
      <c r="H33">
        <v>-3.5</v>
      </c>
      <c r="I33" t="str">
        <f t="shared" si="2"/>
        <v>SEA</v>
      </c>
      <c r="J33" t="str">
        <f t="shared" si="3"/>
        <v>SEA</v>
      </c>
    </row>
    <row r="34" spans="1:10" ht="15" customHeight="1" x14ac:dyDescent="0.25">
      <c r="A34">
        <v>2</v>
      </c>
      <c r="B34" t="s">
        <v>138</v>
      </c>
      <c r="C34" t="s">
        <v>134</v>
      </c>
      <c r="D34" t="s">
        <v>83</v>
      </c>
      <c r="E34">
        <v>20</v>
      </c>
      <c r="F34" t="s">
        <v>85</v>
      </c>
      <c r="G34">
        <v>37</v>
      </c>
      <c r="H34">
        <v>3.5</v>
      </c>
      <c r="I34" t="str">
        <f t="shared" si="2"/>
        <v>DAL</v>
      </c>
      <c r="J34" t="str">
        <f t="shared" si="3"/>
        <v>DAL</v>
      </c>
    </row>
    <row r="35" spans="1:10" ht="15" customHeight="1" x14ac:dyDescent="0.25">
      <c r="A35">
        <v>2</v>
      </c>
      <c r="B35" t="s">
        <v>138</v>
      </c>
      <c r="C35" t="s">
        <v>134</v>
      </c>
      <c r="D35" t="s">
        <v>79</v>
      </c>
      <c r="E35">
        <v>13</v>
      </c>
      <c r="F35" t="s">
        <v>59</v>
      </c>
      <c r="G35">
        <v>35</v>
      </c>
      <c r="H35">
        <v>13.5</v>
      </c>
      <c r="I35" t="str">
        <f t="shared" si="2"/>
        <v>SF</v>
      </c>
      <c r="J35" t="str">
        <f t="shared" si="3"/>
        <v>SF</v>
      </c>
    </row>
    <row r="36" spans="1:10" ht="15" customHeight="1" x14ac:dyDescent="0.25">
      <c r="A36">
        <v>2</v>
      </c>
      <c r="B36" t="s">
        <v>138</v>
      </c>
      <c r="C36" t="s">
        <v>129</v>
      </c>
      <c r="D36" t="s">
        <v>70</v>
      </c>
      <c r="E36">
        <v>30</v>
      </c>
      <c r="F36" t="s">
        <v>88</v>
      </c>
      <c r="G36">
        <v>33</v>
      </c>
      <c r="H36">
        <v>6.5</v>
      </c>
      <c r="I36" t="str">
        <f t="shared" si="2"/>
        <v>KC</v>
      </c>
      <c r="J36" t="str">
        <f t="shared" si="3"/>
        <v>IND</v>
      </c>
    </row>
    <row r="37" spans="1:10" ht="15" customHeight="1" x14ac:dyDescent="0.25">
      <c r="A37">
        <v>2</v>
      </c>
      <c r="B37" t="s">
        <v>140</v>
      </c>
      <c r="C37" t="s">
        <v>136</v>
      </c>
      <c r="D37" t="s">
        <v>86</v>
      </c>
      <c r="E37">
        <v>6</v>
      </c>
      <c r="F37" t="s">
        <v>60</v>
      </c>
      <c r="G37">
        <v>28</v>
      </c>
      <c r="H37">
        <v>7.5</v>
      </c>
      <c r="I37" t="str">
        <f t="shared" si="2"/>
        <v>LAR</v>
      </c>
      <c r="J37" t="str">
        <f t="shared" si="3"/>
        <v>LAR</v>
      </c>
    </row>
    <row r="38" spans="1:10" x14ac:dyDescent="0.25">
      <c r="D38" s="16" t="s">
        <v>89</v>
      </c>
      <c r="E38" s="17">
        <f>IF(AND(E37&lt;&gt;"",G37&lt;&gt;""),E37+G37,"")</f>
        <v>34</v>
      </c>
    </row>
    <row r="39" spans="1:10" ht="15" customHeight="1" x14ac:dyDescent="0.25">
      <c r="A39" t="s">
        <v>91</v>
      </c>
    </row>
    <row r="40" spans="1:10" ht="15" customHeight="1" x14ac:dyDescent="0.25">
      <c r="A40" t="s">
        <v>120</v>
      </c>
      <c r="B40" t="s">
        <v>121</v>
      </c>
      <c r="C40" t="s">
        <v>122</v>
      </c>
      <c r="D40" t="s">
        <v>53</v>
      </c>
      <c r="E40" t="s">
        <v>123</v>
      </c>
      <c r="F40" t="s">
        <v>55</v>
      </c>
      <c r="G40" t="s">
        <v>124</v>
      </c>
      <c r="H40" t="s">
        <v>125</v>
      </c>
      <c r="I40" t="s">
        <v>126</v>
      </c>
      <c r="J40" t="s">
        <v>127</v>
      </c>
    </row>
    <row r="41" spans="1:10" ht="15" customHeight="1" x14ac:dyDescent="0.25">
      <c r="A41">
        <v>3</v>
      </c>
      <c r="B41" t="s">
        <v>141</v>
      </c>
      <c r="C41" t="s">
        <v>136</v>
      </c>
      <c r="D41" t="s">
        <v>73</v>
      </c>
      <c r="E41">
        <v>35</v>
      </c>
      <c r="F41" t="s">
        <v>81</v>
      </c>
      <c r="G41">
        <v>14</v>
      </c>
      <c r="H41">
        <v>6.5</v>
      </c>
      <c r="I41" t="str">
        <f t="shared" ref="I41:I56" si="4">IF(OR(E41="",G41=""),"",IF(E41&gt;G41,D41,IF(G41&gt;E41,F41,"TIE")))</f>
        <v>ATL</v>
      </c>
      <c r="J41" t="str">
        <f t="shared" ref="J41:J56" si="5">IF(OR(E41="",G41="",H41=""),"",IF(E41+H41&gt;G41,D41,IF(E41+H41&lt;G41,F41,"PUSH")))</f>
        <v>ATL</v>
      </c>
    </row>
    <row r="42" spans="1:10" ht="15" customHeight="1" x14ac:dyDescent="0.25">
      <c r="A42">
        <v>3</v>
      </c>
      <c r="B42" t="s">
        <v>142</v>
      </c>
      <c r="C42" t="s">
        <v>133</v>
      </c>
      <c r="D42" t="s">
        <v>78</v>
      </c>
      <c r="E42">
        <v>16</v>
      </c>
      <c r="F42" t="s">
        <v>67</v>
      </c>
      <c r="G42">
        <v>24</v>
      </c>
      <c r="H42">
        <v>7.5</v>
      </c>
      <c r="I42" t="str">
        <f t="shared" si="4"/>
        <v>BUF</v>
      </c>
      <c r="J42" t="str">
        <f t="shared" si="5"/>
        <v>BUF</v>
      </c>
    </row>
    <row r="43" spans="1:10" ht="15" customHeight="1" x14ac:dyDescent="0.25">
      <c r="A43">
        <v>3</v>
      </c>
      <c r="B43" t="s">
        <v>142</v>
      </c>
      <c r="C43" t="s">
        <v>133</v>
      </c>
      <c r="D43" t="s">
        <v>62</v>
      </c>
      <c r="E43">
        <v>18</v>
      </c>
      <c r="F43" t="s">
        <v>71</v>
      </c>
      <c r="G43">
        <v>21</v>
      </c>
      <c r="H43">
        <v>-2.5</v>
      </c>
      <c r="I43" t="str">
        <f t="shared" si="4"/>
        <v>CLE</v>
      </c>
      <c r="J43" t="str">
        <f t="shared" si="5"/>
        <v>CLE</v>
      </c>
    </row>
    <row r="44" spans="1:10" ht="15" customHeight="1" x14ac:dyDescent="0.25">
      <c r="A44">
        <v>3</v>
      </c>
      <c r="B44" t="s">
        <v>142</v>
      </c>
      <c r="C44" t="s">
        <v>133</v>
      </c>
      <c r="D44" t="s">
        <v>75</v>
      </c>
      <c r="E44">
        <v>24</v>
      </c>
      <c r="F44" t="s">
        <v>66</v>
      </c>
      <c r="G44">
        <v>31</v>
      </c>
      <c r="H44">
        <v>6.5</v>
      </c>
      <c r="I44" t="str">
        <f t="shared" si="4"/>
        <v>DET</v>
      </c>
      <c r="J44" t="str">
        <f t="shared" si="5"/>
        <v>DET</v>
      </c>
    </row>
    <row r="45" spans="1:10" ht="15" customHeight="1" x14ac:dyDescent="0.25">
      <c r="A45">
        <v>3</v>
      </c>
      <c r="B45" t="s">
        <v>142</v>
      </c>
      <c r="C45" t="s">
        <v>133</v>
      </c>
      <c r="D45" t="s">
        <v>68</v>
      </c>
      <c r="E45">
        <v>17</v>
      </c>
      <c r="F45" t="s">
        <v>70</v>
      </c>
      <c r="G45">
        <v>19</v>
      </c>
      <c r="H45">
        <v>-2.5</v>
      </c>
      <c r="I45" t="str">
        <f t="shared" si="4"/>
        <v>IND</v>
      </c>
      <c r="J45" t="str">
        <f t="shared" si="5"/>
        <v>IND</v>
      </c>
    </row>
    <row r="46" spans="1:10" ht="15" customHeight="1" x14ac:dyDescent="0.25">
      <c r="A46">
        <v>3</v>
      </c>
      <c r="B46" t="s">
        <v>142</v>
      </c>
      <c r="C46" t="s">
        <v>133</v>
      </c>
      <c r="D46" t="s">
        <v>88</v>
      </c>
      <c r="E46">
        <v>24</v>
      </c>
      <c r="F46" t="s">
        <v>79</v>
      </c>
      <c r="G46">
        <v>10</v>
      </c>
      <c r="H46">
        <v>-11.5</v>
      </c>
      <c r="I46" t="str">
        <f t="shared" si="4"/>
        <v>KC</v>
      </c>
      <c r="J46" t="str">
        <f t="shared" si="5"/>
        <v>KC</v>
      </c>
    </row>
    <row r="47" spans="1:10" ht="15" customHeight="1" x14ac:dyDescent="0.25">
      <c r="A47">
        <v>3</v>
      </c>
      <c r="B47" t="s">
        <v>142</v>
      </c>
      <c r="C47" t="s">
        <v>133</v>
      </c>
      <c r="D47" t="s">
        <v>76</v>
      </c>
      <c r="E47">
        <v>7</v>
      </c>
      <c r="F47" t="s">
        <v>86</v>
      </c>
      <c r="G47">
        <v>12</v>
      </c>
      <c r="H47">
        <v>3.5</v>
      </c>
      <c r="I47" t="str">
        <f t="shared" si="4"/>
        <v>NYG</v>
      </c>
      <c r="J47" t="str">
        <f t="shared" si="5"/>
        <v>NYG</v>
      </c>
    </row>
    <row r="48" spans="1:10" ht="15" customHeight="1" x14ac:dyDescent="0.25">
      <c r="A48">
        <v>3</v>
      </c>
      <c r="B48" t="s">
        <v>142</v>
      </c>
      <c r="C48" t="s">
        <v>133</v>
      </c>
      <c r="D48" t="s">
        <v>64</v>
      </c>
      <c r="E48">
        <v>27</v>
      </c>
      <c r="F48" t="s">
        <v>74</v>
      </c>
      <c r="G48">
        <v>30</v>
      </c>
      <c r="H48">
        <v>-3.5</v>
      </c>
      <c r="I48" t="str">
        <f t="shared" si="4"/>
        <v>PIT</v>
      </c>
      <c r="J48" t="str">
        <f t="shared" si="5"/>
        <v>PIT</v>
      </c>
    </row>
    <row r="49" spans="1:10" ht="15" customHeight="1" x14ac:dyDescent="0.25">
      <c r="A49">
        <v>3</v>
      </c>
      <c r="B49" t="s">
        <v>142</v>
      </c>
      <c r="C49" t="s">
        <v>133</v>
      </c>
      <c r="D49" t="s">
        <v>58</v>
      </c>
      <c r="E49">
        <v>31</v>
      </c>
      <c r="F49" t="s">
        <v>83</v>
      </c>
      <c r="G49">
        <v>33</v>
      </c>
      <c r="H49">
        <v>-7.5</v>
      </c>
      <c r="I49" t="str">
        <f t="shared" si="4"/>
        <v>WAS</v>
      </c>
      <c r="J49" t="str">
        <f t="shared" si="5"/>
        <v>WAS</v>
      </c>
    </row>
    <row r="50" spans="1:10" ht="15" customHeight="1" x14ac:dyDescent="0.25">
      <c r="A50">
        <v>3</v>
      </c>
      <c r="B50" t="s">
        <v>142</v>
      </c>
      <c r="C50" t="s">
        <v>133</v>
      </c>
      <c r="D50" t="s">
        <v>57</v>
      </c>
      <c r="E50">
        <v>6</v>
      </c>
      <c r="F50" t="s">
        <v>72</v>
      </c>
      <c r="G50">
        <v>35</v>
      </c>
      <c r="H50">
        <v>2.5</v>
      </c>
      <c r="I50" t="str">
        <f t="shared" si="4"/>
        <v>JAX</v>
      </c>
      <c r="J50" t="str">
        <f t="shared" si="5"/>
        <v>JAX</v>
      </c>
    </row>
    <row r="51" spans="1:10" ht="15" customHeight="1" x14ac:dyDescent="0.25">
      <c r="A51">
        <v>3</v>
      </c>
      <c r="B51" t="s">
        <v>142</v>
      </c>
      <c r="C51" t="s">
        <v>139</v>
      </c>
      <c r="D51" t="s">
        <v>77</v>
      </c>
      <c r="E51">
        <v>30</v>
      </c>
      <c r="F51" t="s">
        <v>59</v>
      </c>
      <c r="G51">
        <v>36</v>
      </c>
      <c r="H51">
        <v>8.5</v>
      </c>
      <c r="I51" t="str">
        <f t="shared" si="4"/>
        <v>SF</v>
      </c>
      <c r="J51" t="str">
        <f t="shared" si="5"/>
        <v>ARI</v>
      </c>
    </row>
    <row r="52" spans="1:10" ht="15" customHeight="1" x14ac:dyDescent="0.25">
      <c r="A52">
        <v>3</v>
      </c>
      <c r="B52" t="s">
        <v>142</v>
      </c>
      <c r="C52" t="s">
        <v>139</v>
      </c>
      <c r="D52" t="s">
        <v>82</v>
      </c>
      <c r="E52">
        <v>23</v>
      </c>
      <c r="F52" t="s">
        <v>63</v>
      </c>
      <c r="G52">
        <v>16</v>
      </c>
      <c r="H52">
        <v>-1.5</v>
      </c>
      <c r="I52" t="str">
        <f t="shared" si="4"/>
        <v>MIN</v>
      </c>
      <c r="J52" t="str">
        <f t="shared" si="5"/>
        <v>MIN</v>
      </c>
    </row>
    <row r="53" spans="1:10" ht="15" customHeight="1" x14ac:dyDescent="0.25">
      <c r="A53">
        <v>3</v>
      </c>
      <c r="B53" t="s">
        <v>142</v>
      </c>
      <c r="C53" t="s">
        <v>134</v>
      </c>
      <c r="D53" t="s">
        <v>69</v>
      </c>
      <c r="E53">
        <v>34</v>
      </c>
      <c r="F53" t="s">
        <v>85</v>
      </c>
      <c r="G53">
        <v>31</v>
      </c>
      <c r="H53">
        <v>-2.5</v>
      </c>
      <c r="I53" t="str">
        <f t="shared" si="4"/>
        <v>BAL</v>
      </c>
      <c r="J53" t="str">
        <f t="shared" si="5"/>
        <v>BAL</v>
      </c>
    </row>
    <row r="54" spans="1:10" ht="15" customHeight="1" x14ac:dyDescent="0.25">
      <c r="A54">
        <v>3</v>
      </c>
      <c r="B54" t="s">
        <v>142</v>
      </c>
      <c r="C54" t="s">
        <v>134</v>
      </c>
      <c r="D54" t="s">
        <v>80</v>
      </c>
      <c r="E54">
        <v>35</v>
      </c>
      <c r="F54" t="s">
        <v>65</v>
      </c>
      <c r="G54">
        <v>27</v>
      </c>
      <c r="H54">
        <v>3.5</v>
      </c>
      <c r="I54" t="str">
        <f t="shared" si="4"/>
        <v>LV</v>
      </c>
      <c r="J54" t="str">
        <f t="shared" si="5"/>
        <v>LV</v>
      </c>
    </row>
    <row r="55" spans="1:10" ht="15" customHeight="1" x14ac:dyDescent="0.25">
      <c r="A55">
        <v>3</v>
      </c>
      <c r="B55" t="s">
        <v>142</v>
      </c>
      <c r="C55" t="s">
        <v>129</v>
      </c>
      <c r="D55" t="s">
        <v>60</v>
      </c>
      <c r="E55">
        <v>26</v>
      </c>
      <c r="F55" t="s">
        <v>87</v>
      </c>
      <c r="G55">
        <v>30</v>
      </c>
      <c r="H55">
        <v>-2.5</v>
      </c>
      <c r="I55" t="str">
        <f t="shared" si="4"/>
        <v>DEN</v>
      </c>
      <c r="J55" t="str">
        <f t="shared" si="5"/>
        <v>DEN</v>
      </c>
    </row>
    <row r="56" spans="1:10" ht="15" customHeight="1" x14ac:dyDescent="0.25">
      <c r="A56">
        <v>3</v>
      </c>
      <c r="B56" t="s">
        <v>143</v>
      </c>
      <c r="C56" t="s">
        <v>136</v>
      </c>
      <c r="D56" t="s">
        <v>84</v>
      </c>
      <c r="E56">
        <v>7</v>
      </c>
      <c r="F56" t="s">
        <v>61</v>
      </c>
      <c r="G56">
        <v>27</v>
      </c>
      <c r="H56">
        <v>-3.5</v>
      </c>
      <c r="I56" t="str">
        <f t="shared" si="4"/>
        <v>CHI</v>
      </c>
      <c r="J56" t="str">
        <f t="shared" si="5"/>
        <v>CHI</v>
      </c>
    </row>
    <row r="57" spans="1:10" x14ac:dyDescent="0.25">
      <c r="D57" s="16" t="s">
        <v>89</v>
      </c>
      <c r="E57" s="17">
        <f>IF(AND(E56&lt;&gt;"",G56&lt;&gt;""),E56+G56,"")</f>
        <v>34</v>
      </c>
    </row>
    <row r="58" spans="1:10" ht="15" customHeight="1" x14ac:dyDescent="0.25">
      <c r="A58" t="s">
        <v>92</v>
      </c>
    </row>
    <row r="59" spans="1:10" ht="15" customHeight="1" x14ac:dyDescent="0.25">
      <c r="A59" t="s">
        <v>120</v>
      </c>
      <c r="B59" t="s">
        <v>121</v>
      </c>
      <c r="C59" t="s">
        <v>122</v>
      </c>
      <c r="D59" t="s">
        <v>53</v>
      </c>
      <c r="E59" t="s">
        <v>123</v>
      </c>
      <c r="F59" t="s">
        <v>55</v>
      </c>
      <c r="G59" t="s">
        <v>124</v>
      </c>
      <c r="H59" t="s">
        <v>125</v>
      </c>
      <c r="I59" t="s">
        <v>126</v>
      </c>
      <c r="J59" t="s">
        <v>127</v>
      </c>
    </row>
    <row r="60" spans="1:10" ht="15" customHeight="1" x14ac:dyDescent="0.25">
      <c r="A60">
        <v>4</v>
      </c>
      <c r="B60" t="s">
        <v>144</v>
      </c>
      <c r="C60" t="s">
        <v>136</v>
      </c>
      <c r="D60" t="s">
        <v>74</v>
      </c>
      <c r="E60">
        <v>24</v>
      </c>
      <c r="F60" t="s">
        <v>71</v>
      </c>
      <c r="G60">
        <v>27</v>
      </c>
      <c r="H60">
        <v>-2.5</v>
      </c>
      <c r="I60" t="str">
        <f t="shared" ref="I60:I75" si="6">IF(OR(E60="",G60=""),"",IF(E60&gt;G60,D60,IF(G60&gt;E60,F60,"TIE")))</f>
        <v>CLE</v>
      </c>
      <c r="J60" t="str">
        <f t="shared" ref="J60:J75" si="7">IF(OR(E60="",G60="",H60=""),"",IF(E60+H60&gt;G60,D60,IF(E60+H60&lt;G60,F60,"PUSH")))</f>
        <v>CLE</v>
      </c>
    </row>
    <row r="61" spans="1:10" ht="15" customHeight="1" x14ac:dyDescent="0.25">
      <c r="A61">
        <v>4</v>
      </c>
      <c r="B61" t="s">
        <v>145</v>
      </c>
      <c r="C61" t="s">
        <v>146</v>
      </c>
      <c r="D61" t="s">
        <v>70</v>
      </c>
      <c r="E61">
        <v>30</v>
      </c>
      <c r="F61" t="s">
        <v>83</v>
      </c>
      <c r="G61">
        <v>13</v>
      </c>
      <c r="H61">
        <v>-3.5</v>
      </c>
      <c r="I61" t="str">
        <f t="shared" si="6"/>
        <v>IND</v>
      </c>
      <c r="J61" t="str">
        <f t="shared" si="7"/>
        <v>IND</v>
      </c>
    </row>
    <row r="62" spans="1:10" ht="15" customHeight="1" x14ac:dyDescent="0.25">
      <c r="A62">
        <v>4</v>
      </c>
      <c r="B62" t="s">
        <v>145</v>
      </c>
      <c r="C62" t="s">
        <v>133</v>
      </c>
      <c r="D62" t="s">
        <v>57</v>
      </c>
      <c r="E62">
        <v>29</v>
      </c>
      <c r="F62" t="s">
        <v>67</v>
      </c>
      <c r="G62">
        <v>26</v>
      </c>
      <c r="H62">
        <v>6.5</v>
      </c>
      <c r="I62" t="str">
        <f t="shared" si="6"/>
        <v>NE</v>
      </c>
      <c r="J62" t="str">
        <f t="shared" si="7"/>
        <v>NE</v>
      </c>
    </row>
    <row r="63" spans="1:10" ht="15" customHeight="1" x14ac:dyDescent="0.25">
      <c r="A63">
        <v>4</v>
      </c>
      <c r="B63" t="s">
        <v>145</v>
      </c>
      <c r="C63" t="s">
        <v>133</v>
      </c>
      <c r="D63" t="s">
        <v>75</v>
      </c>
      <c r="E63">
        <v>12</v>
      </c>
      <c r="F63" t="s">
        <v>61</v>
      </c>
      <c r="G63">
        <v>23</v>
      </c>
      <c r="H63">
        <v>3.5</v>
      </c>
      <c r="I63" t="str">
        <f t="shared" si="6"/>
        <v>CHI</v>
      </c>
      <c r="J63" t="str">
        <f t="shared" si="7"/>
        <v>CHI</v>
      </c>
    </row>
    <row r="64" spans="1:10" ht="15" customHeight="1" x14ac:dyDescent="0.25">
      <c r="A64">
        <v>4</v>
      </c>
      <c r="B64" t="s">
        <v>145</v>
      </c>
      <c r="C64" t="s">
        <v>133</v>
      </c>
      <c r="D64" t="s">
        <v>72</v>
      </c>
      <c r="E64">
        <v>22</v>
      </c>
      <c r="F64" t="s">
        <v>64</v>
      </c>
      <c r="G64">
        <v>17</v>
      </c>
      <c r="H64">
        <v>2.5</v>
      </c>
      <c r="I64" t="str">
        <f t="shared" si="6"/>
        <v>JAX</v>
      </c>
      <c r="J64" t="str">
        <f t="shared" si="7"/>
        <v>JAX</v>
      </c>
    </row>
    <row r="65" spans="1:10" ht="15" customHeight="1" x14ac:dyDescent="0.25">
      <c r="A65">
        <v>4</v>
      </c>
      <c r="B65" t="s">
        <v>145</v>
      </c>
      <c r="C65" t="s">
        <v>133</v>
      </c>
      <c r="D65" t="s">
        <v>77</v>
      </c>
      <c r="E65">
        <v>24</v>
      </c>
      <c r="F65" t="s">
        <v>86</v>
      </c>
      <c r="G65">
        <v>36</v>
      </c>
      <c r="H65">
        <v>-0.5</v>
      </c>
      <c r="I65" t="str">
        <f t="shared" si="6"/>
        <v>NYG</v>
      </c>
      <c r="J65" t="str">
        <f t="shared" si="7"/>
        <v>NYG</v>
      </c>
    </row>
    <row r="66" spans="1:10" ht="15" customHeight="1" x14ac:dyDescent="0.25">
      <c r="A66">
        <v>4</v>
      </c>
      <c r="B66" t="s">
        <v>145</v>
      </c>
      <c r="C66" t="s">
        <v>133</v>
      </c>
      <c r="D66" t="s">
        <v>60</v>
      </c>
      <c r="E66">
        <v>24</v>
      </c>
      <c r="F66" t="s">
        <v>84</v>
      </c>
      <c r="G66">
        <v>20</v>
      </c>
      <c r="H66">
        <v>-2.5</v>
      </c>
      <c r="I66" t="str">
        <f t="shared" si="6"/>
        <v>LAR</v>
      </c>
      <c r="J66" t="str">
        <f t="shared" si="7"/>
        <v>LAR</v>
      </c>
    </row>
    <row r="67" spans="1:10" ht="15" customHeight="1" x14ac:dyDescent="0.25">
      <c r="A67">
        <v>4</v>
      </c>
      <c r="B67" t="s">
        <v>145</v>
      </c>
      <c r="C67" t="s">
        <v>133</v>
      </c>
      <c r="D67" t="s">
        <v>81</v>
      </c>
      <c r="E67">
        <v>17</v>
      </c>
      <c r="F67" t="s">
        <v>63</v>
      </c>
      <c r="G67">
        <v>14</v>
      </c>
      <c r="H67">
        <v>-3.5</v>
      </c>
      <c r="I67" t="str">
        <f t="shared" si="6"/>
        <v>GB</v>
      </c>
      <c r="J67" t="str">
        <f t="shared" si="7"/>
        <v>TB</v>
      </c>
    </row>
    <row r="68" spans="1:10" ht="15" customHeight="1" x14ac:dyDescent="0.25">
      <c r="A68">
        <v>4</v>
      </c>
      <c r="B68" t="s">
        <v>145</v>
      </c>
      <c r="C68" t="s">
        <v>133</v>
      </c>
      <c r="D68" t="s">
        <v>76</v>
      </c>
      <c r="E68">
        <v>18</v>
      </c>
      <c r="F68" t="s">
        <v>69</v>
      </c>
      <c r="G68">
        <v>24</v>
      </c>
      <c r="H68">
        <v>11.5</v>
      </c>
      <c r="I68" t="str">
        <f t="shared" si="6"/>
        <v>BAL</v>
      </c>
      <c r="J68" t="str">
        <f t="shared" si="7"/>
        <v>TEN</v>
      </c>
    </row>
    <row r="69" spans="1:10" ht="15" customHeight="1" x14ac:dyDescent="0.25">
      <c r="A69">
        <v>4</v>
      </c>
      <c r="B69" t="s">
        <v>145</v>
      </c>
      <c r="C69" t="s">
        <v>133</v>
      </c>
      <c r="D69" t="s">
        <v>85</v>
      </c>
      <c r="E69">
        <v>34</v>
      </c>
      <c r="F69" t="s">
        <v>68</v>
      </c>
      <c r="G69">
        <v>30</v>
      </c>
      <c r="H69">
        <v>-2.5</v>
      </c>
      <c r="I69" t="str">
        <f t="shared" si="6"/>
        <v>DAL</v>
      </c>
      <c r="J69" t="str">
        <f t="shared" si="7"/>
        <v>DAL</v>
      </c>
    </row>
    <row r="70" spans="1:10" ht="15" customHeight="1" x14ac:dyDescent="0.25">
      <c r="A70">
        <v>4</v>
      </c>
      <c r="B70" t="s">
        <v>145</v>
      </c>
      <c r="C70" t="s">
        <v>139</v>
      </c>
      <c r="D70" t="s">
        <v>79</v>
      </c>
      <c r="E70">
        <v>10</v>
      </c>
      <c r="F70" t="s">
        <v>82</v>
      </c>
      <c r="G70">
        <v>15</v>
      </c>
      <c r="H70">
        <v>11.5</v>
      </c>
      <c r="I70" t="str">
        <f t="shared" si="6"/>
        <v>MIN</v>
      </c>
      <c r="J70" t="str">
        <f t="shared" si="7"/>
        <v>MIA</v>
      </c>
    </row>
    <row r="71" spans="1:10" ht="15" customHeight="1" x14ac:dyDescent="0.25">
      <c r="A71">
        <v>4</v>
      </c>
      <c r="B71" t="s">
        <v>145</v>
      </c>
      <c r="C71" t="s">
        <v>134</v>
      </c>
      <c r="D71" t="s">
        <v>88</v>
      </c>
      <c r="E71">
        <v>30</v>
      </c>
      <c r="F71" t="s">
        <v>80</v>
      </c>
      <c r="G71">
        <v>27</v>
      </c>
      <c r="H71">
        <v>-4.5</v>
      </c>
      <c r="I71" t="str">
        <f t="shared" si="6"/>
        <v>KC</v>
      </c>
      <c r="J71" t="str">
        <f t="shared" si="7"/>
        <v>LV</v>
      </c>
    </row>
    <row r="72" spans="1:10" ht="15" customHeight="1" x14ac:dyDescent="0.25">
      <c r="A72">
        <v>4</v>
      </c>
      <c r="B72" t="s">
        <v>145</v>
      </c>
      <c r="C72" t="s">
        <v>134</v>
      </c>
      <c r="D72" t="s">
        <v>87</v>
      </c>
      <c r="E72">
        <v>14</v>
      </c>
      <c r="F72" t="s">
        <v>59</v>
      </c>
      <c r="G72">
        <v>24</v>
      </c>
      <c r="H72">
        <v>2.5</v>
      </c>
      <c r="I72" t="str">
        <f t="shared" si="6"/>
        <v>SF</v>
      </c>
      <c r="J72" t="str">
        <f t="shared" si="7"/>
        <v>SF</v>
      </c>
    </row>
    <row r="73" spans="1:10" ht="15" customHeight="1" x14ac:dyDescent="0.25">
      <c r="A73">
        <v>4</v>
      </c>
      <c r="B73" t="s">
        <v>145</v>
      </c>
      <c r="C73" t="s">
        <v>134</v>
      </c>
      <c r="D73" t="s">
        <v>78</v>
      </c>
      <c r="E73">
        <v>23</v>
      </c>
      <c r="F73" t="s">
        <v>58</v>
      </c>
      <c r="G73">
        <v>30</v>
      </c>
      <c r="H73">
        <v>7.5</v>
      </c>
      <c r="I73" t="str">
        <f t="shared" si="6"/>
        <v>SEA</v>
      </c>
      <c r="J73" t="str">
        <f t="shared" si="7"/>
        <v>LAC</v>
      </c>
    </row>
    <row r="74" spans="1:10" ht="15" customHeight="1" x14ac:dyDescent="0.25">
      <c r="A74">
        <v>4</v>
      </c>
      <c r="B74" t="s">
        <v>145</v>
      </c>
      <c r="C74" t="s">
        <v>129</v>
      </c>
      <c r="D74" t="s">
        <v>66</v>
      </c>
      <c r="E74">
        <v>26</v>
      </c>
      <c r="F74" t="s">
        <v>62</v>
      </c>
      <c r="G74">
        <v>32</v>
      </c>
      <c r="H74">
        <v>-3.5</v>
      </c>
      <c r="I74" t="str">
        <f t="shared" si="6"/>
        <v>CAR</v>
      </c>
      <c r="J74" t="str">
        <f t="shared" si="7"/>
        <v>CAR</v>
      </c>
    </row>
    <row r="75" spans="1:10" ht="15" customHeight="1" x14ac:dyDescent="0.25">
      <c r="A75">
        <v>4</v>
      </c>
      <c r="B75" t="s">
        <v>147</v>
      </c>
      <c r="C75" t="s">
        <v>136</v>
      </c>
      <c r="D75" t="s">
        <v>73</v>
      </c>
      <c r="E75">
        <v>45</v>
      </c>
      <c r="F75" t="s">
        <v>65</v>
      </c>
      <c r="G75">
        <v>24</v>
      </c>
      <c r="H75">
        <v>2.5</v>
      </c>
      <c r="I75" t="str">
        <f t="shared" si="6"/>
        <v>ATL</v>
      </c>
      <c r="J75" t="str">
        <f t="shared" si="7"/>
        <v>ATL</v>
      </c>
    </row>
    <row r="76" spans="1:10" x14ac:dyDescent="0.25">
      <c r="D76" s="16" t="s">
        <v>89</v>
      </c>
      <c r="E76" s="17">
        <f>IF(AND(E75&lt;&gt;"",G75&lt;&gt;""),E75+G75,"")</f>
        <v>69</v>
      </c>
    </row>
    <row r="77" spans="1:10" ht="15" customHeight="1" x14ac:dyDescent="0.25">
      <c r="A77" t="s">
        <v>93</v>
      </c>
    </row>
    <row r="78" spans="1:10" ht="15" customHeight="1" x14ac:dyDescent="0.25">
      <c r="A78" t="s">
        <v>120</v>
      </c>
      <c r="B78" t="s">
        <v>121</v>
      </c>
      <c r="C78" t="s">
        <v>122</v>
      </c>
      <c r="D78" t="s">
        <v>53</v>
      </c>
      <c r="E78" t="s">
        <v>123</v>
      </c>
      <c r="F78" t="s">
        <v>55</v>
      </c>
      <c r="G78" t="s">
        <v>124</v>
      </c>
      <c r="H78" t="s">
        <v>125</v>
      </c>
      <c r="I78" t="s">
        <v>126</v>
      </c>
      <c r="J78" t="s">
        <v>127</v>
      </c>
    </row>
    <row r="79" spans="1:10" ht="15" customHeight="1" x14ac:dyDescent="0.25">
      <c r="A79">
        <v>5</v>
      </c>
      <c r="B79" t="s">
        <v>148</v>
      </c>
      <c r="C79" t="s">
        <v>136</v>
      </c>
      <c r="D79" t="s">
        <v>63</v>
      </c>
      <c r="E79">
        <v>24</v>
      </c>
      <c r="F79" t="s">
        <v>85</v>
      </c>
      <c r="G79">
        <v>16</v>
      </c>
      <c r="H79">
        <v>8.5</v>
      </c>
      <c r="I79" t="str">
        <f t="shared" ref="I79:I93" si="8">IF(OR(E79="",G79=""),"",IF(E79&gt;G79,D79,IF(G79&gt;E79,F79,"TIE")))</f>
        <v>TB</v>
      </c>
      <c r="J79" t="str">
        <f t="shared" ref="J79:J93" si="9">IF(OR(E79="",G79="",H79=""),"",IF(E79+H79&gt;G79,D79,IF(E79+H79&lt;G79,F79,"PUSH")))</f>
        <v>TB</v>
      </c>
    </row>
    <row r="80" spans="1:10" ht="15" customHeight="1" x14ac:dyDescent="0.25">
      <c r="A80">
        <v>5</v>
      </c>
      <c r="B80" t="s">
        <v>149</v>
      </c>
      <c r="C80" t="s">
        <v>146</v>
      </c>
      <c r="D80" t="s">
        <v>84</v>
      </c>
      <c r="E80">
        <v>17</v>
      </c>
      <c r="F80" t="s">
        <v>72</v>
      </c>
      <c r="G80">
        <v>19</v>
      </c>
      <c r="H80">
        <v>6.5</v>
      </c>
      <c r="I80" t="str">
        <f t="shared" si="8"/>
        <v>JAX</v>
      </c>
      <c r="J80" t="str">
        <f t="shared" si="9"/>
        <v>PHI</v>
      </c>
    </row>
    <row r="81" spans="1:10" ht="15" customHeight="1" x14ac:dyDescent="0.25">
      <c r="A81">
        <v>5</v>
      </c>
      <c r="B81" t="s">
        <v>149</v>
      </c>
      <c r="C81" t="s">
        <v>133</v>
      </c>
      <c r="D81" t="s">
        <v>68</v>
      </c>
      <c r="E81">
        <v>26</v>
      </c>
      <c r="F81" t="s">
        <v>76</v>
      </c>
      <c r="G81">
        <v>3</v>
      </c>
      <c r="H81">
        <v>-7.5</v>
      </c>
      <c r="I81" t="str">
        <f t="shared" si="8"/>
        <v>HOU</v>
      </c>
      <c r="J81" t="str">
        <f t="shared" si="9"/>
        <v>HOU</v>
      </c>
    </row>
    <row r="82" spans="1:10" ht="15" customHeight="1" x14ac:dyDescent="0.25">
      <c r="A82">
        <v>5</v>
      </c>
      <c r="B82" t="s">
        <v>149</v>
      </c>
      <c r="C82" t="s">
        <v>133</v>
      </c>
      <c r="D82" t="s">
        <v>64</v>
      </c>
      <c r="E82">
        <v>31</v>
      </c>
      <c r="F82" t="s">
        <v>79</v>
      </c>
      <c r="G82">
        <v>24</v>
      </c>
      <c r="H82">
        <v>-7.5</v>
      </c>
      <c r="I82" t="str">
        <f t="shared" si="8"/>
        <v>CIN</v>
      </c>
      <c r="J82" t="str">
        <f t="shared" si="9"/>
        <v>MIA</v>
      </c>
    </row>
    <row r="83" spans="1:10" ht="15" customHeight="1" x14ac:dyDescent="0.25">
      <c r="A83">
        <v>5</v>
      </c>
      <c r="B83" t="s">
        <v>149</v>
      </c>
      <c r="C83" t="s">
        <v>133</v>
      </c>
      <c r="D83" t="s">
        <v>80</v>
      </c>
      <c r="E83">
        <v>17</v>
      </c>
      <c r="F83" t="s">
        <v>57</v>
      </c>
      <c r="G83">
        <v>45</v>
      </c>
      <c r="H83">
        <v>3.5</v>
      </c>
      <c r="I83" t="str">
        <f t="shared" si="8"/>
        <v>NE</v>
      </c>
      <c r="J83" t="str">
        <f t="shared" si="9"/>
        <v>NE</v>
      </c>
    </row>
    <row r="84" spans="1:10" ht="15" customHeight="1" x14ac:dyDescent="0.25">
      <c r="A84">
        <v>5</v>
      </c>
      <c r="B84" t="s">
        <v>149</v>
      </c>
      <c r="C84" t="s">
        <v>133</v>
      </c>
      <c r="D84" t="s">
        <v>82</v>
      </c>
      <c r="E84">
        <v>23</v>
      </c>
      <c r="F84" t="s">
        <v>65</v>
      </c>
      <c r="G84">
        <v>13</v>
      </c>
      <c r="H84">
        <v>-1.5</v>
      </c>
      <c r="I84" t="str">
        <f t="shared" si="8"/>
        <v>MIN</v>
      </c>
      <c r="J84" t="str">
        <f t="shared" si="9"/>
        <v>MIN</v>
      </c>
    </row>
    <row r="85" spans="1:10" ht="15" customHeight="1" x14ac:dyDescent="0.25">
      <c r="A85">
        <v>5</v>
      </c>
      <c r="B85" t="s">
        <v>149</v>
      </c>
      <c r="C85" t="s">
        <v>133</v>
      </c>
      <c r="D85" t="s">
        <v>71</v>
      </c>
      <c r="E85">
        <v>12</v>
      </c>
      <c r="F85" t="s">
        <v>75</v>
      </c>
      <c r="G85">
        <v>17</v>
      </c>
      <c r="H85">
        <v>2.5</v>
      </c>
      <c r="I85" t="str">
        <f t="shared" si="8"/>
        <v>NYJ</v>
      </c>
      <c r="J85" t="str">
        <f t="shared" si="9"/>
        <v>NYJ</v>
      </c>
    </row>
    <row r="86" spans="1:10" ht="15" customHeight="1" x14ac:dyDescent="0.25">
      <c r="A86">
        <v>5</v>
      </c>
      <c r="B86" t="s">
        <v>149</v>
      </c>
      <c r="C86" t="s">
        <v>133</v>
      </c>
      <c r="D86" t="s">
        <v>70</v>
      </c>
      <c r="E86">
        <v>22</v>
      </c>
      <c r="F86" t="s">
        <v>74</v>
      </c>
      <c r="G86">
        <v>34</v>
      </c>
      <c r="H86">
        <v>2.5</v>
      </c>
      <c r="I86" t="str">
        <f t="shared" si="8"/>
        <v>PIT</v>
      </c>
      <c r="J86" t="str">
        <f t="shared" si="9"/>
        <v>PIT</v>
      </c>
    </row>
    <row r="87" spans="1:10" ht="15" customHeight="1" x14ac:dyDescent="0.25">
      <c r="A87">
        <v>5</v>
      </c>
      <c r="B87" t="s">
        <v>149</v>
      </c>
      <c r="C87" t="s">
        <v>133</v>
      </c>
      <c r="D87" t="s">
        <v>86</v>
      </c>
      <c r="E87">
        <v>27</v>
      </c>
      <c r="F87" t="s">
        <v>83</v>
      </c>
      <c r="G87">
        <v>27</v>
      </c>
      <c r="H87">
        <v>3.5</v>
      </c>
      <c r="I87" t="str">
        <f t="shared" si="8"/>
        <v>TIE</v>
      </c>
      <c r="J87" t="str">
        <f t="shared" si="9"/>
        <v>NYG</v>
      </c>
    </row>
    <row r="88" spans="1:10" ht="15" customHeight="1" x14ac:dyDescent="0.25">
      <c r="A88">
        <v>5</v>
      </c>
      <c r="B88" t="s">
        <v>149</v>
      </c>
      <c r="C88" t="s">
        <v>139</v>
      </c>
      <c r="D88" t="s">
        <v>87</v>
      </c>
      <c r="E88">
        <v>23</v>
      </c>
      <c r="F88" t="s">
        <v>78</v>
      </c>
      <c r="G88">
        <v>17</v>
      </c>
      <c r="H88">
        <v>-3.5</v>
      </c>
      <c r="I88" t="str">
        <f t="shared" si="8"/>
        <v>DEN</v>
      </c>
      <c r="J88" t="str">
        <f t="shared" si="9"/>
        <v>DEN</v>
      </c>
    </row>
    <row r="89" spans="1:10" ht="15" customHeight="1" x14ac:dyDescent="0.25">
      <c r="A89">
        <v>5</v>
      </c>
      <c r="B89" t="s">
        <v>149</v>
      </c>
      <c r="C89" t="s">
        <v>134</v>
      </c>
      <c r="D89" t="s">
        <v>61</v>
      </c>
      <c r="E89">
        <v>7</v>
      </c>
      <c r="F89" t="s">
        <v>81</v>
      </c>
      <c r="G89">
        <v>31</v>
      </c>
      <c r="H89">
        <v>-2.5</v>
      </c>
      <c r="I89" t="str">
        <f t="shared" si="8"/>
        <v>GB</v>
      </c>
      <c r="J89" t="str">
        <f t="shared" si="9"/>
        <v>GB</v>
      </c>
    </row>
    <row r="90" spans="1:10" ht="15" customHeight="1" x14ac:dyDescent="0.25">
      <c r="A90">
        <v>5</v>
      </c>
      <c r="B90" t="s">
        <v>149</v>
      </c>
      <c r="C90" t="s">
        <v>134</v>
      </c>
      <c r="D90" t="s">
        <v>66</v>
      </c>
      <c r="E90">
        <v>45</v>
      </c>
      <c r="F90" t="s">
        <v>77</v>
      </c>
      <c r="G90">
        <v>21</v>
      </c>
      <c r="H90">
        <v>-4.5</v>
      </c>
      <c r="I90" t="str">
        <f t="shared" si="8"/>
        <v>DET</v>
      </c>
      <c r="J90" t="str">
        <f t="shared" si="9"/>
        <v>DET</v>
      </c>
    </row>
    <row r="91" spans="1:10" ht="15" customHeight="1" x14ac:dyDescent="0.25">
      <c r="A91">
        <v>5</v>
      </c>
      <c r="B91" t="s">
        <v>149</v>
      </c>
      <c r="C91" t="s">
        <v>134</v>
      </c>
      <c r="D91" t="s">
        <v>59</v>
      </c>
      <c r="E91">
        <v>32</v>
      </c>
      <c r="F91" t="s">
        <v>58</v>
      </c>
      <c r="G91">
        <v>29</v>
      </c>
      <c r="H91">
        <v>2.5</v>
      </c>
      <c r="I91" t="str">
        <f t="shared" si="8"/>
        <v>SF</v>
      </c>
      <c r="J91" t="str">
        <f t="shared" si="9"/>
        <v>SF</v>
      </c>
    </row>
    <row r="92" spans="1:10" ht="15" customHeight="1" x14ac:dyDescent="0.25">
      <c r="A92">
        <v>5</v>
      </c>
      <c r="B92" t="s">
        <v>149</v>
      </c>
      <c r="C92" t="s">
        <v>129</v>
      </c>
      <c r="D92" t="s">
        <v>69</v>
      </c>
      <c r="E92">
        <v>30</v>
      </c>
      <c r="F92" t="s">
        <v>73</v>
      </c>
      <c r="G92">
        <v>23</v>
      </c>
      <c r="H92">
        <v>2.5</v>
      </c>
      <c r="I92" t="str">
        <f t="shared" si="8"/>
        <v>BAL</v>
      </c>
      <c r="J92" t="str">
        <f t="shared" si="9"/>
        <v>BAL</v>
      </c>
    </row>
    <row r="93" spans="1:10" ht="15" customHeight="1" x14ac:dyDescent="0.25">
      <c r="A93">
        <v>5</v>
      </c>
      <c r="B93" t="s">
        <v>150</v>
      </c>
      <c r="C93" t="s">
        <v>136</v>
      </c>
      <c r="D93" t="s">
        <v>67</v>
      </c>
      <c r="E93">
        <v>37</v>
      </c>
      <c r="F93" t="s">
        <v>60</v>
      </c>
      <c r="G93">
        <v>34</v>
      </c>
      <c r="H93">
        <v>2.5</v>
      </c>
      <c r="I93" t="str">
        <f t="shared" si="8"/>
        <v>BUF</v>
      </c>
      <c r="J93" t="str">
        <f t="shared" si="9"/>
        <v>BUF</v>
      </c>
    </row>
    <row r="94" spans="1:10" x14ac:dyDescent="0.25">
      <c r="D94" s="16" t="s">
        <v>89</v>
      </c>
      <c r="E94" s="17">
        <f>IF(AND(E93&lt;&gt;"",G93&lt;&gt;""),E93+G93,"")</f>
        <v>71</v>
      </c>
    </row>
    <row r="95" spans="1:10" ht="15" customHeight="1" x14ac:dyDescent="0.25">
      <c r="A95" t="s">
        <v>94</v>
      </c>
    </row>
    <row r="96" spans="1:10" ht="15" customHeight="1" x14ac:dyDescent="0.25">
      <c r="A96" t="s">
        <v>120</v>
      </c>
      <c r="B96" t="s">
        <v>121</v>
      </c>
      <c r="C96" t="s">
        <v>122</v>
      </c>
      <c r="D96" t="s">
        <v>53</v>
      </c>
      <c r="E96" t="s">
        <v>123</v>
      </c>
      <c r="F96" t="s">
        <v>55</v>
      </c>
      <c r="G96" t="s">
        <v>124</v>
      </c>
      <c r="H96" t="s">
        <v>125</v>
      </c>
      <c r="I96" t="s">
        <v>126</v>
      </c>
      <c r="J96" t="s">
        <v>127</v>
      </c>
    </row>
    <row r="97" spans="1:10" ht="15" customHeight="1" x14ac:dyDescent="0.25">
      <c r="A97">
        <v>6</v>
      </c>
      <c r="B97" t="s">
        <v>151</v>
      </c>
      <c r="C97" t="s">
        <v>136</v>
      </c>
      <c r="D97" t="s">
        <v>58</v>
      </c>
      <c r="E97">
        <v>14</v>
      </c>
      <c r="F97" t="s">
        <v>87</v>
      </c>
      <c r="G97">
        <v>17</v>
      </c>
      <c r="H97">
        <v>-2.5</v>
      </c>
      <c r="I97" t="str">
        <f t="shared" ref="I97:I110" si="10">IF(OR(E97="",G97=""),"",IF(E97&gt;G97,D97,IF(G97&gt;E97,F97,"TIE")))</f>
        <v>DEN</v>
      </c>
      <c r="J97" t="str">
        <f t="shared" ref="J97:J110" si="11">IF(OR(E97="",G97="",H97=""),"",IF(E97+H97&gt;G97,D97,IF(E97+H97&lt;G97,F97,"PUSH")))</f>
        <v>DEN</v>
      </c>
    </row>
    <row r="98" spans="1:10" ht="15" customHeight="1" x14ac:dyDescent="0.25">
      <c r="A98">
        <v>6</v>
      </c>
      <c r="B98" t="s">
        <v>152</v>
      </c>
      <c r="C98" t="s">
        <v>146</v>
      </c>
      <c r="D98" t="s">
        <v>68</v>
      </c>
      <c r="E98">
        <v>34</v>
      </c>
      <c r="F98" t="s">
        <v>72</v>
      </c>
      <c r="G98">
        <v>31</v>
      </c>
      <c r="H98">
        <v>2.5</v>
      </c>
      <c r="I98" t="str">
        <f t="shared" si="10"/>
        <v>HOU</v>
      </c>
      <c r="J98" t="str">
        <f t="shared" si="11"/>
        <v>HOU</v>
      </c>
    </row>
    <row r="99" spans="1:10" ht="15" customHeight="1" x14ac:dyDescent="0.25">
      <c r="A99">
        <v>6</v>
      </c>
      <c r="B99" t="s">
        <v>152</v>
      </c>
      <c r="C99" t="s">
        <v>133</v>
      </c>
      <c r="D99" t="s">
        <v>61</v>
      </c>
      <c r="E99">
        <v>31</v>
      </c>
      <c r="F99" t="s">
        <v>73</v>
      </c>
      <c r="G99">
        <v>23</v>
      </c>
      <c r="H99">
        <v>-3.5</v>
      </c>
      <c r="I99" t="str">
        <f t="shared" si="10"/>
        <v>CHI</v>
      </c>
      <c r="J99" t="str">
        <f t="shared" si="11"/>
        <v>CHI</v>
      </c>
    </row>
    <row r="100" spans="1:10" ht="15" customHeight="1" x14ac:dyDescent="0.25">
      <c r="A100">
        <v>6</v>
      </c>
      <c r="B100" t="s">
        <v>152</v>
      </c>
      <c r="C100" t="s">
        <v>133</v>
      </c>
      <c r="D100" t="s">
        <v>69</v>
      </c>
      <c r="E100">
        <v>10</v>
      </c>
      <c r="F100" t="s">
        <v>71</v>
      </c>
      <c r="G100">
        <v>13</v>
      </c>
      <c r="H100">
        <v>-4.5</v>
      </c>
      <c r="I100" t="str">
        <f t="shared" si="10"/>
        <v>CLE</v>
      </c>
      <c r="J100" t="str">
        <f t="shared" si="11"/>
        <v>CLE</v>
      </c>
    </row>
    <row r="101" spans="1:10" ht="15" customHeight="1" x14ac:dyDescent="0.25">
      <c r="A101">
        <v>6</v>
      </c>
      <c r="B101" t="s">
        <v>152</v>
      </c>
      <c r="C101" t="s">
        <v>133</v>
      </c>
      <c r="D101" t="s">
        <v>76</v>
      </c>
      <c r="E101">
        <v>26</v>
      </c>
      <c r="F101" t="s">
        <v>70</v>
      </c>
      <c r="G101">
        <v>20</v>
      </c>
      <c r="H101">
        <v>6.5</v>
      </c>
      <c r="I101" t="str">
        <f t="shared" si="10"/>
        <v>TEN</v>
      </c>
      <c r="J101" t="str">
        <f t="shared" si="11"/>
        <v>TEN</v>
      </c>
    </row>
    <row r="102" spans="1:10" ht="15" customHeight="1" x14ac:dyDescent="0.25">
      <c r="A102">
        <v>6</v>
      </c>
      <c r="B102" t="s">
        <v>152</v>
      </c>
      <c r="C102" t="s">
        <v>133</v>
      </c>
      <c r="D102" t="s">
        <v>75</v>
      </c>
      <c r="E102">
        <v>19</v>
      </c>
      <c r="F102" t="s">
        <v>57</v>
      </c>
      <c r="G102">
        <v>26</v>
      </c>
      <c r="H102">
        <v>7.5</v>
      </c>
      <c r="I102" t="str">
        <f t="shared" si="10"/>
        <v>NE</v>
      </c>
      <c r="J102" t="str">
        <f t="shared" si="11"/>
        <v>NYJ</v>
      </c>
    </row>
    <row r="103" spans="1:10" ht="15" customHeight="1" x14ac:dyDescent="0.25">
      <c r="A103">
        <v>6</v>
      </c>
      <c r="B103" t="s">
        <v>152</v>
      </c>
      <c r="C103" t="s">
        <v>133</v>
      </c>
      <c r="D103" t="s">
        <v>65</v>
      </c>
      <c r="E103">
        <v>34</v>
      </c>
      <c r="F103" t="s">
        <v>86</v>
      </c>
      <c r="G103">
        <v>27</v>
      </c>
      <c r="H103">
        <v>1.5</v>
      </c>
      <c r="I103" t="str">
        <f t="shared" si="10"/>
        <v>NO</v>
      </c>
      <c r="J103" t="str">
        <f t="shared" si="11"/>
        <v>NO</v>
      </c>
    </row>
    <row r="104" spans="1:10" ht="15" customHeight="1" x14ac:dyDescent="0.25">
      <c r="A104">
        <v>6</v>
      </c>
      <c r="B104" t="s">
        <v>152</v>
      </c>
      <c r="C104" t="s">
        <v>133</v>
      </c>
      <c r="D104" t="s">
        <v>62</v>
      </c>
      <c r="E104">
        <v>25</v>
      </c>
      <c r="F104" t="s">
        <v>84</v>
      </c>
      <c r="G104">
        <v>14</v>
      </c>
      <c r="H104">
        <v>1.5</v>
      </c>
      <c r="I104" t="str">
        <f t="shared" si="10"/>
        <v>CAR</v>
      </c>
      <c r="J104" t="str">
        <f t="shared" si="11"/>
        <v>CAR</v>
      </c>
    </row>
    <row r="105" spans="1:10" ht="15" customHeight="1" x14ac:dyDescent="0.25">
      <c r="A105">
        <v>6</v>
      </c>
      <c r="B105" t="s">
        <v>152</v>
      </c>
      <c r="C105" t="s">
        <v>133</v>
      </c>
      <c r="D105" t="s">
        <v>74</v>
      </c>
      <c r="E105">
        <v>26</v>
      </c>
      <c r="F105" t="s">
        <v>63</v>
      </c>
      <c r="G105">
        <v>19</v>
      </c>
      <c r="H105">
        <v>-2.5</v>
      </c>
      <c r="I105" t="str">
        <f t="shared" si="10"/>
        <v>PIT</v>
      </c>
      <c r="J105" t="str">
        <f t="shared" si="11"/>
        <v>PIT</v>
      </c>
    </row>
    <row r="106" spans="1:10" ht="15" customHeight="1" x14ac:dyDescent="0.25">
      <c r="A106">
        <v>6</v>
      </c>
      <c r="B106" t="s">
        <v>152</v>
      </c>
      <c r="C106" t="s">
        <v>139</v>
      </c>
      <c r="D106" t="s">
        <v>77</v>
      </c>
      <c r="E106">
        <v>18</v>
      </c>
      <c r="F106" t="s">
        <v>60</v>
      </c>
      <c r="G106">
        <v>16</v>
      </c>
      <c r="H106">
        <v>13.5</v>
      </c>
      <c r="I106" t="str">
        <f t="shared" si="10"/>
        <v>ARI</v>
      </c>
      <c r="J106" t="str">
        <f t="shared" si="11"/>
        <v>ARI</v>
      </c>
    </row>
    <row r="107" spans="1:10" ht="15" customHeight="1" x14ac:dyDescent="0.25">
      <c r="A107">
        <v>6</v>
      </c>
      <c r="B107" t="s">
        <v>152</v>
      </c>
      <c r="C107" t="s">
        <v>134</v>
      </c>
      <c r="D107" t="s">
        <v>78</v>
      </c>
      <c r="E107">
        <v>6</v>
      </c>
      <c r="F107" t="s">
        <v>88</v>
      </c>
      <c r="G107">
        <v>22</v>
      </c>
      <c r="H107">
        <v>8.5</v>
      </c>
      <c r="I107" t="str">
        <f t="shared" si="10"/>
        <v>KC</v>
      </c>
      <c r="J107" t="str">
        <f t="shared" si="11"/>
        <v>KC</v>
      </c>
    </row>
    <row r="108" spans="1:10" ht="15" customHeight="1" x14ac:dyDescent="0.25">
      <c r="A108">
        <v>6</v>
      </c>
      <c r="B108" t="s">
        <v>152</v>
      </c>
      <c r="C108" t="s">
        <v>134</v>
      </c>
      <c r="D108" t="s">
        <v>67</v>
      </c>
      <c r="E108">
        <v>33</v>
      </c>
      <c r="F108" t="s">
        <v>80</v>
      </c>
      <c r="G108">
        <v>30</v>
      </c>
      <c r="H108">
        <v>-5.5</v>
      </c>
      <c r="I108" t="str">
        <f t="shared" si="10"/>
        <v>BUF</v>
      </c>
      <c r="J108" t="str">
        <f t="shared" si="11"/>
        <v>LV</v>
      </c>
    </row>
    <row r="109" spans="1:10" ht="15" customHeight="1" x14ac:dyDescent="0.25">
      <c r="A109">
        <v>6</v>
      </c>
      <c r="B109" t="s">
        <v>152</v>
      </c>
      <c r="C109" t="s">
        <v>129</v>
      </c>
      <c r="D109" t="s">
        <v>85</v>
      </c>
      <c r="E109">
        <v>13</v>
      </c>
      <c r="F109" t="s">
        <v>81</v>
      </c>
      <c r="G109">
        <v>23</v>
      </c>
      <c r="H109">
        <v>1.5</v>
      </c>
      <c r="I109" t="str">
        <f t="shared" si="10"/>
        <v>GB</v>
      </c>
      <c r="J109" t="str">
        <f t="shared" si="11"/>
        <v>GB</v>
      </c>
    </row>
    <row r="110" spans="1:10" ht="15" customHeight="1" x14ac:dyDescent="0.25">
      <c r="A110">
        <v>6</v>
      </c>
      <c r="B110" t="s">
        <v>153</v>
      </c>
      <c r="C110" t="s">
        <v>136</v>
      </c>
      <c r="D110" t="s">
        <v>83</v>
      </c>
      <c r="E110">
        <v>17</v>
      </c>
      <c r="F110" t="s">
        <v>59</v>
      </c>
      <c r="G110">
        <v>23</v>
      </c>
      <c r="H110">
        <v>7.5</v>
      </c>
      <c r="I110" t="str">
        <f t="shared" si="10"/>
        <v>SF</v>
      </c>
      <c r="J110" t="str">
        <f t="shared" si="11"/>
        <v>WAS</v>
      </c>
    </row>
    <row r="111" spans="1:10" x14ac:dyDescent="0.25">
      <c r="D111" s="16" t="s">
        <v>89</v>
      </c>
      <c r="E111" s="17">
        <f>IF(AND(E110&lt;&gt;"",G110&lt;&gt;""),E110+G110,"")</f>
        <v>40</v>
      </c>
    </row>
    <row r="112" spans="1:10" ht="15" customHeight="1" x14ac:dyDescent="0.25">
      <c r="A112" t="s">
        <v>95</v>
      </c>
    </row>
    <row r="113" spans="1:10" ht="15" customHeight="1" x14ac:dyDescent="0.25">
      <c r="A113" t="s">
        <v>120</v>
      </c>
      <c r="B113" t="s">
        <v>121</v>
      </c>
      <c r="C113" t="s">
        <v>122</v>
      </c>
      <c r="D113" t="s">
        <v>53</v>
      </c>
      <c r="E113" t="s">
        <v>123</v>
      </c>
      <c r="F113" t="s">
        <v>55</v>
      </c>
      <c r="G113" t="s">
        <v>124</v>
      </c>
      <c r="H113" t="s">
        <v>125</v>
      </c>
      <c r="I113" t="s">
        <v>126</v>
      </c>
      <c r="J113" t="s">
        <v>127</v>
      </c>
    </row>
    <row r="114" spans="1:10" ht="15" customHeight="1" x14ac:dyDescent="0.25">
      <c r="A114">
        <v>7</v>
      </c>
      <c r="B114" t="s">
        <v>154</v>
      </c>
      <c r="C114" t="s">
        <v>136</v>
      </c>
      <c r="D114" t="s">
        <v>57</v>
      </c>
      <c r="F114" t="s">
        <v>61</v>
      </c>
      <c r="I114" t="str">
        <f t="shared" ref="I114:I127" si="12">IF(OR(E114="",G114=""),"",IF(E114&gt;G114,D114,IF(G114&gt;E114,F114,"TIE")))</f>
        <v/>
      </c>
      <c r="J114" t="str">
        <f t="shared" ref="J114:J127" si="13">IF(OR(E114="",G114="",H114=""),"",IF(E114+H114&gt;G114,D114,IF(E114+H114&lt;G114,F114,"PUSH")))</f>
        <v/>
      </c>
    </row>
    <row r="115" spans="1:10" ht="15" customHeight="1" x14ac:dyDescent="0.25">
      <c r="A115">
        <v>7</v>
      </c>
      <c r="B115" t="s">
        <v>155</v>
      </c>
      <c r="C115" t="s">
        <v>146</v>
      </c>
      <c r="D115" t="s">
        <v>74</v>
      </c>
      <c r="F115" t="s">
        <v>65</v>
      </c>
      <c r="I115" t="str">
        <f t="shared" si="12"/>
        <v/>
      </c>
      <c r="J115" t="str">
        <f t="shared" si="13"/>
        <v/>
      </c>
    </row>
    <row r="116" spans="1:10" ht="15" customHeight="1" x14ac:dyDescent="0.25">
      <c r="A116">
        <v>7</v>
      </c>
      <c r="B116" t="s">
        <v>155</v>
      </c>
      <c r="C116" t="s">
        <v>133</v>
      </c>
      <c r="D116" t="s">
        <v>59</v>
      </c>
      <c r="F116" t="s">
        <v>73</v>
      </c>
      <c r="I116" t="str">
        <f t="shared" si="12"/>
        <v/>
      </c>
      <c r="J116" t="str">
        <f t="shared" si="13"/>
        <v/>
      </c>
    </row>
    <row r="117" spans="1:10" ht="15" customHeight="1" x14ac:dyDescent="0.25">
      <c r="A117">
        <v>7</v>
      </c>
      <c r="B117" t="s">
        <v>155</v>
      </c>
      <c r="C117" t="s">
        <v>133</v>
      </c>
      <c r="D117" t="s">
        <v>71</v>
      </c>
      <c r="F117" t="s">
        <v>76</v>
      </c>
      <c r="I117" t="str">
        <f t="shared" si="12"/>
        <v/>
      </c>
      <c r="J117" t="str">
        <f t="shared" si="13"/>
        <v/>
      </c>
    </row>
    <row r="118" spans="1:10" ht="15" customHeight="1" x14ac:dyDescent="0.25">
      <c r="A118">
        <v>7</v>
      </c>
      <c r="B118" t="s">
        <v>155</v>
      </c>
      <c r="C118" t="s">
        <v>133</v>
      </c>
      <c r="D118" t="s">
        <v>70</v>
      </c>
      <c r="F118" t="s">
        <v>82</v>
      </c>
      <c r="I118" t="str">
        <f t="shared" si="12"/>
        <v/>
      </c>
      <c r="J118" t="str">
        <f t="shared" si="13"/>
        <v/>
      </c>
    </row>
    <row r="119" spans="1:10" ht="15" customHeight="1" x14ac:dyDescent="0.25">
      <c r="A119">
        <v>7</v>
      </c>
      <c r="B119" t="s">
        <v>155</v>
      </c>
      <c r="C119" t="s">
        <v>133</v>
      </c>
      <c r="D119" t="s">
        <v>79</v>
      </c>
      <c r="F119" t="s">
        <v>75</v>
      </c>
      <c r="I119" t="str">
        <f t="shared" si="12"/>
        <v/>
      </c>
      <c r="J119" t="str">
        <f t="shared" si="13"/>
        <v/>
      </c>
    </row>
    <row r="120" spans="1:10" ht="15" customHeight="1" x14ac:dyDescent="0.25">
      <c r="A120">
        <v>7</v>
      </c>
      <c r="B120" t="s">
        <v>155</v>
      </c>
      <c r="C120" t="s">
        <v>133</v>
      </c>
      <c r="D120" t="s">
        <v>63</v>
      </c>
      <c r="F120" t="s">
        <v>62</v>
      </c>
      <c r="I120" t="str">
        <f t="shared" si="12"/>
        <v/>
      </c>
      <c r="J120" t="str">
        <f t="shared" si="13"/>
        <v/>
      </c>
    </row>
    <row r="121" spans="1:10" ht="15" customHeight="1" x14ac:dyDescent="0.25">
      <c r="A121">
        <v>7</v>
      </c>
      <c r="B121" t="s">
        <v>155</v>
      </c>
      <c r="C121" t="s">
        <v>133</v>
      </c>
      <c r="D121" t="s">
        <v>64</v>
      </c>
      <c r="F121" t="s">
        <v>69</v>
      </c>
      <c r="I121" t="str">
        <f t="shared" si="12"/>
        <v/>
      </c>
      <c r="J121" t="str">
        <f t="shared" si="13"/>
        <v/>
      </c>
    </row>
    <row r="122" spans="1:10" ht="15" customHeight="1" x14ac:dyDescent="0.25">
      <c r="A122">
        <v>7</v>
      </c>
      <c r="B122" t="s">
        <v>155</v>
      </c>
      <c r="C122" t="s">
        <v>133</v>
      </c>
      <c r="D122" t="s">
        <v>86</v>
      </c>
      <c r="F122" t="s">
        <v>68</v>
      </c>
      <c r="I122" t="str">
        <f t="shared" si="12"/>
        <v/>
      </c>
      <c r="J122" t="str">
        <f t="shared" si="13"/>
        <v/>
      </c>
    </row>
    <row r="123" spans="1:10" ht="15" customHeight="1" x14ac:dyDescent="0.25">
      <c r="A123">
        <v>7</v>
      </c>
      <c r="B123" t="s">
        <v>155</v>
      </c>
      <c r="C123" t="s">
        <v>139</v>
      </c>
      <c r="D123" t="s">
        <v>87</v>
      </c>
      <c r="F123" t="s">
        <v>77</v>
      </c>
      <c r="I123" t="str">
        <f t="shared" si="12"/>
        <v/>
      </c>
      <c r="J123" t="str">
        <f t="shared" si="13"/>
        <v/>
      </c>
    </row>
    <row r="124" spans="1:10" ht="15" customHeight="1" x14ac:dyDescent="0.25">
      <c r="A124">
        <v>7</v>
      </c>
      <c r="B124" t="s">
        <v>155</v>
      </c>
      <c r="C124" t="s">
        <v>134</v>
      </c>
      <c r="D124" t="s">
        <v>81</v>
      </c>
      <c r="F124" t="s">
        <v>66</v>
      </c>
      <c r="I124" t="str">
        <f t="shared" si="12"/>
        <v/>
      </c>
      <c r="J124" t="str">
        <f t="shared" si="13"/>
        <v/>
      </c>
    </row>
    <row r="125" spans="1:10" ht="15" customHeight="1" x14ac:dyDescent="0.25">
      <c r="A125">
        <v>7</v>
      </c>
      <c r="B125" t="s">
        <v>155</v>
      </c>
      <c r="C125" t="s">
        <v>134</v>
      </c>
      <c r="D125" t="s">
        <v>60</v>
      </c>
      <c r="F125" t="s">
        <v>80</v>
      </c>
      <c r="I125" t="str">
        <f t="shared" si="12"/>
        <v/>
      </c>
      <c r="J125" t="str">
        <f t="shared" si="13"/>
        <v/>
      </c>
    </row>
    <row r="126" spans="1:10" ht="15" customHeight="1" x14ac:dyDescent="0.25">
      <c r="A126">
        <v>7</v>
      </c>
      <c r="B126" t="s">
        <v>155</v>
      </c>
      <c r="C126" t="s">
        <v>129</v>
      </c>
      <c r="D126" t="s">
        <v>88</v>
      </c>
      <c r="F126" t="s">
        <v>58</v>
      </c>
      <c r="I126" t="str">
        <f t="shared" si="12"/>
        <v/>
      </c>
      <c r="J126" t="str">
        <f t="shared" si="13"/>
        <v/>
      </c>
    </row>
    <row r="127" spans="1:10" ht="15" customHeight="1" x14ac:dyDescent="0.25">
      <c r="A127">
        <v>7</v>
      </c>
      <c r="B127" t="s">
        <v>156</v>
      </c>
      <c r="C127" t="s">
        <v>136</v>
      </c>
      <c r="D127" t="s">
        <v>85</v>
      </c>
      <c r="F127" t="s">
        <v>84</v>
      </c>
      <c r="I127" t="str">
        <f t="shared" si="12"/>
        <v/>
      </c>
      <c r="J127" t="str">
        <f t="shared" si="13"/>
        <v/>
      </c>
    </row>
    <row r="128" spans="1:10" x14ac:dyDescent="0.25">
      <c r="D128" s="16" t="s">
        <v>89</v>
      </c>
      <c r="E128" s="17" t="str">
        <f>IF(AND(E127&lt;&gt;"",G127&lt;&gt;""),E127+G127,"")</f>
        <v/>
      </c>
    </row>
    <row r="129" spans="1:10" ht="15" customHeight="1" x14ac:dyDescent="0.25">
      <c r="A129" t="s">
        <v>109</v>
      </c>
    </row>
    <row r="130" spans="1:10" ht="15" customHeight="1" x14ac:dyDescent="0.25">
      <c r="A130" t="s">
        <v>120</v>
      </c>
      <c r="B130" t="s">
        <v>121</v>
      </c>
      <c r="C130" t="s">
        <v>122</v>
      </c>
      <c r="D130" t="s">
        <v>53</v>
      </c>
      <c r="E130" t="s">
        <v>123</v>
      </c>
      <c r="F130" t="s">
        <v>55</v>
      </c>
      <c r="G130" t="s">
        <v>124</v>
      </c>
      <c r="H130" t="s">
        <v>125</v>
      </c>
      <c r="I130" t="s">
        <v>126</v>
      </c>
      <c r="J130" t="s">
        <v>127</v>
      </c>
    </row>
    <row r="131" spans="1:10" ht="15" customHeight="1" x14ac:dyDescent="0.25">
      <c r="A131">
        <v>8</v>
      </c>
      <c r="B131" t="s">
        <v>157</v>
      </c>
      <c r="C131" t="s">
        <v>136</v>
      </c>
      <c r="D131" t="s">
        <v>62</v>
      </c>
      <c r="F131" t="s">
        <v>81</v>
      </c>
      <c r="I131" t="str">
        <f t="shared" ref="I131:I144" si="14">IF(OR(E131="",G131=""),"",IF(E131&gt;G131,D131,IF(G131&gt;E131,F131,"TIE")))</f>
        <v/>
      </c>
      <c r="J131" t="str">
        <f t="shared" ref="J131:J144" si="15">IF(OR(E131="",G131="",H131=""),"",IF(E131+H131&gt;G131,D131,IF(E131+H131&lt;G131,F131,"PUSH")))</f>
        <v/>
      </c>
    </row>
    <row r="132" spans="1:10" ht="15" customHeight="1" x14ac:dyDescent="0.25">
      <c r="A132">
        <v>8</v>
      </c>
      <c r="B132" t="s">
        <v>158</v>
      </c>
      <c r="C132" t="s">
        <v>133</v>
      </c>
      <c r="D132" t="s">
        <v>69</v>
      </c>
      <c r="F132" t="s">
        <v>67</v>
      </c>
      <c r="I132" t="str">
        <f t="shared" si="14"/>
        <v/>
      </c>
      <c r="J132" t="str">
        <f t="shared" si="15"/>
        <v/>
      </c>
    </row>
    <row r="133" spans="1:10" ht="15" customHeight="1" x14ac:dyDescent="0.25">
      <c r="A133">
        <v>8</v>
      </c>
      <c r="B133" t="s">
        <v>158</v>
      </c>
      <c r="C133" t="s">
        <v>133</v>
      </c>
      <c r="D133" t="s">
        <v>76</v>
      </c>
      <c r="F133" t="s">
        <v>64</v>
      </c>
      <c r="I133" t="str">
        <f t="shared" si="14"/>
        <v/>
      </c>
      <c r="J133" t="str">
        <f t="shared" si="15"/>
        <v/>
      </c>
    </row>
    <row r="134" spans="1:10" ht="15" customHeight="1" x14ac:dyDescent="0.25">
      <c r="A134">
        <v>8</v>
      </c>
      <c r="B134" t="s">
        <v>158</v>
      </c>
      <c r="C134" t="s">
        <v>133</v>
      </c>
      <c r="D134" t="s">
        <v>77</v>
      </c>
      <c r="F134" t="s">
        <v>85</v>
      </c>
      <c r="I134" t="str">
        <f t="shared" si="14"/>
        <v/>
      </c>
      <c r="J134" t="str">
        <f t="shared" si="15"/>
        <v/>
      </c>
    </row>
    <row r="135" spans="1:10" ht="15" customHeight="1" x14ac:dyDescent="0.25">
      <c r="A135">
        <v>8</v>
      </c>
      <c r="B135" t="s">
        <v>158</v>
      </c>
      <c r="C135" t="s">
        <v>133</v>
      </c>
      <c r="D135" t="s">
        <v>82</v>
      </c>
      <c r="F135" t="s">
        <v>66</v>
      </c>
      <c r="I135" t="str">
        <f t="shared" si="14"/>
        <v/>
      </c>
      <c r="J135" t="str">
        <f t="shared" si="15"/>
        <v/>
      </c>
    </row>
    <row r="136" spans="1:10" ht="15" customHeight="1" x14ac:dyDescent="0.25">
      <c r="A136">
        <v>8</v>
      </c>
      <c r="B136" t="s">
        <v>158</v>
      </c>
      <c r="C136" t="s">
        <v>133</v>
      </c>
      <c r="D136" t="s">
        <v>80</v>
      </c>
      <c r="F136" t="s">
        <v>75</v>
      </c>
      <c r="I136" t="str">
        <f t="shared" si="14"/>
        <v/>
      </c>
      <c r="J136" t="str">
        <f t="shared" si="15"/>
        <v/>
      </c>
    </row>
    <row r="137" spans="1:10" ht="15" customHeight="1" x14ac:dyDescent="0.25">
      <c r="A137">
        <v>8</v>
      </c>
      <c r="B137" t="s">
        <v>158</v>
      </c>
      <c r="C137" t="s">
        <v>133</v>
      </c>
      <c r="D137" t="s">
        <v>71</v>
      </c>
      <c r="F137" t="s">
        <v>74</v>
      </c>
      <c r="I137" t="str">
        <f t="shared" si="14"/>
        <v/>
      </c>
      <c r="J137" t="str">
        <f t="shared" si="15"/>
        <v/>
      </c>
    </row>
    <row r="138" spans="1:10" ht="15" customHeight="1" x14ac:dyDescent="0.25">
      <c r="A138">
        <v>8</v>
      </c>
      <c r="B138" t="s">
        <v>158</v>
      </c>
      <c r="C138" t="s">
        <v>133</v>
      </c>
      <c r="D138" t="s">
        <v>73</v>
      </c>
      <c r="F138" t="s">
        <v>63</v>
      </c>
      <c r="I138" t="str">
        <f t="shared" si="14"/>
        <v/>
      </c>
      <c r="J138" t="str">
        <f t="shared" si="15"/>
        <v/>
      </c>
    </row>
    <row r="139" spans="1:10" ht="15" customHeight="1" x14ac:dyDescent="0.25">
      <c r="A139">
        <v>8</v>
      </c>
      <c r="B139" t="s">
        <v>158</v>
      </c>
      <c r="C139" t="s">
        <v>133</v>
      </c>
      <c r="D139" t="s">
        <v>70</v>
      </c>
      <c r="F139" t="s">
        <v>72</v>
      </c>
      <c r="I139" t="str">
        <f t="shared" si="14"/>
        <v/>
      </c>
      <c r="J139" t="str">
        <f t="shared" si="15"/>
        <v/>
      </c>
    </row>
    <row r="140" spans="1:10" ht="15" customHeight="1" x14ac:dyDescent="0.25">
      <c r="A140">
        <v>8</v>
      </c>
      <c r="B140" t="s">
        <v>158</v>
      </c>
      <c r="C140" t="s">
        <v>139</v>
      </c>
      <c r="D140" t="s">
        <v>60</v>
      </c>
      <c r="F140" t="s">
        <v>78</v>
      </c>
      <c r="I140" t="str">
        <f t="shared" si="14"/>
        <v/>
      </c>
      <c r="J140" t="str">
        <f t="shared" si="15"/>
        <v/>
      </c>
    </row>
    <row r="141" spans="1:10" ht="15" customHeight="1" x14ac:dyDescent="0.25">
      <c r="A141">
        <v>8</v>
      </c>
      <c r="B141" t="s">
        <v>158</v>
      </c>
      <c r="C141" t="s">
        <v>134</v>
      </c>
      <c r="D141" t="s">
        <v>88</v>
      </c>
      <c r="F141" t="s">
        <v>87</v>
      </c>
      <c r="I141" t="str">
        <f t="shared" si="14"/>
        <v/>
      </c>
      <c r="J141" t="str">
        <f t="shared" si="15"/>
        <v/>
      </c>
    </row>
    <row r="142" spans="1:10" ht="15" customHeight="1" x14ac:dyDescent="0.25">
      <c r="A142">
        <v>8</v>
      </c>
      <c r="B142" t="s">
        <v>158</v>
      </c>
      <c r="C142" t="s">
        <v>134</v>
      </c>
      <c r="D142" t="s">
        <v>57</v>
      </c>
      <c r="F142" t="s">
        <v>79</v>
      </c>
      <c r="I142" t="str">
        <f t="shared" si="14"/>
        <v/>
      </c>
      <c r="J142" t="str">
        <f t="shared" si="15"/>
        <v/>
      </c>
    </row>
    <row r="143" spans="1:10" ht="15" customHeight="1" x14ac:dyDescent="0.25">
      <c r="A143">
        <v>8</v>
      </c>
      <c r="B143" t="s">
        <v>158</v>
      </c>
      <c r="C143" t="s">
        <v>129</v>
      </c>
      <c r="D143" t="s">
        <v>84</v>
      </c>
      <c r="F143" t="s">
        <v>83</v>
      </c>
      <c r="I143" t="str">
        <f t="shared" si="14"/>
        <v/>
      </c>
      <c r="J143" t="str">
        <f t="shared" si="15"/>
        <v/>
      </c>
    </row>
    <row r="144" spans="1:10" ht="15" customHeight="1" x14ac:dyDescent="0.25">
      <c r="A144">
        <v>8</v>
      </c>
      <c r="B144" t="s">
        <v>159</v>
      </c>
      <c r="C144" t="s">
        <v>136</v>
      </c>
      <c r="D144" t="s">
        <v>61</v>
      </c>
      <c r="F144" t="s">
        <v>58</v>
      </c>
      <c r="I144" t="str">
        <f t="shared" si="14"/>
        <v/>
      </c>
      <c r="J144" t="str">
        <f t="shared" si="15"/>
        <v/>
      </c>
    </row>
    <row r="145" spans="1:10" x14ac:dyDescent="0.25">
      <c r="D145" s="16" t="s">
        <v>89</v>
      </c>
      <c r="E145" s="17" t="str">
        <f>IF(AND(E144&lt;&gt;"",G144&lt;&gt;""),E144+G144,"")</f>
        <v/>
      </c>
    </row>
    <row r="146" spans="1:10" ht="15" customHeight="1" x14ac:dyDescent="0.25">
      <c r="A146" t="s">
        <v>110</v>
      </c>
    </row>
    <row r="147" spans="1:10" ht="15" customHeight="1" x14ac:dyDescent="0.25">
      <c r="A147" t="s">
        <v>120</v>
      </c>
      <c r="B147" t="s">
        <v>121</v>
      </c>
      <c r="C147" t="s">
        <v>122</v>
      </c>
      <c r="D147" t="s">
        <v>53</v>
      </c>
      <c r="E147" t="s">
        <v>123</v>
      </c>
      <c r="F147" t="s">
        <v>55</v>
      </c>
      <c r="G147" t="s">
        <v>124</v>
      </c>
      <c r="H147" t="s">
        <v>125</v>
      </c>
      <c r="I147" t="s">
        <v>126</v>
      </c>
      <c r="J147" t="s">
        <v>127</v>
      </c>
    </row>
    <row r="148" spans="1:10" ht="15" customHeight="1" x14ac:dyDescent="0.25">
      <c r="A148">
        <v>9</v>
      </c>
      <c r="B148" t="s">
        <v>160</v>
      </c>
      <c r="C148" t="s">
        <v>136</v>
      </c>
      <c r="D148" t="s">
        <v>72</v>
      </c>
      <c r="F148" t="s">
        <v>69</v>
      </c>
      <c r="I148" t="str">
        <f t="shared" ref="I148:I162" si="16">IF(OR(E148="",G148=""),"",IF(E148&gt;G148,D148,IF(G148&gt;E148,F148,"TIE")))</f>
        <v/>
      </c>
      <c r="J148" t="str">
        <f t="shared" ref="J148:J162" si="17">IF(OR(E148="",G148="",H148=""),"",IF(E148+H148&gt;G148,D148,IF(E148+H148&lt;G148,F148,"PUSH")))</f>
        <v/>
      </c>
    </row>
    <row r="149" spans="1:10" ht="15" customHeight="1" x14ac:dyDescent="0.25">
      <c r="A149">
        <v>9</v>
      </c>
      <c r="B149" t="s">
        <v>161</v>
      </c>
      <c r="C149" t="s">
        <v>146</v>
      </c>
      <c r="D149" t="s">
        <v>64</v>
      </c>
      <c r="F149" t="s">
        <v>73</v>
      </c>
      <c r="I149" t="str">
        <f t="shared" si="16"/>
        <v/>
      </c>
      <c r="J149" t="str">
        <f t="shared" si="17"/>
        <v/>
      </c>
    </row>
    <row r="150" spans="1:10" ht="15" customHeight="1" x14ac:dyDescent="0.25">
      <c r="A150">
        <v>9</v>
      </c>
      <c r="B150" t="s">
        <v>161</v>
      </c>
      <c r="C150" t="s">
        <v>133</v>
      </c>
      <c r="D150" t="s">
        <v>85</v>
      </c>
      <c r="F150" t="s">
        <v>70</v>
      </c>
      <c r="I150" t="str">
        <f t="shared" si="16"/>
        <v/>
      </c>
      <c r="J150" t="str">
        <f t="shared" si="17"/>
        <v/>
      </c>
    </row>
    <row r="151" spans="1:10" ht="15" customHeight="1" x14ac:dyDescent="0.25">
      <c r="A151">
        <v>9</v>
      </c>
      <c r="B151" t="s">
        <v>161</v>
      </c>
      <c r="C151" t="s">
        <v>133</v>
      </c>
      <c r="D151" t="s">
        <v>75</v>
      </c>
      <c r="F151" t="s">
        <v>88</v>
      </c>
      <c r="I151" t="str">
        <f t="shared" si="16"/>
        <v/>
      </c>
      <c r="J151" t="str">
        <f t="shared" si="17"/>
        <v/>
      </c>
    </row>
    <row r="152" spans="1:10" ht="15" customHeight="1" x14ac:dyDescent="0.25">
      <c r="A152">
        <v>9</v>
      </c>
      <c r="B152" t="s">
        <v>161</v>
      </c>
      <c r="C152" t="s">
        <v>133</v>
      </c>
      <c r="D152" t="s">
        <v>66</v>
      </c>
      <c r="F152" t="s">
        <v>79</v>
      </c>
      <c r="I152" t="str">
        <f t="shared" si="16"/>
        <v/>
      </c>
      <c r="J152" t="str">
        <f t="shared" si="17"/>
        <v/>
      </c>
    </row>
    <row r="153" spans="1:10" ht="15" customHeight="1" x14ac:dyDescent="0.25">
      <c r="A153">
        <v>9</v>
      </c>
      <c r="B153" t="s">
        <v>161</v>
      </c>
      <c r="C153" t="s">
        <v>133</v>
      </c>
      <c r="D153" t="s">
        <v>71</v>
      </c>
      <c r="F153" t="s">
        <v>65</v>
      </c>
      <c r="I153" t="str">
        <f t="shared" si="16"/>
        <v/>
      </c>
      <c r="J153" t="str">
        <f t="shared" si="17"/>
        <v/>
      </c>
    </row>
    <row r="154" spans="1:10" ht="15" customHeight="1" x14ac:dyDescent="0.25">
      <c r="A154">
        <v>9</v>
      </c>
      <c r="B154" t="s">
        <v>161</v>
      </c>
      <c r="C154" t="s">
        <v>133</v>
      </c>
      <c r="D154" t="s">
        <v>86</v>
      </c>
      <c r="F154" t="s">
        <v>84</v>
      </c>
      <c r="I154" t="str">
        <f t="shared" si="16"/>
        <v/>
      </c>
      <c r="J154" t="str">
        <f t="shared" si="17"/>
        <v/>
      </c>
    </row>
    <row r="155" spans="1:10" ht="15" customHeight="1" x14ac:dyDescent="0.25">
      <c r="A155">
        <v>9</v>
      </c>
      <c r="B155" t="s">
        <v>161</v>
      </c>
      <c r="C155" t="s">
        <v>133</v>
      </c>
      <c r="D155" t="s">
        <v>60</v>
      </c>
      <c r="F155" t="s">
        <v>83</v>
      </c>
      <c r="I155" t="str">
        <f t="shared" si="16"/>
        <v/>
      </c>
      <c r="J155" t="str">
        <f t="shared" si="17"/>
        <v/>
      </c>
    </row>
    <row r="156" spans="1:10" ht="15" customHeight="1" x14ac:dyDescent="0.25">
      <c r="A156">
        <v>9</v>
      </c>
      <c r="B156" t="s">
        <v>161</v>
      </c>
      <c r="C156" t="s">
        <v>133</v>
      </c>
      <c r="D156" t="s">
        <v>87</v>
      </c>
      <c r="F156" t="s">
        <v>62</v>
      </c>
      <c r="I156" t="str">
        <f t="shared" si="16"/>
        <v/>
      </c>
      <c r="J156" t="str">
        <f t="shared" si="17"/>
        <v/>
      </c>
    </row>
    <row r="157" spans="1:10" ht="15" customHeight="1" x14ac:dyDescent="0.25">
      <c r="A157">
        <v>9</v>
      </c>
      <c r="B157" t="s">
        <v>161</v>
      </c>
      <c r="C157" t="s">
        <v>139</v>
      </c>
      <c r="D157" t="s">
        <v>68</v>
      </c>
      <c r="F157" t="s">
        <v>78</v>
      </c>
      <c r="I157" t="str">
        <f t="shared" si="16"/>
        <v/>
      </c>
      <c r="J157" t="str">
        <f t="shared" si="17"/>
        <v/>
      </c>
    </row>
    <row r="158" spans="1:10" ht="15" customHeight="1" x14ac:dyDescent="0.25">
      <c r="A158">
        <v>9</v>
      </c>
      <c r="B158" t="s">
        <v>161</v>
      </c>
      <c r="C158" t="s">
        <v>139</v>
      </c>
      <c r="D158" t="s">
        <v>80</v>
      </c>
      <c r="F158" t="s">
        <v>59</v>
      </c>
      <c r="I158" t="str">
        <f t="shared" si="16"/>
        <v/>
      </c>
      <c r="J158" t="str">
        <f t="shared" si="17"/>
        <v/>
      </c>
    </row>
    <row r="159" spans="1:10" ht="15" customHeight="1" x14ac:dyDescent="0.25">
      <c r="A159">
        <v>9</v>
      </c>
      <c r="B159" t="s">
        <v>161</v>
      </c>
      <c r="C159" t="s">
        <v>134</v>
      </c>
      <c r="D159" t="s">
        <v>81</v>
      </c>
      <c r="F159" t="s">
        <v>57</v>
      </c>
      <c r="I159" t="str">
        <f t="shared" si="16"/>
        <v/>
      </c>
      <c r="J159" t="str">
        <f t="shared" si="17"/>
        <v/>
      </c>
    </row>
    <row r="160" spans="1:10" ht="15" customHeight="1" x14ac:dyDescent="0.25">
      <c r="A160">
        <v>9</v>
      </c>
      <c r="B160" t="s">
        <v>161</v>
      </c>
      <c r="C160" t="s">
        <v>134</v>
      </c>
      <c r="D160" t="s">
        <v>77</v>
      </c>
      <c r="F160" t="s">
        <v>58</v>
      </c>
      <c r="I160" t="str">
        <f t="shared" si="16"/>
        <v/>
      </c>
      <c r="J160" t="str">
        <f t="shared" si="17"/>
        <v/>
      </c>
    </row>
    <row r="161" spans="1:10" ht="15" customHeight="1" x14ac:dyDescent="0.25">
      <c r="A161">
        <v>9</v>
      </c>
      <c r="B161" t="s">
        <v>161</v>
      </c>
      <c r="C161" t="s">
        <v>129</v>
      </c>
      <c r="D161" t="s">
        <v>63</v>
      </c>
      <c r="F161" t="s">
        <v>61</v>
      </c>
      <c r="I161" t="str">
        <f t="shared" si="16"/>
        <v/>
      </c>
      <c r="J161" t="str">
        <f t="shared" si="17"/>
        <v/>
      </c>
    </row>
    <row r="162" spans="1:10" ht="15" customHeight="1" x14ac:dyDescent="0.25">
      <c r="A162">
        <v>9</v>
      </c>
      <c r="B162" t="s">
        <v>162</v>
      </c>
      <c r="C162" t="s">
        <v>136</v>
      </c>
      <c r="D162" t="s">
        <v>67</v>
      </c>
      <c r="F162" t="s">
        <v>82</v>
      </c>
      <c r="I162" t="str">
        <f t="shared" si="16"/>
        <v/>
      </c>
      <c r="J162" t="str">
        <f t="shared" si="17"/>
        <v/>
      </c>
    </row>
    <row r="163" spans="1:10" x14ac:dyDescent="0.25">
      <c r="D163" s="16" t="s">
        <v>89</v>
      </c>
      <c r="E163" s="17" t="str">
        <f>IF(AND(E162&lt;&gt;"",G162&lt;&gt;""),E162+G162,"")</f>
        <v/>
      </c>
    </row>
    <row r="164" spans="1:10" ht="15" customHeight="1" x14ac:dyDescent="0.25">
      <c r="A164" t="s">
        <v>111</v>
      </c>
    </row>
    <row r="165" spans="1:10" ht="15" customHeight="1" x14ac:dyDescent="0.25">
      <c r="A165" t="s">
        <v>120</v>
      </c>
      <c r="B165" t="s">
        <v>121</v>
      </c>
      <c r="C165" t="s">
        <v>122</v>
      </c>
      <c r="D165" t="s">
        <v>53</v>
      </c>
      <c r="E165" t="s">
        <v>123</v>
      </c>
      <c r="F165" t="s">
        <v>55</v>
      </c>
      <c r="G165" t="s">
        <v>124</v>
      </c>
      <c r="H165" t="s">
        <v>125</v>
      </c>
      <c r="I165" t="s">
        <v>126</v>
      </c>
      <c r="J165" t="s">
        <v>127</v>
      </c>
    </row>
    <row r="166" spans="1:10" ht="15" customHeight="1" x14ac:dyDescent="0.25">
      <c r="A166">
        <v>10</v>
      </c>
      <c r="B166" t="s">
        <v>163</v>
      </c>
      <c r="C166" t="s">
        <v>136</v>
      </c>
      <c r="D166" t="s">
        <v>83</v>
      </c>
      <c r="F166" t="s">
        <v>86</v>
      </c>
      <c r="I166" t="str">
        <f t="shared" ref="I166:I179" si="18">IF(OR(E166="",G166=""),"",IF(E166&gt;G166,D166,IF(G166&gt;E166,F166,"TIE")))</f>
        <v/>
      </c>
      <c r="J166" t="str">
        <f t="shared" ref="J166:J179" si="19">IF(OR(E166="",G166="",H166=""),"",IF(E166+H166&gt;G166,D166,IF(E166+H166&lt;G166,F166,"PUSH")))</f>
        <v/>
      </c>
    </row>
    <row r="167" spans="1:10" ht="15" customHeight="1" x14ac:dyDescent="0.25">
      <c r="A167">
        <v>10</v>
      </c>
      <c r="B167" t="s">
        <v>164</v>
      </c>
      <c r="C167" t="s">
        <v>146</v>
      </c>
      <c r="D167" t="s">
        <v>57</v>
      </c>
      <c r="F167" t="s">
        <v>66</v>
      </c>
      <c r="I167" t="str">
        <f t="shared" si="18"/>
        <v/>
      </c>
      <c r="J167" t="str">
        <f t="shared" si="19"/>
        <v/>
      </c>
    </row>
    <row r="168" spans="1:10" ht="15" customHeight="1" x14ac:dyDescent="0.25">
      <c r="A168">
        <v>10</v>
      </c>
      <c r="B168" t="s">
        <v>164</v>
      </c>
      <c r="C168" t="s">
        <v>133</v>
      </c>
      <c r="D168" t="s">
        <v>88</v>
      </c>
      <c r="F168" t="s">
        <v>73</v>
      </c>
      <c r="I168" t="str">
        <f t="shared" si="18"/>
        <v/>
      </c>
      <c r="J168" t="str">
        <f t="shared" si="19"/>
        <v/>
      </c>
    </row>
    <row r="169" spans="1:10" ht="15" customHeight="1" x14ac:dyDescent="0.25">
      <c r="A169">
        <v>10</v>
      </c>
      <c r="B169" t="s">
        <v>164</v>
      </c>
      <c r="C169" t="s">
        <v>133</v>
      </c>
      <c r="D169" t="s">
        <v>68</v>
      </c>
      <c r="F169" t="s">
        <v>71</v>
      </c>
      <c r="I169" t="str">
        <f t="shared" si="18"/>
        <v/>
      </c>
      <c r="J169" t="str">
        <f t="shared" si="19"/>
        <v/>
      </c>
    </row>
    <row r="170" spans="1:10" ht="15" customHeight="1" x14ac:dyDescent="0.25">
      <c r="A170">
        <v>10</v>
      </c>
      <c r="B170" t="s">
        <v>164</v>
      </c>
      <c r="C170" t="s">
        <v>133</v>
      </c>
      <c r="D170" t="s">
        <v>82</v>
      </c>
      <c r="F170" t="s">
        <v>81</v>
      </c>
      <c r="I170" t="str">
        <f t="shared" si="18"/>
        <v/>
      </c>
      <c r="J170" t="str">
        <f t="shared" si="19"/>
        <v/>
      </c>
    </row>
    <row r="171" spans="1:10" ht="15" customHeight="1" x14ac:dyDescent="0.25">
      <c r="A171">
        <v>10</v>
      </c>
      <c r="B171" t="s">
        <v>164</v>
      </c>
      <c r="C171" t="s">
        <v>133</v>
      </c>
      <c r="D171" t="s">
        <v>72</v>
      </c>
      <c r="F171" t="s">
        <v>76</v>
      </c>
      <c r="I171" t="str">
        <f t="shared" si="18"/>
        <v/>
      </c>
      <c r="J171" t="str">
        <f t="shared" si="19"/>
        <v/>
      </c>
    </row>
    <row r="172" spans="1:10" ht="15" customHeight="1" x14ac:dyDescent="0.25">
      <c r="A172">
        <v>10</v>
      </c>
      <c r="B172" t="s">
        <v>164</v>
      </c>
      <c r="C172" t="s">
        <v>133</v>
      </c>
      <c r="D172" t="s">
        <v>79</v>
      </c>
      <c r="F172" t="s">
        <v>70</v>
      </c>
      <c r="I172" t="str">
        <f t="shared" si="18"/>
        <v/>
      </c>
      <c r="J172" t="str">
        <f t="shared" si="19"/>
        <v/>
      </c>
    </row>
    <row r="173" spans="1:10" ht="15" customHeight="1" x14ac:dyDescent="0.25">
      <c r="A173">
        <v>10</v>
      </c>
      <c r="B173" t="s">
        <v>164</v>
      </c>
      <c r="C173" t="s">
        <v>133</v>
      </c>
      <c r="D173" t="s">
        <v>62</v>
      </c>
      <c r="F173" t="s">
        <v>65</v>
      </c>
      <c r="I173" t="str">
        <f t="shared" si="18"/>
        <v/>
      </c>
      <c r="J173" t="str">
        <f t="shared" si="19"/>
        <v/>
      </c>
    </row>
    <row r="174" spans="1:10" ht="15" customHeight="1" x14ac:dyDescent="0.25">
      <c r="A174">
        <v>10</v>
      </c>
      <c r="B174" t="s">
        <v>164</v>
      </c>
      <c r="C174" t="s">
        <v>133</v>
      </c>
      <c r="D174" t="s">
        <v>67</v>
      </c>
      <c r="F174" t="s">
        <v>75</v>
      </c>
      <c r="I174" t="str">
        <f t="shared" si="18"/>
        <v/>
      </c>
      <c r="J174" t="str">
        <f t="shared" si="19"/>
        <v/>
      </c>
    </row>
    <row r="175" spans="1:10" ht="15" customHeight="1" x14ac:dyDescent="0.25">
      <c r="A175">
        <v>10</v>
      </c>
      <c r="B175" t="s">
        <v>164</v>
      </c>
      <c r="C175" t="s">
        <v>139</v>
      </c>
      <c r="D175" t="s">
        <v>58</v>
      </c>
      <c r="F175" t="s">
        <v>80</v>
      </c>
      <c r="I175" t="str">
        <f t="shared" si="18"/>
        <v/>
      </c>
      <c r="J175" t="str">
        <f t="shared" si="19"/>
        <v/>
      </c>
    </row>
    <row r="176" spans="1:10" ht="15" customHeight="1" x14ac:dyDescent="0.25">
      <c r="A176">
        <v>10</v>
      </c>
      <c r="B176" t="s">
        <v>164</v>
      </c>
      <c r="C176" t="s">
        <v>139</v>
      </c>
      <c r="D176" t="s">
        <v>60</v>
      </c>
      <c r="F176" t="s">
        <v>77</v>
      </c>
      <c r="I176" t="str">
        <f t="shared" si="18"/>
        <v/>
      </c>
      <c r="J176" t="str">
        <f t="shared" si="19"/>
        <v/>
      </c>
    </row>
    <row r="177" spans="1:10" ht="15" customHeight="1" x14ac:dyDescent="0.25">
      <c r="A177">
        <v>10</v>
      </c>
      <c r="B177" t="s">
        <v>164</v>
      </c>
      <c r="C177" t="s">
        <v>134</v>
      </c>
      <c r="D177" t="s">
        <v>59</v>
      </c>
      <c r="F177" t="s">
        <v>85</v>
      </c>
      <c r="I177" t="str">
        <f t="shared" si="18"/>
        <v/>
      </c>
      <c r="J177" t="str">
        <f t="shared" si="19"/>
        <v/>
      </c>
    </row>
    <row r="178" spans="1:10" ht="15" customHeight="1" x14ac:dyDescent="0.25">
      <c r="A178">
        <v>10</v>
      </c>
      <c r="B178" t="s">
        <v>164</v>
      </c>
      <c r="C178" t="s">
        <v>129</v>
      </c>
      <c r="D178" t="s">
        <v>74</v>
      </c>
      <c r="F178" t="s">
        <v>64</v>
      </c>
      <c r="I178" t="str">
        <f t="shared" si="18"/>
        <v/>
      </c>
      <c r="J178" t="str">
        <f t="shared" si="19"/>
        <v/>
      </c>
    </row>
    <row r="179" spans="1:10" ht="15" customHeight="1" x14ac:dyDescent="0.25">
      <c r="A179">
        <v>10</v>
      </c>
      <c r="B179" t="s">
        <v>165</v>
      </c>
      <c r="C179" t="s">
        <v>136</v>
      </c>
      <c r="D179" t="s">
        <v>78</v>
      </c>
      <c r="F179" t="s">
        <v>69</v>
      </c>
      <c r="I179" t="str">
        <f t="shared" si="18"/>
        <v/>
      </c>
      <c r="J179" t="str">
        <f t="shared" si="19"/>
        <v/>
      </c>
    </row>
    <row r="180" spans="1:10" x14ac:dyDescent="0.25">
      <c r="D180" s="16" t="s">
        <v>89</v>
      </c>
      <c r="E180" s="17" t="str">
        <f>IF(AND(E179&lt;&gt;"",G179&lt;&gt;""),E179+G179,"")</f>
        <v/>
      </c>
    </row>
    <row r="181" spans="1:10" ht="15" customHeight="1" x14ac:dyDescent="0.25">
      <c r="A181" t="s">
        <v>112</v>
      </c>
    </row>
    <row r="182" spans="1:10" ht="15" customHeight="1" x14ac:dyDescent="0.25">
      <c r="A182" t="s">
        <v>120</v>
      </c>
      <c r="B182" t="s">
        <v>121</v>
      </c>
      <c r="C182" t="s">
        <v>122</v>
      </c>
      <c r="D182" t="s">
        <v>53</v>
      </c>
      <c r="E182" t="s">
        <v>123</v>
      </c>
      <c r="F182" t="s">
        <v>55</v>
      </c>
      <c r="G182" t="s">
        <v>124</v>
      </c>
      <c r="H182" t="s">
        <v>125</v>
      </c>
      <c r="I182" t="s">
        <v>126</v>
      </c>
      <c r="J182" t="s">
        <v>127</v>
      </c>
    </row>
    <row r="183" spans="1:10" ht="15" customHeight="1" x14ac:dyDescent="0.25">
      <c r="A183">
        <v>11</v>
      </c>
      <c r="B183" t="s">
        <v>166</v>
      </c>
      <c r="C183" t="s">
        <v>136</v>
      </c>
      <c r="D183" t="s">
        <v>70</v>
      </c>
      <c r="F183" t="s">
        <v>68</v>
      </c>
      <c r="I183" t="str">
        <f t="shared" ref="I183:I195" si="20">IF(OR(E183="",G183=""),"",IF(E183&gt;G183,D183,IF(G183&gt;E183,F183,"TIE")))</f>
        <v/>
      </c>
      <c r="J183" t="str">
        <f t="shared" ref="J183:J195" si="21">IF(OR(E183="",G183="",H183=""),"",IF(E183+H183&gt;G183,D183,IF(E183+H183&lt;G183,F183,"PUSH")))</f>
        <v/>
      </c>
    </row>
    <row r="184" spans="1:10" ht="15" customHeight="1" x14ac:dyDescent="0.25">
      <c r="A184">
        <v>11</v>
      </c>
      <c r="B184" t="s">
        <v>167</v>
      </c>
      <c r="C184" t="s">
        <v>133</v>
      </c>
      <c r="D184" t="s">
        <v>79</v>
      </c>
      <c r="F184" t="s">
        <v>67</v>
      </c>
      <c r="I184" t="str">
        <f t="shared" si="20"/>
        <v/>
      </c>
      <c r="J184" t="str">
        <f t="shared" si="21"/>
        <v/>
      </c>
    </row>
    <row r="185" spans="1:10" ht="15" customHeight="1" x14ac:dyDescent="0.25">
      <c r="A185">
        <v>11</v>
      </c>
      <c r="B185" t="s">
        <v>167</v>
      </c>
      <c r="C185" t="s">
        <v>133</v>
      </c>
      <c r="D185" t="s">
        <v>65</v>
      </c>
      <c r="F185" t="s">
        <v>61</v>
      </c>
      <c r="I185" t="str">
        <f t="shared" si="20"/>
        <v/>
      </c>
      <c r="J185" t="str">
        <f t="shared" si="21"/>
        <v/>
      </c>
    </row>
    <row r="186" spans="1:10" ht="15" customHeight="1" x14ac:dyDescent="0.25">
      <c r="A186">
        <v>11</v>
      </c>
      <c r="B186" t="s">
        <v>167</v>
      </c>
      <c r="C186" t="s">
        <v>133</v>
      </c>
      <c r="D186" t="s">
        <v>76</v>
      </c>
      <c r="F186" t="s">
        <v>85</v>
      </c>
      <c r="I186" t="str">
        <f t="shared" si="20"/>
        <v/>
      </c>
      <c r="J186" t="str">
        <f t="shared" si="21"/>
        <v/>
      </c>
    </row>
    <row r="187" spans="1:10" ht="15" customHeight="1" x14ac:dyDescent="0.25">
      <c r="A187">
        <v>11</v>
      </c>
      <c r="B187" t="s">
        <v>167</v>
      </c>
      <c r="C187" t="s">
        <v>133</v>
      </c>
      <c r="D187" t="s">
        <v>63</v>
      </c>
      <c r="F187" t="s">
        <v>66</v>
      </c>
      <c r="I187" t="str">
        <f t="shared" si="20"/>
        <v/>
      </c>
      <c r="J187" t="str">
        <f t="shared" si="21"/>
        <v/>
      </c>
    </row>
    <row r="188" spans="1:10" ht="15" customHeight="1" x14ac:dyDescent="0.25">
      <c r="A188">
        <v>11</v>
      </c>
      <c r="B188" t="s">
        <v>167</v>
      </c>
      <c r="C188" t="s">
        <v>133</v>
      </c>
      <c r="D188" t="s">
        <v>77</v>
      </c>
      <c r="F188" t="s">
        <v>88</v>
      </c>
      <c r="I188" t="str">
        <f t="shared" si="20"/>
        <v/>
      </c>
      <c r="J188" t="str">
        <f t="shared" si="21"/>
        <v/>
      </c>
    </row>
    <row r="189" spans="1:10" ht="15" customHeight="1" x14ac:dyDescent="0.25">
      <c r="A189">
        <v>11</v>
      </c>
      <c r="B189" t="s">
        <v>167</v>
      </c>
      <c r="C189" t="s">
        <v>133</v>
      </c>
      <c r="D189" t="s">
        <v>72</v>
      </c>
      <c r="F189" t="s">
        <v>86</v>
      </c>
      <c r="I189" t="str">
        <f t="shared" si="20"/>
        <v/>
      </c>
      <c r="J189" t="str">
        <f t="shared" si="21"/>
        <v/>
      </c>
    </row>
    <row r="190" spans="1:10" ht="15" customHeight="1" x14ac:dyDescent="0.25">
      <c r="A190">
        <v>11</v>
      </c>
      <c r="B190" t="s">
        <v>167</v>
      </c>
      <c r="C190" t="s">
        <v>133</v>
      </c>
      <c r="D190" t="s">
        <v>69</v>
      </c>
      <c r="F190" t="s">
        <v>62</v>
      </c>
      <c r="I190" t="str">
        <f t="shared" si="20"/>
        <v/>
      </c>
      <c r="J190" t="str">
        <f t="shared" si="21"/>
        <v/>
      </c>
    </row>
    <row r="191" spans="1:10" ht="15" customHeight="1" x14ac:dyDescent="0.25">
      <c r="A191">
        <v>11</v>
      </c>
      <c r="B191" t="s">
        <v>167</v>
      </c>
      <c r="C191" t="s">
        <v>139</v>
      </c>
      <c r="D191" t="s">
        <v>75</v>
      </c>
      <c r="F191" t="s">
        <v>78</v>
      </c>
      <c r="I191" t="str">
        <f t="shared" si="20"/>
        <v/>
      </c>
      <c r="J191" t="str">
        <f t="shared" si="21"/>
        <v/>
      </c>
    </row>
    <row r="192" spans="1:10" ht="15" customHeight="1" x14ac:dyDescent="0.25">
      <c r="A192">
        <v>11</v>
      </c>
      <c r="B192" t="s">
        <v>167</v>
      </c>
      <c r="C192" t="s">
        <v>134</v>
      </c>
      <c r="D192" t="s">
        <v>80</v>
      </c>
      <c r="F192" t="s">
        <v>87</v>
      </c>
      <c r="I192" t="str">
        <f t="shared" si="20"/>
        <v/>
      </c>
      <c r="J192" t="str">
        <f t="shared" si="21"/>
        <v/>
      </c>
    </row>
    <row r="193" spans="1:10" ht="15" customHeight="1" x14ac:dyDescent="0.25">
      <c r="A193">
        <v>11</v>
      </c>
      <c r="B193" t="s">
        <v>167</v>
      </c>
      <c r="C193" t="s">
        <v>134</v>
      </c>
      <c r="D193" t="s">
        <v>74</v>
      </c>
      <c r="F193" t="s">
        <v>84</v>
      </c>
      <c r="I193" t="str">
        <f t="shared" si="20"/>
        <v/>
      </c>
      <c r="J193" t="str">
        <f t="shared" si="21"/>
        <v/>
      </c>
    </row>
    <row r="194" spans="1:10" ht="15" customHeight="1" x14ac:dyDescent="0.25">
      <c r="A194">
        <v>11</v>
      </c>
      <c r="B194" t="s">
        <v>167</v>
      </c>
      <c r="C194" t="s">
        <v>129</v>
      </c>
      <c r="D194" t="s">
        <v>82</v>
      </c>
      <c r="F194" t="s">
        <v>59</v>
      </c>
      <c r="I194" t="str">
        <f t="shared" si="20"/>
        <v/>
      </c>
      <c r="J194" t="str">
        <f t="shared" si="21"/>
        <v/>
      </c>
    </row>
    <row r="195" spans="1:10" ht="15" customHeight="1" x14ac:dyDescent="0.25">
      <c r="A195">
        <v>11</v>
      </c>
      <c r="B195" t="s">
        <v>168</v>
      </c>
      <c r="C195" t="s">
        <v>136</v>
      </c>
      <c r="D195" t="s">
        <v>64</v>
      </c>
      <c r="F195" t="s">
        <v>83</v>
      </c>
      <c r="I195" t="str">
        <f t="shared" si="20"/>
        <v/>
      </c>
      <c r="J195" t="str">
        <f t="shared" si="21"/>
        <v/>
      </c>
    </row>
    <row r="196" spans="1:10" x14ac:dyDescent="0.25">
      <c r="D196" s="16" t="s">
        <v>89</v>
      </c>
      <c r="E196" s="17" t="str">
        <f>IF(AND(E195&lt;&gt;"",G195&lt;&gt;""),E195+G195,"")</f>
        <v/>
      </c>
    </row>
    <row r="197" spans="1:10" ht="15" customHeight="1" x14ac:dyDescent="0.25">
      <c r="A197" t="s">
        <v>113</v>
      </c>
    </row>
    <row r="198" spans="1:10" ht="15" customHeight="1" x14ac:dyDescent="0.25">
      <c r="A198" t="s">
        <v>120</v>
      </c>
      <c r="B198" t="s">
        <v>121</v>
      </c>
      <c r="C198" t="s">
        <v>122</v>
      </c>
      <c r="D198" t="s">
        <v>53</v>
      </c>
      <c r="E198" t="s">
        <v>123</v>
      </c>
      <c r="F198" t="s">
        <v>55</v>
      </c>
      <c r="G198" t="s">
        <v>124</v>
      </c>
      <c r="H198" t="s">
        <v>125</v>
      </c>
      <c r="I198" t="s">
        <v>126</v>
      </c>
      <c r="J198" t="s">
        <v>127</v>
      </c>
    </row>
    <row r="199" spans="1:10" ht="15" customHeight="1" x14ac:dyDescent="0.25">
      <c r="A199">
        <v>12</v>
      </c>
      <c r="B199" t="s">
        <v>169</v>
      </c>
      <c r="C199" t="s">
        <v>170</v>
      </c>
      <c r="D199" t="s">
        <v>81</v>
      </c>
      <c r="F199" t="s">
        <v>60</v>
      </c>
      <c r="I199" t="str">
        <f t="shared" ref="I199:I214" si="22">IF(OR(E199="",G199=""),"",IF(E199&gt;G199,D199,IF(G199&gt;E199,F199,"TIE")))</f>
        <v/>
      </c>
      <c r="J199" t="str">
        <f t="shared" ref="J199:J214" si="23">IF(OR(E199="",G199="",H199=""),"",IF(E199+H199&gt;G199,D199,IF(E199+H199&lt;G199,F199,"PUSH")))</f>
        <v/>
      </c>
    </row>
    <row r="200" spans="1:10" ht="15" customHeight="1" x14ac:dyDescent="0.25">
      <c r="A200">
        <v>12</v>
      </c>
      <c r="B200" t="s">
        <v>171</v>
      </c>
      <c r="C200" t="s">
        <v>133</v>
      </c>
      <c r="D200" t="s">
        <v>61</v>
      </c>
      <c r="F200" t="s">
        <v>66</v>
      </c>
      <c r="I200" t="str">
        <f t="shared" si="22"/>
        <v/>
      </c>
      <c r="J200" t="str">
        <f t="shared" si="23"/>
        <v/>
      </c>
    </row>
    <row r="201" spans="1:10" ht="15" customHeight="1" x14ac:dyDescent="0.25">
      <c r="A201">
        <v>12</v>
      </c>
      <c r="B201" t="s">
        <v>171</v>
      </c>
      <c r="C201" t="s">
        <v>172</v>
      </c>
      <c r="D201" t="s">
        <v>84</v>
      </c>
      <c r="F201" t="s">
        <v>85</v>
      </c>
      <c r="I201" t="str">
        <f t="shared" si="22"/>
        <v/>
      </c>
      <c r="J201" t="str">
        <f t="shared" si="23"/>
        <v/>
      </c>
    </row>
    <row r="202" spans="1:10" ht="15" customHeight="1" x14ac:dyDescent="0.25">
      <c r="A202">
        <v>12</v>
      </c>
      <c r="B202" t="s">
        <v>171</v>
      </c>
      <c r="C202" t="s">
        <v>129</v>
      </c>
      <c r="D202" t="s">
        <v>88</v>
      </c>
      <c r="F202" t="s">
        <v>67</v>
      </c>
      <c r="I202" t="str">
        <f t="shared" si="22"/>
        <v/>
      </c>
      <c r="J202" t="str">
        <f t="shared" si="23"/>
        <v/>
      </c>
    </row>
    <row r="203" spans="1:10" ht="15" customHeight="1" x14ac:dyDescent="0.25">
      <c r="A203">
        <v>12</v>
      </c>
      <c r="B203" t="s">
        <v>173</v>
      </c>
      <c r="C203" t="s">
        <v>174</v>
      </c>
      <c r="D203" t="s">
        <v>87</v>
      </c>
      <c r="F203" t="s">
        <v>74</v>
      </c>
      <c r="I203" t="str">
        <f t="shared" si="22"/>
        <v/>
      </c>
      <c r="J203" t="str">
        <f t="shared" si="23"/>
        <v/>
      </c>
    </row>
    <row r="204" spans="1:10" ht="15" customHeight="1" x14ac:dyDescent="0.25">
      <c r="A204">
        <v>12</v>
      </c>
      <c r="B204" t="s">
        <v>175</v>
      </c>
      <c r="C204" t="s">
        <v>133</v>
      </c>
      <c r="D204" t="s">
        <v>65</v>
      </c>
      <c r="F204" t="s">
        <v>64</v>
      </c>
      <c r="I204" t="str">
        <f t="shared" si="22"/>
        <v/>
      </c>
      <c r="J204" t="str">
        <f t="shared" si="23"/>
        <v/>
      </c>
    </row>
    <row r="205" spans="1:10" ht="15" customHeight="1" x14ac:dyDescent="0.25">
      <c r="A205">
        <v>12</v>
      </c>
      <c r="B205" t="s">
        <v>175</v>
      </c>
      <c r="C205" t="s">
        <v>133</v>
      </c>
      <c r="D205" t="s">
        <v>80</v>
      </c>
      <c r="F205" t="s">
        <v>71</v>
      </c>
      <c r="I205" t="str">
        <f t="shared" si="22"/>
        <v/>
      </c>
      <c r="J205" t="str">
        <f t="shared" si="23"/>
        <v/>
      </c>
    </row>
    <row r="206" spans="1:10" ht="15" customHeight="1" x14ac:dyDescent="0.25">
      <c r="A206">
        <v>12</v>
      </c>
      <c r="B206" t="s">
        <v>175</v>
      </c>
      <c r="C206" t="s">
        <v>133</v>
      </c>
      <c r="D206" t="s">
        <v>86</v>
      </c>
      <c r="F206" t="s">
        <v>70</v>
      </c>
      <c r="I206" t="str">
        <f t="shared" si="22"/>
        <v/>
      </c>
      <c r="J206" t="str">
        <f t="shared" si="23"/>
        <v/>
      </c>
    </row>
    <row r="207" spans="1:10" ht="15" customHeight="1" x14ac:dyDescent="0.25">
      <c r="A207">
        <v>12</v>
      </c>
      <c r="B207" t="s">
        <v>175</v>
      </c>
      <c r="C207" t="s">
        <v>133</v>
      </c>
      <c r="D207" t="s">
        <v>75</v>
      </c>
      <c r="F207" t="s">
        <v>79</v>
      </c>
      <c r="I207" t="str">
        <f t="shared" si="22"/>
        <v/>
      </c>
      <c r="J207" t="str">
        <f t="shared" si="23"/>
        <v/>
      </c>
    </row>
    <row r="208" spans="1:10" ht="15" customHeight="1" x14ac:dyDescent="0.25">
      <c r="A208">
        <v>12</v>
      </c>
      <c r="B208" t="s">
        <v>175</v>
      </c>
      <c r="C208" t="s">
        <v>133</v>
      </c>
      <c r="D208" t="s">
        <v>73</v>
      </c>
      <c r="F208" t="s">
        <v>82</v>
      </c>
      <c r="I208" t="str">
        <f t="shared" si="22"/>
        <v/>
      </c>
      <c r="J208" t="str">
        <f t="shared" si="23"/>
        <v/>
      </c>
    </row>
    <row r="209" spans="1:10" ht="15" customHeight="1" x14ac:dyDescent="0.25">
      <c r="A209">
        <v>12</v>
      </c>
      <c r="B209" t="s">
        <v>175</v>
      </c>
      <c r="C209" t="s">
        <v>133</v>
      </c>
      <c r="D209" t="s">
        <v>69</v>
      </c>
      <c r="F209" t="s">
        <v>68</v>
      </c>
      <c r="I209" t="str">
        <f t="shared" si="22"/>
        <v/>
      </c>
      <c r="J209" t="str">
        <f t="shared" si="23"/>
        <v/>
      </c>
    </row>
    <row r="210" spans="1:10" ht="15" customHeight="1" x14ac:dyDescent="0.25">
      <c r="A210">
        <v>12</v>
      </c>
      <c r="B210" t="s">
        <v>175</v>
      </c>
      <c r="C210" t="s">
        <v>139</v>
      </c>
      <c r="D210" t="s">
        <v>76</v>
      </c>
      <c r="F210" t="s">
        <v>72</v>
      </c>
      <c r="I210" t="str">
        <f t="shared" si="22"/>
        <v/>
      </c>
      <c r="J210" t="str">
        <f t="shared" si="23"/>
        <v/>
      </c>
    </row>
    <row r="211" spans="1:10" ht="15" customHeight="1" x14ac:dyDescent="0.25">
      <c r="A211">
        <v>12</v>
      </c>
      <c r="B211" t="s">
        <v>175</v>
      </c>
      <c r="C211" t="s">
        <v>134</v>
      </c>
      <c r="D211" t="s">
        <v>83</v>
      </c>
      <c r="F211" t="s">
        <v>77</v>
      </c>
      <c r="I211" t="str">
        <f t="shared" si="22"/>
        <v/>
      </c>
      <c r="J211" t="str">
        <f t="shared" si="23"/>
        <v/>
      </c>
    </row>
    <row r="212" spans="1:10" ht="15" customHeight="1" x14ac:dyDescent="0.25">
      <c r="A212">
        <v>12</v>
      </c>
      <c r="B212" t="s">
        <v>175</v>
      </c>
      <c r="C212" t="s">
        <v>134</v>
      </c>
      <c r="D212" t="s">
        <v>58</v>
      </c>
      <c r="F212" t="s">
        <v>59</v>
      </c>
      <c r="I212" t="str">
        <f t="shared" si="22"/>
        <v/>
      </c>
      <c r="J212" t="str">
        <f t="shared" si="23"/>
        <v/>
      </c>
    </row>
    <row r="213" spans="1:10" ht="15" customHeight="1" x14ac:dyDescent="0.25">
      <c r="A213">
        <v>12</v>
      </c>
      <c r="B213" t="s">
        <v>175</v>
      </c>
      <c r="C213" t="s">
        <v>129</v>
      </c>
      <c r="D213" t="s">
        <v>57</v>
      </c>
      <c r="F213" t="s">
        <v>78</v>
      </c>
      <c r="I213" t="str">
        <f t="shared" si="22"/>
        <v/>
      </c>
      <c r="J213" t="str">
        <f t="shared" si="23"/>
        <v/>
      </c>
    </row>
    <row r="214" spans="1:10" ht="15" customHeight="1" x14ac:dyDescent="0.25">
      <c r="A214">
        <v>12</v>
      </c>
      <c r="B214" t="s">
        <v>176</v>
      </c>
      <c r="C214" t="s">
        <v>136</v>
      </c>
      <c r="D214" t="s">
        <v>62</v>
      </c>
      <c r="F214" t="s">
        <v>63</v>
      </c>
      <c r="I214" t="str">
        <f t="shared" si="22"/>
        <v/>
      </c>
      <c r="J214" t="str">
        <f t="shared" si="23"/>
        <v/>
      </c>
    </row>
    <row r="215" spans="1:10" x14ac:dyDescent="0.25">
      <c r="D215" s="16" t="s">
        <v>89</v>
      </c>
      <c r="E215" s="17" t="str">
        <f>IF(AND(E214&lt;&gt;"",G214&lt;&gt;""),E214+G214,"")</f>
        <v/>
      </c>
    </row>
    <row r="216" spans="1:10" ht="15" customHeight="1" x14ac:dyDescent="0.25">
      <c r="A216" t="s">
        <v>114</v>
      </c>
    </row>
    <row r="217" spans="1:10" ht="15" customHeight="1" x14ac:dyDescent="0.25">
      <c r="A217" t="s">
        <v>120</v>
      </c>
      <c r="B217" t="s">
        <v>121</v>
      </c>
      <c r="C217" t="s">
        <v>122</v>
      </c>
      <c r="D217" t="s">
        <v>53</v>
      </c>
      <c r="E217" t="s">
        <v>123</v>
      </c>
      <c r="F217" t="s">
        <v>55</v>
      </c>
      <c r="G217" t="s">
        <v>124</v>
      </c>
      <c r="H217" t="s">
        <v>125</v>
      </c>
      <c r="I217" t="s">
        <v>126</v>
      </c>
      <c r="J217" t="s">
        <v>127</v>
      </c>
    </row>
    <row r="218" spans="1:10" ht="15" customHeight="1" x14ac:dyDescent="0.25">
      <c r="A218">
        <v>13</v>
      </c>
      <c r="B218" t="s">
        <v>177</v>
      </c>
      <c r="C218" t="s">
        <v>136</v>
      </c>
      <c r="D218" t="s">
        <v>88</v>
      </c>
      <c r="F218" t="s">
        <v>78</v>
      </c>
      <c r="I218" t="str">
        <f t="shared" ref="I218:I231" si="24">IF(OR(E218="",G218=""),"",IF(E218&gt;G218,D218,IF(G218&gt;E218,F218,"TIE")))</f>
        <v/>
      </c>
      <c r="J218" t="str">
        <f t="shared" ref="J218:J231" si="25">IF(OR(E218="",G218="",H218=""),"",IF(E218+H218&gt;G218,D218,IF(E218+H218&lt;G218,F218,"PUSH")))</f>
        <v/>
      </c>
    </row>
    <row r="219" spans="1:10" ht="15" customHeight="1" x14ac:dyDescent="0.25">
      <c r="A219">
        <v>13</v>
      </c>
      <c r="B219" t="s">
        <v>178</v>
      </c>
      <c r="C219" t="s">
        <v>133</v>
      </c>
      <c r="D219" t="s">
        <v>66</v>
      </c>
      <c r="F219" t="s">
        <v>73</v>
      </c>
      <c r="I219" t="str">
        <f t="shared" si="24"/>
        <v/>
      </c>
      <c r="J219" t="str">
        <f t="shared" si="25"/>
        <v/>
      </c>
    </row>
    <row r="220" spans="1:10" ht="15" customHeight="1" x14ac:dyDescent="0.25">
      <c r="A220">
        <v>13</v>
      </c>
      <c r="B220" t="s">
        <v>178</v>
      </c>
      <c r="C220" t="s">
        <v>133</v>
      </c>
      <c r="D220" t="s">
        <v>72</v>
      </c>
      <c r="F220" t="s">
        <v>61</v>
      </c>
      <c r="I220" t="str">
        <f t="shared" si="24"/>
        <v/>
      </c>
      <c r="J220" t="str">
        <f t="shared" si="25"/>
        <v/>
      </c>
    </row>
    <row r="221" spans="1:10" ht="15" customHeight="1" x14ac:dyDescent="0.25">
      <c r="A221">
        <v>13</v>
      </c>
      <c r="B221" t="s">
        <v>178</v>
      </c>
      <c r="C221" t="s">
        <v>133</v>
      </c>
      <c r="D221" t="s">
        <v>64</v>
      </c>
      <c r="F221" t="s">
        <v>71</v>
      </c>
      <c r="I221" t="str">
        <f t="shared" si="24"/>
        <v/>
      </c>
      <c r="J221" t="str">
        <f t="shared" si="25"/>
        <v/>
      </c>
    </row>
    <row r="222" spans="1:10" ht="15" customHeight="1" x14ac:dyDescent="0.25">
      <c r="A222">
        <v>13</v>
      </c>
      <c r="B222" t="s">
        <v>178</v>
      </c>
      <c r="C222" t="s">
        <v>133</v>
      </c>
      <c r="D222" t="s">
        <v>83</v>
      </c>
      <c r="F222" t="s">
        <v>76</v>
      </c>
      <c r="I222" t="str">
        <f t="shared" si="24"/>
        <v/>
      </c>
      <c r="J222" t="str">
        <f t="shared" si="25"/>
        <v/>
      </c>
    </row>
    <row r="223" spans="1:10" ht="15" customHeight="1" x14ac:dyDescent="0.25">
      <c r="A223">
        <v>13</v>
      </c>
      <c r="B223" t="s">
        <v>178</v>
      </c>
      <c r="C223" t="s">
        <v>133</v>
      </c>
      <c r="D223" t="s">
        <v>81</v>
      </c>
      <c r="F223" t="s">
        <v>65</v>
      </c>
      <c r="I223" t="str">
        <f t="shared" si="24"/>
        <v/>
      </c>
      <c r="J223" t="str">
        <f t="shared" si="25"/>
        <v/>
      </c>
    </row>
    <row r="224" spans="1:10" ht="15" customHeight="1" x14ac:dyDescent="0.25">
      <c r="A224">
        <v>13</v>
      </c>
      <c r="B224" t="s">
        <v>178</v>
      </c>
      <c r="C224" t="s">
        <v>133</v>
      </c>
      <c r="D224" t="s">
        <v>59</v>
      </c>
      <c r="F224" t="s">
        <v>86</v>
      </c>
      <c r="I224" t="str">
        <f t="shared" si="24"/>
        <v/>
      </c>
      <c r="J224" t="str">
        <f t="shared" si="25"/>
        <v/>
      </c>
    </row>
    <row r="225" spans="1:10" ht="15" customHeight="1" x14ac:dyDescent="0.25">
      <c r="A225">
        <v>13</v>
      </c>
      <c r="B225" t="s">
        <v>178</v>
      </c>
      <c r="C225" t="s">
        <v>133</v>
      </c>
      <c r="D225" t="s">
        <v>60</v>
      </c>
      <c r="F225" t="s">
        <v>63</v>
      </c>
      <c r="I225" t="str">
        <f t="shared" si="24"/>
        <v/>
      </c>
      <c r="J225" t="str">
        <f t="shared" si="25"/>
        <v/>
      </c>
    </row>
    <row r="226" spans="1:10" ht="15" customHeight="1" x14ac:dyDescent="0.25">
      <c r="A226">
        <v>13</v>
      </c>
      <c r="B226" t="s">
        <v>178</v>
      </c>
      <c r="C226" t="s">
        <v>139</v>
      </c>
      <c r="D226" t="s">
        <v>79</v>
      </c>
      <c r="F226" t="s">
        <v>87</v>
      </c>
      <c r="I226" t="str">
        <f t="shared" si="24"/>
        <v/>
      </c>
      <c r="J226" t="str">
        <f t="shared" si="25"/>
        <v/>
      </c>
    </row>
    <row r="227" spans="1:10" ht="15" customHeight="1" x14ac:dyDescent="0.25">
      <c r="A227">
        <v>13</v>
      </c>
      <c r="B227" t="s">
        <v>178</v>
      </c>
      <c r="C227" t="s">
        <v>139</v>
      </c>
      <c r="D227" t="s">
        <v>84</v>
      </c>
      <c r="F227" t="s">
        <v>77</v>
      </c>
      <c r="I227" t="str">
        <f t="shared" si="24"/>
        <v/>
      </c>
      <c r="J227" t="str">
        <f t="shared" si="25"/>
        <v/>
      </c>
    </row>
    <row r="228" spans="1:10" ht="15" customHeight="1" x14ac:dyDescent="0.25">
      <c r="A228">
        <v>13</v>
      </c>
      <c r="B228" t="s">
        <v>178</v>
      </c>
      <c r="C228" t="s">
        <v>134</v>
      </c>
      <c r="D228" t="s">
        <v>62</v>
      </c>
      <c r="F228" t="s">
        <v>82</v>
      </c>
      <c r="I228" t="str">
        <f t="shared" si="24"/>
        <v/>
      </c>
      <c r="J228" t="str">
        <f t="shared" si="25"/>
        <v/>
      </c>
    </row>
    <row r="229" spans="1:10" ht="15" customHeight="1" x14ac:dyDescent="0.25">
      <c r="A229">
        <v>13</v>
      </c>
      <c r="B229" t="s">
        <v>178</v>
      </c>
      <c r="C229" t="s">
        <v>134</v>
      </c>
      <c r="D229" t="s">
        <v>67</v>
      </c>
      <c r="F229" t="s">
        <v>57</v>
      </c>
      <c r="I229" t="str">
        <f t="shared" si="24"/>
        <v/>
      </c>
      <c r="J229" t="str">
        <f t="shared" si="25"/>
        <v/>
      </c>
    </row>
    <row r="230" spans="1:10" ht="15" customHeight="1" x14ac:dyDescent="0.25">
      <c r="A230">
        <v>13</v>
      </c>
      <c r="B230" t="s">
        <v>178</v>
      </c>
      <c r="C230" t="s">
        <v>129</v>
      </c>
      <c r="D230" t="s">
        <v>68</v>
      </c>
      <c r="F230" t="s">
        <v>74</v>
      </c>
      <c r="I230" t="str">
        <f t="shared" si="24"/>
        <v/>
      </c>
      <c r="J230" t="str">
        <f t="shared" si="25"/>
        <v/>
      </c>
    </row>
    <row r="231" spans="1:10" ht="15" customHeight="1" x14ac:dyDescent="0.25">
      <c r="A231">
        <v>13</v>
      </c>
      <c r="B231" t="s">
        <v>179</v>
      </c>
      <c r="C231" t="s">
        <v>136</v>
      </c>
      <c r="D231" t="s">
        <v>85</v>
      </c>
      <c r="F231" t="s">
        <v>58</v>
      </c>
      <c r="I231" t="str">
        <f t="shared" si="24"/>
        <v/>
      </c>
      <c r="J231" t="str">
        <f t="shared" si="25"/>
        <v/>
      </c>
    </row>
    <row r="232" spans="1:10" x14ac:dyDescent="0.25">
      <c r="D232" s="16" t="s">
        <v>89</v>
      </c>
      <c r="E232" s="17" t="str">
        <f>IF(AND(E231&lt;&gt;"",G231&lt;&gt;""),E231+G231,"")</f>
        <v/>
      </c>
    </row>
    <row r="233" spans="1:10" ht="15" customHeight="1" x14ac:dyDescent="0.25">
      <c r="A233" t="s">
        <v>115</v>
      </c>
    </row>
    <row r="234" spans="1:10" ht="15" customHeight="1" x14ac:dyDescent="0.25">
      <c r="A234" t="s">
        <v>120</v>
      </c>
      <c r="B234" t="s">
        <v>121</v>
      </c>
      <c r="C234" t="s">
        <v>122</v>
      </c>
      <c r="D234" t="s">
        <v>53</v>
      </c>
      <c r="E234" t="s">
        <v>123</v>
      </c>
      <c r="F234" t="s">
        <v>55</v>
      </c>
      <c r="G234" t="s">
        <v>124</v>
      </c>
      <c r="H234" t="s">
        <v>125</v>
      </c>
      <c r="I234" t="s">
        <v>126</v>
      </c>
      <c r="J234" t="s">
        <v>127</v>
      </c>
    </row>
    <row r="235" spans="1:10" ht="15" customHeight="1" x14ac:dyDescent="0.25">
      <c r="A235">
        <v>14</v>
      </c>
      <c r="B235" t="s">
        <v>180</v>
      </c>
      <c r="C235" t="s">
        <v>136</v>
      </c>
      <c r="D235" t="s">
        <v>82</v>
      </c>
      <c r="F235" t="s">
        <v>57</v>
      </c>
      <c r="I235" t="str">
        <f t="shared" ref="I235:I249" si="26">IF(OR(E235="",G235=""),"",IF(E235&gt;G235,D235,IF(G235&gt;E235,F235,"TIE")))</f>
        <v/>
      </c>
      <c r="J235" t="str">
        <f t="shared" ref="J235:J249" si="27">IF(OR(E235="",G235="",H235=""),"",IF(E235+H235&gt;G235,D235,IF(E235+H235&lt;G235,F235,"PUSH")))</f>
        <v/>
      </c>
    </row>
    <row r="236" spans="1:10" ht="15" customHeight="1" x14ac:dyDescent="0.25">
      <c r="A236">
        <v>14</v>
      </c>
      <c r="B236" t="s">
        <v>181</v>
      </c>
      <c r="C236" t="s">
        <v>133</v>
      </c>
      <c r="D236" t="s">
        <v>73</v>
      </c>
      <c r="F236" t="s">
        <v>71</v>
      </c>
      <c r="I236" t="str">
        <f t="shared" si="26"/>
        <v/>
      </c>
      <c r="J236" t="str">
        <f t="shared" si="27"/>
        <v/>
      </c>
    </row>
    <row r="237" spans="1:10" ht="15" customHeight="1" x14ac:dyDescent="0.25">
      <c r="A237">
        <v>14</v>
      </c>
      <c r="B237" t="s">
        <v>181</v>
      </c>
      <c r="C237" t="s">
        <v>133</v>
      </c>
      <c r="D237" t="s">
        <v>76</v>
      </c>
      <c r="F237" t="s">
        <v>66</v>
      </c>
      <c r="I237" t="str">
        <f t="shared" si="26"/>
        <v/>
      </c>
      <c r="J237" t="str">
        <f t="shared" si="27"/>
        <v/>
      </c>
    </row>
    <row r="238" spans="1:10" ht="15" customHeight="1" x14ac:dyDescent="0.25">
      <c r="A238">
        <v>14</v>
      </c>
      <c r="B238" t="s">
        <v>181</v>
      </c>
      <c r="C238" t="s">
        <v>133</v>
      </c>
      <c r="D238" t="s">
        <v>61</v>
      </c>
      <c r="F238" t="s">
        <v>79</v>
      </c>
      <c r="I238" t="str">
        <f t="shared" si="26"/>
        <v/>
      </c>
      <c r="J238" t="str">
        <f t="shared" si="27"/>
        <v/>
      </c>
    </row>
    <row r="239" spans="1:10" ht="15" customHeight="1" x14ac:dyDescent="0.25">
      <c r="A239">
        <v>14</v>
      </c>
      <c r="B239" t="s">
        <v>181</v>
      </c>
      <c r="C239" t="s">
        <v>133</v>
      </c>
      <c r="D239" t="s">
        <v>87</v>
      </c>
      <c r="F239" t="s">
        <v>75</v>
      </c>
      <c r="I239" t="str">
        <f t="shared" si="26"/>
        <v/>
      </c>
      <c r="J239" t="str">
        <f t="shared" si="27"/>
        <v/>
      </c>
    </row>
    <row r="240" spans="1:10" ht="15" customHeight="1" x14ac:dyDescent="0.25">
      <c r="A240">
        <v>14</v>
      </c>
      <c r="B240" t="s">
        <v>181</v>
      </c>
      <c r="C240" t="s">
        <v>133</v>
      </c>
      <c r="D240" t="s">
        <v>70</v>
      </c>
      <c r="F240" t="s">
        <v>84</v>
      </c>
      <c r="I240" t="str">
        <f t="shared" si="26"/>
        <v/>
      </c>
      <c r="J240" t="str">
        <f t="shared" si="27"/>
        <v/>
      </c>
    </row>
    <row r="241" spans="1:10" ht="15" customHeight="1" x14ac:dyDescent="0.25">
      <c r="A241">
        <v>14</v>
      </c>
      <c r="B241" t="s">
        <v>181</v>
      </c>
      <c r="C241" t="s">
        <v>133</v>
      </c>
      <c r="D241" t="s">
        <v>68</v>
      </c>
      <c r="F241" t="s">
        <v>83</v>
      </c>
      <c r="I241" t="str">
        <f t="shared" si="26"/>
        <v/>
      </c>
      <c r="J241" t="str">
        <f t="shared" si="27"/>
        <v/>
      </c>
    </row>
    <row r="242" spans="1:10" ht="15" customHeight="1" x14ac:dyDescent="0.25">
      <c r="A242">
        <v>14</v>
      </c>
      <c r="B242" t="s">
        <v>181</v>
      </c>
      <c r="C242" t="s">
        <v>133</v>
      </c>
      <c r="D242" t="s">
        <v>65</v>
      </c>
      <c r="F242" t="s">
        <v>62</v>
      </c>
      <c r="I242" t="str">
        <f t="shared" si="26"/>
        <v/>
      </c>
      <c r="J242" t="str">
        <f t="shared" si="27"/>
        <v/>
      </c>
    </row>
    <row r="243" spans="1:10" ht="15" customHeight="1" x14ac:dyDescent="0.25">
      <c r="A243">
        <v>14</v>
      </c>
      <c r="B243" t="s">
        <v>181</v>
      </c>
      <c r="C243" t="s">
        <v>133</v>
      </c>
      <c r="D243" t="s">
        <v>63</v>
      </c>
      <c r="F243" t="s">
        <v>69</v>
      </c>
      <c r="I243" t="str">
        <f t="shared" si="26"/>
        <v/>
      </c>
      <c r="J243" t="str">
        <f t="shared" si="27"/>
        <v/>
      </c>
    </row>
    <row r="244" spans="1:10" ht="15" customHeight="1" x14ac:dyDescent="0.25">
      <c r="A244">
        <v>14</v>
      </c>
      <c r="B244" t="s">
        <v>181</v>
      </c>
      <c r="C244" t="s">
        <v>139</v>
      </c>
      <c r="D244" t="s">
        <v>78</v>
      </c>
      <c r="F244" t="s">
        <v>80</v>
      </c>
      <c r="I244" t="str">
        <f t="shared" si="26"/>
        <v/>
      </c>
      <c r="J244" t="str">
        <f t="shared" si="27"/>
        <v/>
      </c>
    </row>
    <row r="245" spans="1:10" ht="15" customHeight="1" x14ac:dyDescent="0.25">
      <c r="A245">
        <v>14</v>
      </c>
      <c r="B245" t="s">
        <v>181</v>
      </c>
      <c r="C245" t="s">
        <v>134</v>
      </c>
      <c r="D245" t="s">
        <v>88</v>
      </c>
      <c r="F245" t="s">
        <v>64</v>
      </c>
      <c r="I245" t="str">
        <f t="shared" si="26"/>
        <v/>
      </c>
      <c r="J245" t="str">
        <f t="shared" si="27"/>
        <v/>
      </c>
    </row>
    <row r="246" spans="1:10" ht="15" customHeight="1" x14ac:dyDescent="0.25">
      <c r="A246">
        <v>14</v>
      </c>
      <c r="B246" t="s">
        <v>181</v>
      </c>
      <c r="C246" t="s">
        <v>134</v>
      </c>
      <c r="D246" t="s">
        <v>60</v>
      </c>
      <c r="F246" t="s">
        <v>59</v>
      </c>
      <c r="I246" t="str">
        <f t="shared" si="26"/>
        <v/>
      </c>
      <c r="J246" t="str">
        <f t="shared" si="27"/>
        <v/>
      </c>
    </row>
    <row r="247" spans="1:10" ht="15" customHeight="1" x14ac:dyDescent="0.25">
      <c r="A247">
        <v>14</v>
      </c>
      <c r="B247" t="s">
        <v>181</v>
      </c>
      <c r="C247" t="s">
        <v>134</v>
      </c>
      <c r="D247" t="s">
        <v>86</v>
      </c>
      <c r="F247" t="s">
        <v>58</v>
      </c>
      <c r="I247" t="str">
        <f t="shared" si="26"/>
        <v/>
      </c>
      <c r="J247" t="str">
        <f t="shared" si="27"/>
        <v/>
      </c>
    </row>
    <row r="248" spans="1:10" ht="15" customHeight="1" x14ac:dyDescent="0.25">
      <c r="A248">
        <v>14</v>
      </c>
      <c r="B248" t="s">
        <v>181</v>
      </c>
      <c r="C248" t="s">
        <v>129</v>
      </c>
      <c r="D248" t="s">
        <v>67</v>
      </c>
      <c r="F248" t="s">
        <v>81</v>
      </c>
      <c r="I248" t="str">
        <f t="shared" si="26"/>
        <v/>
      </c>
      <c r="J248" t="str">
        <f t="shared" si="27"/>
        <v/>
      </c>
    </row>
    <row r="249" spans="1:10" ht="15" customHeight="1" x14ac:dyDescent="0.25">
      <c r="A249">
        <v>14</v>
      </c>
      <c r="B249" t="s">
        <v>182</v>
      </c>
      <c r="C249" t="s">
        <v>136</v>
      </c>
      <c r="D249" t="s">
        <v>74</v>
      </c>
      <c r="F249" t="s">
        <v>72</v>
      </c>
      <c r="I249" t="str">
        <f t="shared" si="26"/>
        <v/>
      </c>
      <c r="J249" t="str">
        <f t="shared" si="27"/>
        <v/>
      </c>
    </row>
    <row r="250" spans="1:10" x14ac:dyDescent="0.25">
      <c r="D250" s="16" t="s">
        <v>89</v>
      </c>
      <c r="E250" s="17" t="str">
        <f>IF(AND(E249&lt;&gt;"",G249&lt;&gt;""),E249+G249,"")</f>
        <v/>
      </c>
    </row>
    <row r="251" spans="1:10" ht="15" customHeight="1" x14ac:dyDescent="0.25">
      <c r="A251" t="s">
        <v>116</v>
      </c>
    </row>
    <row r="252" spans="1:10" ht="15" customHeight="1" x14ac:dyDescent="0.25">
      <c r="A252" t="s">
        <v>120</v>
      </c>
      <c r="B252" t="s">
        <v>121</v>
      </c>
      <c r="C252" t="s">
        <v>122</v>
      </c>
      <c r="D252" t="s">
        <v>53</v>
      </c>
      <c r="E252" t="s">
        <v>123</v>
      </c>
      <c r="F252" t="s">
        <v>55</v>
      </c>
      <c r="G252" t="s">
        <v>124</v>
      </c>
      <c r="H252" t="s">
        <v>125</v>
      </c>
      <c r="I252" t="s">
        <v>126</v>
      </c>
      <c r="J252" t="s">
        <v>127</v>
      </c>
    </row>
    <row r="253" spans="1:10" ht="15" customHeight="1" x14ac:dyDescent="0.25">
      <c r="A253">
        <v>15</v>
      </c>
      <c r="B253" t="s">
        <v>183</v>
      </c>
      <c r="C253" t="s">
        <v>136</v>
      </c>
      <c r="D253" t="s">
        <v>59</v>
      </c>
      <c r="F253" t="s">
        <v>78</v>
      </c>
      <c r="I253" t="str">
        <f t="shared" ref="I253:I268" si="28">IF(OR(E253="",G253=""),"",IF(E253&gt;G253,D253,IF(G253&gt;E253,F253,"TIE")))</f>
        <v/>
      </c>
      <c r="J253" t="str">
        <f t="shared" ref="J253:J268" si="29">IF(OR(E253="",G253="",H253=""),"",IF(E253+H253&gt;G253,D253,IF(E253+H253&lt;G253,F253,"PUSH")))</f>
        <v/>
      </c>
    </row>
    <row r="254" spans="1:10" ht="15" customHeight="1" x14ac:dyDescent="0.25">
      <c r="A254">
        <v>15</v>
      </c>
      <c r="B254" t="s">
        <v>184</v>
      </c>
      <c r="C254" t="s">
        <v>185</v>
      </c>
      <c r="D254" t="s">
        <v>58</v>
      </c>
      <c r="F254" t="s">
        <v>84</v>
      </c>
      <c r="I254" t="str">
        <f t="shared" si="28"/>
        <v/>
      </c>
      <c r="J254" t="str">
        <f t="shared" si="29"/>
        <v/>
      </c>
    </row>
    <row r="255" spans="1:10" ht="15" customHeight="1" x14ac:dyDescent="0.25">
      <c r="A255">
        <v>15</v>
      </c>
      <c r="B255" t="s">
        <v>184</v>
      </c>
      <c r="C255" t="s">
        <v>129</v>
      </c>
      <c r="D255" t="s">
        <v>61</v>
      </c>
      <c r="F255" t="s">
        <v>67</v>
      </c>
      <c r="I255" t="str">
        <f t="shared" si="28"/>
        <v/>
      </c>
      <c r="J255" t="str">
        <f t="shared" si="29"/>
        <v/>
      </c>
    </row>
    <row r="256" spans="1:10" ht="15" customHeight="1" x14ac:dyDescent="0.25">
      <c r="A256">
        <v>15</v>
      </c>
      <c r="B256" t="s">
        <v>186</v>
      </c>
      <c r="C256" t="s">
        <v>133</v>
      </c>
      <c r="D256" t="s">
        <v>79</v>
      </c>
      <c r="F256" t="s">
        <v>81</v>
      </c>
      <c r="I256" t="str">
        <f t="shared" si="28"/>
        <v/>
      </c>
      <c r="J256" t="str">
        <f t="shared" si="29"/>
        <v/>
      </c>
    </row>
    <row r="257" spans="1:10" ht="15" customHeight="1" x14ac:dyDescent="0.25">
      <c r="A257">
        <v>15</v>
      </c>
      <c r="B257" t="s">
        <v>186</v>
      </c>
      <c r="C257" t="s">
        <v>133</v>
      </c>
      <c r="D257" t="s">
        <v>70</v>
      </c>
      <c r="F257" t="s">
        <v>76</v>
      </c>
      <c r="I257" t="str">
        <f t="shared" si="28"/>
        <v/>
      </c>
      <c r="J257" t="str">
        <f t="shared" si="29"/>
        <v/>
      </c>
    </row>
    <row r="258" spans="1:10" ht="15" customHeight="1" x14ac:dyDescent="0.25">
      <c r="A258">
        <v>15</v>
      </c>
      <c r="B258" t="s">
        <v>186</v>
      </c>
      <c r="C258" t="s">
        <v>133</v>
      </c>
      <c r="D258" t="s">
        <v>71</v>
      </c>
      <c r="F258" t="s">
        <v>86</v>
      </c>
      <c r="I258" t="str">
        <f t="shared" si="28"/>
        <v/>
      </c>
      <c r="J258" t="str">
        <f t="shared" si="29"/>
        <v/>
      </c>
    </row>
    <row r="259" spans="1:10" ht="15" customHeight="1" x14ac:dyDescent="0.25">
      <c r="A259">
        <v>15</v>
      </c>
      <c r="B259" t="s">
        <v>186</v>
      </c>
      <c r="C259" t="s">
        <v>133</v>
      </c>
      <c r="D259" t="s">
        <v>69</v>
      </c>
      <c r="F259" t="s">
        <v>74</v>
      </c>
      <c r="I259" t="str">
        <f t="shared" si="28"/>
        <v/>
      </c>
      <c r="J259" t="str">
        <f t="shared" si="29"/>
        <v/>
      </c>
    </row>
    <row r="260" spans="1:10" ht="15" customHeight="1" x14ac:dyDescent="0.25">
      <c r="A260">
        <v>15</v>
      </c>
      <c r="B260" t="s">
        <v>186</v>
      </c>
      <c r="C260" t="s">
        <v>133</v>
      </c>
      <c r="D260" t="s">
        <v>65</v>
      </c>
      <c r="F260" t="s">
        <v>63</v>
      </c>
      <c r="I260" t="str">
        <f t="shared" si="28"/>
        <v/>
      </c>
      <c r="J260" t="str">
        <f t="shared" si="29"/>
        <v/>
      </c>
    </row>
    <row r="261" spans="1:10" ht="15" customHeight="1" x14ac:dyDescent="0.25">
      <c r="A261">
        <v>15</v>
      </c>
      <c r="B261" t="s">
        <v>186</v>
      </c>
      <c r="C261" t="s">
        <v>133</v>
      </c>
      <c r="D261" t="s">
        <v>73</v>
      </c>
      <c r="F261" t="s">
        <v>83</v>
      </c>
      <c r="I261" t="str">
        <f t="shared" si="28"/>
        <v/>
      </c>
      <c r="J261" t="str">
        <f t="shared" si="29"/>
        <v/>
      </c>
    </row>
    <row r="262" spans="1:10" ht="15" customHeight="1" x14ac:dyDescent="0.25">
      <c r="A262">
        <v>15</v>
      </c>
      <c r="B262" t="s">
        <v>186</v>
      </c>
      <c r="C262" t="s">
        <v>133</v>
      </c>
      <c r="D262" t="s">
        <v>64</v>
      </c>
      <c r="F262" t="s">
        <v>62</v>
      </c>
      <c r="I262" t="str">
        <f t="shared" si="28"/>
        <v/>
      </c>
      <c r="J262" t="str">
        <f t="shared" si="29"/>
        <v/>
      </c>
    </row>
    <row r="263" spans="1:10" ht="15" customHeight="1" x14ac:dyDescent="0.25">
      <c r="A263">
        <v>15</v>
      </c>
      <c r="B263" t="s">
        <v>186</v>
      </c>
      <c r="C263" t="s">
        <v>133</v>
      </c>
      <c r="D263" t="s">
        <v>72</v>
      </c>
      <c r="F263" t="s">
        <v>68</v>
      </c>
      <c r="I263" t="str">
        <f t="shared" si="28"/>
        <v/>
      </c>
      <c r="J263" t="str">
        <f t="shared" si="29"/>
        <v/>
      </c>
    </row>
    <row r="264" spans="1:10" ht="15" customHeight="1" x14ac:dyDescent="0.25">
      <c r="A264">
        <v>15</v>
      </c>
      <c r="B264" t="s">
        <v>186</v>
      </c>
      <c r="C264" t="s">
        <v>139</v>
      </c>
      <c r="D264" t="s">
        <v>75</v>
      </c>
      <c r="F264" t="s">
        <v>77</v>
      </c>
      <c r="I264" t="str">
        <f t="shared" si="28"/>
        <v/>
      </c>
      <c r="J264" t="str">
        <f t="shared" si="29"/>
        <v/>
      </c>
    </row>
    <row r="265" spans="1:10" ht="15" customHeight="1" x14ac:dyDescent="0.25">
      <c r="A265">
        <v>15</v>
      </c>
      <c r="B265" t="s">
        <v>186</v>
      </c>
      <c r="C265" t="s">
        <v>134</v>
      </c>
      <c r="D265" t="s">
        <v>87</v>
      </c>
      <c r="F265" t="s">
        <v>80</v>
      </c>
      <c r="I265" t="str">
        <f t="shared" si="28"/>
        <v/>
      </c>
      <c r="J265" t="str">
        <f t="shared" si="29"/>
        <v/>
      </c>
    </row>
    <row r="266" spans="1:10" ht="15" customHeight="1" x14ac:dyDescent="0.25">
      <c r="A266">
        <v>15</v>
      </c>
      <c r="B266" t="s">
        <v>186</v>
      </c>
      <c r="C266" t="s">
        <v>134</v>
      </c>
      <c r="D266" t="s">
        <v>85</v>
      </c>
      <c r="F266" t="s">
        <v>60</v>
      </c>
      <c r="I266" t="str">
        <f t="shared" si="28"/>
        <v/>
      </c>
      <c r="J266" t="str">
        <f t="shared" si="29"/>
        <v/>
      </c>
    </row>
    <row r="267" spans="1:10" ht="15" customHeight="1" x14ac:dyDescent="0.25">
      <c r="A267">
        <v>15</v>
      </c>
      <c r="B267" t="s">
        <v>186</v>
      </c>
      <c r="C267" t="s">
        <v>129</v>
      </c>
      <c r="D267" t="s">
        <v>66</v>
      </c>
      <c r="F267" t="s">
        <v>82</v>
      </c>
      <c r="I267" t="str">
        <f t="shared" si="28"/>
        <v/>
      </c>
      <c r="J267" t="str">
        <f t="shared" si="29"/>
        <v/>
      </c>
    </row>
    <row r="268" spans="1:10" ht="15" customHeight="1" x14ac:dyDescent="0.25">
      <c r="A268">
        <v>15</v>
      </c>
      <c r="B268" t="s">
        <v>187</v>
      </c>
      <c r="C268" t="s">
        <v>136</v>
      </c>
      <c r="D268" t="s">
        <v>57</v>
      </c>
      <c r="F268" t="s">
        <v>88</v>
      </c>
      <c r="I268" t="str">
        <f t="shared" si="28"/>
        <v/>
      </c>
      <c r="J268" t="str">
        <f t="shared" si="29"/>
        <v/>
      </c>
    </row>
    <row r="269" spans="1:10" x14ac:dyDescent="0.25">
      <c r="D269" s="16" t="s">
        <v>89</v>
      </c>
      <c r="E269" s="17" t="str">
        <f>IF(AND(E268&lt;&gt;"",G268&lt;&gt;""),E268+G268,"")</f>
        <v/>
      </c>
    </row>
    <row r="270" spans="1:10" ht="15" customHeight="1" x14ac:dyDescent="0.25">
      <c r="A270" t="s">
        <v>117</v>
      </c>
    </row>
    <row r="271" spans="1:10" ht="15" customHeight="1" x14ac:dyDescent="0.25">
      <c r="A271" t="s">
        <v>120</v>
      </c>
      <c r="B271" t="s">
        <v>121</v>
      </c>
      <c r="C271" t="s">
        <v>122</v>
      </c>
      <c r="D271" t="s">
        <v>53</v>
      </c>
      <c r="E271" t="s">
        <v>123</v>
      </c>
      <c r="F271" t="s">
        <v>55</v>
      </c>
      <c r="G271" t="s">
        <v>124</v>
      </c>
      <c r="H271" t="s">
        <v>125</v>
      </c>
      <c r="I271" t="s">
        <v>126</v>
      </c>
      <c r="J271" t="s">
        <v>127</v>
      </c>
    </row>
    <row r="272" spans="1:10" ht="15" customHeight="1" x14ac:dyDescent="0.25">
      <c r="A272">
        <v>16</v>
      </c>
      <c r="B272" t="s">
        <v>188</v>
      </c>
      <c r="C272" t="s">
        <v>136</v>
      </c>
      <c r="D272" t="s">
        <v>68</v>
      </c>
      <c r="F272" t="s">
        <v>84</v>
      </c>
      <c r="I272" t="str">
        <f t="shared" ref="I272:I287" si="30">IF(OR(E272="",G272=""),"",IF(E272&gt;G272,D272,IF(G272&gt;E272,F272,"TIE")))</f>
        <v/>
      </c>
      <c r="J272" t="str">
        <f t="shared" ref="J272:J287" si="31">IF(OR(E272="",G272="",H272=""),"",IF(E272+H272&gt;G272,D272,IF(E272+H272&lt;G272,F272,"PUSH")))</f>
        <v/>
      </c>
    </row>
    <row r="273" spans="1:10" ht="15" customHeight="1" x14ac:dyDescent="0.25">
      <c r="A273">
        <v>16</v>
      </c>
      <c r="B273" t="s">
        <v>189</v>
      </c>
      <c r="C273" t="s">
        <v>133</v>
      </c>
      <c r="D273" t="s">
        <v>81</v>
      </c>
      <c r="F273" t="s">
        <v>61</v>
      </c>
      <c r="I273" t="str">
        <f t="shared" si="30"/>
        <v/>
      </c>
      <c r="J273" t="str">
        <f t="shared" si="31"/>
        <v/>
      </c>
    </row>
    <row r="274" spans="1:10" ht="15" customHeight="1" x14ac:dyDescent="0.25">
      <c r="A274">
        <v>16</v>
      </c>
      <c r="B274" t="s">
        <v>189</v>
      </c>
      <c r="C274" t="s">
        <v>172</v>
      </c>
      <c r="D274" t="s">
        <v>67</v>
      </c>
      <c r="F274" t="s">
        <v>87</v>
      </c>
      <c r="I274" t="str">
        <f t="shared" si="30"/>
        <v/>
      </c>
      <c r="J274" t="str">
        <f t="shared" si="31"/>
        <v/>
      </c>
    </row>
    <row r="275" spans="1:10" ht="15" customHeight="1" x14ac:dyDescent="0.25">
      <c r="A275">
        <v>16</v>
      </c>
      <c r="B275" t="s">
        <v>189</v>
      </c>
      <c r="C275" t="s">
        <v>136</v>
      </c>
      <c r="D275" t="s">
        <v>60</v>
      </c>
      <c r="F275" t="s">
        <v>58</v>
      </c>
      <c r="I275" t="str">
        <f t="shared" si="30"/>
        <v/>
      </c>
      <c r="J275" t="str">
        <f t="shared" si="31"/>
        <v/>
      </c>
    </row>
    <row r="276" spans="1:10" ht="15" customHeight="1" x14ac:dyDescent="0.25">
      <c r="A276">
        <v>16</v>
      </c>
      <c r="B276" t="s">
        <v>190</v>
      </c>
      <c r="C276" t="s">
        <v>133</v>
      </c>
      <c r="D276" t="s">
        <v>78</v>
      </c>
      <c r="F276" t="s">
        <v>79</v>
      </c>
      <c r="I276" t="str">
        <f t="shared" si="30"/>
        <v/>
      </c>
      <c r="J276" t="str">
        <f t="shared" si="31"/>
        <v/>
      </c>
    </row>
    <row r="277" spans="1:10" ht="15" customHeight="1" x14ac:dyDescent="0.25">
      <c r="A277">
        <v>16</v>
      </c>
      <c r="B277" t="s">
        <v>190</v>
      </c>
      <c r="C277" t="s">
        <v>133</v>
      </c>
      <c r="D277" t="s">
        <v>77</v>
      </c>
      <c r="F277" t="s">
        <v>65</v>
      </c>
      <c r="I277" t="str">
        <f t="shared" si="30"/>
        <v/>
      </c>
      <c r="J277" t="str">
        <f t="shared" si="31"/>
        <v/>
      </c>
    </row>
    <row r="278" spans="1:10" ht="15" customHeight="1" x14ac:dyDescent="0.25">
      <c r="A278">
        <v>16</v>
      </c>
      <c r="B278" t="s">
        <v>190</v>
      </c>
      <c r="C278" t="s">
        <v>133</v>
      </c>
      <c r="D278" t="s">
        <v>57</v>
      </c>
      <c r="F278" t="s">
        <v>75</v>
      </c>
      <c r="I278" t="str">
        <f t="shared" si="30"/>
        <v/>
      </c>
      <c r="J278" t="str">
        <f t="shared" si="31"/>
        <v/>
      </c>
    </row>
    <row r="279" spans="1:10" ht="15" customHeight="1" x14ac:dyDescent="0.25">
      <c r="A279">
        <v>16</v>
      </c>
      <c r="B279" t="s">
        <v>190</v>
      </c>
      <c r="C279" t="s">
        <v>133</v>
      </c>
      <c r="D279" t="s">
        <v>71</v>
      </c>
      <c r="F279" t="s">
        <v>69</v>
      </c>
      <c r="I279" t="str">
        <f t="shared" si="30"/>
        <v/>
      </c>
      <c r="J279" t="str">
        <f t="shared" si="31"/>
        <v/>
      </c>
    </row>
    <row r="280" spans="1:10" ht="15" customHeight="1" x14ac:dyDescent="0.25">
      <c r="A280">
        <v>16</v>
      </c>
      <c r="B280" t="s">
        <v>190</v>
      </c>
      <c r="C280" t="s">
        <v>139</v>
      </c>
      <c r="D280" t="s">
        <v>76</v>
      </c>
      <c r="F280" t="s">
        <v>80</v>
      </c>
      <c r="I280" t="str">
        <f t="shared" si="30"/>
        <v/>
      </c>
      <c r="J280" t="str">
        <f t="shared" si="31"/>
        <v/>
      </c>
    </row>
    <row r="281" spans="1:10" ht="15" customHeight="1" x14ac:dyDescent="0.25">
      <c r="A281">
        <v>16</v>
      </c>
      <c r="B281" t="s">
        <v>190</v>
      </c>
      <c r="C281" t="s">
        <v>134</v>
      </c>
      <c r="D281" t="s">
        <v>59</v>
      </c>
      <c r="F281" t="s">
        <v>88</v>
      </c>
      <c r="I281" t="str">
        <f t="shared" si="30"/>
        <v/>
      </c>
      <c r="J281" t="str">
        <f t="shared" si="31"/>
        <v/>
      </c>
    </row>
    <row r="282" spans="1:10" ht="15" customHeight="1" x14ac:dyDescent="0.25">
      <c r="A282">
        <v>16</v>
      </c>
      <c r="B282" t="s">
        <v>190</v>
      </c>
      <c r="C282" t="s">
        <v>129</v>
      </c>
      <c r="D282" t="s">
        <v>72</v>
      </c>
      <c r="F282" t="s">
        <v>85</v>
      </c>
      <c r="I282" t="str">
        <f t="shared" si="30"/>
        <v/>
      </c>
      <c r="J282" t="str">
        <f t="shared" si="31"/>
        <v/>
      </c>
    </row>
    <row r="283" spans="1:10" ht="15" customHeight="1" x14ac:dyDescent="0.25">
      <c r="A283">
        <v>16</v>
      </c>
      <c r="B283" t="s">
        <v>191</v>
      </c>
      <c r="C283" t="s">
        <v>136</v>
      </c>
      <c r="D283" t="s">
        <v>86</v>
      </c>
      <c r="F283" t="s">
        <v>66</v>
      </c>
      <c r="I283" t="str">
        <f t="shared" si="30"/>
        <v/>
      </c>
      <c r="J283" t="str">
        <f t="shared" si="31"/>
        <v/>
      </c>
    </row>
    <row r="284" spans="1:10" ht="15" customHeight="1" x14ac:dyDescent="0.25">
      <c r="A284">
        <v>16</v>
      </c>
      <c r="B284" t="s">
        <v>192</v>
      </c>
      <c r="C284" t="s">
        <v>192</v>
      </c>
      <c r="D284" t="s">
        <v>63</v>
      </c>
      <c r="F284" t="s">
        <v>73</v>
      </c>
      <c r="I284" t="str">
        <f t="shared" si="30"/>
        <v/>
      </c>
      <c r="J284" t="str">
        <f t="shared" si="31"/>
        <v/>
      </c>
    </row>
    <row r="285" spans="1:10" ht="15" customHeight="1" x14ac:dyDescent="0.25">
      <c r="A285">
        <v>16</v>
      </c>
      <c r="B285" t="s">
        <v>192</v>
      </c>
      <c r="C285" t="s">
        <v>192</v>
      </c>
      <c r="D285" t="s">
        <v>64</v>
      </c>
      <c r="F285" t="s">
        <v>70</v>
      </c>
      <c r="I285" t="str">
        <f t="shared" si="30"/>
        <v/>
      </c>
      <c r="J285" t="str">
        <f t="shared" si="31"/>
        <v/>
      </c>
    </row>
    <row r="286" spans="1:10" ht="15" customHeight="1" x14ac:dyDescent="0.25">
      <c r="A286">
        <v>16</v>
      </c>
      <c r="B286" t="s">
        <v>192</v>
      </c>
      <c r="C286" t="s">
        <v>192</v>
      </c>
      <c r="D286" t="s">
        <v>83</v>
      </c>
      <c r="F286" t="s">
        <v>82</v>
      </c>
      <c r="I286" t="str">
        <f t="shared" si="30"/>
        <v/>
      </c>
      <c r="J286" t="str">
        <f t="shared" si="31"/>
        <v/>
      </c>
    </row>
    <row r="287" spans="1:10" ht="15" customHeight="1" x14ac:dyDescent="0.25">
      <c r="A287">
        <v>16</v>
      </c>
      <c r="B287" t="s">
        <v>192</v>
      </c>
      <c r="C287" t="s">
        <v>192</v>
      </c>
      <c r="D287" t="s">
        <v>62</v>
      </c>
      <c r="F287" t="s">
        <v>74</v>
      </c>
      <c r="I287" t="str">
        <f t="shared" si="30"/>
        <v/>
      </c>
      <c r="J287" t="str">
        <f t="shared" si="31"/>
        <v/>
      </c>
    </row>
    <row r="288" spans="1:10" x14ac:dyDescent="0.25">
      <c r="D288" s="16" t="s">
        <v>89</v>
      </c>
      <c r="E288" s="17" t="str">
        <f>IF(AND(E287&lt;&gt;"",G287&lt;&gt;""),E287+G287,"")</f>
        <v/>
      </c>
    </row>
    <row r="289" spans="1:10" ht="15" customHeight="1" x14ac:dyDescent="0.25">
      <c r="A289" t="s">
        <v>118</v>
      </c>
    </row>
    <row r="290" spans="1:10" ht="15" customHeight="1" x14ac:dyDescent="0.25">
      <c r="A290" t="s">
        <v>120</v>
      </c>
      <c r="B290" t="s">
        <v>121</v>
      </c>
      <c r="C290" t="s">
        <v>122</v>
      </c>
      <c r="D290" t="s">
        <v>53</v>
      </c>
      <c r="E290" t="s">
        <v>123</v>
      </c>
      <c r="F290" t="s">
        <v>55</v>
      </c>
      <c r="G290" t="s">
        <v>124</v>
      </c>
      <c r="H290" t="s">
        <v>125</v>
      </c>
      <c r="I290" t="s">
        <v>126</v>
      </c>
      <c r="J290" t="s">
        <v>127</v>
      </c>
    </row>
    <row r="291" spans="1:10" ht="15" customHeight="1" x14ac:dyDescent="0.25">
      <c r="A291">
        <v>17</v>
      </c>
      <c r="B291" t="s">
        <v>193</v>
      </c>
      <c r="C291" t="s">
        <v>136</v>
      </c>
      <c r="D291" t="s">
        <v>69</v>
      </c>
      <c r="F291" t="s">
        <v>64</v>
      </c>
      <c r="I291" t="str">
        <f t="shared" ref="I291:I306" si="32">IF(OR(E291="",G291=""),"",IF(E291&gt;G291,D291,IF(G291&gt;E291,F291,"TIE")))</f>
        <v/>
      </c>
      <c r="J291" t="str">
        <f t="shared" ref="J291:J306" si="33">IF(OR(E291="",G291="",H291=""),"",IF(E291+H291&gt;G291,D291,IF(E291+H291&lt;G291,F291,"PUSH")))</f>
        <v/>
      </c>
    </row>
    <row r="292" spans="1:10" ht="15" customHeight="1" x14ac:dyDescent="0.25">
      <c r="A292">
        <v>17</v>
      </c>
      <c r="B292" t="s">
        <v>194</v>
      </c>
      <c r="C292" t="s">
        <v>133</v>
      </c>
      <c r="D292" t="s">
        <v>65</v>
      </c>
      <c r="F292" t="s">
        <v>73</v>
      </c>
      <c r="I292" t="str">
        <f t="shared" si="32"/>
        <v/>
      </c>
      <c r="J292" t="str">
        <f t="shared" si="33"/>
        <v/>
      </c>
    </row>
    <row r="293" spans="1:10" ht="15" customHeight="1" x14ac:dyDescent="0.25">
      <c r="A293">
        <v>17</v>
      </c>
      <c r="B293" t="s">
        <v>194</v>
      </c>
      <c r="C293" t="s">
        <v>133</v>
      </c>
      <c r="D293" t="s">
        <v>70</v>
      </c>
      <c r="F293" t="s">
        <v>71</v>
      </c>
      <c r="I293" t="str">
        <f t="shared" si="32"/>
        <v/>
      </c>
      <c r="J293" t="str">
        <f t="shared" si="33"/>
        <v/>
      </c>
    </row>
    <row r="294" spans="1:10" ht="15" customHeight="1" x14ac:dyDescent="0.25">
      <c r="A294">
        <v>17</v>
      </c>
      <c r="B294" t="s">
        <v>194</v>
      </c>
      <c r="C294" t="s">
        <v>133</v>
      </c>
      <c r="D294" t="s">
        <v>86</v>
      </c>
      <c r="F294" t="s">
        <v>85</v>
      </c>
      <c r="I294" t="str">
        <f t="shared" si="32"/>
        <v/>
      </c>
      <c r="J294" t="str">
        <f t="shared" si="33"/>
        <v/>
      </c>
    </row>
    <row r="295" spans="1:10" ht="15" customHeight="1" x14ac:dyDescent="0.25">
      <c r="A295">
        <v>17</v>
      </c>
      <c r="B295" t="s">
        <v>194</v>
      </c>
      <c r="C295" t="s">
        <v>133</v>
      </c>
      <c r="D295" t="s">
        <v>74</v>
      </c>
      <c r="F295" t="s">
        <v>76</v>
      </c>
      <c r="I295" t="str">
        <f t="shared" si="32"/>
        <v/>
      </c>
      <c r="J295" t="str">
        <f t="shared" si="33"/>
        <v/>
      </c>
    </row>
    <row r="296" spans="1:10" ht="15" customHeight="1" x14ac:dyDescent="0.25">
      <c r="A296">
        <v>17</v>
      </c>
      <c r="B296" t="s">
        <v>194</v>
      </c>
      <c r="C296" t="s">
        <v>133</v>
      </c>
      <c r="D296" t="s">
        <v>67</v>
      </c>
      <c r="F296" t="s">
        <v>79</v>
      </c>
      <c r="I296" t="str">
        <f t="shared" si="32"/>
        <v/>
      </c>
      <c r="J296" t="str">
        <f t="shared" si="33"/>
        <v/>
      </c>
    </row>
    <row r="297" spans="1:10" ht="15" customHeight="1" x14ac:dyDescent="0.25">
      <c r="A297">
        <v>17</v>
      </c>
      <c r="B297" t="s">
        <v>194</v>
      </c>
      <c r="C297" t="s">
        <v>133</v>
      </c>
      <c r="D297" t="s">
        <v>82</v>
      </c>
      <c r="F297" t="s">
        <v>75</v>
      </c>
      <c r="I297" t="str">
        <f t="shared" si="32"/>
        <v/>
      </c>
      <c r="J297" t="str">
        <f t="shared" si="33"/>
        <v/>
      </c>
    </row>
    <row r="298" spans="1:10" ht="15" customHeight="1" x14ac:dyDescent="0.25">
      <c r="A298">
        <v>17</v>
      </c>
      <c r="B298" t="s">
        <v>194</v>
      </c>
      <c r="C298" t="s">
        <v>133</v>
      </c>
      <c r="D298" t="s">
        <v>58</v>
      </c>
      <c r="F298" t="s">
        <v>62</v>
      </c>
      <c r="I298" t="str">
        <f t="shared" si="32"/>
        <v/>
      </c>
      <c r="J298" t="str">
        <f t="shared" si="33"/>
        <v/>
      </c>
    </row>
    <row r="299" spans="1:10" ht="15" customHeight="1" x14ac:dyDescent="0.25">
      <c r="A299">
        <v>17</v>
      </c>
      <c r="B299" t="s">
        <v>194</v>
      </c>
      <c r="C299" t="s">
        <v>139</v>
      </c>
      <c r="D299" t="s">
        <v>80</v>
      </c>
      <c r="F299" t="s">
        <v>77</v>
      </c>
      <c r="I299" t="str">
        <f t="shared" si="32"/>
        <v/>
      </c>
      <c r="J299" t="str">
        <f t="shared" si="33"/>
        <v/>
      </c>
    </row>
    <row r="300" spans="1:10" ht="15" customHeight="1" x14ac:dyDescent="0.25">
      <c r="A300">
        <v>17</v>
      </c>
      <c r="B300" t="s">
        <v>194</v>
      </c>
      <c r="C300" t="s">
        <v>134</v>
      </c>
      <c r="D300" t="s">
        <v>66</v>
      </c>
      <c r="F300" t="s">
        <v>61</v>
      </c>
      <c r="I300" t="str">
        <f t="shared" si="32"/>
        <v/>
      </c>
      <c r="J300" t="str">
        <f t="shared" si="33"/>
        <v/>
      </c>
    </row>
    <row r="301" spans="1:10" ht="15" customHeight="1" x14ac:dyDescent="0.25">
      <c r="A301">
        <v>17</v>
      </c>
      <c r="B301" t="s">
        <v>194</v>
      </c>
      <c r="C301" t="s">
        <v>129</v>
      </c>
      <c r="D301" t="s">
        <v>84</v>
      </c>
      <c r="F301" t="s">
        <v>59</v>
      </c>
      <c r="I301" t="str">
        <f t="shared" si="32"/>
        <v/>
      </c>
      <c r="J301" t="str">
        <f t="shared" si="33"/>
        <v/>
      </c>
    </row>
    <row r="302" spans="1:10" ht="15" customHeight="1" x14ac:dyDescent="0.25">
      <c r="A302">
        <v>17</v>
      </c>
      <c r="B302" t="s">
        <v>195</v>
      </c>
      <c r="C302" t="s">
        <v>136</v>
      </c>
      <c r="D302" t="s">
        <v>68</v>
      </c>
      <c r="F302" t="s">
        <v>81</v>
      </c>
      <c r="I302" t="str">
        <f t="shared" si="32"/>
        <v/>
      </c>
      <c r="J302" t="str">
        <f t="shared" si="33"/>
        <v/>
      </c>
    </row>
    <row r="303" spans="1:10" ht="15" customHeight="1" x14ac:dyDescent="0.25">
      <c r="A303">
        <v>17</v>
      </c>
      <c r="B303" t="s">
        <v>192</v>
      </c>
      <c r="C303" t="s">
        <v>192</v>
      </c>
      <c r="D303" t="s">
        <v>87</v>
      </c>
      <c r="F303" t="s">
        <v>57</v>
      </c>
      <c r="I303" t="str">
        <f t="shared" si="32"/>
        <v/>
      </c>
      <c r="J303" t="str">
        <f t="shared" si="33"/>
        <v/>
      </c>
    </row>
    <row r="304" spans="1:10" ht="15" customHeight="1" x14ac:dyDescent="0.25">
      <c r="A304">
        <v>17</v>
      </c>
      <c r="B304" t="s">
        <v>192</v>
      </c>
      <c r="C304" t="s">
        <v>192</v>
      </c>
      <c r="D304" t="s">
        <v>88</v>
      </c>
      <c r="F304" t="s">
        <v>78</v>
      </c>
      <c r="I304" t="str">
        <f t="shared" si="32"/>
        <v/>
      </c>
      <c r="J304" t="str">
        <f t="shared" si="33"/>
        <v/>
      </c>
    </row>
    <row r="305" spans="1:10" ht="15" customHeight="1" x14ac:dyDescent="0.25">
      <c r="A305">
        <v>17</v>
      </c>
      <c r="B305" t="s">
        <v>192</v>
      </c>
      <c r="C305" t="s">
        <v>192</v>
      </c>
      <c r="D305" t="s">
        <v>60</v>
      </c>
      <c r="F305" t="s">
        <v>63</v>
      </c>
      <c r="I305" t="str">
        <f t="shared" si="32"/>
        <v/>
      </c>
      <c r="J305" t="str">
        <f t="shared" si="33"/>
        <v/>
      </c>
    </row>
    <row r="306" spans="1:10" ht="15" customHeight="1" x14ac:dyDescent="0.25">
      <c r="A306">
        <v>17</v>
      </c>
      <c r="B306" t="s">
        <v>192</v>
      </c>
      <c r="C306" t="s">
        <v>192</v>
      </c>
      <c r="D306" t="s">
        <v>83</v>
      </c>
      <c r="F306" t="s">
        <v>72</v>
      </c>
      <c r="I306" t="str">
        <f t="shared" si="32"/>
        <v/>
      </c>
      <c r="J306" t="str">
        <f t="shared" si="33"/>
        <v/>
      </c>
    </row>
    <row r="307" spans="1:10" x14ac:dyDescent="0.25">
      <c r="D307" s="16" t="s">
        <v>89</v>
      </c>
      <c r="E307" s="17" t="str">
        <f>IF(AND(E306&lt;&gt;"",G306&lt;&gt;""),E306+G306,"")</f>
        <v/>
      </c>
    </row>
    <row r="308" spans="1:10" ht="15" customHeight="1" x14ac:dyDescent="0.25">
      <c r="A308" t="s">
        <v>119</v>
      </c>
    </row>
    <row r="309" spans="1:10" ht="15" customHeight="1" x14ac:dyDescent="0.25">
      <c r="A309" t="s">
        <v>120</v>
      </c>
      <c r="B309" t="s">
        <v>121</v>
      </c>
      <c r="C309" t="s">
        <v>122</v>
      </c>
      <c r="D309" t="s">
        <v>53</v>
      </c>
      <c r="E309" t="s">
        <v>123</v>
      </c>
      <c r="F309" t="s">
        <v>55</v>
      </c>
      <c r="G309" t="s">
        <v>124</v>
      </c>
      <c r="H309" t="s">
        <v>125</v>
      </c>
      <c r="I309" t="s">
        <v>126</v>
      </c>
      <c r="J309" t="s">
        <v>127</v>
      </c>
    </row>
    <row r="310" spans="1:10" ht="15" customHeight="1" x14ac:dyDescent="0.25">
      <c r="A310">
        <v>18</v>
      </c>
      <c r="B310" t="s">
        <v>192</v>
      </c>
      <c r="C310" t="s">
        <v>192</v>
      </c>
      <c r="D310" t="s">
        <v>75</v>
      </c>
      <c r="F310" t="s">
        <v>67</v>
      </c>
      <c r="I310" t="str">
        <f t="shared" ref="I310:I325" si="34">IF(OR(E310="",G310=""),"",IF(E310&gt;G310,D310,IF(G310&gt;E310,F310,"TIE")))</f>
        <v/>
      </c>
      <c r="J310" t="str">
        <f t="shared" ref="J310:J325" si="35">IF(OR(E310="",G310="",H310=""),"",IF(E310+H310&gt;G310,D310,IF(E310+H310&lt;G310,F310,"PUSH")))</f>
        <v/>
      </c>
    </row>
    <row r="311" spans="1:10" ht="15" customHeight="1" x14ac:dyDescent="0.25">
      <c r="A311">
        <v>18</v>
      </c>
      <c r="B311" t="s">
        <v>192</v>
      </c>
      <c r="C311" t="s">
        <v>192</v>
      </c>
      <c r="D311" t="s">
        <v>71</v>
      </c>
      <c r="F311" t="s">
        <v>64</v>
      </c>
      <c r="I311" t="str">
        <f t="shared" si="34"/>
        <v/>
      </c>
      <c r="J311" t="str">
        <f t="shared" si="35"/>
        <v/>
      </c>
    </row>
    <row r="312" spans="1:10" ht="15" customHeight="1" x14ac:dyDescent="0.25">
      <c r="A312">
        <v>18</v>
      </c>
      <c r="B312" t="s">
        <v>192</v>
      </c>
      <c r="C312" t="s">
        <v>192</v>
      </c>
      <c r="D312" t="s">
        <v>60</v>
      </c>
      <c r="F312" t="s">
        <v>87</v>
      </c>
      <c r="I312" t="str">
        <f t="shared" si="34"/>
        <v/>
      </c>
      <c r="J312" t="str">
        <f t="shared" si="35"/>
        <v/>
      </c>
    </row>
    <row r="313" spans="1:10" ht="15" customHeight="1" x14ac:dyDescent="0.25">
      <c r="A313">
        <v>18</v>
      </c>
      <c r="B313" t="s">
        <v>192</v>
      </c>
      <c r="C313" t="s">
        <v>192</v>
      </c>
      <c r="D313" t="s">
        <v>66</v>
      </c>
      <c r="F313" t="s">
        <v>81</v>
      </c>
      <c r="I313" t="str">
        <f t="shared" si="34"/>
        <v/>
      </c>
      <c r="J313" t="str">
        <f t="shared" si="35"/>
        <v/>
      </c>
    </row>
    <row r="314" spans="1:10" ht="15" customHeight="1" x14ac:dyDescent="0.25">
      <c r="A314">
        <v>18</v>
      </c>
      <c r="B314" t="s">
        <v>192</v>
      </c>
      <c r="C314" t="s">
        <v>192</v>
      </c>
      <c r="D314" t="s">
        <v>72</v>
      </c>
      <c r="F314" t="s">
        <v>70</v>
      </c>
      <c r="I314" t="str">
        <f t="shared" si="34"/>
        <v/>
      </c>
      <c r="J314" t="str">
        <f t="shared" si="35"/>
        <v/>
      </c>
    </row>
    <row r="315" spans="1:10" ht="15" customHeight="1" x14ac:dyDescent="0.25">
      <c r="A315">
        <v>18</v>
      </c>
      <c r="B315" t="s">
        <v>192</v>
      </c>
      <c r="C315" t="s">
        <v>192</v>
      </c>
      <c r="D315" t="s">
        <v>80</v>
      </c>
      <c r="F315" t="s">
        <v>88</v>
      </c>
      <c r="I315" t="str">
        <f t="shared" si="34"/>
        <v/>
      </c>
      <c r="J315" t="str">
        <f t="shared" si="35"/>
        <v/>
      </c>
    </row>
    <row r="316" spans="1:10" ht="15" customHeight="1" x14ac:dyDescent="0.25">
      <c r="A316">
        <v>18</v>
      </c>
      <c r="B316" t="s">
        <v>192</v>
      </c>
      <c r="C316" t="s">
        <v>192</v>
      </c>
      <c r="D316" t="s">
        <v>58</v>
      </c>
      <c r="F316" t="s">
        <v>78</v>
      </c>
      <c r="I316" t="str">
        <f t="shared" si="34"/>
        <v/>
      </c>
      <c r="J316" t="str">
        <f t="shared" si="35"/>
        <v/>
      </c>
    </row>
    <row r="317" spans="1:10" ht="15" customHeight="1" x14ac:dyDescent="0.25">
      <c r="A317">
        <v>18</v>
      </c>
      <c r="B317" t="s">
        <v>192</v>
      </c>
      <c r="C317" t="s">
        <v>192</v>
      </c>
      <c r="D317" t="s">
        <v>61</v>
      </c>
      <c r="F317" t="s">
        <v>82</v>
      </c>
      <c r="I317" t="str">
        <f t="shared" si="34"/>
        <v/>
      </c>
      <c r="J317" t="str">
        <f t="shared" si="35"/>
        <v/>
      </c>
    </row>
    <row r="318" spans="1:10" ht="15" customHeight="1" x14ac:dyDescent="0.25">
      <c r="A318">
        <v>18</v>
      </c>
      <c r="B318" t="s">
        <v>192</v>
      </c>
      <c r="C318" t="s">
        <v>192</v>
      </c>
      <c r="D318" t="s">
        <v>79</v>
      </c>
      <c r="F318" t="s">
        <v>57</v>
      </c>
      <c r="I318" t="str">
        <f t="shared" si="34"/>
        <v/>
      </c>
      <c r="J318" t="str">
        <f t="shared" si="35"/>
        <v/>
      </c>
    </row>
    <row r="319" spans="1:10" ht="15" customHeight="1" x14ac:dyDescent="0.25">
      <c r="A319">
        <v>18</v>
      </c>
      <c r="B319" t="s">
        <v>192</v>
      </c>
      <c r="C319" t="s">
        <v>192</v>
      </c>
      <c r="D319" t="s">
        <v>63</v>
      </c>
      <c r="F319" t="s">
        <v>65</v>
      </c>
      <c r="I319" t="str">
        <f t="shared" si="34"/>
        <v/>
      </c>
      <c r="J319" t="str">
        <f t="shared" si="35"/>
        <v/>
      </c>
    </row>
    <row r="320" spans="1:10" ht="15" customHeight="1" x14ac:dyDescent="0.25">
      <c r="A320">
        <v>18</v>
      </c>
      <c r="B320" t="s">
        <v>192</v>
      </c>
      <c r="C320" t="s">
        <v>192</v>
      </c>
      <c r="D320" t="s">
        <v>84</v>
      </c>
      <c r="F320" t="s">
        <v>86</v>
      </c>
      <c r="I320" t="str">
        <f t="shared" si="34"/>
        <v/>
      </c>
      <c r="J320" t="str">
        <f t="shared" si="35"/>
        <v/>
      </c>
    </row>
    <row r="321" spans="1:10" ht="15" customHeight="1" x14ac:dyDescent="0.25">
      <c r="A321">
        <v>18</v>
      </c>
      <c r="B321" t="s">
        <v>192</v>
      </c>
      <c r="C321" t="s">
        <v>192</v>
      </c>
      <c r="D321" t="s">
        <v>59</v>
      </c>
      <c r="F321" t="s">
        <v>77</v>
      </c>
      <c r="I321" t="str">
        <f t="shared" si="34"/>
        <v/>
      </c>
      <c r="J321" t="str">
        <f t="shared" si="35"/>
        <v/>
      </c>
    </row>
    <row r="322" spans="1:10" ht="15" customHeight="1" x14ac:dyDescent="0.25">
      <c r="A322">
        <v>18</v>
      </c>
      <c r="B322" t="s">
        <v>192</v>
      </c>
      <c r="C322" t="s">
        <v>192</v>
      </c>
      <c r="D322" t="s">
        <v>85</v>
      </c>
      <c r="F322" t="s">
        <v>83</v>
      </c>
      <c r="I322" t="str">
        <f t="shared" si="34"/>
        <v/>
      </c>
      <c r="J322" t="str">
        <f t="shared" si="35"/>
        <v/>
      </c>
    </row>
    <row r="323" spans="1:10" ht="15" customHeight="1" x14ac:dyDescent="0.25">
      <c r="A323">
        <v>18</v>
      </c>
      <c r="B323" t="s">
        <v>192</v>
      </c>
      <c r="C323" t="s">
        <v>192</v>
      </c>
      <c r="D323" t="s">
        <v>73</v>
      </c>
      <c r="F323" t="s">
        <v>62</v>
      </c>
      <c r="I323" t="str">
        <f t="shared" si="34"/>
        <v/>
      </c>
      <c r="J323" t="str">
        <f t="shared" si="35"/>
        <v/>
      </c>
    </row>
    <row r="324" spans="1:10" ht="15" customHeight="1" x14ac:dyDescent="0.25">
      <c r="A324">
        <v>18</v>
      </c>
      <c r="B324" t="s">
        <v>192</v>
      </c>
      <c r="C324" t="s">
        <v>192</v>
      </c>
      <c r="D324" t="s">
        <v>74</v>
      </c>
      <c r="F324" t="s">
        <v>69</v>
      </c>
      <c r="I324" t="str">
        <f t="shared" si="34"/>
        <v/>
      </c>
      <c r="J324" t="str">
        <f t="shared" si="35"/>
        <v/>
      </c>
    </row>
    <row r="325" spans="1:10" ht="15" customHeight="1" x14ac:dyDescent="0.25">
      <c r="A325">
        <v>18</v>
      </c>
      <c r="B325" t="s">
        <v>192</v>
      </c>
      <c r="C325" t="s">
        <v>192</v>
      </c>
      <c r="D325" t="s">
        <v>76</v>
      </c>
      <c r="F325" t="s">
        <v>68</v>
      </c>
      <c r="I325" t="str">
        <f t="shared" si="34"/>
        <v/>
      </c>
      <c r="J325" t="str">
        <f t="shared" si="35"/>
        <v/>
      </c>
    </row>
    <row r="326" spans="1:10" x14ac:dyDescent="0.25">
      <c r="D326" s="16" t="s">
        <v>89</v>
      </c>
      <c r="E326" s="17" t="str">
        <f>IF(AND(E325&lt;&gt;"",G325&lt;&gt;""),E325+G325,"")</f>
        <v/>
      </c>
    </row>
    <row r="327" spans="1:10" ht="15" customHeight="1" x14ac:dyDescent="0.25">
      <c r="A327" t="s">
        <v>196</v>
      </c>
    </row>
    <row r="328" spans="1:10" ht="15" customHeight="1" x14ac:dyDescent="0.25">
      <c r="A328" t="s">
        <v>120</v>
      </c>
      <c r="B328" t="s">
        <v>121</v>
      </c>
      <c r="C328" t="s">
        <v>122</v>
      </c>
      <c r="D328" t="s">
        <v>53</v>
      </c>
      <c r="E328" t="s">
        <v>123</v>
      </c>
      <c r="F328" t="s">
        <v>55</v>
      </c>
      <c r="G328" t="s">
        <v>124</v>
      </c>
      <c r="H328" t="s">
        <v>125</v>
      </c>
      <c r="I328" t="s">
        <v>126</v>
      </c>
      <c r="J328" t="s">
        <v>127</v>
      </c>
    </row>
    <row r="329" spans="1:10" ht="15" customHeight="1" x14ac:dyDescent="0.25">
      <c r="A329">
        <v>19</v>
      </c>
      <c r="B329" t="s">
        <v>192</v>
      </c>
      <c r="C329" t="s">
        <v>192</v>
      </c>
      <c r="I329" t="str">
        <f>IF(OR(E329="",G329=""),"",IF(E329&gt;G329,D329,IF(G329&gt;E329,F329,"TIE")))</f>
        <v/>
      </c>
      <c r="J329" t="str">
        <f>IF(OR(E329="",G329="",H329=""),"",IF(E329+H329&gt;G329,D329,IF(E329+H329&lt;G329,F329,"PUSH")))</f>
        <v/>
      </c>
    </row>
    <row r="330" spans="1:10" ht="15" customHeight="1" x14ac:dyDescent="0.25">
      <c r="A330">
        <v>19</v>
      </c>
      <c r="B330" t="s">
        <v>192</v>
      </c>
      <c r="C330" t="s">
        <v>192</v>
      </c>
      <c r="I330" t="str">
        <f>IF(OR(E330="",G330=""),"",IF(E330&gt;G330,D330,IF(G330&gt;E330,F330,"TIE")))</f>
        <v/>
      </c>
      <c r="J330" t="str">
        <f>IF(OR(E330="",G330="",H330=""),"",IF(E330+H330&gt;G330,D330,IF(E330+H330&lt;G330,F330,"PUSH")))</f>
        <v/>
      </c>
    </row>
    <row r="331" spans="1:10" ht="15" customHeight="1" x14ac:dyDescent="0.25">
      <c r="A331">
        <v>19</v>
      </c>
      <c r="B331" t="s">
        <v>192</v>
      </c>
      <c r="C331" t="s">
        <v>192</v>
      </c>
      <c r="I331" t="str">
        <f>IF(OR(E331="",G331=""),"",IF(E331&gt;G331,D331,IF(G331&gt;E331,F331,"TIE")))</f>
        <v/>
      </c>
      <c r="J331" t="str">
        <f>IF(OR(E331="",G331="",H331=""),"",IF(E331+H331&gt;G331,D331,IF(E331+H331&lt;G331,F331,"PUSH")))</f>
        <v/>
      </c>
    </row>
    <row r="332" spans="1:10" ht="15" customHeight="1" x14ac:dyDescent="0.25">
      <c r="A332">
        <v>19</v>
      </c>
      <c r="B332" t="s">
        <v>192</v>
      </c>
      <c r="C332" t="s">
        <v>192</v>
      </c>
      <c r="I332" t="str">
        <f>IF(OR(E332="",G332=""),"",IF(E332&gt;G332,D332,IF(G332&gt;E332,F332,"TIE")))</f>
        <v/>
      </c>
      <c r="J332" t="str">
        <f>IF(OR(E332="",G332="",H332=""),"",IF(E332+H332&gt;G332,D332,IF(E332+H332&lt;G332,F332,"PUSH")))</f>
        <v/>
      </c>
    </row>
    <row r="334" spans="1:10" ht="15" customHeight="1" x14ac:dyDescent="0.25">
      <c r="A334" t="s">
        <v>197</v>
      </c>
    </row>
    <row r="335" spans="1:10" ht="15" customHeight="1" x14ac:dyDescent="0.25">
      <c r="A335" t="s">
        <v>120</v>
      </c>
      <c r="B335" t="s">
        <v>121</v>
      </c>
      <c r="C335" t="s">
        <v>122</v>
      </c>
      <c r="D335" t="s">
        <v>53</v>
      </c>
      <c r="E335" t="s">
        <v>123</v>
      </c>
      <c r="F335" t="s">
        <v>55</v>
      </c>
      <c r="G335" t="s">
        <v>124</v>
      </c>
      <c r="H335" t="s">
        <v>125</v>
      </c>
      <c r="I335" t="s">
        <v>126</v>
      </c>
      <c r="J335" t="s">
        <v>127</v>
      </c>
    </row>
    <row r="336" spans="1:10" ht="15" customHeight="1" x14ac:dyDescent="0.25">
      <c r="A336">
        <v>20</v>
      </c>
      <c r="B336" t="s">
        <v>192</v>
      </c>
      <c r="C336" t="s">
        <v>192</v>
      </c>
      <c r="I336" t="str">
        <f>IF(OR(E336="",G336=""),"",IF(E336&gt;G336,D336,IF(G336&gt;E336,F336,"TIE")))</f>
        <v/>
      </c>
      <c r="J336" t="str">
        <f>IF(OR(E336="",G336="",H336=""),"",IF(E336+H336&gt;G336,D336,IF(E336+H336&lt;G336,F336,"PUSH")))</f>
        <v/>
      </c>
    </row>
    <row r="337" spans="1:10" ht="15" customHeight="1" x14ac:dyDescent="0.25">
      <c r="A337">
        <v>20</v>
      </c>
      <c r="B337" t="s">
        <v>192</v>
      </c>
      <c r="C337" t="s">
        <v>192</v>
      </c>
      <c r="I337" t="str">
        <f>IF(OR(E337="",G337=""),"",IF(E337&gt;G337,D337,IF(G337&gt;E337,F337,"TIE")))</f>
        <v/>
      </c>
      <c r="J337" t="str">
        <f>IF(OR(E337="",G337="",H337=""),"",IF(E337+H337&gt;G337,D337,IF(E337+H337&lt;G337,F337,"PUSH")))</f>
        <v/>
      </c>
    </row>
    <row r="338" spans="1:10" ht="15" customHeight="1" x14ac:dyDescent="0.25">
      <c r="A338">
        <v>20</v>
      </c>
      <c r="B338" t="s">
        <v>192</v>
      </c>
      <c r="C338" t="s">
        <v>192</v>
      </c>
      <c r="I338" t="str">
        <f>IF(OR(E338="",G338=""),"",IF(E338&gt;G338,D338,IF(G338&gt;E338,F338,"TIE")))</f>
        <v/>
      </c>
      <c r="J338" t="str">
        <f>IF(OR(E338="",G338="",H338=""),"",IF(E338+H338&gt;G338,D338,IF(E338+H338&lt;G338,F338,"PUSH")))</f>
        <v/>
      </c>
    </row>
    <row r="339" spans="1:10" ht="15" customHeight="1" x14ac:dyDescent="0.25">
      <c r="A339">
        <v>20</v>
      </c>
      <c r="B339" t="s">
        <v>192</v>
      </c>
      <c r="C339" t="s">
        <v>192</v>
      </c>
      <c r="I339" t="str">
        <f>IF(OR(E339="",G339=""),"",IF(E339&gt;G339,D339,IF(G339&gt;E339,F339,"TIE")))</f>
        <v/>
      </c>
      <c r="J339" t="str">
        <f>IF(OR(E339="",G339="",H339=""),"",IF(E339+H339&gt;G339,D339,IF(E339+H339&lt;G339,F339,"PUSH")))</f>
        <v/>
      </c>
    </row>
    <row r="341" spans="1:10" ht="15" customHeight="1" x14ac:dyDescent="0.25">
      <c r="A341" t="s">
        <v>198</v>
      </c>
    </row>
    <row r="342" spans="1:10" ht="15" customHeight="1" x14ac:dyDescent="0.25">
      <c r="A342" t="s">
        <v>120</v>
      </c>
      <c r="B342" t="s">
        <v>121</v>
      </c>
      <c r="C342" t="s">
        <v>122</v>
      </c>
      <c r="D342" t="s">
        <v>53</v>
      </c>
      <c r="E342" t="s">
        <v>123</v>
      </c>
      <c r="F342" t="s">
        <v>55</v>
      </c>
      <c r="G342" t="s">
        <v>124</v>
      </c>
      <c r="H342" t="s">
        <v>125</v>
      </c>
      <c r="I342" t="s">
        <v>126</v>
      </c>
      <c r="J342" t="s">
        <v>127</v>
      </c>
    </row>
    <row r="343" spans="1:10" ht="15" customHeight="1" x14ac:dyDescent="0.25">
      <c r="A343">
        <v>21</v>
      </c>
      <c r="B343" t="s">
        <v>192</v>
      </c>
      <c r="C343" t="s">
        <v>192</v>
      </c>
      <c r="I343" t="str">
        <f>IF(OR(E343="",G343=""),"",IF(E343&gt;G343,D343,IF(G343&gt;E343,F343,"TIE")))</f>
        <v/>
      </c>
      <c r="J343" t="str">
        <f>IF(OR(E343="",G343="",H343=""),"",IF(E343+H343&gt;G343,D343,IF(E343+H343&lt;G343,F343,"PUSH")))</f>
        <v/>
      </c>
    </row>
    <row r="344" spans="1:10" ht="15" customHeight="1" x14ac:dyDescent="0.25">
      <c r="A344">
        <v>21</v>
      </c>
      <c r="B344" t="s">
        <v>192</v>
      </c>
      <c r="C344" t="s">
        <v>192</v>
      </c>
      <c r="I344" t="str">
        <f>IF(OR(E344="",G344=""),"",IF(E344&gt;G344,D344,IF(G344&gt;E344,F344,"TIE")))</f>
        <v/>
      </c>
      <c r="J344" t="str">
        <f>IF(OR(E344="",G344="",H344=""),"",IF(E344+H344&gt;G344,D344,IF(E344+H344&lt;G344,F344,"PUSH")))</f>
        <v/>
      </c>
    </row>
    <row r="346" spans="1:10" ht="15" customHeight="1" x14ac:dyDescent="0.25">
      <c r="A346" t="s">
        <v>199</v>
      </c>
    </row>
    <row r="347" spans="1:10" ht="15" customHeight="1" x14ac:dyDescent="0.25">
      <c r="A347" t="s">
        <v>120</v>
      </c>
      <c r="B347" t="s">
        <v>121</v>
      </c>
      <c r="C347" t="s">
        <v>122</v>
      </c>
      <c r="D347" t="s">
        <v>53</v>
      </c>
      <c r="E347" t="s">
        <v>123</v>
      </c>
      <c r="F347" t="s">
        <v>55</v>
      </c>
      <c r="G347" t="s">
        <v>124</v>
      </c>
      <c r="H347" t="s">
        <v>125</v>
      </c>
      <c r="I347" t="s">
        <v>126</v>
      </c>
      <c r="J347" t="s">
        <v>127</v>
      </c>
    </row>
    <row r="348" spans="1:10" ht="15" customHeight="1" x14ac:dyDescent="0.25">
      <c r="A348">
        <v>22</v>
      </c>
      <c r="B348" t="s">
        <v>192</v>
      </c>
      <c r="C348" t="s">
        <v>192</v>
      </c>
      <c r="I348" t="str">
        <f>IF(OR(E348="",G348=""),"",IF(E348&gt;G348,D348,IF(G348&gt;E348,F348,"TIE")))</f>
        <v/>
      </c>
      <c r="J348" t="str">
        <f>IF(OR(E348="",G348="",H348=""),"",IF(E348+H348&gt;G348,D348,IF(E348+H348&lt;G348,F348,"PUSH")))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2"/>
  <sheetViews>
    <sheetView topLeftCell="A42" zoomScaleNormal="100" workbookViewId="0">
      <selection activeCell="D97" sqref="D97"/>
    </sheetView>
  </sheetViews>
  <sheetFormatPr defaultColWidth="8.7109375" defaultRowHeight="15" x14ac:dyDescent="0.25"/>
  <cols>
    <col min="1" max="1" width="10" customWidth="1"/>
    <col min="2" max="2" width="16" customWidth="1"/>
    <col min="3" max="9" width="14" customWidth="1"/>
  </cols>
  <sheetData>
    <row r="1" spans="1:9" ht="17.25" customHeight="1" x14ac:dyDescent="0.25">
      <c r="A1" s="23" t="s">
        <v>200</v>
      </c>
      <c r="B1" s="23"/>
      <c r="C1" s="23"/>
      <c r="D1" s="23"/>
      <c r="E1" s="23"/>
      <c r="F1" s="23"/>
      <c r="G1" s="23"/>
      <c r="H1" s="23"/>
      <c r="I1" s="23"/>
    </row>
    <row r="2" spans="1:9" ht="15" customHeight="1" x14ac:dyDescent="0.25">
      <c r="A2" s="5" t="s">
        <v>201</v>
      </c>
    </row>
    <row r="4" spans="1:9" ht="15" customHeight="1" x14ac:dyDescent="0.25">
      <c r="A4" s="18" t="s">
        <v>52</v>
      </c>
    </row>
    <row r="5" spans="1:9" ht="15" customHeight="1" x14ac:dyDescent="0.25">
      <c r="A5" s="2" t="s">
        <v>1</v>
      </c>
      <c r="B5" s="2" t="s">
        <v>2</v>
      </c>
      <c r="C5" s="2" t="s">
        <v>202</v>
      </c>
      <c r="D5" s="2" t="s">
        <v>203</v>
      </c>
      <c r="E5" s="2" t="s">
        <v>204</v>
      </c>
      <c r="F5" s="2" t="s">
        <v>205</v>
      </c>
      <c r="G5" s="2" t="s">
        <v>206</v>
      </c>
      <c r="H5" s="2" t="s">
        <v>207</v>
      </c>
      <c r="I5" s="2" t="s">
        <v>208</v>
      </c>
    </row>
    <row r="6" spans="1:9" ht="15" customHeight="1" x14ac:dyDescent="0.25">
      <c r="A6">
        <v>1</v>
      </c>
      <c r="B6" t="str">
        <f>Roster!B3</f>
        <v>Evan Loeser</v>
      </c>
      <c r="C6" s="3">
        <f>SUMPRODUCT(('Picks Detail'!F6:F21&lt;&gt;"")*('Picks Detail'!E6:E21&lt;&gt;"")*('Picks Detail'!F6:F21='Picks Detail'!E6:E21))</f>
        <v>5</v>
      </c>
      <c r="D6">
        <v>5</v>
      </c>
      <c r="E6">
        <f>IFERROR(INDEX(C$6:C$17,MATCH(5,A$6:A$17,0)),0)</f>
        <v>10</v>
      </c>
      <c r="F6" t="str">
        <f>IF(C6=0,"-",IF(C6&gt;E6,"W",IF(C6&lt;E6,"L",IF(AND('Picks Detail'!E22&lt;&gt;"",INDEX('Picks Detail'!F22:Q22,1,A6)&lt;&gt;"",INDEX('Picks Detail'!F22:Q22,1,D6)&lt;&gt;""),IF(ABS(INDEX('Picks Detail'!F22:Q22,1,A6)-'Picks Detail'!E22)&lt;ABS(INDEX('Picks Detail'!F22:Q22,1,D6)-'Picks Detail'!E22),"W",IF(ABS(INDEX('Picks Detail'!F22:Q22,1,A6)-'Picks Detail'!E22)&gt;ABS(INDEX('Picks Detail'!F22:Q22,1,D6)-'Picks Detail'!E22),"L","T")),"T"))))</f>
        <v>L</v>
      </c>
      <c r="G6">
        <f t="shared" ref="G6:G17" si="0">IF(F6="W",6,IF(F6="T",3,0))</f>
        <v>0</v>
      </c>
      <c r="H6">
        <f t="shared" ref="H6:H17" si="1">IF(C6="",0,C6)</f>
        <v>5</v>
      </c>
      <c r="I6">
        <f t="shared" ref="I6:I17" si="2">G6+H6</f>
        <v>5</v>
      </c>
    </row>
    <row r="7" spans="1:9" ht="15" customHeight="1" x14ac:dyDescent="0.25">
      <c r="A7">
        <v>2</v>
      </c>
      <c r="B7" t="str">
        <f>Roster!B4</f>
        <v>Chris Simmons</v>
      </c>
      <c r="C7" s="3">
        <f>SUMPRODUCT(('Picks Detail'!G6:G21&lt;&gt;"")*('Picks Detail'!E6:E21&lt;&gt;"")*('Picks Detail'!G6:G21='Picks Detail'!E6:E21))</f>
        <v>7</v>
      </c>
      <c r="D7">
        <v>6</v>
      </c>
      <c r="E7">
        <f>IFERROR(INDEX(C$6:C$17,MATCH(6,A$6:A$17,0)),0)</f>
        <v>7</v>
      </c>
      <c r="F7" t="str">
        <f>IF(C7=0,"-",IF(C7&gt;E7,"W",IF(C7&lt;E7,"L",IF(AND('Picks Detail'!E22&lt;&gt;"",INDEX('Picks Detail'!F22:Q22,1,A7)&lt;&gt;"",INDEX('Picks Detail'!F22:Q22,1,D7)&lt;&gt;""),IF(ABS(INDEX('Picks Detail'!F22:Q22,1,A7)-'Picks Detail'!E22)&lt;ABS(INDEX('Picks Detail'!F22:Q22,1,D7)-'Picks Detail'!E22),"W",IF(ABS(INDEX('Picks Detail'!F22:Q22,1,A7)-'Picks Detail'!E22)&gt;ABS(INDEX('Picks Detail'!F22:Q22,1,D7)-'Picks Detail'!E22),"L","T")),"T"))))</f>
        <v>L</v>
      </c>
      <c r="G7">
        <f t="shared" si="0"/>
        <v>0</v>
      </c>
      <c r="H7">
        <f t="shared" si="1"/>
        <v>7</v>
      </c>
      <c r="I7">
        <f t="shared" si="2"/>
        <v>7</v>
      </c>
    </row>
    <row r="8" spans="1:9" ht="15" customHeight="1" x14ac:dyDescent="0.25">
      <c r="A8">
        <v>3</v>
      </c>
      <c r="B8" t="str">
        <f>Roster!B5</f>
        <v>Jack Smith</v>
      </c>
      <c r="C8" s="3">
        <f>SUMPRODUCT(('Picks Detail'!H6:H21&lt;&gt;"")*('Picks Detail'!E6:E21&lt;&gt;"")*('Picks Detail'!H6:H21='Picks Detail'!E6:E21))</f>
        <v>8</v>
      </c>
      <c r="D8">
        <v>9</v>
      </c>
      <c r="E8">
        <f>IFERROR(INDEX(C$6:C$17,MATCH(9,A$6:A$17,0)),0)</f>
        <v>8</v>
      </c>
      <c r="F8" t="str">
        <f>IF(C8=0,"-",IF(C8&gt;E8,"W",IF(C8&lt;E8,"L",IF(AND('Picks Detail'!E22&lt;&gt;"",INDEX('Picks Detail'!F22:Q22,1,A8)&lt;&gt;"",INDEX('Picks Detail'!F22:Q22,1,D8)&lt;&gt;""),IF(ABS(INDEX('Picks Detail'!F22:Q22,1,A8)-'Picks Detail'!E22)&lt;ABS(INDEX('Picks Detail'!F22:Q22,1,D8)-'Picks Detail'!E22),"W",IF(ABS(INDEX('Picks Detail'!F22:Q22,1,A8)-'Picks Detail'!E22)&gt;ABS(INDEX('Picks Detail'!F22:Q22,1,D8)-'Picks Detail'!E22),"L","T")),"T"))))</f>
        <v>W</v>
      </c>
      <c r="G8">
        <f t="shared" si="0"/>
        <v>6</v>
      </c>
      <c r="H8">
        <f t="shared" si="1"/>
        <v>8</v>
      </c>
      <c r="I8">
        <f t="shared" si="2"/>
        <v>14</v>
      </c>
    </row>
    <row r="9" spans="1:9" ht="15" customHeight="1" x14ac:dyDescent="0.25">
      <c r="A9">
        <v>4</v>
      </c>
      <c r="B9" t="str">
        <f>Roster!B6</f>
        <v>Luke Ussery</v>
      </c>
      <c r="C9" s="3">
        <f>SUMPRODUCT(('Picks Detail'!I6:I21&lt;&gt;"")*('Picks Detail'!E6:E21&lt;&gt;"")*('Picks Detail'!I6:I21='Picks Detail'!E6:E21))</f>
        <v>6</v>
      </c>
      <c r="D9">
        <v>10</v>
      </c>
      <c r="E9">
        <f>IFERROR(INDEX(C$6:C$17,MATCH(10,A$6:A$17,0)),0)</f>
        <v>11</v>
      </c>
      <c r="F9" t="str">
        <f>IF(C9=0,"-",IF(C9&gt;E9,"W",IF(C9&lt;E9,"L",IF(AND('Picks Detail'!E22&lt;&gt;"",INDEX('Picks Detail'!F22:Q22,1,A9)&lt;&gt;"",INDEX('Picks Detail'!F22:Q22,1,D9)&lt;&gt;""),IF(ABS(INDEX('Picks Detail'!F22:Q22,1,A9)-'Picks Detail'!E22)&lt;ABS(INDEX('Picks Detail'!F22:Q22,1,D9)-'Picks Detail'!E22),"W",IF(ABS(INDEX('Picks Detail'!F22:Q22,1,A9)-'Picks Detail'!E22)&gt;ABS(INDEX('Picks Detail'!F22:Q22,1,D9)-'Picks Detail'!E22),"L","T")),"T"))))</f>
        <v>L</v>
      </c>
      <c r="G9">
        <f t="shared" si="0"/>
        <v>0</v>
      </c>
      <c r="H9">
        <f t="shared" si="1"/>
        <v>6</v>
      </c>
      <c r="I9">
        <f t="shared" si="2"/>
        <v>6</v>
      </c>
    </row>
    <row r="10" spans="1:9" ht="15" customHeight="1" x14ac:dyDescent="0.25">
      <c r="A10">
        <v>5</v>
      </c>
      <c r="B10" t="str">
        <f>Roster!B7</f>
        <v>Mikayla Simmons</v>
      </c>
      <c r="C10" s="3">
        <f>SUMPRODUCT(('Picks Detail'!J6:J21&lt;&gt;"")*('Picks Detail'!E6:E21&lt;&gt;"")*('Picks Detail'!J6:J21='Picks Detail'!E6:E21))</f>
        <v>10</v>
      </c>
      <c r="D10">
        <v>1</v>
      </c>
      <c r="E10">
        <f>IFERROR(INDEX(C$6:C$17,MATCH(1,A$6:A$17,0)),0)</f>
        <v>5</v>
      </c>
      <c r="F10" t="str">
        <f>IF(C10=0,"-",IF(C10&gt;E10,"W",IF(C10&lt;E10,"L",IF(AND('Picks Detail'!E22&lt;&gt;"",INDEX('Picks Detail'!F22:Q22,1,A10)&lt;&gt;"",INDEX('Picks Detail'!F22:Q22,1,D10)&lt;&gt;""),IF(ABS(INDEX('Picks Detail'!F22:Q22,1,A10)-'Picks Detail'!E22)&lt;ABS(INDEX('Picks Detail'!F22:Q22,1,D10)-'Picks Detail'!E22),"W",IF(ABS(INDEX('Picks Detail'!F22:Q22,1,A10)-'Picks Detail'!E22)&gt;ABS(INDEX('Picks Detail'!F22:Q22,1,D10)-'Picks Detail'!E22),"L","T")),"T"))))</f>
        <v>W</v>
      </c>
      <c r="G10">
        <f t="shared" si="0"/>
        <v>6</v>
      </c>
      <c r="H10">
        <f t="shared" si="1"/>
        <v>10</v>
      </c>
      <c r="I10">
        <f t="shared" si="2"/>
        <v>16</v>
      </c>
    </row>
    <row r="11" spans="1:9" ht="15" customHeight="1" x14ac:dyDescent="0.25">
      <c r="A11">
        <v>6</v>
      </c>
      <c r="B11" t="str">
        <f>Roster!B8</f>
        <v>Alan Loeser</v>
      </c>
      <c r="C11" s="3">
        <f>SUMPRODUCT(('Picks Detail'!K6:K21&lt;&gt;"")*('Picks Detail'!E6:E21&lt;&gt;"")*('Picks Detail'!K6:K21='Picks Detail'!E6:E21))</f>
        <v>7</v>
      </c>
      <c r="D11">
        <v>2</v>
      </c>
      <c r="E11">
        <f>IFERROR(INDEX(C$6:C$17,MATCH(2,A$6:A$17,0)),0)</f>
        <v>7</v>
      </c>
      <c r="F11" t="str">
        <f>IF(C11=0,"-",IF(C11&gt;E11,"W",IF(C11&lt;E11,"L",IF(AND('Picks Detail'!E22&lt;&gt;"",INDEX('Picks Detail'!F22:Q22,1,A11)&lt;&gt;"",INDEX('Picks Detail'!F22:Q22,1,D11)&lt;&gt;""),IF(ABS(INDEX('Picks Detail'!F22:Q22,1,A11)-'Picks Detail'!E22)&lt;ABS(INDEX('Picks Detail'!F22:Q22,1,D11)-'Picks Detail'!E22),"W",IF(ABS(INDEX('Picks Detail'!F22:Q22,1,A11)-'Picks Detail'!E22)&gt;ABS(INDEX('Picks Detail'!F22:Q22,1,D11)-'Picks Detail'!E22),"L","T")),"T"))))</f>
        <v>W</v>
      </c>
      <c r="G11">
        <f t="shared" si="0"/>
        <v>6</v>
      </c>
      <c r="H11">
        <f t="shared" si="1"/>
        <v>7</v>
      </c>
      <c r="I11">
        <f t="shared" si="2"/>
        <v>13</v>
      </c>
    </row>
    <row r="12" spans="1:9" ht="15" customHeight="1" x14ac:dyDescent="0.25">
      <c r="A12">
        <v>7</v>
      </c>
      <c r="B12" t="str">
        <f>Roster!B9</f>
        <v>Caleb Simmons</v>
      </c>
      <c r="C12" s="3">
        <f>SUMPRODUCT(('Picks Detail'!L6:L21&lt;&gt;"")*('Picks Detail'!E6:E21&lt;&gt;"")*('Picks Detail'!L6:L21='Picks Detail'!E6:E21))</f>
        <v>7</v>
      </c>
      <c r="D12">
        <v>11</v>
      </c>
      <c r="E12">
        <f>IFERROR(INDEX(C$6:C$17,MATCH(11,A$6:A$17,0)),0)</f>
        <v>10</v>
      </c>
      <c r="F12" t="str">
        <f>IF(C12=0,"-",IF(C12&gt;E12,"W",IF(C12&lt;E12,"L",IF(AND('Picks Detail'!E22&lt;&gt;"",INDEX('Picks Detail'!F22:Q22,1,A12)&lt;&gt;"",INDEX('Picks Detail'!F22:Q22,1,D12)&lt;&gt;""),IF(ABS(INDEX('Picks Detail'!F22:Q22,1,A12)-'Picks Detail'!E22)&lt;ABS(INDEX('Picks Detail'!F22:Q22,1,D12)-'Picks Detail'!E22),"W",IF(ABS(INDEX('Picks Detail'!F22:Q22,1,A12)-'Picks Detail'!E22)&gt;ABS(INDEX('Picks Detail'!F22:Q22,1,D12)-'Picks Detail'!E22),"L","T")),"T"))))</f>
        <v>L</v>
      </c>
      <c r="G12">
        <f t="shared" si="0"/>
        <v>0</v>
      </c>
      <c r="H12">
        <f t="shared" si="1"/>
        <v>7</v>
      </c>
      <c r="I12">
        <f t="shared" si="2"/>
        <v>7</v>
      </c>
    </row>
    <row r="13" spans="1:9" ht="15" customHeight="1" x14ac:dyDescent="0.25">
      <c r="A13">
        <v>8</v>
      </c>
      <c r="B13" t="str">
        <f>Roster!B10</f>
        <v>Larry Loeser</v>
      </c>
      <c r="C13" s="3">
        <f>SUMPRODUCT(('Picks Detail'!M6:M21&lt;&gt;"")*('Picks Detail'!E6:E21&lt;&gt;"")*('Picks Detail'!M6:M21='Picks Detail'!E6:E21))</f>
        <v>8</v>
      </c>
      <c r="D13">
        <v>12</v>
      </c>
      <c r="E13">
        <f>IFERROR(INDEX(C$6:C$17,MATCH(12,A$6:A$17,0)),0)</f>
        <v>9</v>
      </c>
      <c r="F13" t="str">
        <f>IF(C13=0,"-",IF(C13&gt;E13,"W",IF(C13&lt;E13,"L",IF(AND('Picks Detail'!E22&lt;&gt;"",INDEX('Picks Detail'!F22:Q22,1,A13)&lt;&gt;"",INDEX('Picks Detail'!F22:Q22,1,D13)&lt;&gt;""),IF(ABS(INDEX('Picks Detail'!F22:Q22,1,A13)-'Picks Detail'!E22)&lt;ABS(INDEX('Picks Detail'!F22:Q22,1,D13)-'Picks Detail'!E22),"W",IF(ABS(INDEX('Picks Detail'!F22:Q22,1,A13)-'Picks Detail'!E22)&gt;ABS(INDEX('Picks Detail'!F22:Q22,1,D13)-'Picks Detail'!E22),"L","T")),"T"))))</f>
        <v>L</v>
      </c>
      <c r="G13">
        <f t="shared" si="0"/>
        <v>0</v>
      </c>
      <c r="H13">
        <f t="shared" si="1"/>
        <v>8</v>
      </c>
      <c r="I13">
        <f t="shared" si="2"/>
        <v>8</v>
      </c>
    </row>
    <row r="14" spans="1:9" ht="15" customHeight="1" x14ac:dyDescent="0.25">
      <c r="A14">
        <v>9</v>
      </c>
      <c r="B14" t="str">
        <f>Roster!B11</f>
        <v>Daddy Michael</v>
      </c>
      <c r="C14" s="3">
        <f>SUMPRODUCT(('Picks Detail'!N6:N21&lt;&gt;"")*('Picks Detail'!E6:E21&lt;&gt;"")*('Picks Detail'!N6:N21='Picks Detail'!E6:E21))</f>
        <v>8</v>
      </c>
      <c r="D14">
        <v>3</v>
      </c>
      <c r="E14">
        <f>IFERROR(INDEX(C$6:C$17,MATCH(3,A$6:A$17,0)),0)</f>
        <v>8</v>
      </c>
      <c r="F14" t="str">
        <f>IF(C14=0,"-",IF(C14&gt;E14,"W",IF(C14&lt;E14,"L",IF(AND('Picks Detail'!E22&lt;&gt;"",INDEX('Picks Detail'!F22:Q22,1,A14)&lt;&gt;"",INDEX('Picks Detail'!F22:Q22,1,D14)&lt;&gt;""),IF(ABS(INDEX('Picks Detail'!F22:Q22,1,A14)-'Picks Detail'!E22)&lt;ABS(INDEX('Picks Detail'!F22:Q22,1,D14)-'Picks Detail'!E22),"W",IF(ABS(INDEX('Picks Detail'!F22:Q22,1,A14)-'Picks Detail'!E22)&gt;ABS(INDEX('Picks Detail'!F22:Q22,1,D14)-'Picks Detail'!E22),"L","T")),"T"))))</f>
        <v>L</v>
      </c>
      <c r="G14">
        <f t="shared" si="0"/>
        <v>0</v>
      </c>
      <c r="H14">
        <f t="shared" si="1"/>
        <v>8</v>
      </c>
      <c r="I14">
        <f t="shared" si="2"/>
        <v>8</v>
      </c>
    </row>
    <row r="15" spans="1:9" ht="15" customHeight="1" x14ac:dyDescent="0.25">
      <c r="A15">
        <v>10</v>
      </c>
      <c r="B15" t="str">
        <f>Roster!B12</f>
        <v>Zach Zarra</v>
      </c>
      <c r="C15" s="3">
        <f>SUMPRODUCT(('Picks Detail'!O6:O21&lt;&gt;"")*('Picks Detail'!E6:E21&lt;&gt;"")*('Picks Detail'!O6:O21='Picks Detail'!E6:E21))</f>
        <v>11</v>
      </c>
      <c r="D15">
        <v>4</v>
      </c>
      <c r="E15">
        <f>IFERROR(INDEX(C$6:C$17,MATCH(4,A$6:A$17,0)),0)</f>
        <v>6</v>
      </c>
      <c r="F15" t="str">
        <f>IF(C15=0,"-",IF(C15&gt;E15,"W",IF(C15&lt;E15,"L",IF(AND('Picks Detail'!E22&lt;&gt;"",INDEX('Picks Detail'!F22:Q22,1,A15)&lt;&gt;"",INDEX('Picks Detail'!F22:Q22,1,D15)&lt;&gt;""),IF(ABS(INDEX('Picks Detail'!F22:Q22,1,A15)-'Picks Detail'!E22)&lt;ABS(INDEX('Picks Detail'!F22:Q22,1,D15)-'Picks Detail'!E22),"W",IF(ABS(INDEX('Picks Detail'!F22:Q22,1,A15)-'Picks Detail'!E22)&gt;ABS(INDEX('Picks Detail'!F22:Q22,1,D15)-'Picks Detail'!E22),"L","T")),"T"))))</f>
        <v>W</v>
      </c>
      <c r="G15">
        <f t="shared" si="0"/>
        <v>6</v>
      </c>
      <c r="H15">
        <f t="shared" si="1"/>
        <v>11</v>
      </c>
      <c r="I15">
        <f t="shared" si="2"/>
        <v>17</v>
      </c>
    </row>
    <row r="16" spans="1:9" ht="15" customHeight="1" x14ac:dyDescent="0.25">
      <c r="A16">
        <v>11</v>
      </c>
      <c r="B16" t="str">
        <f>Roster!B13</f>
        <v>Jeffrey Loeser</v>
      </c>
      <c r="C16" s="3">
        <f>SUMPRODUCT(('Picks Detail'!P6:P21&lt;&gt;"")*('Picks Detail'!E6:E21&lt;&gt;"")*('Picks Detail'!P6:P21='Picks Detail'!E6:E21))</f>
        <v>10</v>
      </c>
      <c r="D16">
        <v>7</v>
      </c>
      <c r="E16">
        <f>IFERROR(INDEX(C$6:C$17,MATCH(7,A$6:A$17,0)),0)</f>
        <v>7</v>
      </c>
      <c r="F16" t="str">
        <f>IF(C16=0,"-",IF(C16&gt;E16,"W",IF(C16&lt;E16,"L",IF(AND('Picks Detail'!E22&lt;&gt;"",INDEX('Picks Detail'!F22:Q22,1,A16)&lt;&gt;"",INDEX('Picks Detail'!F22:Q22,1,D16)&lt;&gt;""),IF(ABS(INDEX('Picks Detail'!F22:Q22,1,A16)-'Picks Detail'!E22)&lt;ABS(INDEX('Picks Detail'!F22:Q22,1,D16)-'Picks Detail'!E22),"W",IF(ABS(INDEX('Picks Detail'!F22:Q22,1,A16)-'Picks Detail'!E22)&gt;ABS(INDEX('Picks Detail'!F22:Q22,1,D16)-'Picks Detail'!E22),"L","T")),"T"))))</f>
        <v>W</v>
      </c>
      <c r="G16">
        <f t="shared" si="0"/>
        <v>6</v>
      </c>
      <c r="H16">
        <f t="shared" si="1"/>
        <v>10</v>
      </c>
      <c r="I16">
        <f t="shared" si="2"/>
        <v>16</v>
      </c>
    </row>
    <row r="17" spans="1:9" ht="15" customHeight="1" x14ac:dyDescent="0.25">
      <c r="A17">
        <v>12</v>
      </c>
      <c r="B17" t="str">
        <f>Roster!B14</f>
        <v>Jake Andrews</v>
      </c>
      <c r="C17" s="3">
        <f>SUMPRODUCT(('Picks Detail'!Q6:Q21&lt;&gt;"")*('Picks Detail'!E6:E21&lt;&gt;"")*('Picks Detail'!Q6:Q21='Picks Detail'!E6:E21))</f>
        <v>9</v>
      </c>
      <c r="D17">
        <v>8</v>
      </c>
      <c r="E17">
        <f>IFERROR(INDEX(C$6:C$17,MATCH(8,A$6:A$17,0)),0)</f>
        <v>8</v>
      </c>
      <c r="F17" t="str">
        <f>IF(C17=0,"-",IF(C17&gt;E17,"W",IF(C17&lt;E17,"L",IF(AND('Picks Detail'!E22&lt;&gt;"",INDEX('Picks Detail'!F22:Q22,1,A17)&lt;&gt;"",INDEX('Picks Detail'!F22:Q22,1,D17)&lt;&gt;""),IF(ABS(INDEX('Picks Detail'!F22:Q22,1,A17)-'Picks Detail'!E22)&lt;ABS(INDEX('Picks Detail'!F22:Q22,1,D17)-'Picks Detail'!E22),"W",IF(ABS(INDEX('Picks Detail'!F22:Q22,1,A17)-'Picks Detail'!E22)&gt;ABS(INDEX('Picks Detail'!F22:Q22,1,D17)-'Picks Detail'!E22),"L","T")),"T"))))</f>
        <v>W</v>
      </c>
      <c r="G17">
        <f t="shared" si="0"/>
        <v>6</v>
      </c>
      <c r="H17">
        <f t="shared" si="1"/>
        <v>9</v>
      </c>
      <c r="I17">
        <f t="shared" si="2"/>
        <v>15</v>
      </c>
    </row>
    <row r="19" spans="1:9" ht="15" customHeight="1" x14ac:dyDescent="0.25">
      <c r="A19" s="18" t="s">
        <v>90</v>
      </c>
    </row>
    <row r="20" spans="1:9" ht="15" customHeight="1" x14ac:dyDescent="0.25">
      <c r="A20" s="2" t="s">
        <v>1</v>
      </c>
      <c r="B20" s="2" t="s">
        <v>2</v>
      </c>
      <c r="C20" s="2" t="s">
        <v>202</v>
      </c>
      <c r="D20" s="2" t="s">
        <v>203</v>
      </c>
      <c r="E20" s="2" t="s">
        <v>204</v>
      </c>
      <c r="F20" s="2" t="s">
        <v>205</v>
      </c>
      <c r="G20" s="2" t="s">
        <v>206</v>
      </c>
      <c r="H20" s="2" t="s">
        <v>207</v>
      </c>
      <c r="I20" s="2" t="s">
        <v>208</v>
      </c>
    </row>
    <row r="21" spans="1:9" ht="15" customHeight="1" x14ac:dyDescent="0.25">
      <c r="A21">
        <v>1</v>
      </c>
      <c r="B21" t="str">
        <f>Roster!B3</f>
        <v>Evan Loeser</v>
      </c>
      <c r="C21" s="3">
        <f>SUMPRODUCT(('Picks Detail'!F25:F40&lt;&gt;"")*('Picks Detail'!E25:E40&lt;&gt;"")*('Picks Detail'!F25:F40='Picks Detail'!E25:E40))</f>
        <v>8</v>
      </c>
      <c r="D21">
        <v>6</v>
      </c>
      <c r="E21">
        <f>IFERROR(INDEX(C$21:C$32,MATCH(6,A$21:A$32,0)),0)</f>
        <v>7</v>
      </c>
      <c r="F21" t="str">
        <f>IF(C21=0,"-",IF(C21&gt;E21,"W",IF(C21&lt;E21,"L",IF(AND('Picks Detail'!E41&lt;&gt;"",INDEX('Picks Detail'!F41:Q41,1,A21)&lt;&gt;"",INDEX('Picks Detail'!F41:Q41,1,D21)&lt;&gt;""),IF(ABS(INDEX('Picks Detail'!F41:Q41,1,A21)-'Picks Detail'!E41)&lt;ABS(INDEX('Picks Detail'!F41:Q41,1,D21)-'Picks Detail'!E41),"W",IF(ABS(INDEX('Picks Detail'!F41:Q41,1,A21)-'Picks Detail'!E41)&gt;ABS(INDEX('Picks Detail'!F41:Q41,1,D21)-'Picks Detail'!E41),"L","T")),"T"))))</f>
        <v>W</v>
      </c>
      <c r="G21">
        <f t="shared" ref="G21:G32" si="3">IF(F21="W",6,IF(F21="T",3,0))</f>
        <v>6</v>
      </c>
      <c r="H21">
        <f t="shared" ref="H21:H32" si="4">IF(C21="",0,C21)</f>
        <v>8</v>
      </c>
      <c r="I21">
        <f t="shared" ref="I21:I32" si="5">G21+H21</f>
        <v>14</v>
      </c>
    </row>
    <row r="22" spans="1:9" ht="15" customHeight="1" x14ac:dyDescent="0.25">
      <c r="A22">
        <v>2</v>
      </c>
      <c r="B22" t="str">
        <f>Roster!B4</f>
        <v>Chris Simmons</v>
      </c>
      <c r="C22" s="3">
        <f>SUMPRODUCT(('Picks Detail'!G25:G40&lt;&gt;"")*('Picks Detail'!E25:E40&lt;&gt;"")*('Picks Detail'!G25:G40='Picks Detail'!E25:E40))</f>
        <v>8</v>
      </c>
      <c r="D22">
        <v>5</v>
      </c>
      <c r="E22">
        <f>IFERROR(INDEX(C$21:C$32,MATCH(5,A$21:A$32,0)),0)</f>
        <v>6</v>
      </c>
      <c r="F22" t="str">
        <f>IF(C22=0,"-",IF(C22&gt;E22,"W",IF(C22&lt;E22,"L",IF(AND('Picks Detail'!E41&lt;&gt;"",INDEX('Picks Detail'!F41:Q41,1,A22)&lt;&gt;"",INDEX('Picks Detail'!F41:Q41,1,D22)&lt;&gt;""),IF(ABS(INDEX('Picks Detail'!F41:Q41,1,A22)-'Picks Detail'!E41)&lt;ABS(INDEX('Picks Detail'!F41:Q41,1,D22)-'Picks Detail'!E41),"W",IF(ABS(INDEX('Picks Detail'!F41:Q41,1,A22)-'Picks Detail'!E41)&gt;ABS(INDEX('Picks Detail'!F41:Q41,1,D22)-'Picks Detail'!E41),"L","T")),"T"))))</f>
        <v>W</v>
      </c>
      <c r="G22">
        <f t="shared" si="3"/>
        <v>6</v>
      </c>
      <c r="H22">
        <f t="shared" si="4"/>
        <v>8</v>
      </c>
      <c r="I22">
        <f t="shared" si="5"/>
        <v>14</v>
      </c>
    </row>
    <row r="23" spans="1:9" ht="15" customHeight="1" x14ac:dyDescent="0.25">
      <c r="A23">
        <v>3</v>
      </c>
      <c r="B23" t="str">
        <f>Roster!B5</f>
        <v>Jack Smith</v>
      </c>
      <c r="C23" s="3">
        <f>SUMPRODUCT(('Picks Detail'!H25:H40&lt;&gt;"")*('Picks Detail'!E25:E40&lt;&gt;"")*('Picks Detail'!H25:H40='Picks Detail'!E25:E40))</f>
        <v>6</v>
      </c>
      <c r="D23">
        <v>10</v>
      </c>
      <c r="E23">
        <f>IFERROR(INDEX(C$21:C$32,MATCH(10,A$21:A$32,0)),0)</f>
        <v>8</v>
      </c>
      <c r="F23" t="str">
        <f>IF(C23=0,"-",IF(C23&gt;E23,"W",IF(C23&lt;E23,"L",IF(AND('Picks Detail'!E41&lt;&gt;"",INDEX('Picks Detail'!F41:Q41,1,A23)&lt;&gt;"",INDEX('Picks Detail'!F41:Q41,1,D23)&lt;&gt;""),IF(ABS(INDEX('Picks Detail'!F41:Q41,1,A23)-'Picks Detail'!E41)&lt;ABS(INDEX('Picks Detail'!F41:Q41,1,D23)-'Picks Detail'!E41),"W",IF(ABS(INDEX('Picks Detail'!F41:Q41,1,A23)-'Picks Detail'!E41)&gt;ABS(INDEX('Picks Detail'!F41:Q41,1,D23)-'Picks Detail'!E41),"L","T")),"T"))))</f>
        <v>L</v>
      </c>
      <c r="G23">
        <f t="shared" si="3"/>
        <v>0</v>
      </c>
      <c r="H23">
        <f t="shared" si="4"/>
        <v>6</v>
      </c>
      <c r="I23">
        <f t="shared" si="5"/>
        <v>6</v>
      </c>
    </row>
    <row r="24" spans="1:9" ht="15" customHeight="1" x14ac:dyDescent="0.25">
      <c r="A24">
        <v>4</v>
      </c>
      <c r="B24" t="str">
        <f>Roster!B6</f>
        <v>Luke Ussery</v>
      </c>
      <c r="C24" s="3">
        <f>SUMPRODUCT(('Picks Detail'!I25:I40&lt;&gt;"")*('Picks Detail'!E25:E40&lt;&gt;"")*('Picks Detail'!I25:I40='Picks Detail'!E25:E40))</f>
        <v>8</v>
      </c>
      <c r="D24">
        <v>9</v>
      </c>
      <c r="E24">
        <f>IFERROR(INDEX(C$21:C$32,MATCH(9,A$21:A$32,0)),0)</f>
        <v>7</v>
      </c>
      <c r="F24" t="str">
        <f>IF(C24=0,"-",IF(C24&gt;E24,"W",IF(C24&lt;E24,"L",IF(AND('Picks Detail'!E41&lt;&gt;"",INDEX('Picks Detail'!F41:Q41,1,A24)&lt;&gt;"",INDEX('Picks Detail'!F41:Q41,1,D24)&lt;&gt;""),IF(ABS(INDEX('Picks Detail'!F41:Q41,1,A24)-'Picks Detail'!E41)&lt;ABS(INDEX('Picks Detail'!F41:Q41,1,D24)-'Picks Detail'!E41),"W",IF(ABS(INDEX('Picks Detail'!F41:Q41,1,A24)-'Picks Detail'!E41)&gt;ABS(INDEX('Picks Detail'!F41:Q41,1,D24)-'Picks Detail'!E41),"L","T")),"T"))))</f>
        <v>W</v>
      </c>
      <c r="G24">
        <f t="shared" si="3"/>
        <v>6</v>
      </c>
      <c r="H24">
        <f t="shared" si="4"/>
        <v>8</v>
      </c>
      <c r="I24">
        <f t="shared" si="5"/>
        <v>14</v>
      </c>
    </row>
    <row r="25" spans="1:9" ht="15" customHeight="1" x14ac:dyDescent="0.25">
      <c r="A25">
        <v>5</v>
      </c>
      <c r="B25" t="str">
        <f>Roster!B7</f>
        <v>Mikayla Simmons</v>
      </c>
      <c r="C25" s="3">
        <f>SUMPRODUCT(('Picks Detail'!J25:J40&lt;&gt;"")*('Picks Detail'!E25:E40&lt;&gt;"")*('Picks Detail'!J25:J40='Picks Detail'!E25:E40))</f>
        <v>6</v>
      </c>
      <c r="D25">
        <v>2</v>
      </c>
      <c r="E25">
        <f>IFERROR(INDEX(C$21:C$32,MATCH(2,A$21:A$32,0)),0)</f>
        <v>8</v>
      </c>
      <c r="F25" t="str">
        <f>IF(C25=0,"-",IF(C25&gt;E25,"W",IF(C25&lt;E25,"L",IF(AND('Picks Detail'!E41&lt;&gt;"",INDEX('Picks Detail'!F41:Q41,1,A25)&lt;&gt;"",INDEX('Picks Detail'!F41:Q41,1,D25)&lt;&gt;""),IF(ABS(INDEX('Picks Detail'!F41:Q41,1,A25)-'Picks Detail'!E41)&lt;ABS(INDEX('Picks Detail'!F41:Q41,1,D25)-'Picks Detail'!E41),"W",IF(ABS(INDEX('Picks Detail'!F41:Q41,1,A25)-'Picks Detail'!E41)&gt;ABS(INDEX('Picks Detail'!F41:Q41,1,D25)-'Picks Detail'!E41),"L","T")),"T"))))</f>
        <v>L</v>
      </c>
      <c r="G25">
        <f t="shared" si="3"/>
        <v>0</v>
      </c>
      <c r="H25">
        <f t="shared" si="4"/>
        <v>6</v>
      </c>
      <c r="I25">
        <f t="shared" si="5"/>
        <v>6</v>
      </c>
    </row>
    <row r="26" spans="1:9" ht="15" customHeight="1" x14ac:dyDescent="0.25">
      <c r="A26">
        <v>6</v>
      </c>
      <c r="B26" t="str">
        <f>Roster!B8</f>
        <v>Alan Loeser</v>
      </c>
      <c r="C26" s="3">
        <f>SUMPRODUCT(('Picks Detail'!K25:K40&lt;&gt;"")*('Picks Detail'!E25:E40&lt;&gt;"")*('Picks Detail'!K25:K40='Picks Detail'!E25:E40))</f>
        <v>7</v>
      </c>
      <c r="D26">
        <v>1</v>
      </c>
      <c r="E26">
        <f>IFERROR(INDEX(C$21:C$32,MATCH(1,A$21:A$32,0)),0)</f>
        <v>8</v>
      </c>
      <c r="F26" t="str">
        <f>IF(C26=0,"-",IF(C26&gt;E26,"W",IF(C26&lt;E26,"L",IF(AND('Picks Detail'!E41&lt;&gt;"",INDEX('Picks Detail'!F41:Q41,1,A26)&lt;&gt;"",INDEX('Picks Detail'!F41:Q41,1,D26)&lt;&gt;""),IF(ABS(INDEX('Picks Detail'!F41:Q41,1,A26)-'Picks Detail'!E41)&lt;ABS(INDEX('Picks Detail'!F41:Q41,1,D26)-'Picks Detail'!E41),"W",IF(ABS(INDEX('Picks Detail'!F41:Q41,1,A26)-'Picks Detail'!E41)&gt;ABS(INDEX('Picks Detail'!F41:Q41,1,D26)-'Picks Detail'!E41),"L","T")),"T"))))</f>
        <v>L</v>
      </c>
      <c r="G26">
        <f t="shared" si="3"/>
        <v>0</v>
      </c>
      <c r="H26">
        <f t="shared" si="4"/>
        <v>7</v>
      </c>
      <c r="I26">
        <f t="shared" si="5"/>
        <v>7</v>
      </c>
    </row>
    <row r="27" spans="1:9" ht="15" customHeight="1" x14ac:dyDescent="0.25">
      <c r="A27">
        <v>7</v>
      </c>
      <c r="B27" t="str">
        <f>Roster!B9</f>
        <v>Caleb Simmons</v>
      </c>
      <c r="C27" s="3">
        <f>SUMPRODUCT(('Picks Detail'!L25:L40&lt;&gt;"")*('Picks Detail'!E25:E40&lt;&gt;"")*('Picks Detail'!L25:L40='Picks Detail'!E25:E40))</f>
        <v>6</v>
      </c>
      <c r="D27">
        <v>12</v>
      </c>
      <c r="E27">
        <f>IFERROR(INDEX(C$21:C$32,MATCH(12,A$21:A$32,0)),0)</f>
        <v>4</v>
      </c>
      <c r="F27" t="str">
        <f>IF(C27=0,"-",IF(C27&gt;E27,"W",IF(C27&lt;E27,"L",IF(AND('Picks Detail'!E41&lt;&gt;"",INDEX('Picks Detail'!F41:Q41,1,A27)&lt;&gt;"",INDEX('Picks Detail'!F41:Q41,1,D27)&lt;&gt;""),IF(ABS(INDEX('Picks Detail'!F41:Q41,1,A27)-'Picks Detail'!E41)&lt;ABS(INDEX('Picks Detail'!F41:Q41,1,D27)-'Picks Detail'!E41),"W",IF(ABS(INDEX('Picks Detail'!F41:Q41,1,A27)-'Picks Detail'!E41)&gt;ABS(INDEX('Picks Detail'!F41:Q41,1,D27)-'Picks Detail'!E41),"L","T")),"T"))))</f>
        <v>W</v>
      </c>
      <c r="G27">
        <f t="shared" si="3"/>
        <v>6</v>
      </c>
      <c r="H27">
        <f t="shared" si="4"/>
        <v>6</v>
      </c>
      <c r="I27">
        <f t="shared" si="5"/>
        <v>12</v>
      </c>
    </row>
    <row r="28" spans="1:9" ht="15" customHeight="1" x14ac:dyDescent="0.25">
      <c r="A28">
        <v>8</v>
      </c>
      <c r="B28" t="str">
        <f>Roster!B10</f>
        <v>Larry Loeser</v>
      </c>
      <c r="C28" s="3">
        <f>SUMPRODUCT(('Picks Detail'!M25:M40&lt;&gt;"")*('Picks Detail'!E25:E40&lt;&gt;"")*('Picks Detail'!M25:M40='Picks Detail'!E25:E40))</f>
        <v>4</v>
      </c>
      <c r="D28">
        <v>11</v>
      </c>
      <c r="E28">
        <f>IFERROR(INDEX(C$21:C$32,MATCH(11,A$21:A$32,0)),0)</f>
        <v>6</v>
      </c>
      <c r="F28" t="str">
        <f>IF(C28=0,"-",IF(C28&gt;E28,"W",IF(C28&lt;E28,"L",IF(AND('Picks Detail'!E41&lt;&gt;"",INDEX('Picks Detail'!F41:Q41,1,A28)&lt;&gt;"",INDEX('Picks Detail'!F41:Q41,1,D28)&lt;&gt;""),IF(ABS(INDEX('Picks Detail'!F41:Q41,1,A28)-'Picks Detail'!E41)&lt;ABS(INDEX('Picks Detail'!F41:Q41,1,D28)-'Picks Detail'!E41),"W",IF(ABS(INDEX('Picks Detail'!F41:Q41,1,A28)-'Picks Detail'!E41)&gt;ABS(INDEX('Picks Detail'!F41:Q41,1,D28)-'Picks Detail'!E41),"L","T")),"T"))))</f>
        <v>L</v>
      </c>
      <c r="G28">
        <f t="shared" si="3"/>
        <v>0</v>
      </c>
      <c r="H28">
        <f t="shared" si="4"/>
        <v>4</v>
      </c>
      <c r="I28">
        <f t="shared" si="5"/>
        <v>4</v>
      </c>
    </row>
    <row r="29" spans="1:9" ht="15" customHeight="1" x14ac:dyDescent="0.25">
      <c r="A29">
        <v>9</v>
      </c>
      <c r="B29" t="str">
        <f>Roster!B11</f>
        <v>Daddy Michael</v>
      </c>
      <c r="C29" s="3">
        <f>SUMPRODUCT(('Picks Detail'!N25:N40&lt;&gt;"")*('Picks Detail'!E25:E40&lt;&gt;"")*('Picks Detail'!N25:N40='Picks Detail'!E25:E40))</f>
        <v>7</v>
      </c>
      <c r="D29">
        <v>4</v>
      </c>
      <c r="E29">
        <f>IFERROR(INDEX(C$21:C$32,MATCH(4,A$21:A$32,0)),0)</f>
        <v>8</v>
      </c>
      <c r="F29" t="str">
        <f>IF(C29=0,"-",IF(C29&gt;E29,"W",IF(C29&lt;E29,"L",IF(AND('Picks Detail'!E41&lt;&gt;"",INDEX('Picks Detail'!F41:Q41,1,A29)&lt;&gt;"",INDEX('Picks Detail'!F41:Q41,1,D29)&lt;&gt;""),IF(ABS(INDEX('Picks Detail'!F41:Q41,1,A29)-'Picks Detail'!E41)&lt;ABS(INDEX('Picks Detail'!F41:Q41,1,D29)-'Picks Detail'!E41),"W",IF(ABS(INDEX('Picks Detail'!F41:Q41,1,A29)-'Picks Detail'!E41)&gt;ABS(INDEX('Picks Detail'!F41:Q41,1,D29)-'Picks Detail'!E41),"L","T")),"T"))))</f>
        <v>L</v>
      </c>
      <c r="G29">
        <f t="shared" si="3"/>
        <v>0</v>
      </c>
      <c r="H29">
        <f t="shared" si="4"/>
        <v>7</v>
      </c>
      <c r="I29">
        <f t="shared" si="5"/>
        <v>7</v>
      </c>
    </row>
    <row r="30" spans="1:9" ht="15" customHeight="1" x14ac:dyDescent="0.25">
      <c r="A30">
        <v>10</v>
      </c>
      <c r="B30" t="str">
        <f>Roster!B12</f>
        <v>Zach Zarra</v>
      </c>
      <c r="C30" s="3">
        <f>SUMPRODUCT(('Picks Detail'!O25:O40&lt;&gt;"")*('Picks Detail'!E25:E40&lt;&gt;"")*('Picks Detail'!O25:O40='Picks Detail'!E25:E40))</f>
        <v>8</v>
      </c>
      <c r="D30">
        <v>3</v>
      </c>
      <c r="E30">
        <f>IFERROR(INDEX(C$21:C$32,MATCH(3,A$21:A$32,0)),0)</f>
        <v>6</v>
      </c>
      <c r="F30" t="str">
        <f>IF(C30=0,"-",IF(C30&gt;E30,"W",IF(C30&lt;E30,"L",IF(AND('Picks Detail'!E41&lt;&gt;"",INDEX('Picks Detail'!F41:Q41,1,A30)&lt;&gt;"",INDEX('Picks Detail'!F41:Q41,1,D30)&lt;&gt;""),IF(ABS(INDEX('Picks Detail'!F41:Q41,1,A30)-'Picks Detail'!E41)&lt;ABS(INDEX('Picks Detail'!F41:Q41,1,D30)-'Picks Detail'!E41),"W",IF(ABS(INDEX('Picks Detail'!F41:Q41,1,A30)-'Picks Detail'!E41)&gt;ABS(INDEX('Picks Detail'!F41:Q41,1,D30)-'Picks Detail'!E41),"L","T")),"T"))))</f>
        <v>W</v>
      </c>
      <c r="G30">
        <f t="shared" si="3"/>
        <v>6</v>
      </c>
      <c r="H30">
        <f t="shared" si="4"/>
        <v>8</v>
      </c>
      <c r="I30">
        <f t="shared" si="5"/>
        <v>14</v>
      </c>
    </row>
    <row r="31" spans="1:9" ht="15" customHeight="1" x14ac:dyDescent="0.25">
      <c r="A31">
        <v>11</v>
      </c>
      <c r="B31" t="str">
        <f>Roster!B13</f>
        <v>Jeffrey Loeser</v>
      </c>
      <c r="C31" s="3">
        <f>SUMPRODUCT(('Picks Detail'!P25:P40&lt;&gt;"")*('Picks Detail'!E25:E40&lt;&gt;"")*('Picks Detail'!P25:P40='Picks Detail'!E25:E40))</f>
        <v>6</v>
      </c>
      <c r="D31">
        <v>8</v>
      </c>
      <c r="E31">
        <f>IFERROR(INDEX(C$21:C$32,MATCH(8,A$21:A$32,0)),0)</f>
        <v>4</v>
      </c>
      <c r="F31" t="str">
        <f>IF(C31=0,"-",IF(C31&gt;E31,"W",IF(C31&lt;E31,"L",IF(AND('Picks Detail'!E41&lt;&gt;"",INDEX('Picks Detail'!F41:Q41,1,A31)&lt;&gt;"",INDEX('Picks Detail'!F41:Q41,1,D31)&lt;&gt;""),IF(ABS(INDEX('Picks Detail'!F41:Q41,1,A31)-'Picks Detail'!E41)&lt;ABS(INDEX('Picks Detail'!F41:Q41,1,D31)-'Picks Detail'!E41),"W",IF(ABS(INDEX('Picks Detail'!F41:Q41,1,A31)-'Picks Detail'!E41)&gt;ABS(INDEX('Picks Detail'!F41:Q41,1,D31)-'Picks Detail'!E41),"L","T")),"T"))))</f>
        <v>W</v>
      </c>
      <c r="G31">
        <f t="shared" si="3"/>
        <v>6</v>
      </c>
      <c r="H31">
        <f t="shared" si="4"/>
        <v>6</v>
      </c>
      <c r="I31">
        <f t="shared" si="5"/>
        <v>12</v>
      </c>
    </row>
    <row r="32" spans="1:9" ht="15" customHeight="1" x14ac:dyDescent="0.25">
      <c r="A32">
        <v>12</v>
      </c>
      <c r="B32" t="str">
        <f>Roster!B14</f>
        <v>Jake Andrews</v>
      </c>
      <c r="C32" s="3">
        <f>SUMPRODUCT(('Picks Detail'!Q25:Q40&lt;&gt;"")*('Picks Detail'!E25:E40&lt;&gt;"")*('Picks Detail'!Q25:Q40='Picks Detail'!E25:E40))</f>
        <v>4</v>
      </c>
      <c r="D32">
        <v>7</v>
      </c>
      <c r="E32">
        <f>IFERROR(INDEX(C$21:C$32,MATCH(7,A$21:A$32,0)),0)</f>
        <v>6</v>
      </c>
      <c r="F32" t="str">
        <f>IF(C32=0,"-",IF(C32&gt;E32,"W",IF(C32&lt;E32,"L",IF(AND('Picks Detail'!E41&lt;&gt;"",INDEX('Picks Detail'!F41:Q41,1,A32)&lt;&gt;"",INDEX('Picks Detail'!F41:Q41,1,D32)&lt;&gt;""),IF(ABS(INDEX('Picks Detail'!F41:Q41,1,A32)-'Picks Detail'!E41)&lt;ABS(INDEX('Picks Detail'!F41:Q41,1,D32)-'Picks Detail'!E41),"W",IF(ABS(INDEX('Picks Detail'!F41:Q41,1,A32)-'Picks Detail'!E41)&gt;ABS(INDEX('Picks Detail'!F41:Q41,1,D32)-'Picks Detail'!E41),"L","T")),"T"))))</f>
        <v>L</v>
      </c>
      <c r="G32">
        <f t="shared" si="3"/>
        <v>0</v>
      </c>
      <c r="H32">
        <f t="shared" si="4"/>
        <v>4</v>
      </c>
      <c r="I32">
        <f t="shared" si="5"/>
        <v>4</v>
      </c>
    </row>
    <row r="34" spans="1:9" ht="15" customHeight="1" x14ac:dyDescent="0.25">
      <c r="A34" s="18" t="s">
        <v>91</v>
      </c>
    </row>
    <row r="35" spans="1:9" ht="15" customHeight="1" x14ac:dyDescent="0.25">
      <c r="A35" s="2" t="s">
        <v>1</v>
      </c>
      <c r="B35" s="2" t="s">
        <v>2</v>
      </c>
      <c r="C35" s="2" t="s">
        <v>202</v>
      </c>
      <c r="D35" s="2" t="s">
        <v>203</v>
      </c>
      <c r="E35" s="2" t="s">
        <v>204</v>
      </c>
      <c r="F35" s="2" t="s">
        <v>205</v>
      </c>
      <c r="G35" s="2" t="s">
        <v>206</v>
      </c>
      <c r="H35" s="2" t="s">
        <v>207</v>
      </c>
      <c r="I35" s="2" t="s">
        <v>208</v>
      </c>
    </row>
    <row r="36" spans="1:9" ht="15" customHeight="1" x14ac:dyDescent="0.25">
      <c r="A36">
        <v>1</v>
      </c>
      <c r="B36" t="str">
        <f>Roster!B3</f>
        <v>Evan Loeser</v>
      </c>
      <c r="C36" s="3">
        <f>SUMPRODUCT(('Picks Detail'!F44:F59&lt;&gt;"")*('Picks Detail'!E44:E59&lt;&gt;"")*('Picks Detail'!F44:F59='Picks Detail'!E44:E59))</f>
        <v>12</v>
      </c>
      <c r="D36">
        <v>7</v>
      </c>
      <c r="E36">
        <f>IFERROR(INDEX(C$36:C$47,MATCH(7,A$36:A$47,0)),0)</f>
        <v>8</v>
      </c>
      <c r="F36" t="str">
        <f>IF(C36=0,"-",IF(C36&gt;E36,"W",IF(C36&lt;E36,"L",IF(AND('Picks Detail'!E60&lt;&gt;"",INDEX('Picks Detail'!F60:Q60,1,A36)&lt;&gt;"",INDEX('Picks Detail'!F60:Q60,1,D36)&lt;&gt;""),IF(ABS(INDEX('Picks Detail'!F60:Q60,1,A36)-'Picks Detail'!E60)&lt;ABS(INDEX('Picks Detail'!F60:Q60,1,D36)-'Picks Detail'!E60),"W",IF(ABS(INDEX('Picks Detail'!F60:Q60,1,A36)-'Picks Detail'!E60)&gt;ABS(INDEX('Picks Detail'!F60:Q60,1,D36)-'Picks Detail'!E60),"L","T")),"T"))))</f>
        <v>W</v>
      </c>
      <c r="G36">
        <f t="shared" ref="G36:G47" si="6">IF(F36="W",6,IF(F36="T",3,0))</f>
        <v>6</v>
      </c>
      <c r="H36">
        <f t="shared" ref="H36:H47" si="7">IF(C36="",0,C36)</f>
        <v>12</v>
      </c>
      <c r="I36">
        <f t="shared" ref="I36:I47" si="8">G36+H36</f>
        <v>18</v>
      </c>
    </row>
    <row r="37" spans="1:9" ht="15" customHeight="1" x14ac:dyDescent="0.25">
      <c r="A37">
        <v>2</v>
      </c>
      <c r="B37" t="str">
        <f>Roster!B4</f>
        <v>Chris Simmons</v>
      </c>
      <c r="C37" s="3">
        <f>SUMPRODUCT(('Picks Detail'!G44:G59&lt;&gt;"")*('Picks Detail'!E44:E59&lt;&gt;"")*('Picks Detail'!G44:G59='Picks Detail'!E44:E59))</f>
        <v>8</v>
      </c>
      <c r="D37">
        <v>8</v>
      </c>
      <c r="E37">
        <f>IFERROR(INDEX(C$36:C$47,MATCH(8,A$36:A$47,0)),0)</f>
        <v>7</v>
      </c>
      <c r="F37" t="str">
        <f>IF(C37=0,"-",IF(C37&gt;E37,"W",IF(C37&lt;E37,"L",IF(AND('Picks Detail'!E60&lt;&gt;"",INDEX('Picks Detail'!F60:Q60,1,A37)&lt;&gt;"",INDEX('Picks Detail'!F60:Q60,1,D37)&lt;&gt;""),IF(ABS(INDEX('Picks Detail'!F60:Q60,1,A37)-'Picks Detail'!E60)&lt;ABS(INDEX('Picks Detail'!F60:Q60,1,D37)-'Picks Detail'!E60),"W",IF(ABS(INDEX('Picks Detail'!F60:Q60,1,A37)-'Picks Detail'!E60)&gt;ABS(INDEX('Picks Detail'!F60:Q60,1,D37)-'Picks Detail'!E60),"L","T")),"T"))))</f>
        <v>W</v>
      </c>
      <c r="G37">
        <f t="shared" si="6"/>
        <v>6</v>
      </c>
      <c r="H37">
        <f t="shared" si="7"/>
        <v>8</v>
      </c>
      <c r="I37">
        <f t="shared" si="8"/>
        <v>14</v>
      </c>
    </row>
    <row r="38" spans="1:9" ht="15" customHeight="1" x14ac:dyDescent="0.25">
      <c r="A38">
        <v>3</v>
      </c>
      <c r="B38" t="str">
        <f>Roster!B5</f>
        <v>Jack Smith</v>
      </c>
      <c r="C38" s="3">
        <f>SUMPRODUCT(('Picks Detail'!H44:H59&lt;&gt;"")*('Picks Detail'!E44:E59&lt;&gt;"")*('Picks Detail'!H44:H59='Picks Detail'!E44:E59))</f>
        <v>8</v>
      </c>
      <c r="D38">
        <v>11</v>
      </c>
      <c r="E38">
        <f>IFERROR(INDEX(C$36:C$47,MATCH(11,A$36:A$47,0)),0)</f>
        <v>8</v>
      </c>
      <c r="F38" t="str">
        <f>IF(C38=0,"-",IF(C38&gt;E38,"W",IF(C38&lt;E38,"L",IF(AND('Picks Detail'!E60&lt;&gt;"",INDEX('Picks Detail'!F60:Q60,1,A38)&lt;&gt;"",INDEX('Picks Detail'!F60:Q60,1,D38)&lt;&gt;""),IF(ABS(INDEX('Picks Detail'!F60:Q60,1,A38)-'Picks Detail'!E60)&lt;ABS(INDEX('Picks Detail'!F60:Q60,1,D38)-'Picks Detail'!E60),"W",IF(ABS(INDEX('Picks Detail'!F60:Q60,1,A38)-'Picks Detail'!E60)&gt;ABS(INDEX('Picks Detail'!F60:Q60,1,D38)-'Picks Detail'!E60),"L","T")),"T"))))</f>
        <v>W</v>
      </c>
      <c r="G38">
        <f t="shared" si="6"/>
        <v>6</v>
      </c>
      <c r="H38">
        <f t="shared" si="7"/>
        <v>8</v>
      </c>
      <c r="I38">
        <f t="shared" si="8"/>
        <v>14</v>
      </c>
    </row>
    <row r="39" spans="1:9" ht="15" customHeight="1" x14ac:dyDescent="0.25">
      <c r="A39">
        <v>4</v>
      </c>
      <c r="B39" t="str">
        <f>Roster!B6</f>
        <v>Luke Ussery</v>
      </c>
      <c r="C39" s="3">
        <f>SUMPRODUCT(('Picks Detail'!I44:I59&lt;&gt;"")*('Picks Detail'!E44:E59&lt;&gt;"")*('Picks Detail'!I44:I59='Picks Detail'!E44:E59))</f>
        <v>0</v>
      </c>
      <c r="D39">
        <v>12</v>
      </c>
      <c r="E39">
        <f>IFERROR(INDEX(C$36:C$47,MATCH(12,A$36:A$47,0)),0)</f>
        <v>6</v>
      </c>
      <c r="F39" t="str">
        <f>IF(C39=0,"-",IF(C39&gt;E39,"W",IF(C39&lt;E39,"L",IF(AND('Picks Detail'!E60&lt;&gt;"",INDEX('Picks Detail'!F60:Q60,1,A39)&lt;&gt;"",INDEX('Picks Detail'!F60:Q60,1,D39)&lt;&gt;""),IF(ABS(INDEX('Picks Detail'!F60:Q60,1,A39)-'Picks Detail'!E60)&lt;ABS(INDEX('Picks Detail'!F60:Q60,1,D39)-'Picks Detail'!E60),"W",IF(ABS(INDEX('Picks Detail'!F60:Q60,1,A39)-'Picks Detail'!E60)&gt;ABS(INDEX('Picks Detail'!F60:Q60,1,D39)-'Picks Detail'!E60),"L","T")),"T"))))</f>
        <v>-</v>
      </c>
      <c r="G39">
        <f t="shared" si="6"/>
        <v>0</v>
      </c>
      <c r="H39">
        <f t="shared" si="7"/>
        <v>0</v>
      </c>
      <c r="I39">
        <f t="shared" si="8"/>
        <v>0</v>
      </c>
    </row>
    <row r="40" spans="1:9" ht="15" customHeight="1" x14ac:dyDescent="0.25">
      <c r="A40">
        <v>5</v>
      </c>
      <c r="B40" t="str">
        <f>Roster!B7</f>
        <v>Mikayla Simmons</v>
      </c>
      <c r="C40" s="3">
        <f>SUMPRODUCT(('Picks Detail'!J44:J59&lt;&gt;"")*('Picks Detail'!E44:E59&lt;&gt;"")*('Picks Detail'!J44:J59='Picks Detail'!E44:E59))</f>
        <v>9</v>
      </c>
      <c r="D40">
        <v>9</v>
      </c>
      <c r="E40">
        <f>IFERROR(INDEX(C$36:C$47,MATCH(9,A$36:A$47,0)),0)</f>
        <v>8</v>
      </c>
      <c r="F40" t="str">
        <f>IF(C40=0,"-",IF(C40&gt;E40,"W",IF(C40&lt;E40,"L",IF(AND('Picks Detail'!E60&lt;&gt;"",INDEX('Picks Detail'!F60:Q60,1,A40)&lt;&gt;"",INDEX('Picks Detail'!F60:Q60,1,D40)&lt;&gt;""),IF(ABS(INDEX('Picks Detail'!F60:Q60,1,A40)-'Picks Detail'!E60)&lt;ABS(INDEX('Picks Detail'!F60:Q60,1,D40)-'Picks Detail'!E60),"W",IF(ABS(INDEX('Picks Detail'!F60:Q60,1,A40)-'Picks Detail'!E60)&gt;ABS(INDEX('Picks Detail'!F60:Q60,1,D40)-'Picks Detail'!E60),"L","T")),"T"))))</f>
        <v>W</v>
      </c>
      <c r="G40">
        <f t="shared" si="6"/>
        <v>6</v>
      </c>
      <c r="H40">
        <f t="shared" si="7"/>
        <v>9</v>
      </c>
      <c r="I40">
        <f t="shared" si="8"/>
        <v>15</v>
      </c>
    </row>
    <row r="41" spans="1:9" ht="15" customHeight="1" x14ac:dyDescent="0.25">
      <c r="A41">
        <v>6</v>
      </c>
      <c r="B41" t="str">
        <f>Roster!B8</f>
        <v>Alan Loeser</v>
      </c>
      <c r="C41" s="3">
        <f>SUMPRODUCT(('Picks Detail'!K44:K59&lt;&gt;"")*('Picks Detail'!E44:E59&lt;&gt;"")*('Picks Detail'!K44:K59='Picks Detail'!E44:E59))</f>
        <v>7</v>
      </c>
      <c r="D41">
        <v>10</v>
      </c>
      <c r="E41">
        <f>IFERROR(INDEX(C$36:C$47,MATCH(10,A$36:A$47,0)),0)</f>
        <v>5</v>
      </c>
      <c r="F41" t="str">
        <f>IF(C41=0,"-",IF(C41&gt;E41,"W",IF(C41&lt;E41,"L",IF(AND('Picks Detail'!E60&lt;&gt;"",INDEX('Picks Detail'!F60:Q60,1,A41)&lt;&gt;"",INDEX('Picks Detail'!F60:Q60,1,D41)&lt;&gt;""),IF(ABS(INDEX('Picks Detail'!F60:Q60,1,A41)-'Picks Detail'!E60)&lt;ABS(INDEX('Picks Detail'!F60:Q60,1,D41)-'Picks Detail'!E60),"W",IF(ABS(INDEX('Picks Detail'!F60:Q60,1,A41)-'Picks Detail'!E60)&gt;ABS(INDEX('Picks Detail'!F60:Q60,1,D41)-'Picks Detail'!E60),"L","T")),"T"))))</f>
        <v>W</v>
      </c>
      <c r="G41">
        <f t="shared" si="6"/>
        <v>6</v>
      </c>
      <c r="H41">
        <f t="shared" si="7"/>
        <v>7</v>
      </c>
      <c r="I41">
        <f t="shared" si="8"/>
        <v>13</v>
      </c>
    </row>
    <row r="42" spans="1:9" ht="15" customHeight="1" x14ac:dyDescent="0.25">
      <c r="A42">
        <v>7</v>
      </c>
      <c r="B42" t="str">
        <f>Roster!B9</f>
        <v>Caleb Simmons</v>
      </c>
      <c r="C42" s="3">
        <f>SUMPRODUCT(('Picks Detail'!L44:L59&lt;&gt;"")*('Picks Detail'!E44:E59&lt;&gt;"")*('Picks Detail'!L44:L59='Picks Detail'!E44:E59))</f>
        <v>8</v>
      </c>
      <c r="D42">
        <v>1</v>
      </c>
      <c r="E42">
        <f>IFERROR(INDEX(C$36:C$47,MATCH(1,A$36:A$47,0)),0)</f>
        <v>12</v>
      </c>
      <c r="F42" t="str">
        <f>IF(C42=0,"-",IF(C42&gt;E42,"W",IF(C42&lt;E42,"L",IF(AND('Picks Detail'!E60&lt;&gt;"",INDEX('Picks Detail'!F60:Q60,1,A42)&lt;&gt;"",INDEX('Picks Detail'!F60:Q60,1,D42)&lt;&gt;""),IF(ABS(INDEX('Picks Detail'!F60:Q60,1,A42)-'Picks Detail'!E60)&lt;ABS(INDEX('Picks Detail'!F60:Q60,1,D42)-'Picks Detail'!E60),"W",IF(ABS(INDEX('Picks Detail'!F60:Q60,1,A42)-'Picks Detail'!E60)&gt;ABS(INDEX('Picks Detail'!F60:Q60,1,D42)-'Picks Detail'!E60),"L","T")),"T"))))</f>
        <v>L</v>
      </c>
      <c r="G42">
        <f t="shared" si="6"/>
        <v>0</v>
      </c>
      <c r="H42">
        <f t="shared" si="7"/>
        <v>8</v>
      </c>
      <c r="I42">
        <f t="shared" si="8"/>
        <v>8</v>
      </c>
    </row>
    <row r="43" spans="1:9" ht="15" customHeight="1" x14ac:dyDescent="0.25">
      <c r="A43">
        <v>8</v>
      </c>
      <c r="B43" t="str">
        <f>Roster!B10</f>
        <v>Larry Loeser</v>
      </c>
      <c r="C43" s="3">
        <f>SUMPRODUCT(('Picks Detail'!M44:M59&lt;&gt;"")*('Picks Detail'!E44:E59&lt;&gt;"")*('Picks Detail'!M44:M59='Picks Detail'!E44:E59))</f>
        <v>7</v>
      </c>
      <c r="D43">
        <v>2</v>
      </c>
      <c r="E43">
        <f>IFERROR(INDEX(C$36:C$47,MATCH(2,A$36:A$47,0)),0)</f>
        <v>8</v>
      </c>
      <c r="F43" t="str">
        <f>IF(C43=0,"-",IF(C43&gt;E43,"W",IF(C43&lt;E43,"L",IF(AND('Picks Detail'!E60&lt;&gt;"",INDEX('Picks Detail'!F60:Q60,1,A43)&lt;&gt;"",INDEX('Picks Detail'!F60:Q60,1,D43)&lt;&gt;""),IF(ABS(INDEX('Picks Detail'!F60:Q60,1,A43)-'Picks Detail'!E60)&lt;ABS(INDEX('Picks Detail'!F60:Q60,1,D43)-'Picks Detail'!E60),"W",IF(ABS(INDEX('Picks Detail'!F60:Q60,1,A43)-'Picks Detail'!E60)&gt;ABS(INDEX('Picks Detail'!F60:Q60,1,D43)-'Picks Detail'!E60),"L","T")),"T"))))</f>
        <v>L</v>
      </c>
      <c r="G43">
        <f t="shared" si="6"/>
        <v>0</v>
      </c>
      <c r="H43">
        <f t="shared" si="7"/>
        <v>7</v>
      </c>
      <c r="I43">
        <f t="shared" si="8"/>
        <v>7</v>
      </c>
    </row>
    <row r="44" spans="1:9" ht="15" customHeight="1" x14ac:dyDescent="0.25">
      <c r="A44">
        <v>9</v>
      </c>
      <c r="B44" t="str">
        <f>Roster!B11</f>
        <v>Daddy Michael</v>
      </c>
      <c r="C44" s="3">
        <f>SUMPRODUCT(('Picks Detail'!N44:N59&lt;&gt;"")*('Picks Detail'!E44:E59&lt;&gt;"")*('Picks Detail'!N44:N59='Picks Detail'!E44:E59))</f>
        <v>8</v>
      </c>
      <c r="D44">
        <v>5</v>
      </c>
      <c r="E44">
        <f>IFERROR(INDEX(C$36:C$47,MATCH(5,A$36:A$47,0)),0)</f>
        <v>9</v>
      </c>
      <c r="F44" t="str">
        <f>IF(C44=0,"-",IF(C44&gt;E44,"W",IF(C44&lt;E44,"L",IF(AND('Picks Detail'!E60&lt;&gt;"",INDEX('Picks Detail'!F60:Q60,1,A44)&lt;&gt;"",INDEX('Picks Detail'!F60:Q60,1,D44)&lt;&gt;""),IF(ABS(INDEX('Picks Detail'!F60:Q60,1,A44)-'Picks Detail'!E60)&lt;ABS(INDEX('Picks Detail'!F60:Q60,1,D44)-'Picks Detail'!E60),"W",IF(ABS(INDEX('Picks Detail'!F60:Q60,1,A44)-'Picks Detail'!E60)&gt;ABS(INDEX('Picks Detail'!F60:Q60,1,D44)-'Picks Detail'!E60),"L","T")),"T"))))</f>
        <v>L</v>
      </c>
      <c r="G44">
        <f t="shared" si="6"/>
        <v>0</v>
      </c>
      <c r="H44">
        <f t="shared" si="7"/>
        <v>8</v>
      </c>
      <c r="I44">
        <f t="shared" si="8"/>
        <v>8</v>
      </c>
    </row>
    <row r="45" spans="1:9" ht="15" customHeight="1" x14ac:dyDescent="0.25">
      <c r="A45">
        <v>10</v>
      </c>
      <c r="B45" t="str">
        <f>Roster!B12</f>
        <v>Zach Zarra</v>
      </c>
      <c r="C45" s="3">
        <f>SUMPRODUCT(('Picks Detail'!O44:O59&lt;&gt;"")*('Picks Detail'!E44:E59&lt;&gt;"")*('Picks Detail'!O44:O59='Picks Detail'!E44:E59))</f>
        <v>5</v>
      </c>
      <c r="D45">
        <v>6</v>
      </c>
      <c r="E45">
        <f>IFERROR(INDEX(C$36:C$47,MATCH(6,A$36:A$47,0)),0)</f>
        <v>7</v>
      </c>
      <c r="F45" t="str">
        <f>IF(C45=0,"-",IF(C45&gt;E45,"W",IF(C45&lt;E45,"L",IF(AND('Picks Detail'!E60&lt;&gt;"",INDEX('Picks Detail'!F60:Q60,1,A45)&lt;&gt;"",INDEX('Picks Detail'!F60:Q60,1,D45)&lt;&gt;""),IF(ABS(INDEX('Picks Detail'!F60:Q60,1,A45)-'Picks Detail'!E60)&lt;ABS(INDEX('Picks Detail'!F60:Q60,1,D45)-'Picks Detail'!E60),"W",IF(ABS(INDEX('Picks Detail'!F60:Q60,1,A45)-'Picks Detail'!E60)&gt;ABS(INDEX('Picks Detail'!F60:Q60,1,D45)-'Picks Detail'!E60),"L","T")),"T"))))</f>
        <v>L</v>
      </c>
      <c r="G45">
        <f t="shared" si="6"/>
        <v>0</v>
      </c>
      <c r="H45">
        <f t="shared" si="7"/>
        <v>5</v>
      </c>
      <c r="I45">
        <f t="shared" si="8"/>
        <v>5</v>
      </c>
    </row>
    <row r="46" spans="1:9" ht="15" customHeight="1" x14ac:dyDescent="0.25">
      <c r="A46">
        <v>11</v>
      </c>
      <c r="B46" t="str">
        <f>Roster!B13</f>
        <v>Jeffrey Loeser</v>
      </c>
      <c r="C46" s="3">
        <f>SUMPRODUCT(('Picks Detail'!P44:P59&lt;&gt;"")*('Picks Detail'!E44:E59&lt;&gt;"")*('Picks Detail'!P44:P59='Picks Detail'!E44:E59))</f>
        <v>8</v>
      </c>
      <c r="D46">
        <v>3</v>
      </c>
      <c r="E46">
        <f>IFERROR(INDEX(C$36:C$47,MATCH(3,A$36:A$47,0)),0)</f>
        <v>8</v>
      </c>
      <c r="F46" t="str">
        <f>IF(C46=0,"-",IF(C46&gt;E46,"W",IF(C46&lt;E46,"L",IF(AND('Picks Detail'!E60&lt;&gt;"",INDEX('Picks Detail'!F60:Q60,1,A46)&lt;&gt;"",INDEX('Picks Detail'!F60:Q60,1,D46)&lt;&gt;""),IF(ABS(INDEX('Picks Detail'!F60:Q60,1,A46)-'Picks Detail'!E60)&lt;ABS(INDEX('Picks Detail'!F60:Q60,1,D46)-'Picks Detail'!E60),"W",IF(ABS(INDEX('Picks Detail'!F60:Q60,1,A46)-'Picks Detail'!E60)&gt;ABS(INDEX('Picks Detail'!F60:Q60,1,D46)-'Picks Detail'!E60),"L","T")),"T"))))</f>
        <v>L</v>
      </c>
      <c r="G46">
        <f t="shared" si="6"/>
        <v>0</v>
      </c>
      <c r="H46">
        <f t="shared" si="7"/>
        <v>8</v>
      </c>
      <c r="I46">
        <f t="shared" si="8"/>
        <v>8</v>
      </c>
    </row>
    <row r="47" spans="1:9" ht="15" customHeight="1" x14ac:dyDescent="0.25">
      <c r="A47">
        <v>12</v>
      </c>
      <c r="B47" t="str">
        <f>Roster!B14</f>
        <v>Jake Andrews</v>
      </c>
      <c r="C47" s="3">
        <f>SUMPRODUCT(('Picks Detail'!Q44:Q59&lt;&gt;"")*('Picks Detail'!E44:E59&lt;&gt;"")*('Picks Detail'!Q44:Q59='Picks Detail'!E44:E59))</f>
        <v>6</v>
      </c>
      <c r="D47">
        <v>4</v>
      </c>
      <c r="E47">
        <f>IFERROR(INDEX(C$36:C$47,MATCH(4,A$36:A$47,0)),0)</f>
        <v>0</v>
      </c>
      <c r="F47" t="str">
        <f>IF(C47=0,"-",IF(C47&gt;E47,"W",IF(C47&lt;E47,"L",IF(AND('Picks Detail'!E60&lt;&gt;"",INDEX('Picks Detail'!F60:Q60,1,A47)&lt;&gt;"",INDEX('Picks Detail'!F60:Q60,1,D47)&lt;&gt;""),IF(ABS(INDEX('Picks Detail'!F60:Q60,1,A47)-'Picks Detail'!E60)&lt;ABS(INDEX('Picks Detail'!F60:Q60,1,D47)-'Picks Detail'!E60),"W",IF(ABS(INDEX('Picks Detail'!F60:Q60,1,A47)-'Picks Detail'!E60)&gt;ABS(INDEX('Picks Detail'!F60:Q60,1,D47)-'Picks Detail'!E60),"L","T")),"T"))))</f>
        <v>W</v>
      </c>
      <c r="G47">
        <f t="shared" si="6"/>
        <v>6</v>
      </c>
      <c r="H47">
        <f t="shared" si="7"/>
        <v>6</v>
      </c>
      <c r="I47">
        <f t="shared" si="8"/>
        <v>12</v>
      </c>
    </row>
    <row r="49" spans="1:9" ht="15" customHeight="1" x14ac:dyDescent="0.25">
      <c r="A49" s="18" t="s">
        <v>92</v>
      </c>
    </row>
    <row r="50" spans="1:9" ht="15" customHeight="1" x14ac:dyDescent="0.25">
      <c r="A50" s="2" t="s">
        <v>1</v>
      </c>
      <c r="B50" s="2" t="s">
        <v>2</v>
      </c>
      <c r="C50" s="2" t="s">
        <v>202</v>
      </c>
      <c r="D50" s="2" t="s">
        <v>203</v>
      </c>
      <c r="E50" s="2" t="s">
        <v>204</v>
      </c>
      <c r="F50" s="2" t="s">
        <v>205</v>
      </c>
      <c r="G50" s="2" t="s">
        <v>206</v>
      </c>
      <c r="H50" s="2" t="s">
        <v>207</v>
      </c>
      <c r="I50" s="2" t="s">
        <v>208</v>
      </c>
    </row>
    <row r="51" spans="1:9" ht="15" customHeight="1" x14ac:dyDescent="0.25">
      <c r="A51">
        <v>1</v>
      </c>
      <c r="B51" t="str">
        <f>Roster!B3</f>
        <v>Evan Loeser</v>
      </c>
      <c r="C51" s="3">
        <f>SUMPRODUCT(('Picks Detail'!F63:F78&lt;&gt;"")*('Picks Detail'!E63:E78&lt;&gt;"")*('Picks Detail'!F63:F78='Picks Detail'!E63:E78))</f>
        <v>8</v>
      </c>
      <c r="D51">
        <v>8</v>
      </c>
      <c r="E51">
        <f>IFERROR(INDEX(C$51:C$62,MATCH(8,A$51:A$62,0)),0)</f>
        <v>8</v>
      </c>
      <c r="F51" t="str">
        <f>IF(C51=0,"-",IF(C51&gt;E51,"W",IF(C51&lt;E51,"L",IF(AND('Picks Detail'!E79&lt;&gt;"",INDEX('Picks Detail'!F79:Q79,1,A51)&lt;&gt;"",INDEX('Picks Detail'!F79:Q79,1,D51)&lt;&gt;""),IF(ABS(INDEX('Picks Detail'!F79:Q79,1,A51)-'Picks Detail'!E79)&lt;ABS(INDEX('Picks Detail'!F79:Q79,1,D51)-'Picks Detail'!E79),"W",IF(ABS(INDEX('Picks Detail'!F79:Q79,1,A51)-'Picks Detail'!E79)&gt;ABS(INDEX('Picks Detail'!F79:Q79,1,D51)-'Picks Detail'!E79),"L","T")),"T"))))</f>
        <v>T</v>
      </c>
      <c r="G51">
        <f t="shared" ref="G51:G62" si="9">IF(F51="W",6,IF(F51="T",3,0))</f>
        <v>3</v>
      </c>
      <c r="H51">
        <f t="shared" ref="H51:H62" si="10">IF(C51="",0,C51)</f>
        <v>8</v>
      </c>
      <c r="I51">
        <f t="shared" ref="I51:I62" si="11">G51+H51</f>
        <v>11</v>
      </c>
    </row>
    <row r="52" spans="1:9" ht="15" customHeight="1" x14ac:dyDescent="0.25">
      <c r="A52">
        <v>2</v>
      </c>
      <c r="B52" t="str">
        <f>Roster!B4</f>
        <v>Chris Simmons</v>
      </c>
      <c r="C52" s="3">
        <f>SUMPRODUCT(('Picks Detail'!G63:G78&lt;&gt;"")*('Picks Detail'!E63:E78&lt;&gt;"")*('Picks Detail'!G63:G78='Picks Detail'!E63:E78))</f>
        <v>7</v>
      </c>
      <c r="D52">
        <v>7</v>
      </c>
      <c r="E52">
        <f>IFERROR(INDEX(C$51:C$62,MATCH(7,A$51:A$62,0)),0)</f>
        <v>6</v>
      </c>
      <c r="F52" t="str">
        <f>IF(C52=0,"-",IF(C52&gt;E52,"W",IF(C52&lt;E52,"L",IF(AND('Picks Detail'!E79&lt;&gt;"",INDEX('Picks Detail'!F79:Q79,1,A52)&lt;&gt;"",INDEX('Picks Detail'!F79:Q79,1,D52)&lt;&gt;""),IF(ABS(INDEX('Picks Detail'!F79:Q79,1,A52)-'Picks Detail'!E79)&lt;ABS(INDEX('Picks Detail'!F79:Q79,1,D52)-'Picks Detail'!E79),"W",IF(ABS(INDEX('Picks Detail'!F79:Q79,1,A52)-'Picks Detail'!E79)&gt;ABS(INDEX('Picks Detail'!F79:Q79,1,D52)-'Picks Detail'!E79),"L","T")),"T"))))</f>
        <v>W</v>
      </c>
      <c r="G52">
        <f t="shared" si="9"/>
        <v>6</v>
      </c>
      <c r="H52">
        <f t="shared" si="10"/>
        <v>7</v>
      </c>
      <c r="I52">
        <f t="shared" si="11"/>
        <v>13</v>
      </c>
    </row>
    <row r="53" spans="1:9" ht="15" customHeight="1" x14ac:dyDescent="0.25">
      <c r="A53">
        <v>3</v>
      </c>
      <c r="B53" t="str">
        <f>Roster!B5</f>
        <v>Jack Smith</v>
      </c>
      <c r="C53" s="3">
        <f>SUMPRODUCT(('Picks Detail'!H63:H78&lt;&gt;"")*('Picks Detail'!E63:E78&lt;&gt;"")*('Picks Detail'!H63:H78='Picks Detail'!E63:E78))</f>
        <v>9</v>
      </c>
      <c r="D53">
        <v>12</v>
      </c>
      <c r="E53">
        <f>IFERROR(INDEX(C$51:C$62,MATCH(12,A$51:A$62,0)),0)</f>
        <v>7</v>
      </c>
      <c r="F53" t="str">
        <f>IF(C53=0,"-",IF(C53&gt;E53,"W",IF(C53&lt;E53,"L",IF(AND('Picks Detail'!E79&lt;&gt;"",INDEX('Picks Detail'!F79:Q79,1,A53)&lt;&gt;"",INDEX('Picks Detail'!F79:Q79,1,D53)&lt;&gt;""),IF(ABS(INDEX('Picks Detail'!F79:Q79,1,A53)-'Picks Detail'!E79)&lt;ABS(INDEX('Picks Detail'!F79:Q79,1,D53)-'Picks Detail'!E79),"W",IF(ABS(INDEX('Picks Detail'!F79:Q79,1,A53)-'Picks Detail'!E79)&gt;ABS(INDEX('Picks Detail'!F79:Q79,1,D53)-'Picks Detail'!E79),"L","T")),"T"))))</f>
        <v>W</v>
      </c>
      <c r="G53">
        <f t="shared" si="9"/>
        <v>6</v>
      </c>
      <c r="H53">
        <f t="shared" si="10"/>
        <v>9</v>
      </c>
      <c r="I53">
        <f t="shared" si="11"/>
        <v>15</v>
      </c>
    </row>
    <row r="54" spans="1:9" ht="15" customHeight="1" x14ac:dyDescent="0.25">
      <c r="A54">
        <v>4</v>
      </c>
      <c r="B54" t="str">
        <f>Roster!B6</f>
        <v>Luke Ussery</v>
      </c>
      <c r="C54" s="3">
        <f>SUMPRODUCT(('Picks Detail'!I63:I78&lt;&gt;"")*('Picks Detail'!E63:E78&lt;&gt;"")*('Picks Detail'!I63:I78='Picks Detail'!E63:E78))</f>
        <v>12</v>
      </c>
      <c r="D54">
        <v>11</v>
      </c>
      <c r="E54">
        <f>IFERROR(INDEX(C$51:C$62,MATCH(11,A$51:A$62,0)),0)</f>
        <v>7</v>
      </c>
      <c r="F54" t="str">
        <f>IF(C54=0,"-",IF(C54&gt;E54,"W",IF(C54&lt;E54,"L",IF(AND('Picks Detail'!E79&lt;&gt;"",INDEX('Picks Detail'!F79:Q79,1,A54)&lt;&gt;"",INDEX('Picks Detail'!F79:Q79,1,D54)&lt;&gt;""),IF(ABS(INDEX('Picks Detail'!F79:Q79,1,A54)-'Picks Detail'!E79)&lt;ABS(INDEX('Picks Detail'!F79:Q79,1,D54)-'Picks Detail'!E79),"W",IF(ABS(INDEX('Picks Detail'!F79:Q79,1,A54)-'Picks Detail'!E79)&gt;ABS(INDEX('Picks Detail'!F79:Q79,1,D54)-'Picks Detail'!E79),"L","T")),"T"))))</f>
        <v>W</v>
      </c>
      <c r="G54">
        <f t="shared" si="9"/>
        <v>6</v>
      </c>
      <c r="H54">
        <f t="shared" si="10"/>
        <v>12</v>
      </c>
      <c r="I54">
        <f t="shared" si="11"/>
        <v>18</v>
      </c>
    </row>
    <row r="55" spans="1:9" ht="15" customHeight="1" x14ac:dyDescent="0.25">
      <c r="A55">
        <v>5</v>
      </c>
      <c r="B55" t="str">
        <f>Roster!B7</f>
        <v>Mikayla Simmons</v>
      </c>
      <c r="C55" s="3">
        <f>SUMPRODUCT(('Picks Detail'!J63:J78&lt;&gt;"")*('Picks Detail'!E63:E78&lt;&gt;"")*('Picks Detail'!J63:J78='Picks Detail'!E63:E78))</f>
        <v>6</v>
      </c>
      <c r="D55">
        <v>10</v>
      </c>
      <c r="E55">
        <f>IFERROR(INDEX(C$51:C$62,MATCH(10,A$51:A$62,0)),0)</f>
        <v>7</v>
      </c>
      <c r="F55" t="str">
        <f>IF(C55=0,"-",IF(C55&gt;E55,"W",IF(C55&lt;E55,"L",IF(AND('Picks Detail'!E79&lt;&gt;"",INDEX('Picks Detail'!F79:Q79,1,A55)&lt;&gt;"",INDEX('Picks Detail'!F79:Q79,1,D55)&lt;&gt;""),IF(ABS(INDEX('Picks Detail'!F79:Q79,1,A55)-'Picks Detail'!E79)&lt;ABS(INDEX('Picks Detail'!F79:Q79,1,D55)-'Picks Detail'!E79),"W",IF(ABS(INDEX('Picks Detail'!F79:Q79,1,A55)-'Picks Detail'!E79)&gt;ABS(INDEX('Picks Detail'!F79:Q79,1,D55)-'Picks Detail'!E79),"L","T")),"T"))))</f>
        <v>L</v>
      </c>
      <c r="G55">
        <f t="shared" si="9"/>
        <v>0</v>
      </c>
      <c r="H55">
        <f t="shared" si="10"/>
        <v>6</v>
      </c>
      <c r="I55">
        <f t="shared" si="11"/>
        <v>6</v>
      </c>
    </row>
    <row r="56" spans="1:9" ht="15" customHeight="1" x14ac:dyDescent="0.25">
      <c r="A56">
        <v>6</v>
      </c>
      <c r="B56" t="str">
        <f>Roster!B8</f>
        <v>Alan Loeser</v>
      </c>
      <c r="C56" s="3">
        <f>SUMPRODUCT(('Picks Detail'!K63:K78&lt;&gt;"")*('Picks Detail'!E63:E78&lt;&gt;"")*('Picks Detail'!K63:K78='Picks Detail'!E63:E78))</f>
        <v>7</v>
      </c>
      <c r="D56">
        <v>9</v>
      </c>
      <c r="E56">
        <f>IFERROR(INDEX(C$51:C$62,MATCH(9,A$51:A$62,0)),0)</f>
        <v>8</v>
      </c>
      <c r="F56" t="str">
        <f>IF(C56=0,"-",IF(C56&gt;E56,"W",IF(C56&lt;E56,"L",IF(AND('Picks Detail'!E79&lt;&gt;"",INDEX('Picks Detail'!F79:Q79,1,A56)&lt;&gt;"",INDEX('Picks Detail'!F79:Q79,1,D56)&lt;&gt;""),IF(ABS(INDEX('Picks Detail'!F79:Q79,1,A56)-'Picks Detail'!E79)&lt;ABS(INDEX('Picks Detail'!F79:Q79,1,D56)-'Picks Detail'!E79),"W",IF(ABS(INDEX('Picks Detail'!F79:Q79,1,A56)-'Picks Detail'!E79)&gt;ABS(INDEX('Picks Detail'!F79:Q79,1,D56)-'Picks Detail'!E79),"L","T")),"T"))))</f>
        <v>L</v>
      </c>
      <c r="G56">
        <f t="shared" si="9"/>
        <v>0</v>
      </c>
      <c r="H56">
        <f t="shared" si="10"/>
        <v>7</v>
      </c>
      <c r="I56">
        <f t="shared" si="11"/>
        <v>7</v>
      </c>
    </row>
    <row r="57" spans="1:9" ht="15" customHeight="1" x14ac:dyDescent="0.25">
      <c r="A57">
        <v>7</v>
      </c>
      <c r="B57" t="str">
        <f>Roster!B9</f>
        <v>Caleb Simmons</v>
      </c>
      <c r="C57" s="3">
        <f>SUMPRODUCT(('Picks Detail'!L63:L78&lt;&gt;"")*('Picks Detail'!E63:E78&lt;&gt;"")*('Picks Detail'!L63:L78='Picks Detail'!E63:E78))</f>
        <v>6</v>
      </c>
      <c r="D57">
        <v>2</v>
      </c>
      <c r="E57">
        <f>IFERROR(INDEX(C$51:C$62,MATCH(2,A$51:A$62,0)),0)</f>
        <v>7</v>
      </c>
      <c r="F57" t="str">
        <f>IF(C57=0,"-",IF(C57&gt;E57,"W",IF(C57&lt;E57,"L",IF(AND('Picks Detail'!E79&lt;&gt;"",INDEX('Picks Detail'!F79:Q79,1,A57)&lt;&gt;"",INDEX('Picks Detail'!F79:Q79,1,D57)&lt;&gt;""),IF(ABS(INDEX('Picks Detail'!F79:Q79,1,A57)-'Picks Detail'!E79)&lt;ABS(INDEX('Picks Detail'!F79:Q79,1,D57)-'Picks Detail'!E79),"W",IF(ABS(INDEX('Picks Detail'!F79:Q79,1,A57)-'Picks Detail'!E79)&gt;ABS(INDEX('Picks Detail'!F79:Q79,1,D57)-'Picks Detail'!E79),"L","T")),"T"))))</f>
        <v>L</v>
      </c>
      <c r="G57">
        <f t="shared" si="9"/>
        <v>0</v>
      </c>
      <c r="H57">
        <f t="shared" si="10"/>
        <v>6</v>
      </c>
      <c r="I57">
        <f t="shared" si="11"/>
        <v>6</v>
      </c>
    </row>
    <row r="58" spans="1:9" ht="15" customHeight="1" x14ac:dyDescent="0.25">
      <c r="A58">
        <v>8</v>
      </c>
      <c r="B58" t="str">
        <f>Roster!B10</f>
        <v>Larry Loeser</v>
      </c>
      <c r="C58" s="3">
        <f>SUMPRODUCT(('Picks Detail'!M63:M78&lt;&gt;"")*('Picks Detail'!E63:E78&lt;&gt;"")*('Picks Detail'!M63:M78='Picks Detail'!E63:E78))</f>
        <v>8</v>
      </c>
      <c r="D58">
        <v>1</v>
      </c>
      <c r="E58">
        <f>IFERROR(INDEX(C$51:C$62,MATCH(1,A$51:A$62,0)),0)</f>
        <v>8</v>
      </c>
      <c r="F58" t="str">
        <f>IF(C58=0,"-",IF(C58&gt;E58,"W",IF(C58&lt;E58,"L",IF(AND('Picks Detail'!E79&lt;&gt;"",INDEX('Picks Detail'!F79:Q79,1,A58)&lt;&gt;"",INDEX('Picks Detail'!F79:Q79,1,D58)&lt;&gt;""),IF(ABS(INDEX('Picks Detail'!F79:Q79,1,A58)-'Picks Detail'!E79)&lt;ABS(INDEX('Picks Detail'!F79:Q79,1,D58)-'Picks Detail'!E79),"W",IF(ABS(INDEX('Picks Detail'!F79:Q79,1,A58)-'Picks Detail'!E79)&gt;ABS(INDEX('Picks Detail'!F79:Q79,1,D58)-'Picks Detail'!E79),"L","T")),"T"))))</f>
        <v>T</v>
      </c>
      <c r="G58">
        <f t="shared" si="9"/>
        <v>3</v>
      </c>
      <c r="H58">
        <f t="shared" si="10"/>
        <v>8</v>
      </c>
      <c r="I58">
        <f t="shared" si="11"/>
        <v>11</v>
      </c>
    </row>
    <row r="59" spans="1:9" ht="15" customHeight="1" x14ac:dyDescent="0.25">
      <c r="A59">
        <v>9</v>
      </c>
      <c r="B59" t="str">
        <f>Roster!B11</f>
        <v>Daddy Michael</v>
      </c>
      <c r="C59" s="3">
        <f>SUMPRODUCT(('Picks Detail'!N63:N78&lt;&gt;"")*('Picks Detail'!E63:E78&lt;&gt;"")*('Picks Detail'!N63:N78='Picks Detail'!E63:E78))</f>
        <v>8</v>
      </c>
      <c r="D59">
        <v>6</v>
      </c>
      <c r="E59">
        <f>IFERROR(INDEX(C$51:C$62,MATCH(6,A$51:A$62,0)),0)</f>
        <v>7</v>
      </c>
      <c r="F59" t="str">
        <f>IF(C59=0,"-",IF(C59&gt;E59,"W",IF(C59&lt;E59,"L",IF(AND('Picks Detail'!E79&lt;&gt;"",INDEX('Picks Detail'!F79:Q79,1,A59)&lt;&gt;"",INDEX('Picks Detail'!F79:Q79,1,D59)&lt;&gt;""),IF(ABS(INDEX('Picks Detail'!F79:Q79,1,A59)-'Picks Detail'!E79)&lt;ABS(INDEX('Picks Detail'!F79:Q79,1,D59)-'Picks Detail'!E79),"W",IF(ABS(INDEX('Picks Detail'!F79:Q79,1,A59)-'Picks Detail'!E79)&gt;ABS(INDEX('Picks Detail'!F79:Q79,1,D59)-'Picks Detail'!E79),"L","T")),"T"))))</f>
        <v>W</v>
      </c>
      <c r="G59">
        <f t="shared" si="9"/>
        <v>6</v>
      </c>
      <c r="H59">
        <f t="shared" si="10"/>
        <v>8</v>
      </c>
      <c r="I59">
        <f t="shared" si="11"/>
        <v>14</v>
      </c>
    </row>
    <row r="60" spans="1:9" ht="15" customHeight="1" x14ac:dyDescent="0.25">
      <c r="A60">
        <v>10</v>
      </c>
      <c r="B60" t="str">
        <f>Roster!B12</f>
        <v>Zach Zarra</v>
      </c>
      <c r="C60" s="3">
        <f>SUMPRODUCT(('Picks Detail'!O63:O78&lt;&gt;"")*('Picks Detail'!E63:E78&lt;&gt;"")*('Picks Detail'!O63:O78='Picks Detail'!E63:E78))</f>
        <v>7</v>
      </c>
      <c r="D60">
        <v>5</v>
      </c>
      <c r="E60">
        <f>IFERROR(INDEX(C$51:C$62,MATCH(5,A$51:A$62,0)),0)</f>
        <v>6</v>
      </c>
      <c r="F60" t="str">
        <f>IF(C60=0,"-",IF(C60&gt;E60,"W",IF(C60&lt;E60,"L",IF(AND('Picks Detail'!E79&lt;&gt;"",INDEX('Picks Detail'!F79:Q79,1,A60)&lt;&gt;"",INDEX('Picks Detail'!F79:Q79,1,D60)&lt;&gt;""),IF(ABS(INDEX('Picks Detail'!F79:Q79,1,A60)-'Picks Detail'!E79)&lt;ABS(INDEX('Picks Detail'!F79:Q79,1,D60)-'Picks Detail'!E79),"W",IF(ABS(INDEX('Picks Detail'!F79:Q79,1,A60)-'Picks Detail'!E79)&gt;ABS(INDEX('Picks Detail'!F79:Q79,1,D60)-'Picks Detail'!E79),"L","T")),"T"))))</f>
        <v>W</v>
      </c>
      <c r="G60">
        <f t="shared" si="9"/>
        <v>6</v>
      </c>
      <c r="H60">
        <f t="shared" si="10"/>
        <v>7</v>
      </c>
      <c r="I60">
        <f t="shared" si="11"/>
        <v>13</v>
      </c>
    </row>
    <row r="61" spans="1:9" ht="15" customHeight="1" x14ac:dyDescent="0.25">
      <c r="A61">
        <v>11</v>
      </c>
      <c r="B61" t="str">
        <f>Roster!B13</f>
        <v>Jeffrey Loeser</v>
      </c>
      <c r="C61" s="3">
        <f>SUMPRODUCT(('Picks Detail'!P63:P78&lt;&gt;"")*('Picks Detail'!E63:E78&lt;&gt;"")*('Picks Detail'!P63:P78='Picks Detail'!E63:E78))</f>
        <v>7</v>
      </c>
      <c r="D61">
        <v>4</v>
      </c>
      <c r="E61">
        <f>IFERROR(INDEX(C$51:C$62,MATCH(4,A$51:A$62,0)),0)</f>
        <v>12</v>
      </c>
      <c r="F61" t="str">
        <f>IF(C61=0,"-",IF(C61&gt;E61,"W",IF(C61&lt;E61,"L",IF(AND('Picks Detail'!E79&lt;&gt;"",INDEX('Picks Detail'!F79:Q79,1,A61)&lt;&gt;"",INDEX('Picks Detail'!F79:Q79,1,D61)&lt;&gt;""),IF(ABS(INDEX('Picks Detail'!F79:Q79,1,A61)-'Picks Detail'!E79)&lt;ABS(INDEX('Picks Detail'!F79:Q79,1,D61)-'Picks Detail'!E79),"W",IF(ABS(INDEX('Picks Detail'!F79:Q79,1,A61)-'Picks Detail'!E79)&gt;ABS(INDEX('Picks Detail'!F79:Q79,1,D61)-'Picks Detail'!E79),"L","T")),"T"))))</f>
        <v>L</v>
      </c>
      <c r="G61">
        <f t="shared" si="9"/>
        <v>0</v>
      </c>
      <c r="H61">
        <f t="shared" si="10"/>
        <v>7</v>
      </c>
      <c r="I61">
        <f t="shared" si="11"/>
        <v>7</v>
      </c>
    </row>
    <row r="62" spans="1:9" ht="15" customHeight="1" x14ac:dyDescent="0.25">
      <c r="A62">
        <v>12</v>
      </c>
      <c r="B62" t="str">
        <f>Roster!B14</f>
        <v>Jake Andrews</v>
      </c>
      <c r="C62" s="3">
        <f>SUMPRODUCT(('Picks Detail'!Q63:Q78&lt;&gt;"")*('Picks Detail'!E63:E78&lt;&gt;"")*('Picks Detail'!Q63:Q78='Picks Detail'!E63:E78))</f>
        <v>7</v>
      </c>
      <c r="D62">
        <v>3</v>
      </c>
      <c r="E62">
        <f>IFERROR(INDEX(C$51:C$62,MATCH(3,A$51:A$62,0)),0)</f>
        <v>9</v>
      </c>
      <c r="F62" t="str">
        <f>IF(C62=0,"-",IF(C62&gt;E62,"W",IF(C62&lt;E62,"L",IF(AND('Picks Detail'!E79&lt;&gt;"",INDEX('Picks Detail'!F79:Q79,1,A62)&lt;&gt;"",INDEX('Picks Detail'!F79:Q79,1,D62)&lt;&gt;""),IF(ABS(INDEX('Picks Detail'!F79:Q79,1,A62)-'Picks Detail'!E79)&lt;ABS(INDEX('Picks Detail'!F79:Q79,1,D62)-'Picks Detail'!E79),"W",IF(ABS(INDEX('Picks Detail'!F79:Q79,1,A62)-'Picks Detail'!E79)&gt;ABS(INDEX('Picks Detail'!F79:Q79,1,D62)-'Picks Detail'!E79),"L","T")),"T"))))</f>
        <v>L</v>
      </c>
      <c r="G62">
        <f t="shared" si="9"/>
        <v>0</v>
      </c>
      <c r="H62">
        <f t="shared" si="10"/>
        <v>7</v>
      </c>
      <c r="I62">
        <f t="shared" si="11"/>
        <v>7</v>
      </c>
    </row>
    <row r="64" spans="1:9" ht="15" customHeight="1" x14ac:dyDescent="0.25">
      <c r="A64" s="18" t="s">
        <v>93</v>
      </c>
    </row>
    <row r="65" spans="1:9" ht="15" customHeight="1" x14ac:dyDescent="0.25">
      <c r="A65" s="2" t="s">
        <v>1</v>
      </c>
      <c r="B65" s="2" t="s">
        <v>2</v>
      </c>
      <c r="C65" s="2" t="s">
        <v>202</v>
      </c>
      <c r="D65" s="2" t="s">
        <v>203</v>
      </c>
      <c r="E65" s="2" t="s">
        <v>204</v>
      </c>
      <c r="F65" s="2" t="s">
        <v>205</v>
      </c>
      <c r="G65" s="2" t="s">
        <v>206</v>
      </c>
      <c r="H65" s="2" t="s">
        <v>207</v>
      </c>
      <c r="I65" s="2" t="s">
        <v>208</v>
      </c>
    </row>
    <row r="66" spans="1:9" ht="15" customHeight="1" x14ac:dyDescent="0.25">
      <c r="A66">
        <v>1</v>
      </c>
      <c r="B66" t="str">
        <f>Roster!B3</f>
        <v>Evan Loeser</v>
      </c>
      <c r="C66" s="3">
        <f>SUMPRODUCT(('Picks Detail'!F82:F96&lt;&gt;"")*('Picks Detail'!E82:E96&lt;&gt;"")*('Picks Detail'!F82:F96='Picks Detail'!E82:E96))</f>
        <v>9</v>
      </c>
      <c r="D66">
        <v>11</v>
      </c>
      <c r="E66">
        <f>IFERROR(INDEX(C$66:C$77,MATCH(11,A$66:A$77,0)),0)</f>
        <v>5</v>
      </c>
      <c r="F66" t="str">
        <f>IF(C66=0,"-",IF(C66&gt;E66,"W",IF(C66&lt;E66,"L",IF(AND('Picks Detail'!E97&lt;&gt;"",INDEX('Picks Detail'!F97:Q97,1,A66)&lt;&gt;"",INDEX('Picks Detail'!F97:Q97,1,D66)&lt;&gt;""),IF(ABS(INDEX('Picks Detail'!F97:Q97,1,A66)-'Picks Detail'!E97)&lt;ABS(INDEX('Picks Detail'!F97:Q97,1,D66)-'Picks Detail'!E97),"W",IF(ABS(INDEX('Picks Detail'!F97:Q97,1,A66)-'Picks Detail'!E97)&gt;ABS(INDEX('Picks Detail'!F97:Q97,1,D66)-'Picks Detail'!E97),"L","T")),"T"))))</f>
        <v>W</v>
      </c>
      <c r="G66">
        <f t="shared" ref="G66:G77" si="12">IF(F66="W",6,IF(F66="T",3,0))</f>
        <v>6</v>
      </c>
      <c r="H66">
        <f t="shared" ref="H66:H77" si="13">IF(C66="",0,C66)</f>
        <v>9</v>
      </c>
      <c r="I66">
        <f t="shared" ref="I66:I77" si="14">G66+H66</f>
        <v>15</v>
      </c>
    </row>
    <row r="67" spans="1:9" ht="15" customHeight="1" x14ac:dyDescent="0.25">
      <c r="A67">
        <v>2</v>
      </c>
      <c r="B67" t="str">
        <f>Roster!B4</f>
        <v>Chris Simmons</v>
      </c>
      <c r="C67" s="3">
        <f>SUMPRODUCT(('Picks Detail'!G82:G96&lt;&gt;"")*('Picks Detail'!E82:E96&lt;&gt;"")*('Picks Detail'!G82:G96='Picks Detail'!E82:E96))</f>
        <v>9</v>
      </c>
      <c r="D67">
        <v>12</v>
      </c>
      <c r="E67">
        <f>IFERROR(INDEX(C$66:C$77,MATCH(12,A$66:A$77,0)),0)</f>
        <v>4</v>
      </c>
      <c r="F67" t="str">
        <f>IF(C67=0,"-",IF(C67&gt;E67,"W",IF(C67&lt;E67,"L",IF(AND('Picks Detail'!E97&lt;&gt;"",INDEX('Picks Detail'!F97:Q97,1,A67)&lt;&gt;"",INDEX('Picks Detail'!F97:Q97,1,D67)&lt;&gt;""),IF(ABS(INDEX('Picks Detail'!F97:Q97,1,A67)-'Picks Detail'!E97)&lt;ABS(INDEX('Picks Detail'!F97:Q97,1,D67)-'Picks Detail'!E97),"W",IF(ABS(INDEX('Picks Detail'!F97:Q97,1,A67)-'Picks Detail'!E97)&gt;ABS(INDEX('Picks Detail'!F97:Q97,1,D67)-'Picks Detail'!E97),"L","T")),"T"))))</f>
        <v>W</v>
      </c>
      <c r="G67">
        <f t="shared" si="12"/>
        <v>6</v>
      </c>
      <c r="H67">
        <f t="shared" si="13"/>
        <v>9</v>
      </c>
      <c r="I67">
        <f t="shared" si="14"/>
        <v>15</v>
      </c>
    </row>
    <row r="68" spans="1:9" ht="15" customHeight="1" x14ac:dyDescent="0.25">
      <c r="A68">
        <v>3</v>
      </c>
      <c r="B68" t="str">
        <f>Roster!B5</f>
        <v>Jack Smith</v>
      </c>
      <c r="C68" s="3">
        <f>SUMPRODUCT(('Picks Detail'!H82:H96&lt;&gt;"")*('Picks Detail'!E82:E96&lt;&gt;"")*('Picks Detail'!H82:H96='Picks Detail'!E82:E96))</f>
        <v>5</v>
      </c>
      <c r="D68">
        <v>5</v>
      </c>
      <c r="E68">
        <f>IFERROR(INDEX(C$66:C$77,MATCH(5,A$66:A$77,0)),0)</f>
        <v>9</v>
      </c>
      <c r="F68" t="str">
        <f>IF(C68=0,"-",IF(C68&gt;E68,"W",IF(C68&lt;E68,"L",IF(AND('Picks Detail'!E97&lt;&gt;"",INDEX('Picks Detail'!F97:Q97,1,A68)&lt;&gt;"",INDEX('Picks Detail'!F97:Q97,1,D68)&lt;&gt;""),IF(ABS(INDEX('Picks Detail'!F97:Q97,1,A68)-'Picks Detail'!E97)&lt;ABS(INDEX('Picks Detail'!F97:Q97,1,D68)-'Picks Detail'!E97),"W",IF(ABS(INDEX('Picks Detail'!F97:Q97,1,A68)-'Picks Detail'!E97)&gt;ABS(INDEX('Picks Detail'!F97:Q97,1,D68)-'Picks Detail'!E97),"L","T")),"T"))))</f>
        <v>L</v>
      </c>
      <c r="G68">
        <f t="shared" si="12"/>
        <v>0</v>
      </c>
      <c r="H68">
        <f t="shared" si="13"/>
        <v>5</v>
      </c>
      <c r="I68">
        <f t="shared" si="14"/>
        <v>5</v>
      </c>
    </row>
    <row r="69" spans="1:9" ht="15" customHeight="1" x14ac:dyDescent="0.25">
      <c r="A69">
        <v>4</v>
      </c>
      <c r="B69" t="str">
        <f>Roster!B6</f>
        <v>Luke Ussery</v>
      </c>
      <c r="C69" s="3">
        <f>SUMPRODUCT(('Picks Detail'!I82:I96&lt;&gt;"")*('Picks Detail'!E82:E96&lt;&gt;"")*('Picks Detail'!I82:I96='Picks Detail'!E82:E96))</f>
        <v>0</v>
      </c>
      <c r="D69">
        <v>6</v>
      </c>
      <c r="E69">
        <f>IFERROR(INDEX(C$66:C$77,MATCH(6,A$66:A$77,0)),0)</f>
        <v>10</v>
      </c>
      <c r="F69" t="str">
        <f>IF(C69=0,"-",IF(C69&gt;E69,"W",IF(C69&lt;E69,"L",IF(AND('Picks Detail'!E97&lt;&gt;"",INDEX('Picks Detail'!F97:Q97,1,A69)&lt;&gt;"",INDEX('Picks Detail'!F97:Q97,1,D69)&lt;&gt;""),IF(ABS(INDEX('Picks Detail'!F97:Q97,1,A69)-'Picks Detail'!E97)&lt;ABS(INDEX('Picks Detail'!F97:Q97,1,D69)-'Picks Detail'!E97),"W",IF(ABS(INDEX('Picks Detail'!F97:Q97,1,A69)-'Picks Detail'!E97)&gt;ABS(INDEX('Picks Detail'!F97:Q97,1,D69)-'Picks Detail'!E97),"L","T")),"T"))))</f>
        <v>-</v>
      </c>
      <c r="G69">
        <f t="shared" si="12"/>
        <v>0</v>
      </c>
      <c r="H69">
        <f t="shared" si="13"/>
        <v>0</v>
      </c>
      <c r="I69">
        <f t="shared" si="14"/>
        <v>0</v>
      </c>
    </row>
    <row r="70" spans="1:9" ht="15" customHeight="1" x14ac:dyDescent="0.25">
      <c r="A70">
        <v>5</v>
      </c>
      <c r="B70" t="str">
        <f>Roster!B7</f>
        <v>Mikayla Simmons</v>
      </c>
      <c r="C70" s="3">
        <f>SUMPRODUCT(('Picks Detail'!J82:J96&lt;&gt;"")*('Picks Detail'!E82:E96&lt;&gt;"")*('Picks Detail'!J82:J96='Picks Detail'!E82:E96))</f>
        <v>9</v>
      </c>
      <c r="D70">
        <v>3</v>
      </c>
      <c r="E70">
        <f>IFERROR(INDEX(C$66:C$77,MATCH(3,A$66:A$77,0)),0)</f>
        <v>5</v>
      </c>
      <c r="F70" t="str">
        <f>IF(C70=0,"-",IF(C70&gt;E70,"W",IF(C70&lt;E70,"L",IF(AND('Picks Detail'!E97&lt;&gt;"",INDEX('Picks Detail'!F97:Q97,1,A70)&lt;&gt;"",INDEX('Picks Detail'!F97:Q97,1,D70)&lt;&gt;""),IF(ABS(INDEX('Picks Detail'!F97:Q97,1,A70)-'Picks Detail'!E97)&lt;ABS(INDEX('Picks Detail'!F97:Q97,1,D70)-'Picks Detail'!E97),"W",IF(ABS(INDEX('Picks Detail'!F97:Q97,1,A70)-'Picks Detail'!E97)&gt;ABS(INDEX('Picks Detail'!F97:Q97,1,D70)-'Picks Detail'!E97),"L","T")),"T"))))</f>
        <v>W</v>
      </c>
      <c r="G70">
        <f t="shared" si="12"/>
        <v>6</v>
      </c>
      <c r="H70">
        <f t="shared" si="13"/>
        <v>9</v>
      </c>
      <c r="I70">
        <f t="shared" si="14"/>
        <v>15</v>
      </c>
    </row>
    <row r="71" spans="1:9" ht="15" customHeight="1" x14ac:dyDescent="0.25">
      <c r="A71">
        <v>6</v>
      </c>
      <c r="B71" t="str">
        <f>Roster!B8</f>
        <v>Alan Loeser</v>
      </c>
      <c r="C71" s="3">
        <f>SUMPRODUCT(('Picks Detail'!K82:K96&lt;&gt;"")*('Picks Detail'!E82:E96&lt;&gt;"")*('Picks Detail'!K82:K96='Picks Detail'!E82:E96))</f>
        <v>10</v>
      </c>
      <c r="D71">
        <v>4</v>
      </c>
      <c r="E71">
        <f>IFERROR(INDEX(C$66:C$77,MATCH(4,A$66:A$77,0)),0)</f>
        <v>0</v>
      </c>
      <c r="F71" t="str">
        <f>IF(C71=0,"-",IF(C71&gt;E71,"W",IF(C71&lt;E71,"L",IF(AND('Picks Detail'!E97&lt;&gt;"",INDEX('Picks Detail'!F97:Q97,1,A71)&lt;&gt;"",INDEX('Picks Detail'!F97:Q97,1,D71)&lt;&gt;""),IF(ABS(INDEX('Picks Detail'!F97:Q97,1,A71)-'Picks Detail'!E97)&lt;ABS(INDEX('Picks Detail'!F97:Q97,1,D71)-'Picks Detail'!E97),"W",IF(ABS(INDEX('Picks Detail'!F97:Q97,1,A71)-'Picks Detail'!E97)&gt;ABS(INDEX('Picks Detail'!F97:Q97,1,D71)-'Picks Detail'!E97),"L","T")),"T"))))</f>
        <v>W</v>
      </c>
      <c r="G71">
        <f t="shared" si="12"/>
        <v>6</v>
      </c>
      <c r="H71">
        <f t="shared" si="13"/>
        <v>10</v>
      </c>
      <c r="I71">
        <f t="shared" si="14"/>
        <v>16</v>
      </c>
    </row>
    <row r="72" spans="1:9" ht="15" customHeight="1" x14ac:dyDescent="0.25">
      <c r="A72">
        <v>7</v>
      </c>
      <c r="B72" t="str">
        <f>Roster!B9</f>
        <v>Caleb Simmons</v>
      </c>
      <c r="C72" s="3">
        <f>SUMPRODUCT(('Picks Detail'!L82:L96&lt;&gt;"")*('Picks Detail'!E82:E96&lt;&gt;"")*('Picks Detail'!L82:L96='Picks Detail'!E82:E96))</f>
        <v>7</v>
      </c>
      <c r="D72">
        <v>10</v>
      </c>
      <c r="E72">
        <f>IFERROR(INDEX(C$66:C$77,MATCH(10,A$66:A$77,0)),0)</f>
        <v>7</v>
      </c>
      <c r="F72" t="str">
        <f>IF(C72=0,"-",IF(C72&gt;E72,"W",IF(C72&lt;E72,"L",IF(AND('Picks Detail'!E97&lt;&gt;"",INDEX('Picks Detail'!F97:Q97,1,A72)&lt;&gt;"",INDEX('Picks Detail'!F97:Q97,1,D72)&lt;&gt;""),IF(ABS(INDEX('Picks Detail'!F97:Q97,1,A72)-'Picks Detail'!E97)&lt;ABS(INDEX('Picks Detail'!F97:Q97,1,D72)-'Picks Detail'!E97),"W",IF(ABS(INDEX('Picks Detail'!F97:Q97,1,A72)-'Picks Detail'!E97)&gt;ABS(INDEX('Picks Detail'!F97:Q97,1,D72)-'Picks Detail'!E97),"L","T")),"T"))))</f>
        <v>W</v>
      </c>
      <c r="G72">
        <f t="shared" si="12"/>
        <v>6</v>
      </c>
      <c r="H72">
        <f t="shared" si="13"/>
        <v>7</v>
      </c>
      <c r="I72">
        <f t="shared" si="14"/>
        <v>13</v>
      </c>
    </row>
    <row r="73" spans="1:9" ht="15" customHeight="1" x14ac:dyDescent="0.25">
      <c r="A73">
        <v>8</v>
      </c>
      <c r="B73" t="str">
        <f>Roster!B10</f>
        <v>Larry Loeser</v>
      </c>
      <c r="C73" s="3">
        <f>SUMPRODUCT(('Picks Detail'!M82:M96&lt;&gt;"")*('Picks Detail'!E82:E96&lt;&gt;"")*('Picks Detail'!M82:M96='Picks Detail'!E82:E96))</f>
        <v>7</v>
      </c>
      <c r="D73">
        <v>9</v>
      </c>
      <c r="E73">
        <f>IFERROR(INDEX(C$66:C$77,MATCH(9,A$66:A$77,0)),0)</f>
        <v>6</v>
      </c>
      <c r="F73" t="str">
        <f>IF(C73=0,"-",IF(C73&gt;E73,"W",IF(C73&lt;E73,"L",IF(AND('Picks Detail'!E97&lt;&gt;"",INDEX('Picks Detail'!F97:Q97,1,A73)&lt;&gt;"",INDEX('Picks Detail'!F97:Q97,1,D73)&lt;&gt;""),IF(ABS(INDEX('Picks Detail'!F97:Q97,1,A73)-'Picks Detail'!E97)&lt;ABS(INDEX('Picks Detail'!F97:Q97,1,D73)-'Picks Detail'!E97),"W",IF(ABS(INDEX('Picks Detail'!F97:Q97,1,A73)-'Picks Detail'!E97)&gt;ABS(INDEX('Picks Detail'!F97:Q97,1,D73)-'Picks Detail'!E97),"L","T")),"T"))))</f>
        <v>W</v>
      </c>
      <c r="G73">
        <f t="shared" si="12"/>
        <v>6</v>
      </c>
      <c r="H73">
        <f t="shared" si="13"/>
        <v>7</v>
      </c>
      <c r="I73">
        <f t="shared" si="14"/>
        <v>13</v>
      </c>
    </row>
    <row r="74" spans="1:9" ht="15" customHeight="1" x14ac:dyDescent="0.25">
      <c r="A74">
        <v>9</v>
      </c>
      <c r="B74" t="str">
        <f>Roster!B11</f>
        <v>Daddy Michael</v>
      </c>
      <c r="C74" s="3">
        <f>SUMPRODUCT(('Picks Detail'!N82:N96&lt;&gt;"")*('Picks Detail'!E82:E96&lt;&gt;"")*('Picks Detail'!N82:N96='Picks Detail'!E82:E96))</f>
        <v>6</v>
      </c>
      <c r="D74">
        <v>8</v>
      </c>
      <c r="E74">
        <f>IFERROR(INDEX(C$66:C$77,MATCH(8,A$66:A$77,0)),0)</f>
        <v>7</v>
      </c>
      <c r="F74" t="str">
        <f>IF(C74=0,"-",IF(C74&gt;E74,"W",IF(C74&lt;E74,"L",IF(AND('Picks Detail'!E97&lt;&gt;"",INDEX('Picks Detail'!F97:Q97,1,A74)&lt;&gt;"",INDEX('Picks Detail'!F97:Q97,1,D74)&lt;&gt;""),IF(ABS(INDEX('Picks Detail'!F97:Q97,1,A74)-'Picks Detail'!E97)&lt;ABS(INDEX('Picks Detail'!F97:Q97,1,D74)-'Picks Detail'!E97),"W",IF(ABS(INDEX('Picks Detail'!F97:Q97,1,A74)-'Picks Detail'!E97)&gt;ABS(INDEX('Picks Detail'!F97:Q97,1,D74)-'Picks Detail'!E97),"L","T")),"T"))))</f>
        <v>L</v>
      </c>
      <c r="G74">
        <f t="shared" si="12"/>
        <v>0</v>
      </c>
      <c r="H74">
        <f t="shared" si="13"/>
        <v>6</v>
      </c>
      <c r="I74">
        <f t="shared" si="14"/>
        <v>6</v>
      </c>
    </row>
    <row r="75" spans="1:9" ht="15" customHeight="1" x14ac:dyDescent="0.25">
      <c r="A75">
        <v>10</v>
      </c>
      <c r="B75" t="str">
        <f>Roster!B12</f>
        <v>Zach Zarra</v>
      </c>
      <c r="C75" s="3">
        <f>SUMPRODUCT(('Picks Detail'!O82:O96&lt;&gt;"")*('Picks Detail'!E82:E96&lt;&gt;"")*('Picks Detail'!O82:O96='Picks Detail'!E82:E96))</f>
        <v>7</v>
      </c>
      <c r="D75">
        <v>7</v>
      </c>
      <c r="E75">
        <f>IFERROR(INDEX(C$66:C$77,MATCH(7,A$66:A$77,0)),0)</f>
        <v>7</v>
      </c>
      <c r="F75" t="str">
        <f>IF(C75=0,"-",IF(C75&gt;E75,"W",IF(C75&lt;E75,"L",IF(AND('Picks Detail'!E97&lt;&gt;"",INDEX('Picks Detail'!F97:Q97,1,A75)&lt;&gt;"",INDEX('Picks Detail'!F97:Q97,1,D75)&lt;&gt;""),IF(ABS(INDEX('Picks Detail'!F97:Q97,1,A75)-'Picks Detail'!E97)&lt;ABS(INDEX('Picks Detail'!F97:Q97,1,D75)-'Picks Detail'!E97),"W",IF(ABS(INDEX('Picks Detail'!F97:Q97,1,A75)-'Picks Detail'!E97)&gt;ABS(INDEX('Picks Detail'!F97:Q97,1,D75)-'Picks Detail'!E97),"L","T")),"T"))))</f>
        <v>L</v>
      </c>
      <c r="G75">
        <f t="shared" si="12"/>
        <v>0</v>
      </c>
      <c r="H75">
        <f t="shared" si="13"/>
        <v>7</v>
      </c>
      <c r="I75">
        <f t="shared" si="14"/>
        <v>7</v>
      </c>
    </row>
    <row r="76" spans="1:9" ht="15" customHeight="1" x14ac:dyDescent="0.25">
      <c r="A76">
        <v>11</v>
      </c>
      <c r="B76" t="str">
        <f>Roster!B13</f>
        <v>Jeffrey Loeser</v>
      </c>
      <c r="C76" s="3">
        <f>SUMPRODUCT(('Picks Detail'!P82:P96&lt;&gt;"")*('Picks Detail'!E82:E96&lt;&gt;"")*('Picks Detail'!P82:P96='Picks Detail'!E82:E96))</f>
        <v>5</v>
      </c>
      <c r="D76">
        <v>1</v>
      </c>
      <c r="E76">
        <f>IFERROR(INDEX(C$66:C$77,MATCH(1,A$66:A$77,0)),0)</f>
        <v>9</v>
      </c>
      <c r="F76" t="str">
        <f>IF(C76=0,"-",IF(C76&gt;E76,"W",IF(C76&lt;E76,"L",IF(AND('Picks Detail'!E97&lt;&gt;"",INDEX('Picks Detail'!F97:Q97,1,A76)&lt;&gt;"",INDEX('Picks Detail'!F97:Q97,1,D76)&lt;&gt;""),IF(ABS(INDEX('Picks Detail'!F97:Q97,1,A76)-'Picks Detail'!E97)&lt;ABS(INDEX('Picks Detail'!F97:Q97,1,D76)-'Picks Detail'!E97),"W",IF(ABS(INDEX('Picks Detail'!F97:Q97,1,A76)-'Picks Detail'!E97)&gt;ABS(INDEX('Picks Detail'!F97:Q97,1,D76)-'Picks Detail'!E97),"L","T")),"T"))))</f>
        <v>L</v>
      </c>
      <c r="G76">
        <f t="shared" si="12"/>
        <v>0</v>
      </c>
      <c r="H76">
        <f t="shared" si="13"/>
        <v>5</v>
      </c>
      <c r="I76">
        <f t="shared" si="14"/>
        <v>5</v>
      </c>
    </row>
    <row r="77" spans="1:9" ht="15" customHeight="1" x14ac:dyDescent="0.25">
      <c r="A77">
        <v>12</v>
      </c>
      <c r="B77" t="str">
        <f>Roster!B14</f>
        <v>Jake Andrews</v>
      </c>
      <c r="C77" s="3">
        <f>SUMPRODUCT(('Picks Detail'!Q82:Q96&lt;&gt;"")*('Picks Detail'!E82:E96&lt;&gt;"")*('Picks Detail'!Q82:Q96='Picks Detail'!E82:E96))</f>
        <v>4</v>
      </c>
      <c r="D77">
        <v>2</v>
      </c>
      <c r="E77">
        <f>IFERROR(INDEX(C$66:C$77,MATCH(2,A$66:A$77,0)),0)</f>
        <v>9</v>
      </c>
      <c r="F77" t="str">
        <f>IF(C77=0,"-",IF(C77&gt;E77,"W",IF(C77&lt;E77,"L",IF(AND('Picks Detail'!E97&lt;&gt;"",INDEX('Picks Detail'!F97:Q97,1,A77)&lt;&gt;"",INDEX('Picks Detail'!F97:Q97,1,D77)&lt;&gt;""),IF(ABS(INDEX('Picks Detail'!F97:Q97,1,A77)-'Picks Detail'!E97)&lt;ABS(INDEX('Picks Detail'!F97:Q97,1,D77)-'Picks Detail'!E97),"W",IF(ABS(INDEX('Picks Detail'!F97:Q97,1,A77)-'Picks Detail'!E97)&gt;ABS(INDEX('Picks Detail'!F97:Q97,1,D77)-'Picks Detail'!E97),"L","T")),"T"))))</f>
        <v>L</v>
      </c>
      <c r="G77">
        <f t="shared" si="12"/>
        <v>0</v>
      </c>
      <c r="H77">
        <f t="shared" si="13"/>
        <v>4</v>
      </c>
      <c r="I77">
        <f t="shared" si="14"/>
        <v>4</v>
      </c>
    </row>
    <row r="79" spans="1:9" ht="15" customHeight="1" x14ac:dyDescent="0.25">
      <c r="A79" s="18" t="s">
        <v>94</v>
      </c>
    </row>
    <row r="80" spans="1:9" ht="15" customHeight="1" x14ac:dyDescent="0.25">
      <c r="A80" s="2" t="s">
        <v>1</v>
      </c>
      <c r="B80" s="2" t="s">
        <v>2</v>
      </c>
      <c r="C80" s="2" t="s">
        <v>202</v>
      </c>
      <c r="D80" s="2" t="s">
        <v>203</v>
      </c>
      <c r="E80" s="2" t="s">
        <v>204</v>
      </c>
      <c r="F80" s="2" t="s">
        <v>205</v>
      </c>
      <c r="G80" s="2" t="s">
        <v>206</v>
      </c>
      <c r="H80" s="2" t="s">
        <v>207</v>
      </c>
      <c r="I80" s="2" t="s">
        <v>208</v>
      </c>
    </row>
    <row r="81" spans="1:9" ht="15" customHeight="1" x14ac:dyDescent="0.25">
      <c r="A81">
        <v>1</v>
      </c>
      <c r="B81" t="str">
        <f>Roster!B3</f>
        <v>Evan Loeser</v>
      </c>
      <c r="C81" s="3">
        <f>SUMPRODUCT(('Picks Detail'!F100:F113&lt;&gt;"")*('Picks Detail'!E100:E113&lt;&gt;"")*('Picks Detail'!F100:F113='Picks Detail'!E100:E113))</f>
        <v>5</v>
      </c>
      <c r="D81">
        <v>9</v>
      </c>
      <c r="E81">
        <f>IFERROR(INDEX(C$81:C$92,MATCH(9,A$81:A$92,0)),0)</f>
        <v>7</v>
      </c>
      <c r="F81" t="str">
        <f>IF(C81=0,"-",IF(C81&gt;E81,"W",IF(C81&lt;E81,"L",IF(AND('Picks Detail'!E114&lt;&gt;"",INDEX('Picks Detail'!F114:Q114,1,A81)&lt;&gt;"",INDEX('Picks Detail'!F114:Q114,1,D81)&lt;&gt;""),IF(ABS(INDEX('Picks Detail'!F114:Q114,1,A81)-'Picks Detail'!E114)&lt;ABS(INDEX('Picks Detail'!F114:Q114,1,D81)-'Picks Detail'!E114),"W",IF(ABS(INDEX('Picks Detail'!F114:Q114,1,A81)-'Picks Detail'!E114)&gt;ABS(INDEX('Picks Detail'!F114:Q114,1,D81)-'Picks Detail'!E114),"L","T")),"T"))))</f>
        <v>L</v>
      </c>
      <c r="G81">
        <f t="shared" ref="G81:G92" si="15">IF(F81="W",6,IF(F81="T",3,0))</f>
        <v>0</v>
      </c>
      <c r="H81">
        <f t="shared" ref="H81:H92" si="16">IF(C81="",0,C81)</f>
        <v>5</v>
      </c>
      <c r="I81">
        <f t="shared" ref="I81:I92" si="17">G81+H81</f>
        <v>5</v>
      </c>
    </row>
    <row r="82" spans="1:9" ht="15" customHeight="1" x14ac:dyDescent="0.25">
      <c r="A82">
        <v>2</v>
      </c>
      <c r="B82" t="str">
        <f>Roster!B4</f>
        <v>Chris Simmons</v>
      </c>
      <c r="C82" s="3">
        <f>SUMPRODUCT(('Picks Detail'!G100:G113&lt;&gt;"")*('Picks Detail'!E100:E113&lt;&gt;"")*('Picks Detail'!G100:G113='Picks Detail'!E100:E113))</f>
        <v>5</v>
      </c>
      <c r="D82">
        <v>10</v>
      </c>
      <c r="E82">
        <f>IFERROR(INDEX(C$81:C$92,MATCH(10,A$81:A$92,0)),0)</f>
        <v>6</v>
      </c>
      <c r="F82" t="str">
        <f>IF(C82=0,"-",IF(C82&gt;E82,"W",IF(C82&lt;E82,"L",IF(AND('Picks Detail'!E114&lt;&gt;"",INDEX('Picks Detail'!F114:Q114,1,A82)&lt;&gt;"",INDEX('Picks Detail'!F114:Q114,1,D82)&lt;&gt;""),IF(ABS(INDEX('Picks Detail'!F114:Q114,1,A82)-'Picks Detail'!E114)&lt;ABS(INDEX('Picks Detail'!F114:Q114,1,D82)-'Picks Detail'!E114),"W",IF(ABS(INDEX('Picks Detail'!F114:Q114,1,A82)-'Picks Detail'!E114)&gt;ABS(INDEX('Picks Detail'!F114:Q114,1,D82)-'Picks Detail'!E114),"L","T")),"T"))))</f>
        <v>L</v>
      </c>
      <c r="G82">
        <f t="shared" si="15"/>
        <v>0</v>
      </c>
      <c r="H82">
        <f t="shared" si="16"/>
        <v>5</v>
      </c>
      <c r="I82">
        <f t="shared" si="17"/>
        <v>5</v>
      </c>
    </row>
    <row r="83" spans="1:9" ht="15" customHeight="1" x14ac:dyDescent="0.25">
      <c r="A83">
        <v>3</v>
      </c>
      <c r="B83" t="str">
        <f>Roster!B5</f>
        <v>Jack Smith</v>
      </c>
      <c r="C83" s="3">
        <f>SUMPRODUCT(('Picks Detail'!H100:H113&lt;&gt;"")*('Picks Detail'!E100:E113&lt;&gt;"")*('Picks Detail'!H100:H113='Picks Detail'!E100:E113))</f>
        <v>7</v>
      </c>
      <c r="D83">
        <v>7</v>
      </c>
      <c r="E83">
        <f>IFERROR(INDEX(C$81:C$92,MATCH(7,A$81:A$92,0)),0)</f>
        <v>7</v>
      </c>
      <c r="F83" t="str">
        <f>IF(C83=0,"-",IF(C83&gt;E83,"W",IF(C83&lt;E83,"L",IF(AND('Picks Detail'!E114&lt;&gt;"",INDEX('Picks Detail'!F114:Q114,1,A83)&lt;&gt;"",INDEX('Picks Detail'!F114:Q114,1,D83)&lt;&gt;""),IF(ABS(INDEX('Picks Detail'!F114:Q114,1,A83)-'Picks Detail'!E114)&lt;ABS(INDEX('Picks Detail'!F114:Q114,1,D83)-'Picks Detail'!E114),"W",IF(ABS(INDEX('Picks Detail'!F114:Q114,1,A83)-'Picks Detail'!E114)&gt;ABS(INDEX('Picks Detail'!F114:Q114,1,D83)-'Picks Detail'!E114),"L","T")),"T"))))</f>
        <v>L</v>
      </c>
      <c r="G83">
        <f t="shared" si="15"/>
        <v>0</v>
      </c>
      <c r="H83">
        <f t="shared" si="16"/>
        <v>7</v>
      </c>
      <c r="I83">
        <f t="shared" si="17"/>
        <v>7</v>
      </c>
    </row>
    <row r="84" spans="1:9" ht="15" customHeight="1" x14ac:dyDescent="0.25">
      <c r="A84">
        <v>4</v>
      </c>
      <c r="B84" t="str">
        <f>Roster!B6</f>
        <v>Luke Ussery</v>
      </c>
      <c r="C84" s="3">
        <f>SUMPRODUCT(('Picks Detail'!I100:I113&lt;&gt;"")*('Picks Detail'!E100:E113&lt;&gt;"")*('Picks Detail'!I100:I113='Picks Detail'!E100:E113))</f>
        <v>0</v>
      </c>
      <c r="D84">
        <v>8</v>
      </c>
      <c r="E84">
        <f>IFERROR(INDEX(C$81:C$92,MATCH(8,A$81:A$92,0)),0)</f>
        <v>7</v>
      </c>
      <c r="F84" t="str">
        <f>IF(C84=0,"-",IF(C84&gt;E84,"W",IF(C84&lt;E84,"L",IF(AND('Picks Detail'!E114&lt;&gt;"",INDEX('Picks Detail'!F114:Q114,1,A84)&lt;&gt;"",INDEX('Picks Detail'!F114:Q114,1,D84)&lt;&gt;""),IF(ABS(INDEX('Picks Detail'!F114:Q114,1,A84)-'Picks Detail'!E114)&lt;ABS(INDEX('Picks Detail'!F114:Q114,1,D84)-'Picks Detail'!E114),"W",IF(ABS(INDEX('Picks Detail'!F114:Q114,1,A84)-'Picks Detail'!E114)&gt;ABS(INDEX('Picks Detail'!F114:Q114,1,D84)-'Picks Detail'!E114),"L","T")),"T"))))</f>
        <v>-</v>
      </c>
      <c r="G84">
        <f t="shared" si="15"/>
        <v>0</v>
      </c>
      <c r="H84">
        <f t="shared" si="16"/>
        <v>0</v>
      </c>
      <c r="I84">
        <f t="shared" si="17"/>
        <v>0</v>
      </c>
    </row>
    <row r="85" spans="1:9" ht="15" customHeight="1" x14ac:dyDescent="0.25">
      <c r="A85">
        <v>5</v>
      </c>
      <c r="B85" t="str">
        <f>Roster!B7</f>
        <v>Mikayla Simmons</v>
      </c>
      <c r="C85" s="3">
        <f>SUMPRODUCT(('Picks Detail'!J100:J113&lt;&gt;"")*('Picks Detail'!E100:E113&lt;&gt;"")*('Picks Detail'!J100:J113='Picks Detail'!E100:E113))</f>
        <v>7</v>
      </c>
      <c r="D85">
        <v>12</v>
      </c>
      <c r="E85">
        <f>IFERROR(INDEX(C$81:C$92,MATCH(12,A$81:A$92,0)),0)</f>
        <v>6</v>
      </c>
      <c r="F85" t="str">
        <f>IF(C85=0,"-",IF(C85&gt;E85,"W",IF(C85&lt;E85,"L",IF(AND('Picks Detail'!E114&lt;&gt;"",INDEX('Picks Detail'!F114:Q114,1,A85)&lt;&gt;"",INDEX('Picks Detail'!F114:Q114,1,D85)&lt;&gt;""),IF(ABS(INDEX('Picks Detail'!F114:Q114,1,A85)-'Picks Detail'!E114)&lt;ABS(INDEX('Picks Detail'!F114:Q114,1,D85)-'Picks Detail'!E114),"W",IF(ABS(INDEX('Picks Detail'!F114:Q114,1,A85)-'Picks Detail'!E114)&gt;ABS(INDEX('Picks Detail'!F114:Q114,1,D85)-'Picks Detail'!E114),"L","T")),"T"))))</f>
        <v>W</v>
      </c>
      <c r="G85">
        <f t="shared" si="15"/>
        <v>6</v>
      </c>
      <c r="H85">
        <f t="shared" si="16"/>
        <v>7</v>
      </c>
      <c r="I85">
        <f t="shared" si="17"/>
        <v>13</v>
      </c>
    </row>
    <row r="86" spans="1:9" ht="15" customHeight="1" x14ac:dyDescent="0.25">
      <c r="A86">
        <v>6</v>
      </c>
      <c r="B86" t="str">
        <f>Roster!B8</f>
        <v>Alan Loeser</v>
      </c>
      <c r="C86" s="3">
        <f>SUMPRODUCT(('Picks Detail'!K100:K113&lt;&gt;"")*('Picks Detail'!E100:E113&lt;&gt;"")*('Picks Detail'!K100:K113='Picks Detail'!E100:E113))</f>
        <v>4</v>
      </c>
      <c r="D86">
        <v>11</v>
      </c>
      <c r="E86">
        <f>IFERROR(INDEX(C$81:C$92,MATCH(11,A$81:A$92,0)),0)</f>
        <v>6</v>
      </c>
      <c r="F86" t="str">
        <f>IF(C86=0,"-",IF(C86&gt;E86,"W",IF(C86&lt;E86,"L",IF(AND('Picks Detail'!E114&lt;&gt;"",INDEX('Picks Detail'!F114:Q114,1,A86)&lt;&gt;"",INDEX('Picks Detail'!F114:Q114,1,D86)&lt;&gt;""),IF(ABS(INDEX('Picks Detail'!F114:Q114,1,A86)-'Picks Detail'!E114)&lt;ABS(INDEX('Picks Detail'!F114:Q114,1,D86)-'Picks Detail'!E114),"W",IF(ABS(INDEX('Picks Detail'!F114:Q114,1,A86)-'Picks Detail'!E114)&gt;ABS(INDEX('Picks Detail'!F114:Q114,1,D86)-'Picks Detail'!E114),"L","T")),"T"))))</f>
        <v>L</v>
      </c>
      <c r="G86">
        <f t="shared" si="15"/>
        <v>0</v>
      </c>
      <c r="H86">
        <f t="shared" si="16"/>
        <v>4</v>
      </c>
      <c r="I86">
        <f t="shared" si="17"/>
        <v>4</v>
      </c>
    </row>
    <row r="87" spans="1:9" ht="15" customHeight="1" x14ac:dyDescent="0.25">
      <c r="A87">
        <v>7</v>
      </c>
      <c r="B87" t="str">
        <f>Roster!B9</f>
        <v>Caleb Simmons</v>
      </c>
      <c r="C87" s="3">
        <f>SUMPRODUCT(('Picks Detail'!L100:L113&lt;&gt;"")*('Picks Detail'!E100:E113&lt;&gt;"")*('Picks Detail'!L100:L113='Picks Detail'!E100:E113))</f>
        <v>7</v>
      </c>
      <c r="D87">
        <v>3</v>
      </c>
      <c r="E87">
        <f>IFERROR(INDEX(C$81:C$92,MATCH(3,A$81:A$92,0)),0)</f>
        <v>7</v>
      </c>
      <c r="F87" t="str">
        <f>IF(C87=0,"-",IF(C87&gt;E87,"W",IF(C87&lt;E87,"L",IF(AND('Picks Detail'!E114&lt;&gt;"",INDEX('Picks Detail'!F114:Q114,1,A87)&lt;&gt;"",INDEX('Picks Detail'!F114:Q114,1,D87)&lt;&gt;""),IF(ABS(INDEX('Picks Detail'!F114:Q114,1,A87)-'Picks Detail'!E114)&lt;ABS(INDEX('Picks Detail'!F114:Q114,1,D87)-'Picks Detail'!E114),"W",IF(ABS(INDEX('Picks Detail'!F114:Q114,1,A87)-'Picks Detail'!E114)&gt;ABS(INDEX('Picks Detail'!F114:Q114,1,D87)-'Picks Detail'!E114),"L","T")),"T"))))</f>
        <v>W</v>
      </c>
      <c r="G87">
        <f t="shared" si="15"/>
        <v>6</v>
      </c>
      <c r="H87">
        <f t="shared" si="16"/>
        <v>7</v>
      </c>
      <c r="I87">
        <f t="shared" si="17"/>
        <v>13</v>
      </c>
    </row>
    <row r="88" spans="1:9" ht="15" customHeight="1" x14ac:dyDescent="0.25">
      <c r="A88">
        <v>8</v>
      </c>
      <c r="B88" t="str">
        <f>Roster!B10</f>
        <v>Larry Loeser</v>
      </c>
      <c r="C88" s="3">
        <f>SUMPRODUCT(('Picks Detail'!M100:M113&lt;&gt;"")*('Picks Detail'!E100:E113&lt;&gt;"")*('Picks Detail'!M100:M113='Picks Detail'!E100:E113))</f>
        <v>7</v>
      </c>
      <c r="D88">
        <v>4</v>
      </c>
      <c r="E88">
        <f>IFERROR(INDEX(C$81:C$92,MATCH(4,A$81:A$92,0)),0)</f>
        <v>0</v>
      </c>
      <c r="F88" t="str">
        <f>IF(C88=0,"-",IF(C88&gt;E88,"W",IF(C88&lt;E88,"L",IF(AND('Picks Detail'!E114&lt;&gt;"",INDEX('Picks Detail'!F114:Q114,1,A88)&lt;&gt;"",INDEX('Picks Detail'!F114:Q114,1,D88)&lt;&gt;""),IF(ABS(INDEX('Picks Detail'!F114:Q114,1,A88)-'Picks Detail'!E114)&lt;ABS(INDEX('Picks Detail'!F114:Q114,1,D88)-'Picks Detail'!E114),"W",IF(ABS(INDEX('Picks Detail'!F114:Q114,1,A88)-'Picks Detail'!E114)&gt;ABS(INDEX('Picks Detail'!F114:Q114,1,D88)-'Picks Detail'!E114),"L","T")),"T"))))</f>
        <v>W</v>
      </c>
      <c r="G88">
        <f t="shared" si="15"/>
        <v>6</v>
      </c>
      <c r="H88">
        <f t="shared" si="16"/>
        <v>7</v>
      </c>
      <c r="I88">
        <f t="shared" si="17"/>
        <v>13</v>
      </c>
    </row>
    <row r="89" spans="1:9" ht="15" customHeight="1" x14ac:dyDescent="0.25">
      <c r="A89">
        <v>9</v>
      </c>
      <c r="B89" t="str">
        <f>Roster!B11</f>
        <v>Daddy Michael</v>
      </c>
      <c r="C89" s="3">
        <f>SUMPRODUCT(('Picks Detail'!N100:N113&lt;&gt;"")*('Picks Detail'!E100:E113&lt;&gt;"")*('Picks Detail'!N100:N113='Picks Detail'!E100:E113))</f>
        <v>7</v>
      </c>
      <c r="D89">
        <v>1</v>
      </c>
      <c r="E89">
        <f>IFERROR(INDEX(C$81:C$92,MATCH(1,A$81:A$92,0)),0)</f>
        <v>5</v>
      </c>
      <c r="F89" t="str">
        <f>IF(C89=0,"-",IF(C89&gt;E89,"W",IF(C89&lt;E89,"L",IF(AND('Picks Detail'!E114&lt;&gt;"",INDEX('Picks Detail'!F114:Q114,1,A89)&lt;&gt;"",INDEX('Picks Detail'!F114:Q114,1,D89)&lt;&gt;""),IF(ABS(INDEX('Picks Detail'!F114:Q114,1,A89)-'Picks Detail'!E114)&lt;ABS(INDEX('Picks Detail'!F114:Q114,1,D89)-'Picks Detail'!E114),"W",IF(ABS(INDEX('Picks Detail'!F114:Q114,1,A89)-'Picks Detail'!E114)&gt;ABS(INDEX('Picks Detail'!F114:Q114,1,D89)-'Picks Detail'!E114),"L","T")),"T"))))</f>
        <v>W</v>
      </c>
      <c r="G89">
        <f t="shared" si="15"/>
        <v>6</v>
      </c>
      <c r="H89">
        <f t="shared" si="16"/>
        <v>7</v>
      </c>
      <c r="I89">
        <f t="shared" si="17"/>
        <v>13</v>
      </c>
    </row>
    <row r="90" spans="1:9" ht="15" customHeight="1" x14ac:dyDescent="0.25">
      <c r="A90">
        <v>10</v>
      </c>
      <c r="B90" t="str">
        <f>Roster!B12</f>
        <v>Zach Zarra</v>
      </c>
      <c r="C90" s="3">
        <f>SUMPRODUCT(('Picks Detail'!O100:O113&lt;&gt;"")*('Picks Detail'!E100:E113&lt;&gt;"")*('Picks Detail'!O100:O113='Picks Detail'!E100:E113))</f>
        <v>6</v>
      </c>
      <c r="D90">
        <v>2</v>
      </c>
      <c r="E90">
        <f>IFERROR(INDEX(C$81:C$92,MATCH(2,A$81:A$92,0)),0)</f>
        <v>5</v>
      </c>
      <c r="F90" t="str">
        <f>IF(C90=0,"-",IF(C90&gt;E90,"W",IF(C90&lt;E90,"L",IF(AND('Picks Detail'!E114&lt;&gt;"",INDEX('Picks Detail'!F114:Q114,1,A90)&lt;&gt;"",INDEX('Picks Detail'!F114:Q114,1,D90)&lt;&gt;""),IF(ABS(INDEX('Picks Detail'!F114:Q114,1,A90)-'Picks Detail'!E114)&lt;ABS(INDEX('Picks Detail'!F114:Q114,1,D90)-'Picks Detail'!E114),"W",IF(ABS(INDEX('Picks Detail'!F114:Q114,1,A90)-'Picks Detail'!E114)&gt;ABS(INDEX('Picks Detail'!F114:Q114,1,D90)-'Picks Detail'!E114),"L","T")),"T"))))</f>
        <v>W</v>
      </c>
      <c r="G90">
        <f t="shared" si="15"/>
        <v>6</v>
      </c>
      <c r="H90">
        <f t="shared" si="16"/>
        <v>6</v>
      </c>
      <c r="I90">
        <f t="shared" si="17"/>
        <v>12</v>
      </c>
    </row>
    <row r="91" spans="1:9" ht="15" customHeight="1" x14ac:dyDescent="0.25">
      <c r="A91">
        <v>11</v>
      </c>
      <c r="B91" t="str">
        <f>Roster!B13</f>
        <v>Jeffrey Loeser</v>
      </c>
      <c r="C91" s="3">
        <f>SUMPRODUCT(('Picks Detail'!P100:P113&lt;&gt;"")*('Picks Detail'!E100:E113&lt;&gt;"")*('Picks Detail'!P100:P113='Picks Detail'!E100:E113))</f>
        <v>6</v>
      </c>
      <c r="D91">
        <v>6</v>
      </c>
      <c r="E91">
        <f>IFERROR(INDEX(C$81:C$92,MATCH(6,A$81:A$92,0)),0)</f>
        <v>4</v>
      </c>
      <c r="F91" t="str">
        <f>IF(C91=0,"-",IF(C91&gt;E91,"W",IF(C91&lt;E91,"L",IF(AND('Picks Detail'!E114&lt;&gt;"",INDEX('Picks Detail'!F114:Q114,1,A91)&lt;&gt;"",INDEX('Picks Detail'!F114:Q114,1,D91)&lt;&gt;""),IF(ABS(INDEX('Picks Detail'!F114:Q114,1,A91)-'Picks Detail'!E114)&lt;ABS(INDEX('Picks Detail'!F114:Q114,1,D91)-'Picks Detail'!E114),"W",IF(ABS(INDEX('Picks Detail'!F114:Q114,1,A91)-'Picks Detail'!E114)&gt;ABS(INDEX('Picks Detail'!F114:Q114,1,D91)-'Picks Detail'!E114),"L","T")),"T"))))</f>
        <v>W</v>
      </c>
      <c r="G91">
        <f t="shared" si="15"/>
        <v>6</v>
      </c>
      <c r="H91">
        <f t="shared" si="16"/>
        <v>6</v>
      </c>
      <c r="I91">
        <f t="shared" si="17"/>
        <v>12</v>
      </c>
    </row>
    <row r="92" spans="1:9" ht="15" customHeight="1" x14ac:dyDescent="0.25">
      <c r="A92">
        <v>12</v>
      </c>
      <c r="B92" t="str">
        <f>Roster!B14</f>
        <v>Jake Andrews</v>
      </c>
      <c r="C92" s="3">
        <f>SUMPRODUCT(('Picks Detail'!Q100:Q113&lt;&gt;"")*('Picks Detail'!E100:E113&lt;&gt;"")*('Picks Detail'!Q100:Q113='Picks Detail'!E100:E113))</f>
        <v>6</v>
      </c>
      <c r="D92">
        <v>5</v>
      </c>
      <c r="E92">
        <f>IFERROR(INDEX(C$81:C$92,MATCH(5,A$81:A$92,0)),0)</f>
        <v>7</v>
      </c>
      <c r="F92" t="str">
        <f>IF(C92=0,"-",IF(C92&gt;E92,"W",IF(C92&lt;E92,"L",IF(AND('Picks Detail'!E114&lt;&gt;"",INDEX('Picks Detail'!F114:Q114,1,A92)&lt;&gt;"",INDEX('Picks Detail'!F114:Q114,1,D92)&lt;&gt;""),IF(ABS(INDEX('Picks Detail'!F114:Q114,1,A92)-'Picks Detail'!E114)&lt;ABS(INDEX('Picks Detail'!F114:Q114,1,D92)-'Picks Detail'!E114),"W",IF(ABS(INDEX('Picks Detail'!F114:Q114,1,A92)-'Picks Detail'!E114)&gt;ABS(INDEX('Picks Detail'!F114:Q114,1,D92)-'Picks Detail'!E114),"L","T")),"T"))))</f>
        <v>L</v>
      </c>
      <c r="G92">
        <f t="shared" si="15"/>
        <v>0</v>
      </c>
      <c r="H92">
        <f t="shared" si="16"/>
        <v>6</v>
      </c>
      <c r="I92">
        <f t="shared" si="17"/>
        <v>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2"/>
  <sheetViews>
    <sheetView tabSelected="1" zoomScaleNormal="100" workbookViewId="0">
      <selection activeCell="R16" sqref="R16"/>
    </sheetView>
  </sheetViews>
  <sheetFormatPr defaultColWidth="8.7109375" defaultRowHeight="15" x14ac:dyDescent="0.25"/>
  <cols>
    <col min="1" max="1" width="10" customWidth="1"/>
    <col min="2" max="2" width="16" customWidth="1"/>
    <col min="3" max="9" width="14" customWidth="1"/>
  </cols>
  <sheetData>
    <row r="1" spans="1:9" ht="17.25" customHeight="1" x14ac:dyDescent="0.25">
      <c r="A1" s="23" t="s">
        <v>209</v>
      </c>
      <c r="B1" s="23"/>
      <c r="C1" s="23"/>
      <c r="D1" s="23"/>
      <c r="E1" s="23"/>
      <c r="F1" s="23"/>
      <c r="G1" s="23"/>
      <c r="H1" s="23"/>
      <c r="I1" s="23"/>
    </row>
    <row r="2" spans="1:9" ht="15" customHeight="1" x14ac:dyDescent="0.25">
      <c r="A2" s="5" t="s">
        <v>210</v>
      </c>
    </row>
    <row r="4" spans="1:9" ht="15" customHeight="1" x14ac:dyDescent="0.25">
      <c r="A4" s="18" t="s">
        <v>95</v>
      </c>
    </row>
    <row r="5" spans="1:9" ht="15" customHeight="1" x14ac:dyDescent="0.25">
      <c r="A5" s="2" t="s">
        <v>1</v>
      </c>
      <c r="B5" s="2" t="s">
        <v>2</v>
      </c>
      <c r="C5" s="2" t="s">
        <v>211</v>
      </c>
      <c r="D5" s="2" t="s">
        <v>203</v>
      </c>
      <c r="E5" s="2" t="s">
        <v>212</v>
      </c>
      <c r="F5" s="2" t="s">
        <v>205</v>
      </c>
      <c r="G5" s="2" t="s">
        <v>206</v>
      </c>
      <c r="H5" s="2" t="s">
        <v>207</v>
      </c>
      <c r="I5" s="2" t="s">
        <v>208</v>
      </c>
    </row>
    <row r="6" spans="1:9" ht="15" customHeight="1" x14ac:dyDescent="0.25">
      <c r="A6">
        <v>1</v>
      </c>
      <c r="B6" t="str">
        <f>Roster!B3</f>
        <v>Evan Loeser</v>
      </c>
      <c r="C6" s="3">
        <f>SUMPRODUCT(('Picks Detail'!F117:F130&lt;&gt;"")*('Picks Detail'!E117:E130&lt;&gt;"")*('Picks Detail'!F117:F130='Picks Detail'!E117:E130)*('Picks Detail'!S117:S130))</f>
        <v>0</v>
      </c>
      <c r="D6">
        <v>10</v>
      </c>
      <c r="E6">
        <f>IFERROR(INDEX(C$6:C$17,MATCH(10,A$6:A$17,0)),0)</f>
        <v>0</v>
      </c>
      <c r="F6" t="str">
        <f>IF(C6=0,"-",IF(C6&gt;E6,"W",IF(C6&lt;E6,"L",IF(AND('Picks Detail'!E131&lt;&gt;"",INDEX('Picks Detail'!F131:Q131,1,A6)&lt;&gt;"",INDEX('Picks Detail'!F131:Q131,1,D6)&lt;&gt;""),IF(ABS(INDEX('Picks Detail'!F131:Q131,1,A6)-'Picks Detail'!E131)&lt;ABS(INDEX('Picks Detail'!F131:Q131,1,D6)-'Picks Detail'!E131),"W",IF(ABS(INDEX('Picks Detail'!F131:Q131,1,A6)-'Picks Detail'!E131)&gt;ABS(INDEX('Picks Detail'!F131:Q131,1,D6)-'Picks Detail'!E131),"L","T")),"T"))))</f>
        <v>-</v>
      </c>
      <c r="G6">
        <f t="shared" ref="G6:G17" si="0">IF(F6="W",10,IF(F6="T",5,0))</f>
        <v>0</v>
      </c>
      <c r="H6">
        <f t="shared" ref="H6:H17" si="1">IF(C6="",0,C6)</f>
        <v>0</v>
      </c>
      <c r="I6">
        <f t="shared" ref="I6:I17" si="2">G6+H6</f>
        <v>0</v>
      </c>
    </row>
    <row r="7" spans="1:9" ht="15" customHeight="1" x14ac:dyDescent="0.25">
      <c r="A7">
        <v>2</v>
      </c>
      <c r="B7" t="str">
        <f>Roster!B4</f>
        <v>Chris Simmons</v>
      </c>
      <c r="C7" s="3">
        <f>SUMPRODUCT(('Picks Detail'!G117:G130&lt;&gt;"")*('Picks Detail'!E117:E130&lt;&gt;"")*('Picks Detail'!G117:G130='Picks Detail'!E117:E130)*('Picks Detail'!T117:T130))</f>
        <v>0</v>
      </c>
      <c r="D7">
        <v>9</v>
      </c>
      <c r="E7">
        <f>IFERROR(INDEX(C$6:C$17,MATCH(9,A$6:A$17,0)),0)</f>
        <v>0</v>
      </c>
      <c r="F7" t="str">
        <f>IF(C7=0,"-",IF(C7&gt;E7,"W",IF(C7&lt;E7,"L",IF(AND('Picks Detail'!E131&lt;&gt;"",INDEX('Picks Detail'!F131:Q131,1,A7)&lt;&gt;"",INDEX('Picks Detail'!F131:Q131,1,D7)&lt;&gt;""),IF(ABS(INDEX('Picks Detail'!F131:Q131,1,A7)-'Picks Detail'!E131)&lt;ABS(INDEX('Picks Detail'!F131:Q131,1,D7)-'Picks Detail'!E131),"W",IF(ABS(INDEX('Picks Detail'!F131:Q131,1,A7)-'Picks Detail'!E131)&gt;ABS(INDEX('Picks Detail'!F131:Q131,1,D7)-'Picks Detail'!E131),"L","T")),"T"))))</f>
        <v>-</v>
      </c>
      <c r="G7">
        <f t="shared" si="0"/>
        <v>0</v>
      </c>
      <c r="H7">
        <f t="shared" si="1"/>
        <v>0</v>
      </c>
      <c r="I7">
        <f t="shared" si="2"/>
        <v>0</v>
      </c>
    </row>
    <row r="8" spans="1:9" ht="15" customHeight="1" x14ac:dyDescent="0.25">
      <c r="A8">
        <v>3</v>
      </c>
      <c r="B8" t="str">
        <f>Roster!B5</f>
        <v>Jack Smith</v>
      </c>
      <c r="C8" s="3">
        <f>SUMPRODUCT(('Picks Detail'!H117:H130&lt;&gt;"")*('Picks Detail'!E117:E130&lt;&gt;"")*('Picks Detail'!H117:H130='Picks Detail'!E117:E130)*('Picks Detail'!U117:U130))</f>
        <v>0</v>
      </c>
      <c r="D8">
        <v>8</v>
      </c>
      <c r="E8">
        <f>IFERROR(INDEX(C$6:C$17,MATCH(8,A$6:A$17,0)),0)</f>
        <v>0</v>
      </c>
      <c r="F8" t="str">
        <f>IF(C8=0,"-",IF(C8&gt;E8,"W",IF(C8&lt;E8,"L",IF(AND('Picks Detail'!E131&lt;&gt;"",INDEX('Picks Detail'!F131:Q131,1,A8)&lt;&gt;"",INDEX('Picks Detail'!F131:Q131,1,D8)&lt;&gt;""),IF(ABS(INDEX('Picks Detail'!F131:Q131,1,A8)-'Picks Detail'!E131)&lt;ABS(INDEX('Picks Detail'!F131:Q131,1,D8)-'Picks Detail'!E131),"W",IF(ABS(INDEX('Picks Detail'!F131:Q131,1,A8)-'Picks Detail'!E131)&gt;ABS(INDEX('Picks Detail'!F131:Q131,1,D8)-'Picks Detail'!E131),"L","T")),"T"))))</f>
        <v>-</v>
      </c>
      <c r="G8">
        <f t="shared" si="0"/>
        <v>0</v>
      </c>
      <c r="H8">
        <f t="shared" si="1"/>
        <v>0</v>
      </c>
      <c r="I8">
        <f t="shared" si="2"/>
        <v>0</v>
      </c>
    </row>
    <row r="9" spans="1:9" ht="15" customHeight="1" x14ac:dyDescent="0.25">
      <c r="A9">
        <v>4</v>
      </c>
      <c r="B9" t="str">
        <f>Roster!B6</f>
        <v>Luke Ussery</v>
      </c>
      <c r="C9" s="3">
        <f>SUMPRODUCT(('Picks Detail'!I117:I130&lt;&gt;"")*('Picks Detail'!E117:E130&lt;&gt;"")*('Picks Detail'!I117:I130='Picks Detail'!E117:E130)*('Picks Detail'!V117:V130))</f>
        <v>0</v>
      </c>
      <c r="D9">
        <v>7</v>
      </c>
      <c r="E9">
        <f>IFERROR(INDEX(C$6:C$17,MATCH(7,A$6:A$17,0)),0)</f>
        <v>0</v>
      </c>
      <c r="F9" t="str">
        <f>IF(C9=0,"-",IF(C9&gt;E9,"W",IF(C9&lt;E9,"L",IF(AND('Picks Detail'!E131&lt;&gt;"",INDEX('Picks Detail'!F131:Q131,1,A9)&lt;&gt;"",INDEX('Picks Detail'!F131:Q131,1,D9)&lt;&gt;""),IF(ABS(INDEX('Picks Detail'!F131:Q131,1,A9)-'Picks Detail'!E131)&lt;ABS(INDEX('Picks Detail'!F131:Q131,1,D9)-'Picks Detail'!E131),"W",IF(ABS(INDEX('Picks Detail'!F131:Q131,1,A9)-'Picks Detail'!E131)&gt;ABS(INDEX('Picks Detail'!F131:Q131,1,D9)-'Picks Detail'!E131),"L","T")),"T"))))</f>
        <v>-</v>
      </c>
      <c r="G9">
        <f t="shared" si="0"/>
        <v>0</v>
      </c>
      <c r="H9">
        <f t="shared" si="1"/>
        <v>0</v>
      </c>
      <c r="I9">
        <f t="shared" si="2"/>
        <v>0</v>
      </c>
    </row>
    <row r="10" spans="1:9" ht="15" customHeight="1" x14ac:dyDescent="0.25">
      <c r="A10">
        <v>5</v>
      </c>
      <c r="B10" t="str">
        <f>Roster!B7</f>
        <v>Mikayla Simmons</v>
      </c>
      <c r="C10" s="3">
        <f>SUMPRODUCT(('Picks Detail'!J117:J130&lt;&gt;"")*('Picks Detail'!E117:E130&lt;&gt;"")*('Picks Detail'!J117:J130='Picks Detail'!E117:E130)*('Picks Detail'!W117:W130))</f>
        <v>0</v>
      </c>
      <c r="D10">
        <v>11</v>
      </c>
      <c r="E10">
        <f>IFERROR(INDEX(C$6:C$17,MATCH(11,A$6:A$17,0)),0)</f>
        <v>0</v>
      </c>
      <c r="F10" t="str">
        <f>IF(C10=0,"-",IF(C10&gt;E10,"W",IF(C10&lt;E10,"L",IF(AND('Picks Detail'!E131&lt;&gt;"",INDEX('Picks Detail'!F131:Q131,1,A10)&lt;&gt;"",INDEX('Picks Detail'!F131:Q131,1,D10)&lt;&gt;""),IF(ABS(INDEX('Picks Detail'!F131:Q131,1,A10)-'Picks Detail'!E131)&lt;ABS(INDEX('Picks Detail'!F131:Q131,1,D10)-'Picks Detail'!E131),"W",IF(ABS(INDEX('Picks Detail'!F131:Q131,1,A10)-'Picks Detail'!E131)&gt;ABS(INDEX('Picks Detail'!F131:Q131,1,D10)-'Picks Detail'!E131),"L","T")),"T"))))</f>
        <v>-</v>
      </c>
      <c r="G10">
        <f t="shared" si="0"/>
        <v>0</v>
      </c>
      <c r="H10">
        <f t="shared" si="1"/>
        <v>0</v>
      </c>
      <c r="I10">
        <f t="shared" si="2"/>
        <v>0</v>
      </c>
    </row>
    <row r="11" spans="1:9" ht="15" customHeight="1" x14ac:dyDescent="0.25">
      <c r="A11">
        <v>6</v>
      </c>
      <c r="B11" t="str">
        <f>Roster!B8</f>
        <v>Alan Loeser</v>
      </c>
      <c r="C11" s="3">
        <f>SUMPRODUCT(('Picks Detail'!K117:K130&lt;&gt;"")*('Picks Detail'!E117:E130&lt;&gt;"")*('Picks Detail'!K117:K130='Picks Detail'!E117:E130)*('Picks Detail'!X117:X130))</f>
        <v>0</v>
      </c>
      <c r="D11">
        <v>12</v>
      </c>
      <c r="E11">
        <f>IFERROR(INDEX(C$6:C$17,MATCH(12,A$6:A$17,0)),0)</f>
        <v>0</v>
      </c>
      <c r="F11" t="str">
        <f>IF(C11=0,"-",IF(C11&gt;E11,"W",IF(C11&lt;E11,"L",IF(AND('Picks Detail'!E131&lt;&gt;"",INDEX('Picks Detail'!F131:Q131,1,A11)&lt;&gt;"",INDEX('Picks Detail'!F131:Q131,1,D11)&lt;&gt;""),IF(ABS(INDEX('Picks Detail'!F131:Q131,1,A11)-'Picks Detail'!E131)&lt;ABS(INDEX('Picks Detail'!F131:Q131,1,D11)-'Picks Detail'!E131),"W",IF(ABS(INDEX('Picks Detail'!F131:Q131,1,A11)-'Picks Detail'!E131)&gt;ABS(INDEX('Picks Detail'!F131:Q131,1,D11)-'Picks Detail'!E131),"L","T")),"T"))))</f>
        <v>-</v>
      </c>
      <c r="G11">
        <f t="shared" si="0"/>
        <v>0</v>
      </c>
      <c r="H11">
        <f t="shared" si="1"/>
        <v>0</v>
      </c>
      <c r="I11">
        <f t="shared" si="2"/>
        <v>0</v>
      </c>
    </row>
    <row r="12" spans="1:9" ht="15" customHeight="1" x14ac:dyDescent="0.25">
      <c r="A12">
        <v>7</v>
      </c>
      <c r="B12" t="str">
        <f>Roster!B9</f>
        <v>Caleb Simmons</v>
      </c>
      <c r="C12" s="3">
        <f>SUMPRODUCT(('Picks Detail'!L117:L130&lt;&gt;"")*('Picks Detail'!E117:E130&lt;&gt;"")*('Picks Detail'!L117:L130='Picks Detail'!E117:E130)*('Picks Detail'!Y117:Y130))</f>
        <v>0</v>
      </c>
      <c r="D12">
        <v>4</v>
      </c>
      <c r="E12">
        <f>IFERROR(INDEX(C$6:C$17,MATCH(4,A$6:A$17,0)),0)</f>
        <v>0</v>
      </c>
      <c r="F12" t="str">
        <f>IF(C12=0,"-",IF(C12&gt;E12,"W",IF(C12&lt;E12,"L",IF(AND('Picks Detail'!E131&lt;&gt;"",INDEX('Picks Detail'!F131:Q131,1,A12)&lt;&gt;"",INDEX('Picks Detail'!F131:Q131,1,D12)&lt;&gt;""),IF(ABS(INDEX('Picks Detail'!F131:Q131,1,A12)-'Picks Detail'!E131)&lt;ABS(INDEX('Picks Detail'!F131:Q131,1,D12)-'Picks Detail'!E131),"W",IF(ABS(INDEX('Picks Detail'!F131:Q131,1,A12)-'Picks Detail'!E131)&gt;ABS(INDEX('Picks Detail'!F131:Q131,1,D12)-'Picks Detail'!E131),"L","T")),"T"))))</f>
        <v>-</v>
      </c>
      <c r="G12">
        <f t="shared" si="0"/>
        <v>0</v>
      </c>
      <c r="H12">
        <f t="shared" si="1"/>
        <v>0</v>
      </c>
      <c r="I12">
        <f t="shared" si="2"/>
        <v>0</v>
      </c>
    </row>
    <row r="13" spans="1:9" ht="15" customHeight="1" x14ac:dyDescent="0.25">
      <c r="A13">
        <v>8</v>
      </c>
      <c r="B13" t="str">
        <f>Roster!B10</f>
        <v>Larry Loeser</v>
      </c>
      <c r="C13" s="3">
        <f>SUMPRODUCT(('Picks Detail'!M117:M130&lt;&gt;"")*('Picks Detail'!E117:E130&lt;&gt;"")*('Picks Detail'!M117:M130='Picks Detail'!E117:E130)*('Picks Detail'!Z117:Z130))</f>
        <v>0</v>
      </c>
      <c r="D13">
        <v>3</v>
      </c>
      <c r="E13">
        <f>IFERROR(INDEX(C$6:C$17,MATCH(3,A$6:A$17,0)),0)</f>
        <v>0</v>
      </c>
      <c r="F13" t="str">
        <f>IF(C13=0,"-",IF(C13&gt;E13,"W",IF(C13&lt;E13,"L",IF(AND('Picks Detail'!E131&lt;&gt;"",INDEX('Picks Detail'!F131:Q131,1,A13)&lt;&gt;"",INDEX('Picks Detail'!F131:Q131,1,D13)&lt;&gt;""),IF(ABS(INDEX('Picks Detail'!F131:Q131,1,A13)-'Picks Detail'!E131)&lt;ABS(INDEX('Picks Detail'!F131:Q131,1,D13)-'Picks Detail'!E131),"W",IF(ABS(INDEX('Picks Detail'!F131:Q131,1,A13)-'Picks Detail'!E131)&gt;ABS(INDEX('Picks Detail'!F131:Q131,1,D13)-'Picks Detail'!E131),"L","T")),"T"))))</f>
        <v>-</v>
      </c>
      <c r="G13">
        <f t="shared" si="0"/>
        <v>0</v>
      </c>
      <c r="H13">
        <f t="shared" si="1"/>
        <v>0</v>
      </c>
      <c r="I13">
        <f t="shared" si="2"/>
        <v>0</v>
      </c>
    </row>
    <row r="14" spans="1:9" ht="15" customHeight="1" x14ac:dyDescent="0.25">
      <c r="A14">
        <v>9</v>
      </c>
      <c r="B14" t="str">
        <f>Roster!B11</f>
        <v>Daddy Michael</v>
      </c>
      <c r="C14" s="3">
        <f>SUMPRODUCT(('Picks Detail'!N117:N130&lt;&gt;"")*('Picks Detail'!E117:E130&lt;&gt;"")*('Picks Detail'!N117:N130='Picks Detail'!E117:E130)*('Picks Detail'!AA117:AA130))</f>
        <v>0</v>
      </c>
      <c r="D14">
        <v>2</v>
      </c>
      <c r="E14">
        <f>IFERROR(INDEX(C$6:C$17,MATCH(2,A$6:A$17,0)),0)</f>
        <v>0</v>
      </c>
      <c r="F14" t="str">
        <f>IF(C14=0,"-",IF(C14&gt;E14,"W",IF(C14&lt;E14,"L",IF(AND('Picks Detail'!E131&lt;&gt;"",INDEX('Picks Detail'!F131:Q131,1,A14)&lt;&gt;"",INDEX('Picks Detail'!F131:Q131,1,D14)&lt;&gt;""),IF(ABS(INDEX('Picks Detail'!F131:Q131,1,A14)-'Picks Detail'!E131)&lt;ABS(INDEX('Picks Detail'!F131:Q131,1,D14)-'Picks Detail'!E131),"W",IF(ABS(INDEX('Picks Detail'!F131:Q131,1,A14)-'Picks Detail'!E131)&gt;ABS(INDEX('Picks Detail'!F131:Q131,1,D14)-'Picks Detail'!E131),"L","T")),"T"))))</f>
        <v>-</v>
      </c>
      <c r="G14">
        <f t="shared" si="0"/>
        <v>0</v>
      </c>
      <c r="H14">
        <f t="shared" si="1"/>
        <v>0</v>
      </c>
      <c r="I14">
        <f t="shared" si="2"/>
        <v>0</v>
      </c>
    </row>
    <row r="15" spans="1:9" ht="15" customHeight="1" x14ac:dyDescent="0.25">
      <c r="A15">
        <v>10</v>
      </c>
      <c r="B15" t="str">
        <f>Roster!B12</f>
        <v>Zach Zarra</v>
      </c>
      <c r="C15" s="3">
        <f>SUMPRODUCT(('Picks Detail'!O117:O130&lt;&gt;"")*('Picks Detail'!E117:E130&lt;&gt;"")*('Picks Detail'!O117:O130='Picks Detail'!E117:E130)*('Picks Detail'!AB117:AB130))</f>
        <v>0</v>
      </c>
      <c r="D15">
        <v>1</v>
      </c>
      <c r="E15">
        <f>IFERROR(INDEX(C$6:C$17,MATCH(1,A$6:A$17,0)),0)</f>
        <v>0</v>
      </c>
      <c r="F15" t="str">
        <f>IF(C15=0,"-",IF(C15&gt;E15,"W",IF(C15&lt;E15,"L",IF(AND('Picks Detail'!E131&lt;&gt;"",INDEX('Picks Detail'!F131:Q131,1,A15)&lt;&gt;"",INDEX('Picks Detail'!F131:Q131,1,D15)&lt;&gt;""),IF(ABS(INDEX('Picks Detail'!F131:Q131,1,A15)-'Picks Detail'!E131)&lt;ABS(INDEX('Picks Detail'!F131:Q131,1,D15)-'Picks Detail'!E131),"W",IF(ABS(INDEX('Picks Detail'!F131:Q131,1,A15)-'Picks Detail'!E131)&gt;ABS(INDEX('Picks Detail'!F131:Q131,1,D15)-'Picks Detail'!E131),"L","T")),"T"))))</f>
        <v>-</v>
      </c>
      <c r="G15">
        <f t="shared" si="0"/>
        <v>0</v>
      </c>
      <c r="H15">
        <f t="shared" si="1"/>
        <v>0</v>
      </c>
      <c r="I15">
        <f t="shared" si="2"/>
        <v>0</v>
      </c>
    </row>
    <row r="16" spans="1:9" ht="15" customHeight="1" x14ac:dyDescent="0.25">
      <c r="A16">
        <v>11</v>
      </c>
      <c r="B16" t="str">
        <f>Roster!B13</f>
        <v>Jeffrey Loeser</v>
      </c>
      <c r="C16" s="3">
        <f>SUMPRODUCT(('Picks Detail'!P117:P130&lt;&gt;"")*('Picks Detail'!E117:E130&lt;&gt;"")*('Picks Detail'!P117:P130='Picks Detail'!E117:E130)*('Picks Detail'!AC117:AC130))</f>
        <v>0</v>
      </c>
      <c r="D16">
        <v>5</v>
      </c>
      <c r="E16">
        <f>IFERROR(INDEX(C$6:C$17,MATCH(5,A$6:A$17,0)),0)</f>
        <v>0</v>
      </c>
      <c r="F16" t="str">
        <f>IF(C16=0,"-",IF(C16&gt;E16,"W",IF(C16&lt;E16,"L",IF(AND('Picks Detail'!E131&lt;&gt;"",INDEX('Picks Detail'!F131:Q131,1,A16)&lt;&gt;"",INDEX('Picks Detail'!F131:Q131,1,D16)&lt;&gt;""),IF(ABS(INDEX('Picks Detail'!F131:Q131,1,A16)-'Picks Detail'!E131)&lt;ABS(INDEX('Picks Detail'!F131:Q131,1,D16)-'Picks Detail'!E131),"W",IF(ABS(INDEX('Picks Detail'!F131:Q131,1,A16)-'Picks Detail'!E131)&gt;ABS(INDEX('Picks Detail'!F131:Q131,1,D16)-'Picks Detail'!E131),"L","T")),"T"))))</f>
        <v>-</v>
      </c>
      <c r="G16">
        <f t="shared" si="0"/>
        <v>0</v>
      </c>
      <c r="H16">
        <f t="shared" si="1"/>
        <v>0</v>
      </c>
      <c r="I16">
        <f t="shared" si="2"/>
        <v>0</v>
      </c>
    </row>
    <row r="17" spans="1:9" ht="15" customHeight="1" x14ac:dyDescent="0.25">
      <c r="A17">
        <v>12</v>
      </c>
      <c r="B17" t="str">
        <f>Roster!B14</f>
        <v>Jake Andrews</v>
      </c>
      <c r="C17" s="3">
        <f>SUMPRODUCT(('Picks Detail'!Q117:Q130&lt;&gt;"")*('Picks Detail'!E117:E130&lt;&gt;"")*('Picks Detail'!Q117:Q130='Picks Detail'!E117:E130)*('Picks Detail'!AD117:AD130))</f>
        <v>0</v>
      </c>
      <c r="D17">
        <v>6</v>
      </c>
      <c r="E17">
        <f>IFERROR(INDEX(C$6:C$17,MATCH(6,A$6:A$17,0)),0)</f>
        <v>0</v>
      </c>
      <c r="F17" t="str">
        <f>IF(C17=0,"-",IF(C17&gt;E17,"W",IF(C17&lt;E17,"L",IF(AND('Picks Detail'!E131&lt;&gt;"",INDEX('Picks Detail'!F131:Q131,1,A17)&lt;&gt;"",INDEX('Picks Detail'!F131:Q131,1,D17)&lt;&gt;""),IF(ABS(INDEX('Picks Detail'!F131:Q131,1,A17)-'Picks Detail'!E131)&lt;ABS(INDEX('Picks Detail'!F131:Q131,1,D17)-'Picks Detail'!E131),"W",IF(ABS(INDEX('Picks Detail'!F131:Q131,1,A17)-'Picks Detail'!E131)&gt;ABS(INDEX('Picks Detail'!F131:Q131,1,D17)-'Picks Detail'!E131),"L","T")),"T"))))</f>
        <v>-</v>
      </c>
      <c r="G17">
        <f t="shared" si="0"/>
        <v>0</v>
      </c>
      <c r="H17">
        <f t="shared" si="1"/>
        <v>0</v>
      </c>
      <c r="I17">
        <f t="shared" si="2"/>
        <v>0</v>
      </c>
    </row>
    <row r="19" spans="1:9" ht="15" customHeight="1" x14ac:dyDescent="0.25">
      <c r="A19" s="18" t="s">
        <v>109</v>
      </c>
    </row>
    <row r="20" spans="1:9" ht="15" customHeight="1" x14ac:dyDescent="0.25">
      <c r="A20" s="2" t="s">
        <v>1</v>
      </c>
      <c r="B20" s="2" t="s">
        <v>2</v>
      </c>
      <c r="C20" s="2" t="s">
        <v>211</v>
      </c>
      <c r="D20" s="2" t="s">
        <v>203</v>
      </c>
      <c r="E20" s="2" t="s">
        <v>212</v>
      </c>
      <c r="F20" s="2" t="s">
        <v>205</v>
      </c>
      <c r="G20" s="2" t="s">
        <v>206</v>
      </c>
      <c r="H20" s="2" t="s">
        <v>207</v>
      </c>
      <c r="I20" s="2" t="s">
        <v>208</v>
      </c>
    </row>
    <row r="21" spans="1:9" ht="15" customHeight="1" x14ac:dyDescent="0.25">
      <c r="A21">
        <v>1</v>
      </c>
      <c r="B21" t="str">
        <f>Roster!B3</f>
        <v>Evan Loeser</v>
      </c>
      <c r="C21" s="3">
        <f>SUMPRODUCT(('Picks Detail'!F134:F147&lt;&gt;"")*('Picks Detail'!E134:E147&lt;&gt;"")*('Picks Detail'!F134:F147='Picks Detail'!E134:E147)*('Picks Detail'!S134:S147))</f>
        <v>0</v>
      </c>
      <c r="D21">
        <v>12</v>
      </c>
      <c r="E21">
        <f>IFERROR(INDEX(C$21:C$32,MATCH(12,A$21:A$32,0)),0)</f>
        <v>0</v>
      </c>
      <c r="F21" t="str">
        <f>IF(C21=0,"-",IF(C21&gt;E21,"W",IF(C21&lt;E21,"L",IF(AND('Picks Detail'!E148&lt;&gt;"",INDEX('Picks Detail'!F148:Q148,1,A21)&lt;&gt;"",INDEX('Picks Detail'!F148:Q148,1,D21)&lt;&gt;""),IF(ABS(INDEX('Picks Detail'!F148:Q148,1,A21)-'Picks Detail'!E148)&lt;ABS(INDEX('Picks Detail'!F148:Q148,1,D21)-'Picks Detail'!E148),"W",IF(ABS(INDEX('Picks Detail'!F148:Q148,1,A21)-'Picks Detail'!E148)&gt;ABS(INDEX('Picks Detail'!F148:Q148,1,D21)-'Picks Detail'!E148),"L","T")),"T"))))</f>
        <v>-</v>
      </c>
      <c r="G21">
        <f t="shared" ref="G21:G32" si="3">IF(F21="W",10,IF(F21="T",5,0))</f>
        <v>0</v>
      </c>
      <c r="H21">
        <f t="shared" ref="H21:H32" si="4">IF(C21="",0,C21)</f>
        <v>0</v>
      </c>
      <c r="I21">
        <f t="shared" ref="I21:I32" si="5">G21+H21</f>
        <v>0</v>
      </c>
    </row>
    <row r="22" spans="1:9" ht="15" customHeight="1" x14ac:dyDescent="0.25">
      <c r="A22">
        <v>2</v>
      </c>
      <c r="B22" t="str">
        <f>Roster!B4</f>
        <v>Chris Simmons</v>
      </c>
      <c r="C22" s="3">
        <f>SUMPRODUCT(('Picks Detail'!G134:G147&lt;&gt;"")*('Picks Detail'!E134:E147&lt;&gt;"")*('Picks Detail'!G134:G147='Picks Detail'!E134:E147)*('Picks Detail'!T134:T147))</f>
        <v>0</v>
      </c>
      <c r="D22">
        <v>11</v>
      </c>
      <c r="E22">
        <f>IFERROR(INDEX(C$21:C$32,MATCH(11,A$21:A$32,0)),0)</f>
        <v>0</v>
      </c>
      <c r="F22" t="str">
        <f>IF(C22=0,"-",IF(C22&gt;E22,"W",IF(C22&lt;E22,"L",IF(AND('Picks Detail'!E148&lt;&gt;"",INDEX('Picks Detail'!F148:Q148,1,A22)&lt;&gt;"",INDEX('Picks Detail'!F148:Q148,1,D22)&lt;&gt;""),IF(ABS(INDEX('Picks Detail'!F148:Q148,1,A22)-'Picks Detail'!E148)&lt;ABS(INDEX('Picks Detail'!F148:Q148,1,D22)-'Picks Detail'!E148),"W",IF(ABS(INDEX('Picks Detail'!F148:Q148,1,A22)-'Picks Detail'!E148)&gt;ABS(INDEX('Picks Detail'!F148:Q148,1,D22)-'Picks Detail'!E148),"L","T")),"T"))))</f>
        <v>-</v>
      </c>
      <c r="G22">
        <f t="shared" si="3"/>
        <v>0</v>
      </c>
      <c r="H22">
        <f t="shared" si="4"/>
        <v>0</v>
      </c>
      <c r="I22">
        <f t="shared" si="5"/>
        <v>0</v>
      </c>
    </row>
    <row r="23" spans="1:9" ht="15" customHeight="1" x14ac:dyDescent="0.25">
      <c r="A23">
        <v>3</v>
      </c>
      <c r="B23" t="str">
        <f>Roster!B5</f>
        <v>Jack Smith</v>
      </c>
      <c r="C23" s="3">
        <f>SUMPRODUCT(('Picks Detail'!H134:H147&lt;&gt;"")*('Picks Detail'!E134:E147&lt;&gt;"")*('Picks Detail'!H134:H147='Picks Detail'!E134:E147)*('Picks Detail'!U134:U147))</f>
        <v>0</v>
      </c>
      <c r="D23">
        <v>6</v>
      </c>
      <c r="E23">
        <f>IFERROR(INDEX(C$21:C$32,MATCH(6,A$21:A$32,0)),0)</f>
        <v>0</v>
      </c>
      <c r="F23" t="str">
        <f>IF(C23=0,"-",IF(C23&gt;E23,"W",IF(C23&lt;E23,"L",IF(AND('Picks Detail'!E148&lt;&gt;"",INDEX('Picks Detail'!F148:Q148,1,A23)&lt;&gt;"",INDEX('Picks Detail'!F148:Q148,1,D23)&lt;&gt;""),IF(ABS(INDEX('Picks Detail'!F148:Q148,1,A23)-'Picks Detail'!E148)&lt;ABS(INDEX('Picks Detail'!F148:Q148,1,D23)-'Picks Detail'!E148),"W",IF(ABS(INDEX('Picks Detail'!F148:Q148,1,A23)-'Picks Detail'!E148)&gt;ABS(INDEX('Picks Detail'!F148:Q148,1,D23)-'Picks Detail'!E148),"L","T")),"T"))))</f>
        <v>-</v>
      </c>
      <c r="G23">
        <f t="shared" si="3"/>
        <v>0</v>
      </c>
      <c r="H23">
        <f t="shared" si="4"/>
        <v>0</v>
      </c>
      <c r="I23">
        <f t="shared" si="5"/>
        <v>0</v>
      </c>
    </row>
    <row r="24" spans="1:9" ht="15" customHeight="1" x14ac:dyDescent="0.25">
      <c r="A24">
        <v>4</v>
      </c>
      <c r="B24" t="str">
        <f>Roster!B6</f>
        <v>Luke Ussery</v>
      </c>
      <c r="C24" s="3">
        <f>SUMPRODUCT(('Picks Detail'!I134:I147&lt;&gt;"")*('Picks Detail'!E134:E147&lt;&gt;"")*('Picks Detail'!I134:I147='Picks Detail'!E134:E147)*('Picks Detail'!V134:V147))</f>
        <v>0</v>
      </c>
      <c r="D24">
        <v>5</v>
      </c>
      <c r="E24">
        <f>IFERROR(INDEX(C$21:C$32,MATCH(5,A$21:A$32,0)),0)</f>
        <v>0</v>
      </c>
      <c r="F24" t="str">
        <f>IF(C24=0,"-",IF(C24&gt;E24,"W",IF(C24&lt;E24,"L",IF(AND('Picks Detail'!E148&lt;&gt;"",INDEX('Picks Detail'!F148:Q148,1,A24)&lt;&gt;"",INDEX('Picks Detail'!F148:Q148,1,D24)&lt;&gt;""),IF(ABS(INDEX('Picks Detail'!F148:Q148,1,A24)-'Picks Detail'!E148)&lt;ABS(INDEX('Picks Detail'!F148:Q148,1,D24)-'Picks Detail'!E148),"W",IF(ABS(INDEX('Picks Detail'!F148:Q148,1,A24)-'Picks Detail'!E148)&gt;ABS(INDEX('Picks Detail'!F148:Q148,1,D24)-'Picks Detail'!E148),"L","T")),"T"))))</f>
        <v>-</v>
      </c>
      <c r="G24">
        <f t="shared" si="3"/>
        <v>0</v>
      </c>
      <c r="H24">
        <f t="shared" si="4"/>
        <v>0</v>
      </c>
      <c r="I24">
        <f t="shared" si="5"/>
        <v>0</v>
      </c>
    </row>
    <row r="25" spans="1:9" ht="15" customHeight="1" x14ac:dyDescent="0.25">
      <c r="A25">
        <v>5</v>
      </c>
      <c r="B25" t="str">
        <f>Roster!B7</f>
        <v>Mikayla Simmons</v>
      </c>
      <c r="C25" s="3">
        <f>SUMPRODUCT(('Picks Detail'!J134:J147&lt;&gt;"")*('Picks Detail'!E134:E147&lt;&gt;"")*('Picks Detail'!J134:J147='Picks Detail'!E134:E147)*('Picks Detail'!W134:W147))</f>
        <v>0</v>
      </c>
      <c r="D25">
        <v>4</v>
      </c>
      <c r="E25">
        <f>IFERROR(INDEX(C$21:C$32,MATCH(4,A$21:A$32,0)),0)</f>
        <v>0</v>
      </c>
      <c r="F25" t="str">
        <f>IF(C25=0,"-",IF(C25&gt;E25,"W",IF(C25&lt;E25,"L",IF(AND('Picks Detail'!E148&lt;&gt;"",INDEX('Picks Detail'!F148:Q148,1,A25)&lt;&gt;"",INDEX('Picks Detail'!F148:Q148,1,D25)&lt;&gt;""),IF(ABS(INDEX('Picks Detail'!F148:Q148,1,A25)-'Picks Detail'!E148)&lt;ABS(INDEX('Picks Detail'!F148:Q148,1,D25)-'Picks Detail'!E148),"W",IF(ABS(INDEX('Picks Detail'!F148:Q148,1,A25)-'Picks Detail'!E148)&gt;ABS(INDEX('Picks Detail'!F148:Q148,1,D25)-'Picks Detail'!E148),"L","T")),"T"))))</f>
        <v>-</v>
      </c>
      <c r="G25">
        <f t="shared" si="3"/>
        <v>0</v>
      </c>
      <c r="H25">
        <f t="shared" si="4"/>
        <v>0</v>
      </c>
      <c r="I25">
        <f t="shared" si="5"/>
        <v>0</v>
      </c>
    </row>
    <row r="26" spans="1:9" ht="15" customHeight="1" x14ac:dyDescent="0.25">
      <c r="A26">
        <v>6</v>
      </c>
      <c r="B26" t="str">
        <f>Roster!B8</f>
        <v>Alan Loeser</v>
      </c>
      <c r="C26" s="3">
        <f>SUMPRODUCT(('Picks Detail'!K134:K147&lt;&gt;"")*('Picks Detail'!E134:E147&lt;&gt;"")*('Picks Detail'!K134:K147='Picks Detail'!E134:E147)*('Picks Detail'!X134:X147))</f>
        <v>0</v>
      </c>
      <c r="D26">
        <v>3</v>
      </c>
      <c r="E26">
        <f>IFERROR(INDEX(C$21:C$32,MATCH(3,A$21:A$32,0)),0)</f>
        <v>0</v>
      </c>
      <c r="F26" t="str">
        <f>IF(C26=0,"-",IF(C26&gt;E26,"W",IF(C26&lt;E26,"L",IF(AND('Picks Detail'!E148&lt;&gt;"",INDEX('Picks Detail'!F148:Q148,1,A26)&lt;&gt;"",INDEX('Picks Detail'!F148:Q148,1,D26)&lt;&gt;""),IF(ABS(INDEX('Picks Detail'!F148:Q148,1,A26)-'Picks Detail'!E148)&lt;ABS(INDEX('Picks Detail'!F148:Q148,1,D26)-'Picks Detail'!E148),"W",IF(ABS(INDEX('Picks Detail'!F148:Q148,1,A26)-'Picks Detail'!E148)&gt;ABS(INDEX('Picks Detail'!F148:Q148,1,D26)-'Picks Detail'!E148),"L","T")),"T"))))</f>
        <v>-</v>
      </c>
      <c r="G26">
        <f t="shared" si="3"/>
        <v>0</v>
      </c>
      <c r="H26">
        <f t="shared" si="4"/>
        <v>0</v>
      </c>
      <c r="I26">
        <f t="shared" si="5"/>
        <v>0</v>
      </c>
    </row>
    <row r="27" spans="1:9" ht="15" customHeight="1" x14ac:dyDescent="0.25">
      <c r="A27">
        <v>7</v>
      </c>
      <c r="B27" t="str">
        <f>Roster!B9</f>
        <v>Caleb Simmons</v>
      </c>
      <c r="C27" s="3">
        <f>SUMPRODUCT(('Picks Detail'!L134:L147&lt;&gt;"")*('Picks Detail'!E134:E147&lt;&gt;"")*('Picks Detail'!L134:L147='Picks Detail'!E134:E147)*('Picks Detail'!Y134:Y147))</f>
        <v>0</v>
      </c>
      <c r="D27">
        <v>10</v>
      </c>
      <c r="E27">
        <f>IFERROR(INDEX(C$21:C$32,MATCH(10,A$21:A$32,0)),0)</f>
        <v>0</v>
      </c>
      <c r="F27" t="str">
        <f>IF(C27=0,"-",IF(C27&gt;E27,"W",IF(C27&lt;E27,"L",IF(AND('Picks Detail'!E148&lt;&gt;"",INDEX('Picks Detail'!F148:Q148,1,A27)&lt;&gt;"",INDEX('Picks Detail'!F148:Q148,1,D27)&lt;&gt;""),IF(ABS(INDEX('Picks Detail'!F148:Q148,1,A27)-'Picks Detail'!E148)&lt;ABS(INDEX('Picks Detail'!F148:Q148,1,D27)-'Picks Detail'!E148),"W",IF(ABS(INDEX('Picks Detail'!F148:Q148,1,A27)-'Picks Detail'!E148)&gt;ABS(INDEX('Picks Detail'!F148:Q148,1,D27)-'Picks Detail'!E148),"L","T")),"T"))))</f>
        <v>-</v>
      </c>
      <c r="G27">
        <f t="shared" si="3"/>
        <v>0</v>
      </c>
      <c r="H27">
        <f t="shared" si="4"/>
        <v>0</v>
      </c>
      <c r="I27">
        <f t="shared" si="5"/>
        <v>0</v>
      </c>
    </row>
    <row r="28" spans="1:9" ht="15" customHeight="1" x14ac:dyDescent="0.25">
      <c r="A28">
        <v>8</v>
      </c>
      <c r="B28" t="str">
        <f>Roster!B10</f>
        <v>Larry Loeser</v>
      </c>
      <c r="C28" s="3">
        <f>SUMPRODUCT(('Picks Detail'!M134:M147&lt;&gt;"")*('Picks Detail'!E134:E147&lt;&gt;"")*('Picks Detail'!M134:M147='Picks Detail'!E134:E147)*('Picks Detail'!Z134:Z147))</f>
        <v>0</v>
      </c>
      <c r="D28">
        <v>9</v>
      </c>
      <c r="E28">
        <f>IFERROR(INDEX(C$21:C$32,MATCH(9,A$21:A$32,0)),0)</f>
        <v>0</v>
      </c>
      <c r="F28" t="str">
        <f>IF(C28=0,"-",IF(C28&gt;E28,"W",IF(C28&lt;E28,"L",IF(AND('Picks Detail'!E148&lt;&gt;"",INDEX('Picks Detail'!F148:Q148,1,A28)&lt;&gt;"",INDEX('Picks Detail'!F148:Q148,1,D28)&lt;&gt;""),IF(ABS(INDEX('Picks Detail'!F148:Q148,1,A28)-'Picks Detail'!E148)&lt;ABS(INDEX('Picks Detail'!F148:Q148,1,D28)-'Picks Detail'!E148),"W",IF(ABS(INDEX('Picks Detail'!F148:Q148,1,A28)-'Picks Detail'!E148)&gt;ABS(INDEX('Picks Detail'!F148:Q148,1,D28)-'Picks Detail'!E148),"L","T")),"T"))))</f>
        <v>-</v>
      </c>
      <c r="G28">
        <f t="shared" si="3"/>
        <v>0</v>
      </c>
      <c r="H28">
        <f t="shared" si="4"/>
        <v>0</v>
      </c>
      <c r="I28">
        <f t="shared" si="5"/>
        <v>0</v>
      </c>
    </row>
    <row r="29" spans="1:9" ht="15" customHeight="1" x14ac:dyDescent="0.25">
      <c r="A29">
        <v>9</v>
      </c>
      <c r="B29" t="str">
        <f>Roster!B11</f>
        <v>Daddy Michael</v>
      </c>
      <c r="C29" s="3">
        <f>SUMPRODUCT(('Picks Detail'!N134:N147&lt;&gt;"")*('Picks Detail'!E134:E147&lt;&gt;"")*('Picks Detail'!N134:N147='Picks Detail'!E134:E147)*('Picks Detail'!AA134:AA147))</f>
        <v>0</v>
      </c>
      <c r="D29">
        <v>8</v>
      </c>
      <c r="E29">
        <f>IFERROR(INDEX(C$21:C$32,MATCH(8,A$21:A$32,0)),0)</f>
        <v>0</v>
      </c>
      <c r="F29" t="str">
        <f>IF(C29=0,"-",IF(C29&gt;E29,"W",IF(C29&lt;E29,"L",IF(AND('Picks Detail'!E148&lt;&gt;"",INDEX('Picks Detail'!F148:Q148,1,A29)&lt;&gt;"",INDEX('Picks Detail'!F148:Q148,1,D29)&lt;&gt;""),IF(ABS(INDEX('Picks Detail'!F148:Q148,1,A29)-'Picks Detail'!E148)&lt;ABS(INDEX('Picks Detail'!F148:Q148,1,D29)-'Picks Detail'!E148),"W",IF(ABS(INDEX('Picks Detail'!F148:Q148,1,A29)-'Picks Detail'!E148)&gt;ABS(INDEX('Picks Detail'!F148:Q148,1,D29)-'Picks Detail'!E148),"L","T")),"T"))))</f>
        <v>-</v>
      </c>
      <c r="G29">
        <f t="shared" si="3"/>
        <v>0</v>
      </c>
      <c r="H29">
        <f t="shared" si="4"/>
        <v>0</v>
      </c>
      <c r="I29">
        <f t="shared" si="5"/>
        <v>0</v>
      </c>
    </row>
    <row r="30" spans="1:9" ht="15" customHeight="1" x14ac:dyDescent="0.25">
      <c r="A30">
        <v>10</v>
      </c>
      <c r="B30" t="str">
        <f>Roster!B12</f>
        <v>Zach Zarra</v>
      </c>
      <c r="C30" s="3">
        <f>SUMPRODUCT(('Picks Detail'!O134:O147&lt;&gt;"")*('Picks Detail'!E134:E147&lt;&gt;"")*('Picks Detail'!O134:O147='Picks Detail'!E134:E147)*('Picks Detail'!AB134:AB147))</f>
        <v>0</v>
      </c>
      <c r="D30">
        <v>7</v>
      </c>
      <c r="E30">
        <f>IFERROR(INDEX(C$21:C$32,MATCH(7,A$21:A$32,0)),0)</f>
        <v>0</v>
      </c>
      <c r="F30" t="str">
        <f>IF(C30=0,"-",IF(C30&gt;E30,"W",IF(C30&lt;E30,"L",IF(AND('Picks Detail'!E148&lt;&gt;"",INDEX('Picks Detail'!F148:Q148,1,A30)&lt;&gt;"",INDEX('Picks Detail'!F148:Q148,1,D30)&lt;&gt;""),IF(ABS(INDEX('Picks Detail'!F148:Q148,1,A30)-'Picks Detail'!E148)&lt;ABS(INDEX('Picks Detail'!F148:Q148,1,D30)-'Picks Detail'!E148),"W",IF(ABS(INDEX('Picks Detail'!F148:Q148,1,A30)-'Picks Detail'!E148)&gt;ABS(INDEX('Picks Detail'!F148:Q148,1,D30)-'Picks Detail'!E148),"L","T")),"T"))))</f>
        <v>-</v>
      </c>
      <c r="G30">
        <f t="shared" si="3"/>
        <v>0</v>
      </c>
      <c r="H30">
        <f t="shared" si="4"/>
        <v>0</v>
      </c>
      <c r="I30">
        <f t="shared" si="5"/>
        <v>0</v>
      </c>
    </row>
    <row r="31" spans="1:9" ht="15" customHeight="1" x14ac:dyDescent="0.25">
      <c r="A31">
        <v>11</v>
      </c>
      <c r="B31" t="str">
        <f>Roster!B13</f>
        <v>Jeffrey Loeser</v>
      </c>
      <c r="C31" s="3">
        <f>SUMPRODUCT(('Picks Detail'!P134:P147&lt;&gt;"")*('Picks Detail'!E134:E147&lt;&gt;"")*('Picks Detail'!P134:P147='Picks Detail'!E134:E147)*('Picks Detail'!AC134:AC147))</f>
        <v>0</v>
      </c>
      <c r="D31">
        <v>2</v>
      </c>
      <c r="E31">
        <f>IFERROR(INDEX(C$21:C$32,MATCH(2,A$21:A$32,0)),0)</f>
        <v>0</v>
      </c>
      <c r="F31" t="str">
        <f>IF(C31=0,"-",IF(C31&gt;E31,"W",IF(C31&lt;E31,"L",IF(AND('Picks Detail'!E148&lt;&gt;"",INDEX('Picks Detail'!F148:Q148,1,A31)&lt;&gt;"",INDEX('Picks Detail'!F148:Q148,1,D31)&lt;&gt;""),IF(ABS(INDEX('Picks Detail'!F148:Q148,1,A31)-'Picks Detail'!E148)&lt;ABS(INDEX('Picks Detail'!F148:Q148,1,D31)-'Picks Detail'!E148),"W",IF(ABS(INDEX('Picks Detail'!F148:Q148,1,A31)-'Picks Detail'!E148)&gt;ABS(INDEX('Picks Detail'!F148:Q148,1,D31)-'Picks Detail'!E148),"L","T")),"T"))))</f>
        <v>-</v>
      </c>
      <c r="G31">
        <f t="shared" si="3"/>
        <v>0</v>
      </c>
      <c r="H31">
        <f t="shared" si="4"/>
        <v>0</v>
      </c>
      <c r="I31">
        <f t="shared" si="5"/>
        <v>0</v>
      </c>
    </row>
    <row r="32" spans="1:9" ht="15" customHeight="1" x14ac:dyDescent="0.25">
      <c r="A32">
        <v>12</v>
      </c>
      <c r="B32" t="str">
        <f>Roster!B14</f>
        <v>Jake Andrews</v>
      </c>
      <c r="C32" s="3">
        <f>SUMPRODUCT(('Picks Detail'!Q134:Q147&lt;&gt;"")*('Picks Detail'!E134:E147&lt;&gt;"")*('Picks Detail'!Q134:Q147='Picks Detail'!E134:E147)*('Picks Detail'!AD134:AD147))</f>
        <v>0</v>
      </c>
      <c r="D32">
        <v>1</v>
      </c>
      <c r="E32">
        <f>IFERROR(INDEX(C$21:C$32,MATCH(1,A$21:A$32,0)),0)</f>
        <v>0</v>
      </c>
      <c r="F32" t="str">
        <f>IF(C32=0,"-",IF(C32&gt;E32,"W",IF(C32&lt;E32,"L",IF(AND('Picks Detail'!E148&lt;&gt;"",INDEX('Picks Detail'!F148:Q148,1,A32)&lt;&gt;"",INDEX('Picks Detail'!F148:Q148,1,D32)&lt;&gt;""),IF(ABS(INDEX('Picks Detail'!F148:Q148,1,A32)-'Picks Detail'!E148)&lt;ABS(INDEX('Picks Detail'!F148:Q148,1,D32)-'Picks Detail'!E148),"W",IF(ABS(INDEX('Picks Detail'!F148:Q148,1,A32)-'Picks Detail'!E148)&gt;ABS(INDEX('Picks Detail'!F148:Q148,1,D32)-'Picks Detail'!E148),"L","T")),"T"))))</f>
        <v>-</v>
      </c>
      <c r="G32">
        <f t="shared" si="3"/>
        <v>0</v>
      </c>
      <c r="H32">
        <f t="shared" si="4"/>
        <v>0</v>
      </c>
      <c r="I32">
        <f t="shared" si="5"/>
        <v>0</v>
      </c>
    </row>
    <row r="34" spans="1:9" ht="15" customHeight="1" x14ac:dyDescent="0.25">
      <c r="A34" s="18" t="s">
        <v>110</v>
      </c>
    </row>
    <row r="35" spans="1:9" ht="15" customHeight="1" x14ac:dyDescent="0.25">
      <c r="A35" s="2" t="s">
        <v>1</v>
      </c>
      <c r="B35" s="2" t="s">
        <v>2</v>
      </c>
      <c r="C35" s="2" t="s">
        <v>211</v>
      </c>
      <c r="D35" s="2" t="s">
        <v>203</v>
      </c>
      <c r="E35" s="2" t="s">
        <v>212</v>
      </c>
      <c r="F35" s="2" t="s">
        <v>205</v>
      </c>
      <c r="G35" s="2" t="s">
        <v>206</v>
      </c>
      <c r="H35" s="2" t="s">
        <v>207</v>
      </c>
      <c r="I35" s="2" t="s">
        <v>208</v>
      </c>
    </row>
    <row r="36" spans="1:9" ht="15" customHeight="1" x14ac:dyDescent="0.25">
      <c r="A36">
        <v>1</v>
      </c>
      <c r="B36" t="str">
        <f>Roster!B3</f>
        <v>Evan Loeser</v>
      </c>
      <c r="C36" s="3">
        <f>SUMPRODUCT(('Picks Detail'!F151:F165&lt;&gt;"")*('Picks Detail'!E151:E165&lt;&gt;"")*('Picks Detail'!F151:F165='Picks Detail'!E151:E165)*('Picks Detail'!S151:S165))</f>
        <v>0</v>
      </c>
      <c r="D36">
        <v>5</v>
      </c>
      <c r="E36">
        <f>IFERROR(INDEX(C$36:C$47,MATCH(5,A$36:A$47,0)),0)</f>
        <v>0</v>
      </c>
      <c r="F36" t="str">
        <f>IF(C36=0,"-",IF(C36&gt;E36,"W",IF(C36&lt;E36,"L",IF(AND('Picks Detail'!E166&lt;&gt;"",INDEX('Picks Detail'!F166:Q166,1,A36)&lt;&gt;"",INDEX('Picks Detail'!F166:Q166,1,D36)&lt;&gt;""),IF(ABS(INDEX('Picks Detail'!F166:Q166,1,A36)-'Picks Detail'!E166)&lt;ABS(INDEX('Picks Detail'!F166:Q166,1,D36)-'Picks Detail'!E166),"W",IF(ABS(INDEX('Picks Detail'!F166:Q166,1,A36)-'Picks Detail'!E166)&gt;ABS(INDEX('Picks Detail'!F166:Q166,1,D36)-'Picks Detail'!E166),"L","T")),"T"))))</f>
        <v>-</v>
      </c>
      <c r="G36">
        <f t="shared" ref="G36:G47" si="6">IF(F36="W",10,IF(F36="T",5,0))</f>
        <v>0</v>
      </c>
      <c r="H36">
        <f t="shared" ref="H36:H47" si="7">IF(C36="",0,C36)</f>
        <v>0</v>
      </c>
      <c r="I36">
        <f t="shared" ref="I36:I47" si="8">G36+H36</f>
        <v>0</v>
      </c>
    </row>
    <row r="37" spans="1:9" ht="15" customHeight="1" x14ac:dyDescent="0.25">
      <c r="A37">
        <v>2</v>
      </c>
      <c r="B37" t="str">
        <f>Roster!B4</f>
        <v>Chris Simmons</v>
      </c>
      <c r="C37" s="3">
        <f>SUMPRODUCT(('Picks Detail'!G151:G165&lt;&gt;"")*('Picks Detail'!E151:E165&lt;&gt;"")*('Picks Detail'!G151:G165='Picks Detail'!E151:E165)*('Picks Detail'!T151:T165))</f>
        <v>0</v>
      </c>
      <c r="D37">
        <v>6</v>
      </c>
      <c r="E37">
        <f>IFERROR(INDEX(C$36:C$47,MATCH(6,A$36:A$47,0)),0)</f>
        <v>0</v>
      </c>
      <c r="F37" t="str">
        <f>IF(C37=0,"-",IF(C37&gt;E37,"W",IF(C37&lt;E37,"L",IF(AND('Picks Detail'!E166&lt;&gt;"",INDEX('Picks Detail'!F166:Q166,1,A37)&lt;&gt;"",INDEX('Picks Detail'!F166:Q166,1,D37)&lt;&gt;""),IF(ABS(INDEX('Picks Detail'!F166:Q166,1,A37)-'Picks Detail'!E166)&lt;ABS(INDEX('Picks Detail'!F166:Q166,1,D37)-'Picks Detail'!E166),"W",IF(ABS(INDEX('Picks Detail'!F166:Q166,1,A37)-'Picks Detail'!E166)&gt;ABS(INDEX('Picks Detail'!F166:Q166,1,D37)-'Picks Detail'!E166),"L","T")),"T"))))</f>
        <v>-</v>
      </c>
      <c r="G37">
        <f t="shared" si="6"/>
        <v>0</v>
      </c>
      <c r="H37">
        <f t="shared" si="7"/>
        <v>0</v>
      </c>
      <c r="I37">
        <f t="shared" si="8"/>
        <v>0</v>
      </c>
    </row>
    <row r="38" spans="1:9" ht="15" customHeight="1" x14ac:dyDescent="0.25">
      <c r="A38">
        <v>3</v>
      </c>
      <c r="B38" t="str">
        <f>Roster!B5</f>
        <v>Jack Smith</v>
      </c>
      <c r="C38" s="3">
        <f>SUMPRODUCT(('Picks Detail'!H151:H165&lt;&gt;"")*('Picks Detail'!E151:E165&lt;&gt;"")*('Picks Detail'!H151:H165='Picks Detail'!E151:E165)*('Picks Detail'!U151:U165))</f>
        <v>0</v>
      </c>
      <c r="D38">
        <v>10</v>
      </c>
      <c r="E38">
        <f>IFERROR(INDEX(C$36:C$47,MATCH(10,A$36:A$47,0)),0)</f>
        <v>0</v>
      </c>
      <c r="F38" t="str">
        <f>IF(C38=0,"-",IF(C38&gt;E38,"W",IF(C38&lt;E38,"L",IF(AND('Picks Detail'!E166&lt;&gt;"",INDEX('Picks Detail'!F166:Q166,1,A38)&lt;&gt;"",INDEX('Picks Detail'!F166:Q166,1,D38)&lt;&gt;""),IF(ABS(INDEX('Picks Detail'!F166:Q166,1,A38)-'Picks Detail'!E166)&lt;ABS(INDEX('Picks Detail'!F166:Q166,1,D38)-'Picks Detail'!E166),"W",IF(ABS(INDEX('Picks Detail'!F166:Q166,1,A38)-'Picks Detail'!E166)&gt;ABS(INDEX('Picks Detail'!F166:Q166,1,D38)-'Picks Detail'!E166),"L","T")),"T"))))</f>
        <v>-</v>
      </c>
      <c r="G38">
        <f t="shared" si="6"/>
        <v>0</v>
      </c>
      <c r="H38">
        <f t="shared" si="7"/>
        <v>0</v>
      </c>
      <c r="I38">
        <f t="shared" si="8"/>
        <v>0</v>
      </c>
    </row>
    <row r="39" spans="1:9" ht="15" customHeight="1" x14ac:dyDescent="0.25">
      <c r="A39">
        <v>4</v>
      </c>
      <c r="B39" t="str">
        <f>Roster!B6</f>
        <v>Luke Ussery</v>
      </c>
      <c r="C39" s="3">
        <f>SUMPRODUCT(('Picks Detail'!I151:I165&lt;&gt;"")*('Picks Detail'!E151:E165&lt;&gt;"")*('Picks Detail'!I151:I165='Picks Detail'!E151:E165)*('Picks Detail'!V151:V165))</f>
        <v>0</v>
      </c>
      <c r="D39">
        <v>9</v>
      </c>
      <c r="E39">
        <f>IFERROR(INDEX(C$36:C$47,MATCH(9,A$36:A$47,0)),0)</f>
        <v>0</v>
      </c>
      <c r="F39" t="str">
        <f>IF(C39=0,"-",IF(C39&gt;E39,"W",IF(C39&lt;E39,"L",IF(AND('Picks Detail'!E166&lt;&gt;"",INDEX('Picks Detail'!F166:Q166,1,A39)&lt;&gt;"",INDEX('Picks Detail'!F166:Q166,1,D39)&lt;&gt;""),IF(ABS(INDEX('Picks Detail'!F166:Q166,1,A39)-'Picks Detail'!E166)&lt;ABS(INDEX('Picks Detail'!F166:Q166,1,D39)-'Picks Detail'!E166),"W",IF(ABS(INDEX('Picks Detail'!F166:Q166,1,A39)-'Picks Detail'!E166)&gt;ABS(INDEX('Picks Detail'!F166:Q166,1,D39)-'Picks Detail'!E166),"L","T")),"T"))))</f>
        <v>-</v>
      </c>
      <c r="G39">
        <f t="shared" si="6"/>
        <v>0</v>
      </c>
      <c r="H39">
        <f t="shared" si="7"/>
        <v>0</v>
      </c>
      <c r="I39">
        <f t="shared" si="8"/>
        <v>0</v>
      </c>
    </row>
    <row r="40" spans="1:9" ht="15" customHeight="1" x14ac:dyDescent="0.25">
      <c r="A40">
        <v>5</v>
      </c>
      <c r="B40" t="str">
        <f>Roster!B7</f>
        <v>Mikayla Simmons</v>
      </c>
      <c r="C40" s="3">
        <f>SUMPRODUCT(('Picks Detail'!J151:J165&lt;&gt;"")*('Picks Detail'!E151:E165&lt;&gt;"")*('Picks Detail'!J151:J165='Picks Detail'!E151:E165)*('Picks Detail'!W151:W165))</f>
        <v>0</v>
      </c>
      <c r="D40">
        <v>1</v>
      </c>
      <c r="E40">
        <f>IFERROR(INDEX(C$36:C$47,MATCH(1,A$36:A$47,0)),0)</f>
        <v>0</v>
      </c>
      <c r="F40" t="str">
        <f>IF(C40=0,"-",IF(C40&gt;E40,"W",IF(C40&lt;E40,"L",IF(AND('Picks Detail'!E166&lt;&gt;"",INDEX('Picks Detail'!F166:Q166,1,A40)&lt;&gt;"",INDEX('Picks Detail'!F166:Q166,1,D40)&lt;&gt;""),IF(ABS(INDEX('Picks Detail'!F166:Q166,1,A40)-'Picks Detail'!E166)&lt;ABS(INDEX('Picks Detail'!F166:Q166,1,D40)-'Picks Detail'!E166),"W",IF(ABS(INDEX('Picks Detail'!F166:Q166,1,A40)-'Picks Detail'!E166)&gt;ABS(INDEX('Picks Detail'!F166:Q166,1,D40)-'Picks Detail'!E166),"L","T")),"T"))))</f>
        <v>-</v>
      </c>
      <c r="G40">
        <f t="shared" si="6"/>
        <v>0</v>
      </c>
      <c r="H40">
        <f t="shared" si="7"/>
        <v>0</v>
      </c>
      <c r="I40">
        <f t="shared" si="8"/>
        <v>0</v>
      </c>
    </row>
    <row r="41" spans="1:9" ht="15" customHeight="1" x14ac:dyDescent="0.25">
      <c r="A41">
        <v>6</v>
      </c>
      <c r="B41" t="str">
        <f>Roster!B8</f>
        <v>Alan Loeser</v>
      </c>
      <c r="C41" s="3">
        <f>SUMPRODUCT(('Picks Detail'!K151:K165&lt;&gt;"")*('Picks Detail'!E151:E165&lt;&gt;"")*('Picks Detail'!K151:K165='Picks Detail'!E151:E165)*('Picks Detail'!X151:X165))</f>
        <v>0</v>
      </c>
      <c r="D41">
        <v>2</v>
      </c>
      <c r="E41">
        <f>IFERROR(INDEX(C$36:C$47,MATCH(2,A$36:A$47,0)),0)</f>
        <v>0</v>
      </c>
      <c r="F41" t="str">
        <f>IF(C41=0,"-",IF(C41&gt;E41,"W",IF(C41&lt;E41,"L",IF(AND('Picks Detail'!E166&lt;&gt;"",INDEX('Picks Detail'!F166:Q166,1,A41)&lt;&gt;"",INDEX('Picks Detail'!F166:Q166,1,D41)&lt;&gt;""),IF(ABS(INDEX('Picks Detail'!F166:Q166,1,A41)-'Picks Detail'!E166)&lt;ABS(INDEX('Picks Detail'!F166:Q166,1,D41)-'Picks Detail'!E166),"W",IF(ABS(INDEX('Picks Detail'!F166:Q166,1,A41)-'Picks Detail'!E166)&gt;ABS(INDEX('Picks Detail'!F166:Q166,1,D41)-'Picks Detail'!E166),"L","T")),"T"))))</f>
        <v>-</v>
      </c>
      <c r="G41">
        <f t="shared" si="6"/>
        <v>0</v>
      </c>
      <c r="H41">
        <f t="shared" si="7"/>
        <v>0</v>
      </c>
      <c r="I41">
        <f t="shared" si="8"/>
        <v>0</v>
      </c>
    </row>
    <row r="42" spans="1:9" ht="15" customHeight="1" x14ac:dyDescent="0.25">
      <c r="A42">
        <v>7</v>
      </c>
      <c r="B42" t="str">
        <f>Roster!B9</f>
        <v>Caleb Simmons</v>
      </c>
      <c r="C42" s="3">
        <f>SUMPRODUCT(('Picks Detail'!L151:L165&lt;&gt;"")*('Picks Detail'!E151:E165&lt;&gt;"")*('Picks Detail'!L151:L165='Picks Detail'!E151:E165)*('Picks Detail'!Y151:Y165))</f>
        <v>0</v>
      </c>
      <c r="D42">
        <v>12</v>
      </c>
      <c r="E42">
        <f>IFERROR(INDEX(C$36:C$47,MATCH(12,A$36:A$47,0)),0)</f>
        <v>0</v>
      </c>
      <c r="F42" t="str">
        <f>IF(C42=0,"-",IF(C42&gt;E42,"W",IF(C42&lt;E42,"L",IF(AND('Picks Detail'!E166&lt;&gt;"",INDEX('Picks Detail'!F166:Q166,1,A42)&lt;&gt;"",INDEX('Picks Detail'!F166:Q166,1,D42)&lt;&gt;""),IF(ABS(INDEX('Picks Detail'!F166:Q166,1,A42)-'Picks Detail'!E166)&lt;ABS(INDEX('Picks Detail'!F166:Q166,1,D42)-'Picks Detail'!E166),"W",IF(ABS(INDEX('Picks Detail'!F166:Q166,1,A42)-'Picks Detail'!E166)&gt;ABS(INDEX('Picks Detail'!F166:Q166,1,D42)-'Picks Detail'!E166),"L","T")),"T"))))</f>
        <v>-</v>
      </c>
      <c r="G42">
        <f t="shared" si="6"/>
        <v>0</v>
      </c>
      <c r="H42">
        <f t="shared" si="7"/>
        <v>0</v>
      </c>
      <c r="I42">
        <f t="shared" si="8"/>
        <v>0</v>
      </c>
    </row>
    <row r="43" spans="1:9" ht="15" customHeight="1" x14ac:dyDescent="0.25">
      <c r="A43">
        <v>8</v>
      </c>
      <c r="B43" t="str">
        <f>Roster!B10</f>
        <v>Larry Loeser</v>
      </c>
      <c r="C43" s="3">
        <f>SUMPRODUCT(('Picks Detail'!M151:M165&lt;&gt;"")*('Picks Detail'!E151:E165&lt;&gt;"")*('Picks Detail'!M151:M165='Picks Detail'!E151:E165)*('Picks Detail'!Z151:Z165))</f>
        <v>0</v>
      </c>
      <c r="D43">
        <v>11</v>
      </c>
      <c r="E43">
        <f>IFERROR(INDEX(C$36:C$47,MATCH(11,A$36:A$47,0)),0)</f>
        <v>0</v>
      </c>
      <c r="F43" t="str">
        <f>IF(C43=0,"-",IF(C43&gt;E43,"W",IF(C43&lt;E43,"L",IF(AND('Picks Detail'!E166&lt;&gt;"",INDEX('Picks Detail'!F166:Q166,1,A43)&lt;&gt;"",INDEX('Picks Detail'!F166:Q166,1,D43)&lt;&gt;""),IF(ABS(INDEX('Picks Detail'!F166:Q166,1,A43)-'Picks Detail'!E166)&lt;ABS(INDEX('Picks Detail'!F166:Q166,1,D43)-'Picks Detail'!E166),"W",IF(ABS(INDEX('Picks Detail'!F166:Q166,1,A43)-'Picks Detail'!E166)&gt;ABS(INDEX('Picks Detail'!F166:Q166,1,D43)-'Picks Detail'!E166),"L","T")),"T"))))</f>
        <v>-</v>
      </c>
      <c r="G43">
        <f t="shared" si="6"/>
        <v>0</v>
      </c>
      <c r="H43">
        <f t="shared" si="7"/>
        <v>0</v>
      </c>
      <c r="I43">
        <f t="shared" si="8"/>
        <v>0</v>
      </c>
    </row>
    <row r="44" spans="1:9" ht="15" customHeight="1" x14ac:dyDescent="0.25">
      <c r="A44">
        <v>9</v>
      </c>
      <c r="B44" t="str">
        <f>Roster!B11</f>
        <v>Daddy Michael</v>
      </c>
      <c r="C44" s="3">
        <f>SUMPRODUCT(('Picks Detail'!N151:N165&lt;&gt;"")*('Picks Detail'!E151:E165&lt;&gt;"")*('Picks Detail'!N151:N165='Picks Detail'!E151:E165)*('Picks Detail'!AA151:AA165))</f>
        <v>0</v>
      </c>
      <c r="D44">
        <v>4</v>
      </c>
      <c r="E44">
        <f>IFERROR(INDEX(C$36:C$47,MATCH(4,A$36:A$47,0)),0)</f>
        <v>0</v>
      </c>
      <c r="F44" t="str">
        <f>IF(C44=0,"-",IF(C44&gt;E44,"W",IF(C44&lt;E44,"L",IF(AND('Picks Detail'!E166&lt;&gt;"",INDEX('Picks Detail'!F166:Q166,1,A44)&lt;&gt;"",INDEX('Picks Detail'!F166:Q166,1,D44)&lt;&gt;""),IF(ABS(INDEX('Picks Detail'!F166:Q166,1,A44)-'Picks Detail'!E166)&lt;ABS(INDEX('Picks Detail'!F166:Q166,1,D44)-'Picks Detail'!E166),"W",IF(ABS(INDEX('Picks Detail'!F166:Q166,1,A44)-'Picks Detail'!E166)&gt;ABS(INDEX('Picks Detail'!F166:Q166,1,D44)-'Picks Detail'!E166),"L","T")),"T"))))</f>
        <v>-</v>
      </c>
      <c r="G44">
        <f t="shared" si="6"/>
        <v>0</v>
      </c>
      <c r="H44">
        <f t="shared" si="7"/>
        <v>0</v>
      </c>
      <c r="I44">
        <f t="shared" si="8"/>
        <v>0</v>
      </c>
    </row>
    <row r="45" spans="1:9" ht="15" customHeight="1" x14ac:dyDescent="0.25">
      <c r="A45">
        <v>10</v>
      </c>
      <c r="B45" t="str">
        <f>Roster!B12</f>
        <v>Zach Zarra</v>
      </c>
      <c r="C45" s="3">
        <f>SUMPRODUCT(('Picks Detail'!O151:O165&lt;&gt;"")*('Picks Detail'!E151:E165&lt;&gt;"")*('Picks Detail'!O151:O165='Picks Detail'!E151:E165)*('Picks Detail'!AB151:AB165))</f>
        <v>0</v>
      </c>
      <c r="D45">
        <v>3</v>
      </c>
      <c r="E45">
        <f>IFERROR(INDEX(C$36:C$47,MATCH(3,A$36:A$47,0)),0)</f>
        <v>0</v>
      </c>
      <c r="F45" t="str">
        <f>IF(C45=0,"-",IF(C45&gt;E45,"W",IF(C45&lt;E45,"L",IF(AND('Picks Detail'!E166&lt;&gt;"",INDEX('Picks Detail'!F166:Q166,1,A45)&lt;&gt;"",INDEX('Picks Detail'!F166:Q166,1,D45)&lt;&gt;""),IF(ABS(INDEX('Picks Detail'!F166:Q166,1,A45)-'Picks Detail'!E166)&lt;ABS(INDEX('Picks Detail'!F166:Q166,1,D45)-'Picks Detail'!E166),"W",IF(ABS(INDEX('Picks Detail'!F166:Q166,1,A45)-'Picks Detail'!E166)&gt;ABS(INDEX('Picks Detail'!F166:Q166,1,D45)-'Picks Detail'!E166),"L","T")),"T"))))</f>
        <v>-</v>
      </c>
      <c r="G45">
        <f t="shared" si="6"/>
        <v>0</v>
      </c>
      <c r="H45">
        <f t="shared" si="7"/>
        <v>0</v>
      </c>
      <c r="I45">
        <f t="shared" si="8"/>
        <v>0</v>
      </c>
    </row>
    <row r="46" spans="1:9" ht="15" customHeight="1" x14ac:dyDescent="0.25">
      <c r="A46">
        <v>11</v>
      </c>
      <c r="B46" t="str">
        <f>Roster!B13</f>
        <v>Jeffrey Loeser</v>
      </c>
      <c r="C46" s="3">
        <f>SUMPRODUCT(('Picks Detail'!P151:P165&lt;&gt;"")*('Picks Detail'!E151:E165&lt;&gt;"")*('Picks Detail'!P151:P165='Picks Detail'!E151:E165)*('Picks Detail'!AC151:AC165))</f>
        <v>0</v>
      </c>
      <c r="D46">
        <v>8</v>
      </c>
      <c r="E46">
        <f>IFERROR(INDEX(C$36:C$47,MATCH(8,A$36:A$47,0)),0)</f>
        <v>0</v>
      </c>
      <c r="F46" t="str">
        <f>IF(C46=0,"-",IF(C46&gt;E46,"W",IF(C46&lt;E46,"L",IF(AND('Picks Detail'!E166&lt;&gt;"",INDEX('Picks Detail'!F166:Q166,1,A46)&lt;&gt;"",INDEX('Picks Detail'!F166:Q166,1,D46)&lt;&gt;""),IF(ABS(INDEX('Picks Detail'!F166:Q166,1,A46)-'Picks Detail'!E166)&lt;ABS(INDEX('Picks Detail'!F166:Q166,1,D46)-'Picks Detail'!E166),"W",IF(ABS(INDEX('Picks Detail'!F166:Q166,1,A46)-'Picks Detail'!E166)&gt;ABS(INDEX('Picks Detail'!F166:Q166,1,D46)-'Picks Detail'!E166),"L","T")),"T"))))</f>
        <v>-</v>
      </c>
      <c r="G46">
        <f t="shared" si="6"/>
        <v>0</v>
      </c>
      <c r="H46">
        <f t="shared" si="7"/>
        <v>0</v>
      </c>
      <c r="I46">
        <f t="shared" si="8"/>
        <v>0</v>
      </c>
    </row>
    <row r="47" spans="1:9" ht="15" customHeight="1" x14ac:dyDescent="0.25">
      <c r="A47">
        <v>12</v>
      </c>
      <c r="B47" t="str">
        <f>Roster!B14</f>
        <v>Jake Andrews</v>
      </c>
      <c r="C47" s="3">
        <f>SUMPRODUCT(('Picks Detail'!Q151:Q165&lt;&gt;"")*('Picks Detail'!E151:E165&lt;&gt;"")*('Picks Detail'!Q151:Q165='Picks Detail'!E151:E165)*('Picks Detail'!AD151:AD165))</f>
        <v>0</v>
      </c>
      <c r="D47">
        <v>7</v>
      </c>
      <c r="E47">
        <f>IFERROR(INDEX(C$36:C$47,MATCH(7,A$36:A$47,0)),0)</f>
        <v>0</v>
      </c>
      <c r="F47" t="str">
        <f>IF(C47=0,"-",IF(C47&gt;E47,"W",IF(C47&lt;E47,"L",IF(AND('Picks Detail'!E166&lt;&gt;"",INDEX('Picks Detail'!F166:Q166,1,A47)&lt;&gt;"",INDEX('Picks Detail'!F166:Q166,1,D47)&lt;&gt;""),IF(ABS(INDEX('Picks Detail'!F166:Q166,1,A47)-'Picks Detail'!E166)&lt;ABS(INDEX('Picks Detail'!F166:Q166,1,D47)-'Picks Detail'!E166),"W",IF(ABS(INDEX('Picks Detail'!F166:Q166,1,A47)-'Picks Detail'!E166)&gt;ABS(INDEX('Picks Detail'!F166:Q166,1,D47)-'Picks Detail'!E166),"L","T")),"T"))))</f>
        <v>-</v>
      </c>
      <c r="G47">
        <f t="shared" si="6"/>
        <v>0</v>
      </c>
      <c r="H47">
        <f t="shared" si="7"/>
        <v>0</v>
      </c>
      <c r="I47">
        <f t="shared" si="8"/>
        <v>0</v>
      </c>
    </row>
    <row r="49" spans="1:9" ht="15" customHeight="1" x14ac:dyDescent="0.25">
      <c r="A49" s="18" t="s">
        <v>111</v>
      </c>
    </row>
    <row r="50" spans="1:9" ht="15" customHeight="1" x14ac:dyDescent="0.25">
      <c r="A50" s="2" t="s">
        <v>1</v>
      </c>
      <c r="B50" s="2" t="s">
        <v>2</v>
      </c>
      <c r="C50" s="2" t="s">
        <v>211</v>
      </c>
      <c r="D50" s="2" t="s">
        <v>203</v>
      </c>
      <c r="E50" s="2" t="s">
        <v>212</v>
      </c>
      <c r="F50" s="2" t="s">
        <v>205</v>
      </c>
      <c r="G50" s="2" t="s">
        <v>206</v>
      </c>
      <c r="H50" s="2" t="s">
        <v>207</v>
      </c>
      <c r="I50" s="2" t="s">
        <v>208</v>
      </c>
    </row>
    <row r="51" spans="1:9" ht="15" customHeight="1" x14ac:dyDescent="0.25">
      <c r="A51">
        <v>1</v>
      </c>
      <c r="B51" t="str">
        <f>Roster!B3</f>
        <v>Evan Loeser</v>
      </c>
      <c r="C51" s="3">
        <f>SUMPRODUCT(('Picks Detail'!F169:F182&lt;&gt;"")*('Picks Detail'!E169:E182&lt;&gt;"")*('Picks Detail'!F169:F182='Picks Detail'!E169:E182)*('Picks Detail'!S169:S182))</f>
        <v>0</v>
      </c>
      <c r="D51">
        <v>7</v>
      </c>
      <c r="E51">
        <f>IFERROR(INDEX(C$51:C$62,MATCH(7,A$51:A$62,0)),0)</f>
        <v>0</v>
      </c>
      <c r="F51" t="str">
        <f>IF(C51=0,"-",IF(C51&gt;E51,"W",IF(C51&lt;E51,"L",IF(AND('Picks Detail'!E183&lt;&gt;"",INDEX('Picks Detail'!F183:Q183,1,A51)&lt;&gt;"",INDEX('Picks Detail'!F183:Q183,1,D51)&lt;&gt;""),IF(ABS(INDEX('Picks Detail'!F183:Q183,1,A51)-'Picks Detail'!E183)&lt;ABS(INDEX('Picks Detail'!F183:Q183,1,D51)-'Picks Detail'!E183),"W",IF(ABS(INDEX('Picks Detail'!F183:Q183,1,A51)-'Picks Detail'!E183)&gt;ABS(INDEX('Picks Detail'!F183:Q183,1,D51)-'Picks Detail'!E183),"L","T")),"T"))))</f>
        <v>-</v>
      </c>
      <c r="G51">
        <f t="shared" ref="G51:G62" si="9">IF(F51="W",10,IF(F51="T",5,0))</f>
        <v>0</v>
      </c>
      <c r="H51">
        <f t="shared" ref="H51:H62" si="10">IF(C51="",0,C51)</f>
        <v>0</v>
      </c>
      <c r="I51">
        <f t="shared" ref="I51:I62" si="11">G51+H51</f>
        <v>0</v>
      </c>
    </row>
    <row r="52" spans="1:9" ht="15" customHeight="1" x14ac:dyDescent="0.25">
      <c r="A52">
        <v>2</v>
      </c>
      <c r="B52" t="str">
        <f>Roster!B4</f>
        <v>Chris Simmons</v>
      </c>
      <c r="C52" s="3">
        <f>SUMPRODUCT(('Picks Detail'!G169:G182&lt;&gt;"")*('Picks Detail'!E169:E182&lt;&gt;"")*('Picks Detail'!G169:G182='Picks Detail'!E169:E182)*('Picks Detail'!T169:T182))</f>
        <v>0</v>
      </c>
      <c r="D52">
        <v>8</v>
      </c>
      <c r="E52">
        <f>IFERROR(INDEX(C$51:C$62,MATCH(8,A$51:A$62,0)),0)</f>
        <v>0</v>
      </c>
      <c r="F52" t="str">
        <f>IF(C52=0,"-",IF(C52&gt;E52,"W",IF(C52&lt;E52,"L",IF(AND('Picks Detail'!E183&lt;&gt;"",INDEX('Picks Detail'!F183:Q183,1,A52)&lt;&gt;"",INDEX('Picks Detail'!F183:Q183,1,D52)&lt;&gt;""),IF(ABS(INDEX('Picks Detail'!F183:Q183,1,A52)-'Picks Detail'!E183)&lt;ABS(INDEX('Picks Detail'!F183:Q183,1,D52)-'Picks Detail'!E183),"W",IF(ABS(INDEX('Picks Detail'!F183:Q183,1,A52)-'Picks Detail'!E183)&gt;ABS(INDEX('Picks Detail'!F183:Q183,1,D52)-'Picks Detail'!E183),"L","T")),"T"))))</f>
        <v>-</v>
      </c>
      <c r="G52">
        <f t="shared" si="9"/>
        <v>0</v>
      </c>
      <c r="H52">
        <f t="shared" si="10"/>
        <v>0</v>
      </c>
      <c r="I52">
        <f t="shared" si="11"/>
        <v>0</v>
      </c>
    </row>
    <row r="53" spans="1:9" ht="15" customHeight="1" x14ac:dyDescent="0.25">
      <c r="A53">
        <v>3</v>
      </c>
      <c r="B53" t="str">
        <f>Roster!B5</f>
        <v>Jack Smith</v>
      </c>
      <c r="C53" s="3">
        <f>SUMPRODUCT(('Picks Detail'!H169:H182&lt;&gt;"")*('Picks Detail'!E169:E182&lt;&gt;"")*('Picks Detail'!H169:H182='Picks Detail'!E169:E182)*('Picks Detail'!U169:U182))</f>
        <v>0</v>
      </c>
      <c r="D53">
        <v>12</v>
      </c>
      <c r="E53">
        <f>IFERROR(INDEX(C$51:C$62,MATCH(12,A$51:A$62,0)),0)</f>
        <v>0</v>
      </c>
      <c r="F53" t="str">
        <f>IF(C53=0,"-",IF(C53&gt;E53,"W",IF(C53&lt;E53,"L",IF(AND('Picks Detail'!E183&lt;&gt;"",INDEX('Picks Detail'!F183:Q183,1,A53)&lt;&gt;"",INDEX('Picks Detail'!F183:Q183,1,D53)&lt;&gt;""),IF(ABS(INDEX('Picks Detail'!F183:Q183,1,A53)-'Picks Detail'!E183)&lt;ABS(INDEX('Picks Detail'!F183:Q183,1,D53)-'Picks Detail'!E183),"W",IF(ABS(INDEX('Picks Detail'!F183:Q183,1,A53)-'Picks Detail'!E183)&gt;ABS(INDEX('Picks Detail'!F183:Q183,1,D53)-'Picks Detail'!E183),"L","T")),"T"))))</f>
        <v>-</v>
      </c>
      <c r="G53">
        <f t="shared" si="9"/>
        <v>0</v>
      </c>
      <c r="H53">
        <f t="shared" si="10"/>
        <v>0</v>
      </c>
      <c r="I53">
        <f t="shared" si="11"/>
        <v>0</v>
      </c>
    </row>
    <row r="54" spans="1:9" ht="15" customHeight="1" x14ac:dyDescent="0.25">
      <c r="A54">
        <v>4</v>
      </c>
      <c r="B54" t="str">
        <f>Roster!B6</f>
        <v>Luke Ussery</v>
      </c>
      <c r="C54" s="3">
        <f>SUMPRODUCT(('Picks Detail'!I169:I182&lt;&gt;"")*('Picks Detail'!E169:E182&lt;&gt;"")*('Picks Detail'!I169:I182='Picks Detail'!E169:E182)*('Picks Detail'!V169:V182))</f>
        <v>0</v>
      </c>
      <c r="D54">
        <v>11</v>
      </c>
      <c r="E54">
        <f>IFERROR(INDEX(C$51:C$62,MATCH(11,A$51:A$62,0)),0)</f>
        <v>0</v>
      </c>
      <c r="F54" t="str">
        <f>IF(C54=0,"-",IF(C54&gt;E54,"W",IF(C54&lt;E54,"L",IF(AND('Picks Detail'!E183&lt;&gt;"",INDEX('Picks Detail'!F183:Q183,1,A54)&lt;&gt;"",INDEX('Picks Detail'!F183:Q183,1,D54)&lt;&gt;""),IF(ABS(INDEX('Picks Detail'!F183:Q183,1,A54)-'Picks Detail'!E183)&lt;ABS(INDEX('Picks Detail'!F183:Q183,1,D54)-'Picks Detail'!E183),"W",IF(ABS(INDEX('Picks Detail'!F183:Q183,1,A54)-'Picks Detail'!E183)&gt;ABS(INDEX('Picks Detail'!F183:Q183,1,D54)-'Picks Detail'!E183),"L","T")),"T"))))</f>
        <v>-</v>
      </c>
      <c r="G54">
        <f t="shared" si="9"/>
        <v>0</v>
      </c>
      <c r="H54">
        <f t="shared" si="10"/>
        <v>0</v>
      </c>
      <c r="I54">
        <f t="shared" si="11"/>
        <v>0</v>
      </c>
    </row>
    <row r="55" spans="1:9" ht="15" customHeight="1" x14ac:dyDescent="0.25">
      <c r="A55">
        <v>5</v>
      </c>
      <c r="B55" t="str">
        <f>Roster!B7</f>
        <v>Mikayla Simmons</v>
      </c>
      <c r="C55" s="3">
        <f>SUMPRODUCT(('Picks Detail'!J169:J182&lt;&gt;"")*('Picks Detail'!E169:E182&lt;&gt;"")*('Picks Detail'!J169:J182='Picks Detail'!E169:E182)*('Picks Detail'!W169:W182))</f>
        <v>0</v>
      </c>
      <c r="D55">
        <v>10</v>
      </c>
      <c r="E55">
        <f>IFERROR(INDEX(C$51:C$62,MATCH(10,A$51:A$62,0)),0)</f>
        <v>0</v>
      </c>
      <c r="F55" t="str">
        <f>IF(C55=0,"-",IF(C55&gt;E55,"W",IF(C55&lt;E55,"L",IF(AND('Picks Detail'!E183&lt;&gt;"",INDEX('Picks Detail'!F183:Q183,1,A55)&lt;&gt;"",INDEX('Picks Detail'!F183:Q183,1,D55)&lt;&gt;""),IF(ABS(INDEX('Picks Detail'!F183:Q183,1,A55)-'Picks Detail'!E183)&lt;ABS(INDEX('Picks Detail'!F183:Q183,1,D55)-'Picks Detail'!E183),"W",IF(ABS(INDEX('Picks Detail'!F183:Q183,1,A55)-'Picks Detail'!E183)&gt;ABS(INDEX('Picks Detail'!F183:Q183,1,D55)-'Picks Detail'!E183),"L","T")),"T"))))</f>
        <v>-</v>
      </c>
      <c r="G55">
        <f t="shared" si="9"/>
        <v>0</v>
      </c>
      <c r="H55">
        <f t="shared" si="10"/>
        <v>0</v>
      </c>
      <c r="I55">
        <f t="shared" si="11"/>
        <v>0</v>
      </c>
    </row>
    <row r="56" spans="1:9" ht="15" customHeight="1" x14ac:dyDescent="0.25">
      <c r="A56">
        <v>6</v>
      </c>
      <c r="B56" t="str">
        <f>Roster!B8</f>
        <v>Alan Loeser</v>
      </c>
      <c r="C56" s="3">
        <f>SUMPRODUCT(('Picks Detail'!K169:K182&lt;&gt;"")*('Picks Detail'!E169:E182&lt;&gt;"")*('Picks Detail'!K169:K182='Picks Detail'!E169:E182)*('Picks Detail'!X169:X182))</f>
        <v>0</v>
      </c>
      <c r="D56">
        <v>9</v>
      </c>
      <c r="E56">
        <f>IFERROR(INDEX(C$51:C$62,MATCH(9,A$51:A$62,0)),0)</f>
        <v>0</v>
      </c>
      <c r="F56" t="str">
        <f>IF(C56=0,"-",IF(C56&gt;E56,"W",IF(C56&lt;E56,"L",IF(AND('Picks Detail'!E183&lt;&gt;"",INDEX('Picks Detail'!F183:Q183,1,A56)&lt;&gt;"",INDEX('Picks Detail'!F183:Q183,1,D56)&lt;&gt;""),IF(ABS(INDEX('Picks Detail'!F183:Q183,1,A56)-'Picks Detail'!E183)&lt;ABS(INDEX('Picks Detail'!F183:Q183,1,D56)-'Picks Detail'!E183),"W",IF(ABS(INDEX('Picks Detail'!F183:Q183,1,A56)-'Picks Detail'!E183)&gt;ABS(INDEX('Picks Detail'!F183:Q183,1,D56)-'Picks Detail'!E183),"L","T")),"T"))))</f>
        <v>-</v>
      </c>
      <c r="G56">
        <f t="shared" si="9"/>
        <v>0</v>
      </c>
      <c r="H56">
        <f t="shared" si="10"/>
        <v>0</v>
      </c>
      <c r="I56">
        <f t="shared" si="11"/>
        <v>0</v>
      </c>
    </row>
    <row r="57" spans="1:9" ht="15" customHeight="1" x14ac:dyDescent="0.25">
      <c r="A57">
        <v>7</v>
      </c>
      <c r="B57" t="str">
        <f>Roster!B9</f>
        <v>Caleb Simmons</v>
      </c>
      <c r="C57" s="3">
        <f>SUMPRODUCT(('Picks Detail'!L169:L182&lt;&gt;"")*('Picks Detail'!E169:E182&lt;&gt;"")*('Picks Detail'!L169:L182='Picks Detail'!E169:E182)*('Picks Detail'!Y169:Y182))</f>
        <v>0</v>
      </c>
      <c r="D57">
        <v>1</v>
      </c>
      <c r="E57">
        <f>IFERROR(INDEX(C$51:C$62,MATCH(1,A$51:A$62,0)),0)</f>
        <v>0</v>
      </c>
      <c r="F57" t="str">
        <f>IF(C57=0,"-",IF(C57&gt;E57,"W",IF(C57&lt;E57,"L",IF(AND('Picks Detail'!E183&lt;&gt;"",INDEX('Picks Detail'!F183:Q183,1,A57)&lt;&gt;"",INDEX('Picks Detail'!F183:Q183,1,D57)&lt;&gt;""),IF(ABS(INDEX('Picks Detail'!F183:Q183,1,A57)-'Picks Detail'!E183)&lt;ABS(INDEX('Picks Detail'!F183:Q183,1,D57)-'Picks Detail'!E183),"W",IF(ABS(INDEX('Picks Detail'!F183:Q183,1,A57)-'Picks Detail'!E183)&gt;ABS(INDEX('Picks Detail'!F183:Q183,1,D57)-'Picks Detail'!E183),"L","T")),"T"))))</f>
        <v>-</v>
      </c>
      <c r="G57">
        <f t="shared" si="9"/>
        <v>0</v>
      </c>
      <c r="H57">
        <f t="shared" si="10"/>
        <v>0</v>
      </c>
      <c r="I57">
        <f t="shared" si="11"/>
        <v>0</v>
      </c>
    </row>
    <row r="58" spans="1:9" ht="15" customHeight="1" x14ac:dyDescent="0.25">
      <c r="A58">
        <v>8</v>
      </c>
      <c r="B58" t="str">
        <f>Roster!B10</f>
        <v>Larry Loeser</v>
      </c>
      <c r="C58" s="3">
        <f>SUMPRODUCT(('Picks Detail'!M169:M182&lt;&gt;"")*('Picks Detail'!E169:E182&lt;&gt;"")*('Picks Detail'!M169:M182='Picks Detail'!E169:E182)*('Picks Detail'!Z169:Z182))</f>
        <v>0</v>
      </c>
      <c r="D58">
        <v>2</v>
      </c>
      <c r="E58">
        <f>IFERROR(INDEX(C$51:C$62,MATCH(2,A$51:A$62,0)),0)</f>
        <v>0</v>
      </c>
      <c r="F58" t="str">
        <f>IF(C58=0,"-",IF(C58&gt;E58,"W",IF(C58&lt;E58,"L",IF(AND('Picks Detail'!E183&lt;&gt;"",INDEX('Picks Detail'!F183:Q183,1,A58)&lt;&gt;"",INDEX('Picks Detail'!F183:Q183,1,D58)&lt;&gt;""),IF(ABS(INDEX('Picks Detail'!F183:Q183,1,A58)-'Picks Detail'!E183)&lt;ABS(INDEX('Picks Detail'!F183:Q183,1,D58)-'Picks Detail'!E183),"W",IF(ABS(INDEX('Picks Detail'!F183:Q183,1,A58)-'Picks Detail'!E183)&gt;ABS(INDEX('Picks Detail'!F183:Q183,1,D58)-'Picks Detail'!E183),"L","T")),"T"))))</f>
        <v>-</v>
      </c>
      <c r="G58">
        <f t="shared" si="9"/>
        <v>0</v>
      </c>
      <c r="H58">
        <f t="shared" si="10"/>
        <v>0</v>
      </c>
      <c r="I58">
        <f t="shared" si="11"/>
        <v>0</v>
      </c>
    </row>
    <row r="59" spans="1:9" ht="15" customHeight="1" x14ac:dyDescent="0.25">
      <c r="A59">
        <v>9</v>
      </c>
      <c r="B59" t="str">
        <f>Roster!B11</f>
        <v>Daddy Michael</v>
      </c>
      <c r="C59" s="3">
        <f>SUMPRODUCT(('Picks Detail'!N169:N182&lt;&gt;"")*('Picks Detail'!E169:E182&lt;&gt;"")*('Picks Detail'!N169:N182='Picks Detail'!E169:E182)*('Picks Detail'!AA169:AA182))</f>
        <v>0</v>
      </c>
      <c r="D59">
        <v>6</v>
      </c>
      <c r="E59">
        <f>IFERROR(INDEX(C$51:C$62,MATCH(6,A$51:A$62,0)),0)</f>
        <v>0</v>
      </c>
      <c r="F59" t="str">
        <f>IF(C59=0,"-",IF(C59&gt;E59,"W",IF(C59&lt;E59,"L",IF(AND('Picks Detail'!E183&lt;&gt;"",INDEX('Picks Detail'!F183:Q183,1,A59)&lt;&gt;"",INDEX('Picks Detail'!F183:Q183,1,D59)&lt;&gt;""),IF(ABS(INDEX('Picks Detail'!F183:Q183,1,A59)-'Picks Detail'!E183)&lt;ABS(INDEX('Picks Detail'!F183:Q183,1,D59)-'Picks Detail'!E183),"W",IF(ABS(INDEX('Picks Detail'!F183:Q183,1,A59)-'Picks Detail'!E183)&gt;ABS(INDEX('Picks Detail'!F183:Q183,1,D59)-'Picks Detail'!E183),"L","T")),"T"))))</f>
        <v>-</v>
      </c>
      <c r="G59">
        <f t="shared" si="9"/>
        <v>0</v>
      </c>
      <c r="H59">
        <f t="shared" si="10"/>
        <v>0</v>
      </c>
      <c r="I59">
        <f t="shared" si="11"/>
        <v>0</v>
      </c>
    </row>
    <row r="60" spans="1:9" ht="15" customHeight="1" x14ac:dyDescent="0.25">
      <c r="A60">
        <v>10</v>
      </c>
      <c r="B60" t="str">
        <f>Roster!B12</f>
        <v>Zach Zarra</v>
      </c>
      <c r="C60" s="3">
        <f>SUMPRODUCT(('Picks Detail'!O169:O182&lt;&gt;"")*('Picks Detail'!E169:E182&lt;&gt;"")*('Picks Detail'!O169:O182='Picks Detail'!E169:E182)*('Picks Detail'!AB169:AB182))</f>
        <v>0</v>
      </c>
      <c r="D60">
        <v>5</v>
      </c>
      <c r="E60">
        <f>IFERROR(INDEX(C$51:C$62,MATCH(5,A$51:A$62,0)),0)</f>
        <v>0</v>
      </c>
      <c r="F60" t="str">
        <f>IF(C60=0,"-",IF(C60&gt;E60,"W",IF(C60&lt;E60,"L",IF(AND('Picks Detail'!E183&lt;&gt;"",INDEX('Picks Detail'!F183:Q183,1,A60)&lt;&gt;"",INDEX('Picks Detail'!F183:Q183,1,D60)&lt;&gt;""),IF(ABS(INDEX('Picks Detail'!F183:Q183,1,A60)-'Picks Detail'!E183)&lt;ABS(INDEX('Picks Detail'!F183:Q183,1,D60)-'Picks Detail'!E183),"W",IF(ABS(INDEX('Picks Detail'!F183:Q183,1,A60)-'Picks Detail'!E183)&gt;ABS(INDEX('Picks Detail'!F183:Q183,1,D60)-'Picks Detail'!E183),"L","T")),"T"))))</f>
        <v>-</v>
      </c>
      <c r="G60">
        <f t="shared" si="9"/>
        <v>0</v>
      </c>
      <c r="H60">
        <f t="shared" si="10"/>
        <v>0</v>
      </c>
      <c r="I60">
        <f t="shared" si="11"/>
        <v>0</v>
      </c>
    </row>
    <row r="61" spans="1:9" ht="15" customHeight="1" x14ac:dyDescent="0.25">
      <c r="A61">
        <v>11</v>
      </c>
      <c r="B61" t="str">
        <f>Roster!B13</f>
        <v>Jeffrey Loeser</v>
      </c>
      <c r="C61" s="3">
        <f>SUMPRODUCT(('Picks Detail'!P169:P182&lt;&gt;"")*('Picks Detail'!E169:E182&lt;&gt;"")*('Picks Detail'!P169:P182='Picks Detail'!E169:E182)*('Picks Detail'!AC169:AC182))</f>
        <v>0</v>
      </c>
      <c r="D61">
        <v>4</v>
      </c>
      <c r="E61">
        <f>IFERROR(INDEX(C$51:C$62,MATCH(4,A$51:A$62,0)),0)</f>
        <v>0</v>
      </c>
      <c r="F61" t="str">
        <f>IF(C61=0,"-",IF(C61&gt;E61,"W",IF(C61&lt;E61,"L",IF(AND('Picks Detail'!E183&lt;&gt;"",INDEX('Picks Detail'!F183:Q183,1,A61)&lt;&gt;"",INDEX('Picks Detail'!F183:Q183,1,D61)&lt;&gt;""),IF(ABS(INDEX('Picks Detail'!F183:Q183,1,A61)-'Picks Detail'!E183)&lt;ABS(INDEX('Picks Detail'!F183:Q183,1,D61)-'Picks Detail'!E183),"W",IF(ABS(INDEX('Picks Detail'!F183:Q183,1,A61)-'Picks Detail'!E183)&gt;ABS(INDEX('Picks Detail'!F183:Q183,1,D61)-'Picks Detail'!E183),"L","T")),"T"))))</f>
        <v>-</v>
      </c>
      <c r="G61">
        <f t="shared" si="9"/>
        <v>0</v>
      </c>
      <c r="H61">
        <f t="shared" si="10"/>
        <v>0</v>
      </c>
      <c r="I61">
        <f t="shared" si="11"/>
        <v>0</v>
      </c>
    </row>
    <row r="62" spans="1:9" ht="15" customHeight="1" x14ac:dyDescent="0.25">
      <c r="A62">
        <v>12</v>
      </c>
      <c r="B62" t="str">
        <f>Roster!B14</f>
        <v>Jake Andrews</v>
      </c>
      <c r="C62" s="3">
        <f>SUMPRODUCT(('Picks Detail'!Q169:Q182&lt;&gt;"")*('Picks Detail'!E169:E182&lt;&gt;"")*('Picks Detail'!Q169:Q182='Picks Detail'!E169:E182)*('Picks Detail'!AD169:AD182))</f>
        <v>0</v>
      </c>
      <c r="D62">
        <v>3</v>
      </c>
      <c r="E62">
        <f>IFERROR(INDEX(C$51:C$62,MATCH(3,A$51:A$62,0)),0)</f>
        <v>0</v>
      </c>
      <c r="F62" t="str">
        <f>IF(C62=0,"-",IF(C62&gt;E62,"W",IF(C62&lt;E62,"L",IF(AND('Picks Detail'!E183&lt;&gt;"",INDEX('Picks Detail'!F183:Q183,1,A62)&lt;&gt;"",INDEX('Picks Detail'!F183:Q183,1,D62)&lt;&gt;""),IF(ABS(INDEX('Picks Detail'!F183:Q183,1,A62)-'Picks Detail'!E183)&lt;ABS(INDEX('Picks Detail'!F183:Q183,1,D62)-'Picks Detail'!E183),"W",IF(ABS(INDEX('Picks Detail'!F183:Q183,1,A62)-'Picks Detail'!E183)&gt;ABS(INDEX('Picks Detail'!F183:Q183,1,D62)-'Picks Detail'!E183),"L","T")),"T"))))</f>
        <v>-</v>
      </c>
      <c r="G62">
        <f t="shared" si="9"/>
        <v>0</v>
      </c>
      <c r="H62">
        <f t="shared" si="10"/>
        <v>0</v>
      </c>
      <c r="I62">
        <f t="shared" si="11"/>
        <v>0</v>
      </c>
    </row>
    <row r="64" spans="1:9" ht="15" customHeight="1" x14ac:dyDescent="0.25">
      <c r="A64" s="18" t="s">
        <v>112</v>
      </c>
    </row>
    <row r="65" spans="1:9" ht="15" customHeight="1" x14ac:dyDescent="0.25">
      <c r="A65" s="2" t="s">
        <v>1</v>
      </c>
      <c r="B65" s="2" t="s">
        <v>2</v>
      </c>
      <c r="C65" s="2" t="s">
        <v>211</v>
      </c>
      <c r="D65" s="2" t="s">
        <v>203</v>
      </c>
      <c r="E65" s="2" t="s">
        <v>212</v>
      </c>
      <c r="F65" s="2" t="s">
        <v>205</v>
      </c>
      <c r="G65" s="2" t="s">
        <v>206</v>
      </c>
      <c r="H65" s="2" t="s">
        <v>207</v>
      </c>
      <c r="I65" s="2" t="s">
        <v>208</v>
      </c>
    </row>
    <row r="66" spans="1:9" ht="15" customHeight="1" x14ac:dyDescent="0.25">
      <c r="A66">
        <v>1</v>
      </c>
      <c r="B66" t="str">
        <f>Roster!B3</f>
        <v>Evan Loeser</v>
      </c>
      <c r="C66" s="3">
        <f>SUMPRODUCT(('Picks Detail'!F186:F198&lt;&gt;"")*('Picks Detail'!E186:E198&lt;&gt;"")*('Picks Detail'!F186:F198='Picks Detail'!E186:E198)*('Picks Detail'!S186:S198))</f>
        <v>0</v>
      </c>
      <c r="D66">
        <v>10</v>
      </c>
      <c r="E66">
        <f>IFERROR(INDEX(C$66:C$77,MATCH(10,A$66:A$77,0)),0)</f>
        <v>0</v>
      </c>
      <c r="F66" t="str">
        <f>IF(C66=0,"-",IF(C66&gt;E66,"W",IF(C66&lt;E66,"L",IF(AND('Picks Detail'!E199&lt;&gt;"",INDEX('Picks Detail'!F199:Q199,1,A66)&lt;&gt;"",INDEX('Picks Detail'!F199:Q199,1,D66)&lt;&gt;""),IF(ABS(INDEX('Picks Detail'!F199:Q199,1,A66)-'Picks Detail'!E199)&lt;ABS(INDEX('Picks Detail'!F199:Q199,1,D66)-'Picks Detail'!E199),"W",IF(ABS(INDEX('Picks Detail'!F199:Q199,1,A66)-'Picks Detail'!E199)&gt;ABS(INDEX('Picks Detail'!F199:Q199,1,D66)-'Picks Detail'!E199),"L","T")),"T"))))</f>
        <v>-</v>
      </c>
      <c r="G66">
        <f t="shared" ref="G66:G77" si="12">IF(F66="W",10,IF(F66="T",5,0))</f>
        <v>0</v>
      </c>
      <c r="H66">
        <f t="shared" ref="H66:H77" si="13">IF(C66="",0,C66)</f>
        <v>0</v>
      </c>
      <c r="I66">
        <f t="shared" ref="I66:I77" si="14">G66+H66</f>
        <v>0</v>
      </c>
    </row>
    <row r="67" spans="1:9" ht="15" customHeight="1" x14ac:dyDescent="0.25">
      <c r="A67">
        <v>2</v>
      </c>
      <c r="B67" t="str">
        <f>Roster!B4</f>
        <v>Chris Simmons</v>
      </c>
      <c r="C67" s="3">
        <f>SUMPRODUCT(('Picks Detail'!G186:G198&lt;&gt;"")*('Picks Detail'!E186:E198&lt;&gt;"")*('Picks Detail'!G186:G198='Picks Detail'!E186:E198)*('Picks Detail'!T186:T198))</f>
        <v>0</v>
      </c>
      <c r="D67">
        <v>9</v>
      </c>
      <c r="E67">
        <f>IFERROR(INDEX(C$66:C$77,MATCH(9,A$66:A$77,0)),0)</f>
        <v>0</v>
      </c>
      <c r="F67" t="str">
        <f>IF(C67=0,"-",IF(C67&gt;E67,"W",IF(C67&lt;E67,"L",IF(AND('Picks Detail'!E199&lt;&gt;"",INDEX('Picks Detail'!F199:Q199,1,A67)&lt;&gt;"",INDEX('Picks Detail'!F199:Q199,1,D67)&lt;&gt;""),IF(ABS(INDEX('Picks Detail'!F199:Q199,1,A67)-'Picks Detail'!E199)&lt;ABS(INDEX('Picks Detail'!F199:Q199,1,D67)-'Picks Detail'!E199),"W",IF(ABS(INDEX('Picks Detail'!F199:Q199,1,A67)-'Picks Detail'!E199)&gt;ABS(INDEX('Picks Detail'!F199:Q199,1,D67)-'Picks Detail'!E199),"L","T")),"T"))))</f>
        <v>-</v>
      </c>
      <c r="G67">
        <f t="shared" si="12"/>
        <v>0</v>
      </c>
      <c r="H67">
        <f t="shared" si="13"/>
        <v>0</v>
      </c>
      <c r="I67">
        <f t="shared" si="14"/>
        <v>0</v>
      </c>
    </row>
    <row r="68" spans="1:9" ht="15" customHeight="1" x14ac:dyDescent="0.25">
      <c r="A68">
        <v>3</v>
      </c>
      <c r="B68" t="str">
        <f>Roster!B5</f>
        <v>Jack Smith</v>
      </c>
      <c r="C68" s="3">
        <f>SUMPRODUCT(('Picks Detail'!H186:H198&lt;&gt;"")*('Picks Detail'!E186:E198&lt;&gt;"")*('Picks Detail'!H186:H198='Picks Detail'!E186:E198)*('Picks Detail'!U186:U198))</f>
        <v>0</v>
      </c>
      <c r="D68">
        <v>5</v>
      </c>
      <c r="E68">
        <f>IFERROR(INDEX(C$66:C$77,MATCH(5,A$66:A$77,0)),0)</f>
        <v>0</v>
      </c>
      <c r="F68" t="str">
        <f>IF(C68=0,"-",IF(C68&gt;E68,"W",IF(C68&lt;E68,"L",IF(AND('Picks Detail'!E199&lt;&gt;"",INDEX('Picks Detail'!F199:Q199,1,A68)&lt;&gt;"",INDEX('Picks Detail'!F199:Q199,1,D68)&lt;&gt;""),IF(ABS(INDEX('Picks Detail'!F199:Q199,1,A68)-'Picks Detail'!E199)&lt;ABS(INDEX('Picks Detail'!F199:Q199,1,D68)-'Picks Detail'!E199),"W",IF(ABS(INDEX('Picks Detail'!F199:Q199,1,A68)-'Picks Detail'!E199)&gt;ABS(INDEX('Picks Detail'!F199:Q199,1,D68)-'Picks Detail'!E199),"L","T")),"T"))))</f>
        <v>-</v>
      </c>
      <c r="G68">
        <f t="shared" si="12"/>
        <v>0</v>
      </c>
      <c r="H68">
        <f t="shared" si="13"/>
        <v>0</v>
      </c>
      <c r="I68">
        <f t="shared" si="14"/>
        <v>0</v>
      </c>
    </row>
    <row r="69" spans="1:9" ht="15" customHeight="1" x14ac:dyDescent="0.25">
      <c r="A69">
        <v>4</v>
      </c>
      <c r="B69" t="str">
        <f>Roster!B6</f>
        <v>Luke Ussery</v>
      </c>
      <c r="C69" s="3">
        <f>SUMPRODUCT(('Picks Detail'!I186:I198&lt;&gt;"")*('Picks Detail'!E186:E198&lt;&gt;"")*('Picks Detail'!I186:I198='Picks Detail'!E186:E198)*('Picks Detail'!V186:V198))</f>
        <v>0</v>
      </c>
      <c r="D69">
        <v>6</v>
      </c>
      <c r="E69">
        <f>IFERROR(INDEX(C$66:C$77,MATCH(6,A$66:A$77,0)),0)</f>
        <v>0</v>
      </c>
      <c r="F69" t="str">
        <f>IF(C69=0,"-",IF(C69&gt;E69,"W",IF(C69&lt;E69,"L",IF(AND('Picks Detail'!E199&lt;&gt;"",INDEX('Picks Detail'!F199:Q199,1,A69)&lt;&gt;"",INDEX('Picks Detail'!F199:Q199,1,D69)&lt;&gt;""),IF(ABS(INDEX('Picks Detail'!F199:Q199,1,A69)-'Picks Detail'!E199)&lt;ABS(INDEX('Picks Detail'!F199:Q199,1,D69)-'Picks Detail'!E199),"W",IF(ABS(INDEX('Picks Detail'!F199:Q199,1,A69)-'Picks Detail'!E199)&gt;ABS(INDEX('Picks Detail'!F199:Q199,1,D69)-'Picks Detail'!E199),"L","T")),"T"))))</f>
        <v>-</v>
      </c>
      <c r="G69">
        <f t="shared" si="12"/>
        <v>0</v>
      </c>
      <c r="H69">
        <f t="shared" si="13"/>
        <v>0</v>
      </c>
      <c r="I69">
        <f t="shared" si="14"/>
        <v>0</v>
      </c>
    </row>
    <row r="70" spans="1:9" ht="15" customHeight="1" x14ac:dyDescent="0.25">
      <c r="A70">
        <v>5</v>
      </c>
      <c r="B70" t="str">
        <f>Roster!B7</f>
        <v>Mikayla Simmons</v>
      </c>
      <c r="C70" s="3">
        <f>SUMPRODUCT(('Picks Detail'!J186:J198&lt;&gt;"")*('Picks Detail'!E186:E198&lt;&gt;"")*('Picks Detail'!J186:J198='Picks Detail'!E186:E198)*('Picks Detail'!W186:W198))</f>
        <v>0</v>
      </c>
      <c r="D70">
        <v>3</v>
      </c>
      <c r="E70">
        <f>IFERROR(INDEX(C$66:C$77,MATCH(3,A$66:A$77,0)),0)</f>
        <v>0</v>
      </c>
      <c r="F70" t="str">
        <f>IF(C70=0,"-",IF(C70&gt;E70,"W",IF(C70&lt;E70,"L",IF(AND('Picks Detail'!E199&lt;&gt;"",INDEX('Picks Detail'!F199:Q199,1,A70)&lt;&gt;"",INDEX('Picks Detail'!F199:Q199,1,D70)&lt;&gt;""),IF(ABS(INDEX('Picks Detail'!F199:Q199,1,A70)-'Picks Detail'!E199)&lt;ABS(INDEX('Picks Detail'!F199:Q199,1,D70)-'Picks Detail'!E199),"W",IF(ABS(INDEX('Picks Detail'!F199:Q199,1,A70)-'Picks Detail'!E199)&gt;ABS(INDEX('Picks Detail'!F199:Q199,1,D70)-'Picks Detail'!E199),"L","T")),"T"))))</f>
        <v>-</v>
      </c>
      <c r="G70">
        <f t="shared" si="12"/>
        <v>0</v>
      </c>
      <c r="H70">
        <f t="shared" si="13"/>
        <v>0</v>
      </c>
      <c r="I70">
        <f t="shared" si="14"/>
        <v>0</v>
      </c>
    </row>
    <row r="71" spans="1:9" ht="15" customHeight="1" x14ac:dyDescent="0.25">
      <c r="A71">
        <v>6</v>
      </c>
      <c r="B71" t="str">
        <f>Roster!B8</f>
        <v>Alan Loeser</v>
      </c>
      <c r="C71" s="3">
        <f>SUMPRODUCT(('Picks Detail'!K186:K198&lt;&gt;"")*('Picks Detail'!E186:E198&lt;&gt;"")*('Picks Detail'!K186:K198='Picks Detail'!E186:E198)*('Picks Detail'!X186:X198))</f>
        <v>0</v>
      </c>
      <c r="D71">
        <v>4</v>
      </c>
      <c r="E71">
        <f>IFERROR(INDEX(C$66:C$77,MATCH(4,A$66:A$77,0)),0)</f>
        <v>0</v>
      </c>
      <c r="F71" t="str">
        <f>IF(C71=0,"-",IF(C71&gt;E71,"W",IF(C71&lt;E71,"L",IF(AND('Picks Detail'!E199&lt;&gt;"",INDEX('Picks Detail'!F199:Q199,1,A71)&lt;&gt;"",INDEX('Picks Detail'!F199:Q199,1,D71)&lt;&gt;""),IF(ABS(INDEX('Picks Detail'!F199:Q199,1,A71)-'Picks Detail'!E199)&lt;ABS(INDEX('Picks Detail'!F199:Q199,1,D71)-'Picks Detail'!E199),"W",IF(ABS(INDEX('Picks Detail'!F199:Q199,1,A71)-'Picks Detail'!E199)&gt;ABS(INDEX('Picks Detail'!F199:Q199,1,D71)-'Picks Detail'!E199),"L","T")),"T"))))</f>
        <v>-</v>
      </c>
      <c r="G71">
        <f t="shared" si="12"/>
        <v>0</v>
      </c>
      <c r="H71">
        <f t="shared" si="13"/>
        <v>0</v>
      </c>
      <c r="I71">
        <f t="shared" si="14"/>
        <v>0</v>
      </c>
    </row>
    <row r="72" spans="1:9" ht="15" customHeight="1" x14ac:dyDescent="0.25">
      <c r="A72">
        <v>7</v>
      </c>
      <c r="B72" t="str">
        <f>Roster!B9</f>
        <v>Caleb Simmons</v>
      </c>
      <c r="C72" s="3">
        <f>SUMPRODUCT(('Picks Detail'!L186:L198&lt;&gt;"")*('Picks Detail'!E186:E198&lt;&gt;"")*('Picks Detail'!L186:L198='Picks Detail'!E186:E198)*('Picks Detail'!Y186:Y198))</f>
        <v>0</v>
      </c>
      <c r="D72">
        <v>11</v>
      </c>
      <c r="E72">
        <f>IFERROR(INDEX(C$66:C$77,MATCH(11,A$66:A$77,0)),0)</f>
        <v>0</v>
      </c>
      <c r="F72" t="str">
        <f>IF(C72=0,"-",IF(C72&gt;E72,"W",IF(C72&lt;E72,"L",IF(AND('Picks Detail'!E199&lt;&gt;"",INDEX('Picks Detail'!F199:Q199,1,A72)&lt;&gt;"",INDEX('Picks Detail'!F199:Q199,1,D72)&lt;&gt;""),IF(ABS(INDEX('Picks Detail'!F199:Q199,1,A72)-'Picks Detail'!E199)&lt;ABS(INDEX('Picks Detail'!F199:Q199,1,D72)-'Picks Detail'!E199),"W",IF(ABS(INDEX('Picks Detail'!F199:Q199,1,A72)-'Picks Detail'!E199)&gt;ABS(INDEX('Picks Detail'!F199:Q199,1,D72)-'Picks Detail'!E199),"L","T")),"T"))))</f>
        <v>-</v>
      </c>
      <c r="G72">
        <f t="shared" si="12"/>
        <v>0</v>
      </c>
      <c r="H72">
        <f t="shared" si="13"/>
        <v>0</v>
      </c>
      <c r="I72">
        <f t="shared" si="14"/>
        <v>0</v>
      </c>
    </row>
    <row r="73" spans="1:9" ht="15" customHeight="1" x14ac:dyDescent="0.25">
      <c r="A73">
        <v>8</v>
      </c>
      <c r="B73" t="str">
        <f>Roster!B10</f>
        <v>Larry Loeser</v>
      </c>
      <c r="C73" s="3">
        <f>SUMPRODUCT(('Picks Detail'!M186:M198&lt;&gt;"")*('Picks Detail'!E186:E198&lt;&gt;"")*('Picks Detail'!M186:M198='Picks Detail'!E186:E198)*('Picks Detail'!Z186:Z198))</f>
        <v>0</v>
      </c>
      <c r="D73">
        <v>12</v>
      </c>
      <c r="E73">
        <f>IFERROR(INDEX(C$66:C$77,MATCH(12,A$66:A$77,0)),0)</f>
        <v>0</v>
      </c>
      <c r="F73" t="str">
        <f>IF(C73=0,"-",IF(C73&gt;E73,"W",IF(C73&lt;E73,"L",IF(AND('Picks Detail'!E199&lt;&gt;"",INDEX('Picks Detail'!F199:Q199,1,A73)&lt;&gt;"",INDEX('Picks Detail'!F199:Q199,1,D73)&lt;&gt;""),IF(ABS(INDEX('Picks Detail'!F199:Q199,1,A73)-'Picks Detail'!E199)&lt;ABS(INDEX('Picks Detail'!F199:Q199,1,D73)-'Picks Detail'!E199),"W",IF(ABS(INDEX('Picks Detail'!F199:Q199,1,A73)-'Picks Detail'!E199)&gt;ABS(INDEX('Picks Detail'!F199:Q199,1,D73)-'Picks Detail'!E199),"L","T")),"T"))))</f>
        <v>-</v>
      </c>
      <c r="G73">
        <f t="shared" si="12"/>
        <v>0</v>
      </c>
      <c r="H73">
        <f t="shared" si="13"/>
        <v>0</v>
      </c>
      <c r="I73">
        <f t="shared" si="14"/>
        <v>0</v>
      </c>
    </row>
    <row r="74" spans="1:9" ht="15" customHeight="1" x14ac:dyDescent="0.25">
      <c r="A74">
        <v>9</v>
      </c>
      <c r="B74" t="str">
        <f>Roster!B11</f>
        <v>Daddy Michael</v>
      </c>
      <c r="C74" s="3">
        <f>SUMPRODUCT(('Picks Detail'!N186:N198&lt;&gt;"")*('Picks Detail'!E186:E198&lt;&gt;"")*('Picks Detail'!N186:N198='Picks Detail'!E186:E198)*('Picks Detail'!AA186:AA198))</f>
        <v>0</v>
      </c>
      <c r="D74">
        <v>2</v>
      </c>
      <c r="E74">
        <f>IFERROR(INDEX(C$66:C$77,MATCH(2,A$66:A$77,0)),0)</f>
        <v>0</v>
      </c>
      <c r="F74" t="str">
        <f>IF(C74=0,"-",IF(C74&gt;E74,"W",IF(C74&lt;E74,"L",IF(AND('Picks Detail'!E199&lt;&gt;"",INDEX('Picks Detail'!F199:Q199,1,A74)&lt;&gt;"",INDEX('Picks Detail'!F199:Q199,1,D74)&lt;&gt;""),IF(ABS(INDEX('Picks Detail'!F199:Q199,1,A74)-'Picks Detail'!E199)&lt;ABS(INDEX('Picks Detail'!F199:Q199,1,D74)-'Picks Detail'!E199),"W",IF(ABS(INDEX('Picks Detail'!F199:Q199,1,A74)-'Picks Detail'!E199)&gt;ABS(INDEX('Picks Detail'!F199:Q199,1,D74)-'Picks Detail'!E199),"L","T")),"T"))))</f>
        <v>-</v>
      </c>
      <c r="G74">
        <f t="shared" si="12"/>
        <v>0</v>
      </c>
      <c r="H74">
        <f t="shared" si="13"/>
        <v>0</v>
      </c>
      <c r="I74">
        <f t="shared" si="14"/>
        <v>0</v>
      </c>
    </row>
    <row r="75" spans="1:9" ht="15" customHeight="1" x14ac:dyDescent="0.25">
      <c r="A75">
        <v>10</v>
      </c>
      <c r="B75" t="str">
        <f>Roster!B12</f>
        <v>Zach Zarra</v>
      </c>
      <c r="C75" s="3">
        <f>SUMPRODUCT(('Picks Detail'!O186:O198&lt;&gt;"")*('Picks Detail'!E186:E198&lt;&gt;"")*('Picks Detail'!O186:O198='Picks Detail'!E186:E198)*('Picks Detail'!AB186:AB198))</f>
        <v>0</v>
      </c>
      <c r="D75">
        <v>1</v>
      </c>
      <c r="E75">
        <f>IFERROR(INDEX(C$66:C$77,MATCH(1,A$66:A$77,0)),0)</f>
        <v>0</v>
      </c>
      <c r="F75" t="str">
        <f>IF(C75=0,"-",IF(C75&gt;E75,"W",IF(C75&lt;E75,"L",IF(AND('Picks Detail'!E199&lt;&gt;"",INDEX('Picks Detail'!F199:Q199,1,A75)&lt;&gt;"",INDEX('Picks Detail'!F199:Q199,1,D75)&lt;&gt;""),IF(ABS(INDEX('Picks Detail'!F199:Q199,1,A75)-'Picks Detail'!E199)&lt;ABS(INDEX('Picks Detail'!F199:Q199,1,D75)-'Picks Detail'!E199),"W",IF(ABS(INDEX('Picks Detail'!F199:Q199,1,A75)-'Picks Detail'!E199)&gt;ABS(INDEX('Picks Detail'!F199:Q199,1,D75)-'Picks Detail'!E199),"L","T")),"T"))))</f>
        <v>-</v>
      </c>
      <c r="G75">
        <f t="shared" si="12"/>
        <v>0</v>
      </c>
      <c r="H75">
        <f t="shared" si="13"/>
        <v>0</v>
      </c>
      <c r="I75">
        <f t="shared" si="14"/>
        <v>0</v>
      </c>
    </row>
    <row r="76" spans="1:9" ht="15" customHeight="1" x14ac:dyDescent="0.25">
      <c r="A76">
        <v>11</v>
      </c>
      <c r="B76" t="str">
        <f>Roster!B13</f>
        <v>Jeffrey Loeser</v>
      </c>
      <c r="C76" s="3">
        <f>SUMPRODUCT(('Picks Detail'!P186:P198&lt;&gt;"")*('Picks Detail'!E186:E198&lt;&gt;"")*('Picks Detail'!P186:P198='Picks Detail'!E186:E198)*('Picks Detail'!AC186:AC198))</f>
        <v>0</v>
      </c>
      <c r="D76">
        <v>7</v>
      </c>
      <c r="E76">
        <f>IFERROR(INDEX(C$66:C$77,MATCH(7,A$66:A$77,0)),0)</f>
        <v>0</v>
      </c>
      <c r="F76" t="str">
        <f>IF(C76=0,"-",IF(C76&gt;E76,"W",IF(C76&lt;E76,"L",IF(AND('Picks Detail'!E199&lt;&gt;"",INDEX('Picks Detail'!F199:Q199,1,A76)&lt;&gt;"",INDEX('Picks Detail'!F199:Q199,1,D76)&lt;&gt;""),IF(ABS(INDEX('Picks Detail'!F199:Q199,1,A76)-'Picks Detail'!E199)&lt;ABS(INDEX('Picks Detail'!F199:Q199,1,D76)-'Picks Detail'!E199),"W",IF(ABS(INDEX('Picks Detail'!F199:Q199,1,A76)-'Picks Detail'!E199)&gt;ABS(INDEX('Picks Detail'!F199:Q199,1,D76)-'Picks Detail'!E199),"L","T")),"T"))))</f>
        <v>-</v>
      </c>
      <c r="G76">
        <f t="shared" si="12"/>
        <v>0</v>
      </c>
      <c r="H76">
        <f t="shared" si="13"/>
        <v>0</v>
      </c>
      <c r="I76">
        <f t="shared" si="14"/>
        <v>0</v>
      </c>
    </row>
    <row r="77" spans="1:9" ht="15" customHeight="1" x14ac:dyDescent="0.25">
      <c r="A77">
        <v>12</v>
      </c>
      <c r="B77" t="str">
        <f>Roster!B14</f>
        <v>Jake Andrews</v>
      </c>
      <c r="C77" s="3">
        <f>SUMPRODUCT(('Picks Detail'!Q186:Q198&lt;&gt;"")*('Picks Detail'!E186:E198&lt;&gt;"")*('Picks Detail'!Q186:Q198='Picks Detail'!E186:E198)*('Picks Detail'!AD186:AD198))</f>
        <v>0</v>
      </c>
      <c r="D77">
        <v>8</v>
      </c>
      <c r="E77">
        <f>IFERROR(INDEX(C$66:C$77,MATCH(8,A$66:A$77,0)),0)</f>
        <v>0</v>
      </c>
      <c r="F77" t="str">
        <f>IF(C77=0,"-",IF(C77&gt;E77,"W",IF(C77&lt;E77,"L",IF(AND('Picks Detail'!E199&lt;&gt;"",INDEX('Picks Detail'!F199:Q199,1,A77)&lt;&gt;"",INDEX('Picks Detail'!F199:Q199,1,D77)&lt;&gt;""),IF(ABS(INDEX('Picks Detail'!F199:Q199,1,A77)-'Picks Detail'!E199)&lt;ABS(INDEX('Picks Detail'!F199:Q199,1,D77)-'Picks Detail'!E199),"W",IF(ABS(INDEX('Picks Detail'!F199:Q199,1,A77)-'Picks Detail'!E199)&gt;ABS(INDEX('Picks Detail'!F199:Q199,1,D77)-'Picks Detail'!E199),"L","T")),"T"))))</f>
        <v>-</v>
      </c>
      <c r="G77">
        <f t="shared" si="12"/>
        <v>0</v>
      </c>
      <c r="H77">
        <f t="shared" si="13"/>
        <v>0</v>
      </c>
      <c r="I77">
        <f t="shared" si="14"/>
        <v>0</v>
      </c>
    </row>
    <row r="79" spans="1:9" ht="15" customHeight="1" x14ac:dyDescent="0.25">
      <c r="A79" s="18" t="s">
        <v>113</v>
      </c>
    </row>
    <row r="80" spans="1:9" ht="15" customHeight="1" x14ac:dyDescent="0.25">
      <c r="A80" s="2" t="s">
        <v>1</v>
      </c>
      <c r="B80" s="2" t="s">
        <v>2</v>
      </c>
      <c r="C80" s="2" t="s">
        <v>211</v>
      </c>
      <c r="D80" s="2" t="s">
        <v>203</v>
      </c>
      <c r="E80" s="2" t="s">
        <v>212</v>
      </c>
      <c r="F80" s="2" t="s">
        <v>205</v>
      </c>
      <c r="G80" s="2" t="s">
        <v>206</v>
      </c>
      <c r="H80" s="2" t="s">
        <v>207</v>
      </c>
      <c r="I80" s="2" t="s">
        <v>208</v>
      </c>
    </row>
    <row r="81" spans="1:9" ht="15" customHeight="1" x14ac:dyDescent="0.25">
      <c r="A81">
        <v>1</v>
      </c>
      <c r="B81" t="str">
        <f>Roster!B3</f>
        <v>Evan Loeser</v>
      </c>
      <c r="C81" s="3">
        <f>SUMPRODUCT(('Picks Detail'!F202:F217&lt;&gt;"")*('Picks Detail'!E202:E217&lt;&gt;"")*('Picks Detail'!F202:F217='Picks Detail'!E202:E217)*('Picks Detail'!S202:S217))</f>
        <v>0</v>
      </c>
      <c r="D81">
        <v>6</v>
      </c>
      <c r="E81">
        <f>IFERROR(INDEX(C$81:C$92,MATCH(6,A$81:A$92,0)),0)</f>
        <v>0</v>
      </c>
      <c r="F81" t="str">
        <f>IF(C81=0,"-",IF(C81&gt;E81,"W",IF(C81&lt;E81,"L",IF(AND('Picks Detail'!E218&lt;&gt;"",INDEX('Picks Detail'!F218:Q218,1,A81)&lt;&gt;"",INDEX('Picks Detail'!F218:Q218,1,D81)&lt;&gt;""),IF(ABS(INDEX('Picks Detail'!F218:Q218,1,A81)-'Picks Detail'!E218)&lt;ABS(INDEX('Picks Detail'!F218:Q218,1,D81)-'Picks Detail'!E218),"W",IF(ABS(INDEX('Picks Detail'!F218:Q218,1,A81)-'Picks Detail'!E218)&gt;ABS(INDEX('Picks Detail'!F218:Q218,1,D81)-'Picks Detail'!E218),"L","T")),"T"))))</f>
        <v>-</v>
      </c>
      <c r="G81">
        <f t="shared" ref="G81:G92" si="15">IF(F81="W",10,IF(F81="T",5,0))</f>
        <v>0</v>
      </c>
      <c r="H81">
        <f t="shared" ref="H81:H92" si="16">IF(C81="",0,C81)</f>
        <v>0</v>
      </c>
      <c r="I81">
        <f t="shared" ref="I81:I92" si="17">G81+H81</f>
        <v>0</v>
      </c>
    </row>
    <row r="82" spans="1:9" ht="15" customHeight="1" x14ac:dyDescent="0.25">
      <c r="A82">
        <v>2</v>
      </c>
      <c r="B82" t="str">
        <f>Roster!B4</f>
        <v>Chris Simmons</v>
      </c>
      <c r="C82" s="3">
        <f>SUMPRODUCT(('Picks Detail'!G202:G217&lt;&gt;"")*('Picks Detail'!E202:E217&lt;&gt;"")*('Picks Detail'!G202:G217='Picks Detail'!E202:E217)*('Picks Detail'!T202:T217))</f>
        <v>0</v>
      </c>
      <c r="D82">
        <v>5</v>
      </c>
      <c r="E82">
        <f>IFERROR(INDEX(C$81:C$92,MATCH(5,A$81:A$92,0)),0)</f>
        <v>0</v>
      </c>
      <c r="F82" t="str">
        <f>IF(C82=0,"-",IF(C82&gt;E82,"W",IF(C82&lt;E82,"L",IF(AND('Picks Detail'!E218&lt;&gt;"",INDEX('Picks Detail'!F218:Q218,1,A82)&lt;&gt;"",INDEX('Picks Detail'!F218:Q218,1,D82)&lt;&gt;""),IF(ABS(INDEX('Picks Detail'!F218:Q218,1,A82)-'Picks Detail'!E218)&lt;ABS(INDEX('Picks Detail'!F218:Q218,1,D82)-'Picks Detail'!E218),"W",IF(ABS(INDEX('Picks Detail'!F218:Q218,1,A82)-'Picks Detail'!E218)&gt;ABS(INDEX('Picks Detail'!F218:Q218,1,D82)-'Picks Detail'!E218),"L","T")),"T"))))</f>
        <v>-</v>
      </c>
      <c r="G82">
        <f t="shared" si="15"/>
        <v>0</v>
      </c>
      <c r="H82">
        <f t="shared" si="16"/>
        <v>0</v>
      </c>
      <c r="I82">
        <f t="shared" si="17"/>
        <v>0</v>
      </c>
    </row>
    <row r="83" spans="1:9" ht="15" customHeight="1" x14ac:dyDescent="0.25">
      <c r="A83">
        <v>3</v>
      </c>
      <c r="B83" t="str">
        <f>Roster!B5</f>
        <v>Jack Smith</v>
      </c>
      <c r="C83" s="3">
        <f>SUMPRODUCT(('Picks Detail'!H202:H217&lt;&gt;"")*('Picks Detail'!E202:E217&lt;&gt;"")*('Picks Detail'!H202:H217='Picks Detail'!E202:E217)*('Picks Detail'!U202:U217))</f>
        <v>0</v>
      </c>
      <c r="D83">
        <v>11</v>
      </c>
      <c r="E83">
        <f>IFERROR(INDEX(C$81:C$92,MATCH(11,A$81:A$92,0)),0)</f>
        <v>0</v>
      </c>
      <c r="F83" t="str">
        <f>IF(C83=0,"-",IF(C83&gt;E83,"W",IF(C83&lt;E83,"L",IF(AND('Picks Detail'!E218&lt;&gt;"",INDEX('Picks Detail'!F218:Q218,1,A83)&lt;&gt;"",INDEX('Picks Detail'!F218:Q218,1,D83)&lt;&gt;""),IF(ABS(INDEX('Picks Detail'!F218:Q218,1,A83)-'Picks Detail'!E218)&lt;ABS(INDEX('Picks Detail'!F218:Q218,1,D83)-'Picks Detail'!E218),"W",IF(ABS(INDEX('Picks Detail'!F218:Q218,1,A83)-'Picks Detail'!E218)&gt;ABS(INDEX('Picks Detail'!F218:Q218,1,D83)-'Picks Detail'!E218),"L","T")),"T"))))</f>
        <v>-</v>
      </c>
      <c r="G83">
        <f t="shared" si="15"/>
        <v>0</v>
      </c>
      <c r="H83">
        <f t="shared" si="16"/>
        <v>0</v>
      </c>
      <c r="I83">
        <f t="shared" si="17"/>
        <v>0</v>
      </c>
    </row>
    <row r="84" spans="1:9" ht="15" customHeight="1" x14ac:dyDescent="0.25">
      <c r="A84">
        <v>4</v>
      </c>
      <c r="B84" t="str">
        <f>Roster!B6</f>
        <v>Luke Ussery</v>
      </c>
      <c r="C84" s="3">
        <f>SUMPRODUCT(('Picks Detail'!I202:I217&lt;&gt;"")*('Picks Detail'!E202:E217&lt;&gt;"")*('Picks Detail'!I202:I217='Picks Detail'!E202:E217)*('Picks Detail'!V202:V217))</f>
        <v>0</v>
      </c>
      <c r="D84">
        <v>12</v>
      </c>
      <c r="E84">
        <f>IFERROR(INDEX(C$81:C$92,MATCH(12,A$81:A$92,0)),0)</f>
        <v>0</v>
      </c>
      <c r="F84" t="str">
        <f>IF(C84=0,"-",IF(C84&gt;E84,"W",IF(C84&lt;E84,"L",IF(AND('Picks Detail'!E218&lt;&gt;"",INDEX('Picks Detail'!F218:Q218,1,A84)&lt;&gt;"",INDEX('Picks Detail'!F218:Q218,1,D84)&lt;&gt;""),IF(ABS(INDEX('Picks Detail'!F218:Q218,1,A84)-'Picks Detail'!E218)&lt;ABS(INDEX('Picks Detail'!F218:Q218,1,D84)-'Picks Detail'!E218),"W",IF(ABS(INDEX('Picks Detail'!F218:Q218,1,A84)-'Picks Detail'!E218)&gt;ABS(INDEX('Picks Detail'!F218:Q218,1,D84)-'Picks Detail'!E218),"L","T")),"T"))))</f>
        <v>-</v>
      </c>
      <c r="G84">
        <f t="shared" si="15"/>
        <v>0</v>
      </c>
      <c r="H84">
        <f t="shared" si="16"/>
        <v>0</v>
      </c>
      <c r="I84">
        <f t="shared" si="17"/>
        <v>0</v>
      </c>
    </row>
    <row r="85" spans="1:9" ht="15" customHeight="1" x14ac:dyDescent="0.25">
      <c r="A85">
        <v>5</v>
      </c>
      <c r="B85" t="str">
        <f>Roster!B7</f>
        <v>Mikayla Simmons</v>
      </c>
      <c r="C85" s="3">
        <f>SUMPRODUCT(('Picks Detail'!J202:J217&lt;&gt;"")*('Picks Detail'!E202:E217&lt;&gt;"")*('Picks Detail'!J202:J217='Picks Detail'!E202:E217)*('Picks Detail'!W202:W217))</f>
        <v>0</v>
      </c>
      <c r="D85">
        <v>2</v>
      </c>
      <c r="E85">
        <f>IFERROR(INDEX(C$81:C$92,MATCH(2,A$81:A$92,0)),0)</f>
        <v>0</v>
      </c>
      <c r="F85" t="str">
        <f>IF(C85=0,"-",IF(C85&gt;E85,"W",IF(C85&lt;E85,"L",IF(AND('Picks Detail'!E218&lt;&gt;"",INDEX('Picks Detail'!F218:Q218,1,A85)&lt;&gt;"",INDEX('Picks Detail'!F218:Q218,1,D85)&lt;&gt;""),IF(ABS(INDEX('Picks Detail'!F218:Q218,1,A85)-'Picks Detail'!E218)&lt;ABS(INDEX('Picks Detail'!F218:Q218,1,D85)-'Picks Detail'!E218),"W",IF(ABS(INDEX('Picks Detail'!F218:Q218,1,A85)-'Picks Detail'!E218)&gt;ABS(INDEX('Picks Detail'!F218:Q218,1,D85)-'Picks Detail'!E218),"L","T")),"T"))))</f>
        <v>-</v>
      </c>
      <c r="G85">
        <f t="shared" si="15"/>
        <v>0</v>
      </c>
      <c r="H85">
        <f t="shared" si="16"/>
        <v>0</v>
      </c>
      <c r="I85">
        <f t="shared" si="17"/>
        <v>0</v>
      </c>
    </row>
    <row r="86" spans="1:9" ht="15" customHeight="1" x14ac:dyDescent="0.25">
      <c r="A86">
        <v>6</v>
      </c>
      <c r="B86" t="str">
        <f>Roster!B8</f>
        <v>Alan Loeser</v>
      </c>
      <c r="C86" s="3">
        <f>SUMPRODUCT(('Picks Detail'!K202:K217&lt;&gt;"")*('Picks Detail'!E202:E217&lt;&gt;"")*('Picks Detail'!K202:K217='Picks Detail'!E202:E217)*('Picks Detail'!X202:X217))</f>
        <v>0</v>
      </c>
      <c r="D86">
        <v>1</v>
      </c>
      <c r="E86">
        <f>IFERROR(INDEX(C$81:C$92,MATCH(1,A$81:A$92,0)),0)</f>
        <v>0</v>
      </c>
      <c r="F86" t="str">
        <f>IF(C86=0,"-",IF(C86&gt;E86,"W",IF(C86&lt;E86,"L",IF(AND('Picks Detail'!E218&lt;&gt;"",INDEX('Picks Detail'!F218:Q218,1,A86)&lt;&gt;"",INDEX('Picks Detail'!F218:Q218,1,D86)&lt;&gt;""),IF(ABS(INDEX('Picks Detail'!F218:Q218,1,A86)-'Picks Detail'!E218)&lt;ABS(INDEX('Picks Detail'!F218:Q218,1,D86)-'Picks Detail'!E218),"W",IF(ABS(INDEX('Picks Detail'!F218:Q218,1,A86)-'Picks Detail'!E218)&gt;ABS(INDEX('Picks Detail'!F218:Q218,1,D86)-'Picks Detail'!E218),"L","T")),"T"))))</f>
        <v>-</v>
      </c>
      <c r="G86">
        <f t="shared" si="15"/>
        <v>0</v>
      </c>
      <c r="H86">
        <f t="shared" si="16"/>
        <v>0</v>
      </c>
      <c r="I86">
        <f t="shared" si="17"/>
        <v>0</v>
      </c>
    </row>
    <row r="87" spans="1:9" ht="15" customHeight="1" x14ac:dyDescent="0.25">
      <c r="A87">
        <v>7</v>
      </c>
      <c r="B87" t="str">
        <f>Roster!B9</f>
        <v>Caleb Simmons</v>
      </c>
      <c r="C87" s="3">
        <f>SUMPRODUCT(('Picks Detail'!L202:L217&lt;&gt;"")*('Picks Detail'!E202:E217&lt;&gt;"")*('Picks Detail'!L202:L217='Picks Detail'!E202:E217)*('Picks Detail'!Y202:Y217))</f>
        <v>0</v>
      </c>
      <c r="D87">
        <v>9</v>
      </c>
      <c r="E87">
        <f>IFERROR(INDEX(C$81:C$92,MATCH(9,A$81:A$92,0)),0)</f>
        <v>0</v>
      </c>
      <c r="F87" t="str">
        <f>IF(C87=0,"-",IF(C87&gt;E87,"W",IF(C87&lt;E87,"L",IF(AND('Picks Detail'!E218&lt;&gt;"",INDEX('Picks Detail'!F218:Q218,1,A87)&lt;&gt;"",INDEX('Picks Detail'!F218:Q218,1,D87)&lt;&gt;""),IF(ABS(INDEX('Picks Detail'!F218:Q218,1,A87)-'Picks Detail'!E218)&lt;ABS(INDEX('Picks Detail'!F218:Q218,1,D87)-'Picks Detail'!E218),"W",IF(ABS(INDEX('Picks Detail'!F218:Q218,1,A87)-'Picks Detail'!E218)&gt;ABS(INDEX('Picks Detail'!F218:Q218,1,D87)-'Picks Detail'!E218),"L","T")),"T"))))</f>
        <v>-</v>
      </c>
      <c r="G87">
        <f t="shared" si="15"/>
        <v>0</v>
      </c>
      <c r="H87">
        <f t="shared" si="16"/>
        <v>0</v>
      </c>
      <c r="I87">
        <f t="shared" si="17"/>
        <v>0</v>
      </c>
    </row>
    <row r="88" spans="1:9" ht="15" customHeight="1" x14ac:dyDescent="0.25">
      <c r="A88">
        <v>8</v>
      </c>
      <c r="B88" t="str">
        <f>Roster!B10</f>
        <v>Larry Loeser</v>
      </c>
      <c r="C88" s="3">
        <f>SUMPRODUCT(('Picks Detail'!M202:M217&lt;&gt;"")*('Picks Detail'!E202:E217&lt;&gt;"")*('Picks Detail'!M202:M217='Picks Detail'!E202:E217)*('Picks Detail'!Z202:Z217))</f>
        <v>0</v>
      </c>
      <c r="D88">
        <v>10</v>
      </c>
      <c r="E88">
        <f>IFERROR(INDEX(C$81:C$92,MATCH(10,A$81:A$92,0)),0)</f>
        <v>0</v>
      </c>
      <c r="F88" t="str">
        <f>IF(C88=0,"-",IF(C88&gt;E88,"W",IF(C88&lt;E88,"L",IF(AND('Picks Detail'!E218&lt;&gt;"",INDEX('Picks Detail'!F218:Q218,1,A88)&lt;&gt;"",INDEX('Picks Detail'!F218:Q218,1,D88)&lt;&gt;""),IF(ABS(INDEX('Picks Detail'!F218:Q218,1,A88)-'Picks Detail'!E218)&lt;ABS(INDEX('Picks Detail'!F218:Q218,1,D88)-'Picks Detail'!E218),"W",IF(ABS(INDEX('Picks Detail'!F218:Q218,1,A88)-'Picks Detail'!E218)&gt;ABS(INDEX('Picks Detail'!F218:Q218,1,D88)-'Picks Detail'!E218),"L","T")),"T"))))</f>
        <v>-</v>
      </c>
      <c r="G88">
        <f t="shared" si="15"/>
        <v>0</v>
      </c>
      <c r="H88">
        <f t="shared" si="16"/>
        <v>0</v>
      </c>
      <c r="I88">
        <f t="shared" si="17"/>
        <v>0</v>
      </c>
    </row>
    <row r="89" spans="1:9" ht="15" customHeight="1" x14ac:dyDescent="0.25">
      <c r="A89">
        <v>9</v>
      </c>
      <c r="B89" t="str">
        <f>Roster!B11</f>
        <v>Daddy Michael</v>
      </c>
      <c r="C89" s="3">
        <f>SUMPRODUCT(('Picks Detail'!N202:N217&lt;&gt;"")*('Picks Detail'!E202:E217&lt;&gt;"")*('Picks Detail'!N202:N217='Picks Detail'!E202:E217)*('Picks Detail'!AA202:AA217))</f>
        <v>0</v>
      </c>
      <c r="D89">
        <v>7</v>
      </c>
      <c r="E89">
        <f>IFERROR(INDEX(C$81:C$92,MATCH(7,A$81:A$92,0)),0)</f>
        <v>0</v>
      </c>
      <c r="F89" t="str">
        <f>IF(C89=0,"-",IF(C89&gt;E89,"W",IF(C89&lt;E89,"L",IF(AND('Picks Detail'!E218&lt;&gt;"",INDEX('Picks Detail'!F218:Q218,1,A89)&lt;&gt;"",INDEX('Picks Detail'!F218:Q218,1,D89)&lt;&gt;""),IF(ABS(INDEX('Picks Detail'!F218:Q218,1,A89)-'Picks Detail'!E218)&lt;ABS(INDEX('Picks Detail'!F218:Q218,1,D89)-'Picks Detail'!E218),"W",IF(ABS(INDEX('Picks Detail'!F218:Q218,1,A89)-'Picks Detail'!E218)&gt;ABS(INDEX('Picks Detail'!F218:Q218,1,D89)-'Picks Detail'!E218),"L","T")),"T"))))</f>
        <v>-</v>
      </c>
      <c r="G89">
        <f t="shared" si="15"/>
        <v>0</v>
      </c>
      <c r="H89">
        <f t="shared" si="16"/>
        <v>0</v>
      </c>
      <c r="I89">
        <f t="shared" si="17"/>
        <v>0</v>
      </c>
    </row>
    <row r="90" spans="1:9" ht="15" customHeight="1" x14ac:dyDescent="0.25">
      <c r="A90">
        <v>10</v>
      </c>
      <c r="B90" t="str">
        <f>Roster!B12</f>
        <v>Zach Zarra</v>
      </c>
      <c r="C90" s="3">
        <f>SUMPRODUCT(('Picks Detail'!O202:O217&lt;&gt;"")*('Picks Detail'!E202:E217&lt;&gt;"")*('Picks Detail'!O202:O217='Picks Detail'!E202:E217)*('Picks Detail'!AB202:AB217))</f>
        <v>0</v>
      </c>
      <c r="D90">
        <v>8</v>
      </c>
      <c r="E90">
        <f>IFERROR(INDEX(C$81:C$92,MATCH(8,A$81:A$92,0)),0)</f>
        <v>0</v>
      </c>
      <c r="F90" t="str">
        <f>IF(C90=0,"-",IF(C90&gt;E90,"W",IF(C90&lt;E90,"L",IF(AND('Picks Detail'!E218&lt;&gt;"",INDEX('Picks Detail'!F218:Q218,1,A90)&lt;&gt;"",INDEX('Picks Detail'!F218:Q218,1,D90)&lt;&gt;""),IF(ABS(INDEX('Picks Detail'!F218:Q218,1,A90)-'Picks Detail'!E218)&lt;ABS(INDEX('Picks Detail'!F218:Q218,1,D90)-'Picks Detail'!E218),"W",IF(ABS(INDEX('Picks Detail'!F218:Q218,1,A90)-'Picks Detail'!E218)&gt;ABS(INDEX('Picks Detail'!F218:Q218,1,D90)-'Picks Detail'!E218),"L","T")),"T"))))</f>
        <v>-</v>
      </c>
      <c r="G90">
        <f t="shared" si="15"/>
        <v>0</v>
      </c>
      <c r="H90">
        <f t="shared" si="16"/>
        <v>0</v>
      </c>
      <c r="I90">
        <f t="shared" si="17"/>
        <v>0</v>
      </c>
    </row>
    <row r="91" spans="1:9" ht="15" customHeight="1" x14ac:dyDescent="0.25">
      <c r="A91">
        <v>11</v>
      </c>
      <c r="B91" t="str">
        <f>Roster!B13</f>
        <v>Jeffrey Loeser</v>
      </c>
      <c r="C91" s="3">
        <f>SUMPRODUCT(('Picks Detail'!P202:P217&lt;&gt;"")*('Picks Detail'!E202:E217&lt;&gt;"")*('Picks Detail'!P202:P217='Picks Detail'!E202:E217)*('Picks Detail'!AC202:AC217))</f>
        <v>0</v>
      </c>
      <c r="D91">
        <v>3</v>
      </c>
      <c r="E91">
        <f>IFERROR(INDEX(C$81:C$92,MATCH(3,A$81:A$92,0)),0)</f>
        <v>0</v>
      </c>
      <c r="F91" t="str">
        <f>IF(C91=0,"-",IF(C91&gt;E91,"W",IF(C91&lt;E91,"L",IF(AND('Picks Detail'!E218&lt;&gt;"",INDEX('Picks Detail'!F218:Q218,1,A91)&lt;&gt;"",INDEX('Picks Detail'!F218:Q218,1,D91)&lt;&gt;""),IF(ABS(INDEX('Picks Detail'!F218:Q218,1,A91)-'Picks Detail'!E218)&lt;ABS(INDEX('Picks Detail'!F218:Q218,1,D91)-'Picks Detail'!E218),"W",IF(ABS(INDEX('Picks Detail'!F218:Q218,1,A91)-'Picks Detail'!E218)&gt;ABS(INDEX('Picks Detail'!F218:Q218,1,D91)-'Picks Detail'!E218),"L","T")),"T"))))</f>
        <v>-</v>
      </c>
      <c r="G91">
        <f t="shared" si="15"/>
        <v>0</v>
      </c>
      <c r="H91">
        <f t="shared" si="16"/>
        <v>0</v>
      </c>
      <c r="I91">
        <f t="shared" si="17"/>
        <v>0</v>
      </c>
    </row>
    <row r="92" spans="1:9" ht="15" customHeight="1" x14ac:dyDescent="0.25">
      <c r="A92">
        <v>12</v>
      </c>
      <c r="B92" t="str">
        <f>Roster!B14</f>
        <v>Jake Andrews</v>
      </c>
      <c r="C92" s="3">
        <f>SUMPRODUCT(('Picks Detail'!Q202:Q217&lt;&gt;"")*('Picks Detail'!E202:E217&lt;&gt;"")*('Picks Detail'!Q202:Q217='Picks Detail'!E202:E217)*('Picks Detail'!AD202:AD217))</f>
        <v>0</v>
      </c>
      <c r="D92">
        <v>4</v>
      </c>
      <c r="E92">
        <f>IFERROR(INDEX(C$81:C$92,MATCH(4,A$81:A$92,0)),0)</f>
        <v>0</v>
      </c>
      <c r="F92" t="str">
        <f>IF(C92=0,"-",IF(C92&gt;E92,"W",IF(C92&lt;E92,"L",IF(AND('Picks Detail'!E218&lt;&gt;"",INDEX('Picks Detail'!F218:Q218,1,A92)&lt;&gt;"",INDEX('Picks Detail'!F218:Q218,1,D92)&lt;&gt;""),IF(ABS(INDEX('Picks Detail'!F218:Q218,1,A92)-'Picks Detail'!E218)&lt;ABS(INDEX('Picks Detail'!F218:Q218,1,D92)-'Picks Detail'!E218),"W",IF(ABS(INDEX('Picks Detail'!F218:Q218,1,A92)-'Picks Detail'!E218)&gt;ABS(INDEX('Picks Detail'!F218:Q218,1,D92)-'Picks Detail'!E218),"L","T")),"T"))))</f>
        <v>-</v>
      </c>
      <c r="G92">
        <f t="shared" si="15"/>
        <v>0</v>
      </c>
      <c r="H92">
        <f t="shared" si="16"/>
        <v>0</v>
      </c>
      <c r="I92">
        <f t="shared" si="17"/>
        <v>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2"/>
  <sheetViews>
    <sheetView topLeftCell="A66" zoomScaleNormal="100" workbookViewId="0">
      <selection activeCell="C52" sqref="C52"/>
    </sheetView>
  </sheetViews>
  <sheetFormatPr defaultColWidth="8.7109375" defaultRowHeight="15" x14ac:dyDescent="0.25"/>
  <cols>
    <col min="1" max="1" width="10" customWidth="1"/>
    <col min="2" max="2" width="16" customWidth="1"/>
    <col min="3" max="9" width="14" customWidth="1"/>
  </cols>
  <sheetData>
    <row r="1" spans="1:9" ht="17.25" customHeight="1" x14ac:dyDescent="0.25">
      <c r="A1" s="23" t="s">
        <v>213</v>
      </c>
      <c r="B1" s="23"/>
      <c r="C1" s="23"/>
      <c r="D1" s="23"/>
      <c r="E1" s="23"/>
      <c r="F1" s="23"/>
      <c r="G1" s="23"/>
      <c r="H1" s="23"/>
      <c r="I1" s="23"/>
    </row>
    <row r="2" spans="1:9" ht="15" customHeight="1" x14ac:dyDescent="0.25">
      <c r="A2" s="5" t="s">
        <v>214</v>
      </c>
    </row>
    <row r="4" spans="1:9" ht="15" customHeight="1" x14ac:dyDescent="0.25">
      <c r="A4" s="18" t="s">
        <v>114</v>
      </c>
    </row>
    <row r="5" spans="1:9" ht="15" customHeight="1" x14ac:dyDescent="0.25">
      <c r="A5" s="2" t="s">
        <v>1</v>
      </c>
      <c r="B5" s="2" t="s">
        <v>2</v>
      </c>
      <c r="C5" s="2" t="s">
        <v>202</v>
      </c>
      <c r="D5" s="2" t="s">
        <v>203</v>
      </c>
      <c r="E5" s="2" t="s">
        <v>204</v>
      </c>
      <c r="F5" s="2" t="s">
        <v>205</v>
      </c>
      <c r="G5" s="2" t="s">
        <v>215</v>
      </c>
      <c r="H5" s="2" t="s">
        <v>216</v>
      </c>
      <c r="I5" s="2" t="s">
        <v>217</v>
      </c>
    </row>
    <row r="6" spans="1:9" ht="15" customHeight="1" x14ac:dyDescent="0.25">
      <c r="A6">
        <v>1</v>
      </c>
      <c r="B6" t="str">
        <f>Roster!B3</f>
        <v>Evan Loeser</v>
      </c>
      <c r="C6" s="3">
        <f>SUMPRODUCT(('Picks Detail'!F221:F234&lt;&gt;"")*('Picks Detail'!E221:E234&lt;&gt;"")*('Picks Detail'!F221:F234='Picks Detail'!E221:E234))</f>
        <v>0</v>
      </c>
      <c r="D6">
        <v>4</v>
      </c>
      <c r="E6">
        <f>IFERROR(INDEX(C$6:C$17,MATCH(4,A$6:A$17,0)),0)</f>
        <v>0</v>
      </c>
      <c r="F6" t="str">
        <f>IF(C6=0,"-",IF(C6&gt;E6,"W",IF(C6&lt;E6,"L",IF(AND('Picks Detail'!E235&lt;&gt;"",INDEX('Picks Detail'!F235:Q235,1,A6)&lt;&gt;"",INDEX('Picks Detail'!F235:Q235,1,D6)&lt;&gt;""),IF(ABS(INDEX('Picks Detail'!F235:Q235,1,A6)-'Picks Detail'!E235)&lt;ABS(INDEX('Picks Detail'!F235:Q235,1,D6)-'Picks Detail'!E235),"W",IF(ABS(INDEX('Picks Detail'!F235:Q235,1,A6)-'Picks Detail'!E235)&gt;ABS(INDEX('Picks Detail'!F235:Q235,1,D6)-'Picks Detail'!E235),"L","T")),"T"))))</f>
        <v>-</v>
      </c>
      <c r="G6">
        <f t="shared" ref="G6:G17" si="0">IF(F6="W",1,IF(F6="T",0.5,0))</f>
        <v>0</v>
      </c>
      <c r="H6">
        <f t="shared" ref="H6:H17" si="1">IF(F6="L",1,IF(F6="T",0.5,0))</f>
        <v>0</v>
      </c>
      <c r="I6">
        <f t="shared" ref="I6:I17" si="2">IF(C6="",0,C6)</f>
        <v>0</v>
      </c>
    </row>
    <row r="7" spans="1:9" ht="15" customHeight="1" x14ac:dyDescent="0.25">
      <c r="A7">
        <v>2</v>
      </c>
      <c r="B7" t="str">
        <f>Roster!B4</f>
        <v>Chris Simmons</v>
      </c>
      <c r="C7" s="3">
        <f>SUMPRODUCT(('Picks Detail'!G221:G234&lt;&gt;"")*('Picks Detail'!E221:E234&lt;&gt;"")*('Picks Detail'!G221:G234='Picks Detail'!E221:E234))</f>
        <v>0</v>
      </c>
      <c r="D7">
        <v>3</v>
      </c>
      <c r="E7">
        <f>IFERROR(INDEX(C$6:C$17,MATCH(3,A$6:A$17,0)),0)</f>
        <v>0</v>
      </c>
      <c r="F7" t="str">
        <f>IF(C7=0,"-",IF(C7&gt;E7,"W",IF(C7&lt;E7,"L",IF(AND('Picks Detail'!E235&lt;&gt;"",INDEX('Picks Detail'!F235:Q235,1,A7)&lt;&gt;"",INDEX('Picks Detail'!F235:Q235,1,D7)&lt;&gt;""),IF(ABS(INDEX('Picks Detail'!F235:Q235,1,A7)-'Picks Detail'!E235)&lt;ABS(INDEX('Picks Detail'!F235:Q235,1,D7)-'Picks Detail'!E235),"W",IF(ABS(INDEX('Picks Detail'!F235:Q235,1,A7)-'Picks Detail'!E235)&gt;ABS(INDEX('Picks Detail'!F235:Q235,1,D7)-'Picks Detail'!E235),"L","T")),"T"))))</f>
        <v>-</v>
      </c>
      <c r="G7">
        <f t="shared" si="0"/>
        <v>0</v>
      </c>
      <c r="H7">
        <f t="shared" si="1"/>
        <v>0</v>
      </c>
      <c r="I7">
        <f t="shared" si="2"/>
        <v>0</v>
      </c>
    </row>
    <row r="8" spans="1:9" ht="15" customHeight="1" x14ac:dyDescent="0.25">
      <c r="A8">
        <v>3</v>
      </c>
      <c r="B8" t="str">
        <f>Roster!B5</f>
        <v>Jack Smith</v>
      </c>
      <c r="C8" s="3">
        <f>SUMPRODUCT(('Picks Detail'!H221:H234&lt;&gt;"")*('Picks Detail'!E221:E234&lt;&gt;"")*('Picks Detail'!H221:H234='Picks Detail'!E221:E234))</f>
        <v>0</v>
      </c>
      <c r="D8">
        <v>2</v>
      </c>
      <c r="E8">
        <f>IFERROR(INDEX(C$6:C$17,MATCH(2,A$6:A$17,0)),0)</f>
        <v>0</v>
      </c>
      <c r="F8" t="str">
        <f>IF(C8=0,"-",IF(C8&gt;E8,"W",IF(C8&lt;E8,"L",IF(AND('Picks Detail'!E235&lt;&gt;"",INDEX('Picks Detail'!F235:Q235,1,A8)&lt;&gt;"",INDEX('Picks Detail'!F235:Q235,1,D8)&lt;&gt;""),IF(ABS(INDEX('Picks Detail'!F235:Q235,1,A8)-'Picks Detail'!E235)&lt;ABS(INDEX('Picks Detail'!F235:Q235,1,D8)-'Picks Detail'!E235),"W",IF(ABS(INDEX('Picks Detail'!F235:Q235,1,A8)-'Picks Detail'!E235)&gt;ABS(INDEX('Picks Detail'!F235:Q235,1,D8)-'Picks Detail'!E235),"L","T")),"T"))))</f>
        <v>-</v>
      </c>
      <c r="G8">
        <f t="shared" si="0"/>
        <v>0</v>
      </c>
      <c r="H8">
        <f t="shared" si="1"/>
        <v>0</v>
      </c>
      <c r="I8">
        <f t="shared" si="2"/>
        <v>0</v>
      </c>
    </row>
    <row r="9" spans="1:9" ht="15" customHeight="1" x14ac:dyDescent="0.25">
      <c r="A9">
        <v>4</v>
      </c>
      <c r="B9" t="str">
        <f>Roster!B6</f>
        <v>Luke Ussery</v>
      </c>
      <c r="C9" s="3">
        <f>SUMPRODUCT(('Picks Detail'!I221:I234&lt;&gt;"")*('Picks Detail'!E221:E234&lt;&gt;"")*('Picks Detail'!I221:I234='Picks Detail'!E221:E234))</f>
        <v>0</v>
      </c>
      <c r="D9">
        <v>1</v>
      </c>
      <c r="E9">
        <f>IFERROR(INDEX(C$6:C$17,MATCH(1,A$6:A$17,0)),0)</f>
        <v>0</v>
      </c>
      <c r="F9" t="str">
        <f>IF(C9=0,"-",IF(C9&gt;E9,"W",IF(C9&lt;E9,"L",IF(AND('Picks Detail'!E235&lt;&gt;"",INDEX('Picks Detail'!F235:Q235,1,A9)&lt;&gt;"",INDEX('Picks Detail'!F235:Q235,1,D9)&lt;&gt;""),IF(ABS(INDEX('Picks Detail'!F235:Q235,1,A9)-'Picks Detail'!E235)&lt;ABS(INDEX('Picks Detail'!F235:Q235,1,D9)-'Picks Detail'!E235),"W",IF(ABS(INDEX('Picks Detail'!F235:Q235,1,A9)-'Picks Detail'!E235)&gt;ABS(INDEX('Picks Detail'!F235:Q235,1,D9)-'Picks Detail'!E235),"L","T")),"T"))))</f>
        <v>-</v>
      </c>
      <c r="G9">
        <f t="shared" si="0"/>
        <v>0</v>
      </c>
      <c r="H9">
        <f t="shared" si="1"/>
        <v>0</v>
      </c>
      <c r="I9">
        <f t="shared" si="2"/>
        <v>0</v>
      </c>
    </row>
    <row r="10" spans="1:9" ht="15" customHeight="1" x14ac:dyDescent="0.25">
      <c r="A10">
        <v>5</v>
      </c>
      <c r="B10" t="str">
        <f>Roster!B7</f>
        <v>Mikayla Simmons</v>
      </c>
      <c r="C10" s="3">
        <f>SUMPRODUCT(('Picks Detail'!J221:J234&lt;&gt;"")*('Picks Detail'!E221:E234&lt;&gt;"")*('Picks Detail'!J221:J234='Picks Detail'!E221:E234))</f>
        <v>0</v>
      </c>
      <c r="D10">
        <v>8</v>
      </c>
      <c r="E10">
        <f>IFERROR(INDEX(C$6:C$17,MATCH(8,A$6:A$17,0)),0)</f>
        <v>0</v>
      </c>
      <c r="F10" t="str">
        <f>IF(C10=0,"-",IF(C10&gt;E10,"W",IF(C10&lt;E10,"L",IF(AND('Picks Detail'!E235&lt;&gt;"",INDEX('Picks Detail'!F235:Q235,1,A10)&lt;&gt;"",INDEX('Picks Detail'!F235:Q235,1,D10)&lt;&gt;""),IF(ABS(INDEX('Picks Detail'!F235:Q235,1,A10)-'Picks Detail'!E235)&lt;ABS(INDEX('Picks Detail'!F235:Q235,1,D10)-'Picks Detail'!E235),"W",IF(ABS(INDEX('Picks Detail'!F235:Q235,1,A10)-'Picks Detail'!E235)&gt;ABS(INDEX('Picks Detail'!F235:Q235,1,D10)-'Picks Detail'!E235),"L","T")),"T"))))</f>
        <v>-</v>
      </c>
      <c r="G10">
        <f t="shared" si="0"/>
        <v>0</v>
      </c>
      <c r="H10">
        <f t="shared" si="1"/>
        <v>0</v>
      </c>
      <c r="I10">
        <f t="shared" si="2"/>
        <v>0</v>
      </c>
    </row>
    <row r="11" spans="1:9" ht="15" customHeight="1" x14ac:dyDescent="0.25">
      <c r="A11">
        <v>6</v>
      </c>
      <c r="B11" t="str">
        <f>Roster!B8</f>
        <v>Alan Loeser</v>
      </c>
      <c r="C11" s="3">
        <f>SUMPRODUCT(('Picks Detail'!K221:K234&lt;&gt;"")*('Picks Detail'!E221:E234&lt;&gt;"")*('Picks Detail'!K221:K234='Picks Detail'!E221:E234))</f>
        <v>0</v>
      </c>
      <c r="D11">
        <v>7</v>
      </c>
      <c r="E11">
        <f>IFERROR(INDEX(C$6:C$17,MATCH(7,A$6:A$17,0)),0)</f>
        <v>0</v>
      </c>
      <c r="F11" t="str">
        <f>IF(C11=0,"-",IF(C11&gt;E11,"W",IF(C11&lt;E11,"L",IF(AND('Picks Detail'!E235&lt;&gt;"",INDEX('Picks Detail'!F235:Q235,1,A11)&lt;&gt;"",INDEX('Picks Detail'!F235:Q235,1,D11)&lt;&gt;""),IF(ABS(INDEX('Picks Detail'!F235:Q235,1,A11)-'Picks Detail'!E235)&lt;ABS(INDEX('Picks Detail'!F235:Q235,1,D11)-'Picks Detail'!E235),"W",IF(ABS(INDEX('Picks Detail'!F235:Q235,1,A11)-'Picks Detail'!E235)&gt;ABS(INDEX('Picks Detail'!F235:Q235,1,D11)-'Picks Detail'!E235),"L","T")),"T"))))</f>
        <v>-</v>
      </c>
      <c r="G11">
        <f t="shared" si="0"/>
        <v>0</v>
      </c>
      <c r="H11">
        <f t="shared" si="1"/>
        <v>0</v>
      </c>
      <c r="I11">
        <f t="shared" si="2"/>
        <v>0</v>
      </c>
    </row>
    <row r="12" spans="1:9" ht="15" customHeight="1" x14ac:dyDescent="0.25">
      <c r="A12">
        <v>7</v>
      </c>
      <c r="B12" t="str">
        <f>Roster!B9</f>
        <v>Caleb Simmons</v>
      </c>
      <c r="C12" s="3">
        <f>SUMPRODUCT(('Picks Detail'!L221:L234&lt;&gt;"")*('Picks Detail'!E221:E234&lt;&gt;"")*('Picks Detail'!L221:L234='Picks Detail'!E221:E234))</f>
        <v>0</v>
      </c>
      <c r="D12">
        <v>6</v>
      </c>
      <c r="E12">
        <f>IFERROR(INDEX(C$6:C$17,MATCH(6,A$6:A$17,0)),0)</f>
        <v>0</v>
      </c>
      <c r="F12" t="str">
        <f>IF(C12=0,"-",IF(C12&gt;E12,"W",IF(C12&lt;E12,"L",IF(AND('Picks Detail'!E235&lt;&gt;"",INDEX('Picks Detail'!F235:Q235,1,A12)&lt;&gt;"",INDEX('Picks Detail'!F235:Q235,1,D12)&lt;&gt;""),IF(ABS(INDEX('Picks Detail'!F235:Q235,1,A12)-'Picks Detail'!E235)&lt;ABS(INDEX('Picks Detail'!F235:Q235,1,D12)-'Picks Detail'!E235),"W",IF(ABS(INDEX('Picks Detail'!F235:Q235,1,A12)-'Picks Detail'!E235)&gt;ABS(INDEX('Picks Detail'!F235:Q235,1,D12)-'Picks Detail'!E235),"L","T")),"T"))))</f>
        <v>-</v>
      </c>
      <c r="G12">
        <f t="shared" si="0"/>
        <v>0</v>
      </c>
      <c r="H12">
        <f t="shared" si="1"/>
        <v>0</v>
      </c>
      <c r="I12">
        <f t="shared" si="2"/>
        <v>0</v>
      </c>
    </row>
    <row r="13" spans="1:9" ht="15" customHeight="1" x14ac:dyDescent="0.25">
      <c r="A13">
        <v>8</v>
      </c>
      <c r="B13" t="str">
        <f>Roster!B10</f>
        <v>Larry Loeser</v>
      </c>
      <c r="C13" s="3">
        <f>SUMPRODUCT(('Picks Detail'!M221:M234&lt;&gt;"")*('Picks Detail'!E221:E234&lt;&gt;"")*('Picks Detail'!M221:M234='Picks Detail'!E221:E234))</f>
        <v>0</v>
      </c>
      <c r="D13">
        <v>5</v>
      </c>
      <c r="E13">
        <f>IFERROR(INDEX(C$6:C$17,MATCH(5,A$6:A$17,0)),0)</f>
        <v>0</v>
      </c>
      <c r="F13" t="str">
        <f>IF(C13=0,"-",IF(C13&gt;E13,"W",IF(C13&lt;E13,"L",IF(AND('Picks Detail'!E235&lt;&gt;"",INDEX('Picks Detail'!F235:Q235,1,A13)&lt;&gt;"",INDEX('Picks Detail'!F235:Q235,1,D13)&lt;&gt;""),IF(ABS(INDEX('Picks Detail'!F235:Q235,1,A13)-'Picks Detail'!E235)&lt;ABS(INDEX('Picks Detail'!F235:Q235,1,D13)-'Picks Detail'!E235),"W",IF(ABS(INDEX('Picks Detail'!F235:Q235,1,A13)-'Picks Detail'!E235)&gt;ABS(INDEX('Picks Detail'!F235:Q235,1,D13)-'Picks Detail'!E235),"L","T")),"T"))))</f>
        <v>-</v>
      </c>
      <c r="G13">
        <f t="shared" si="0"/>
        <v>0</v>
      </c>
      <c r="H13">
        <f t="shared" si="1"/>
        <v>0</v>
      </c>
      <c r="I13">
        <f t="shared" si="2"/>
        <v>0</v>
      </c>
    </row>
    <row r="14" spans="1:9" ht="15" customHeight="1" x14ac:dyDescent="0.25">
      <c r="A14">
        <v>9</v>
      </c>
      <c r="B14" t="str">
        <f>Roster!B11</f>
        <v>Daddy Michael</v>
      </c>
      <c r="C14" s="3">
        <f>SUMPRODUCT(('Picks Detail'!N221:N234&lt;&gt;"")*('Picks Detail'!E221:E234&lt;&gt;"")*('Picks Detail'!N221:N234='Picks Detail'!E221:E234))</f>
        <v>0</v>
      </c>
      <c r="D14">
        <v>12</v>
      </c>
      <c r="E14">
        <f>IFERROR(INDEX(C$6:C$17,MATCH(12,A$6:A$17,0)),0)</f>
        <v>0</v>
      </c>
      <c r="F14" t="str">
        <f>IF(C14=0,"-",IF(C14&gt;E14,"W",IF(C14&lt;E14,"L",IF(AND('Picks Detail'!E235&lt;&gt;"",INDEX('Picks Detail'!F235:Q235,1,A14)&lt;&gt;"",INDEX('Picks Detail'!F235:Q235,1,D14)&lt;&gt;""),IF(ABS(INDEX('Picks Detail'!F235:Q235,1,A14)-'Picks Detail'!E235)&lt;ABS(INDEX('Picks Detail'!F235:Q235,1,D14)-'Picks Detail'!E235),"W",IF(ABS(INDEX('Picks Detail'!F235:Q235,1,A14)-'Picks Detail'!E235)&gt;ABS(INDEX('Picks Detail'!F235:Q235,1,D14)-'Picks Detail'!E235),"L","T")),"T"))))</f>
        <v>-</v>
      </c>
      <c r="G14">
        <f t="shared" si="0"/>
        <v>0</v>
      </c>
      <c r="H14">
        <f t="shared" si="1"/>
        <v>0</v>
      </c>
      <c r="I14">
        <f t="shared" si="2"/>
        <v>0</v>
      </c>
    </row>
    <row r="15" spans="1:9" ht="15" customHeight="1" x14ac:dyDescent="0.25">
      <c r="A15">
        <v>10</v>
      </c>
      <c r="B15" t="str">
        <f>Roster!B12</f>
        <v>Zach Zarra</v>
      </c>
      <c r="C15" s="3">
        <f>SUMPRODUCT(('Picks Detail'!O221:O234&lt;&gt;"")*('Picks Detail'!E221:E234&lt;&gt;"")*('Picks Detail'!O221:O234='Picks Detail'!E221:E234))</f>
        <v>0</v>
      </c>
      <c r="D15">
        <v>11</v>
      </c>
      <c r="E15">
        <f>IFERROR(INDEX(C$6:C$17,MATCH(11,A$6:A$17,0)),0)</f>
        <v>0</v>
      </c>
      <c r="F15" t="str">
        <f>IF(C15=0,"-",IF(C15&gt;E15,"W",IF(C15&lt;E15,"L",IF(AND('Picks Detail'!E235&lt;&gt;"",INDEX('Picks Detail'!F235:Q235,1,A15)&lt;&gt;"",INDEX('Picks Detail'!F235:Q235,1,D15)&lt;&gt;""),IF(ABS(INDEX('Picks Detail'!F235:Q235,1,A15)-'Picks Detail'!E235)&lt;ABS(INDEX('Picks Detail'!F235:Q235,1,D15)-'Picks Detail'!E235),"W",IF(ABS(INDEX('Picks Detail'!F235:Q235,1,A15)-'Picks Detail'!E235)&gt;ABS(INDEX('Picks Detail'!F235:Q235,1,D15)-'Picks Detail'!E235),"L","T")),"T"))))</f>
        <v>-</v>
      </c>
      <c r="G15">
        <f t="shared" si="0"/>
        <v>0</v>
      </c>
      <c r="H15">
        <f t="shared" si="1"/>
        <v>0</v>
      </c>
      <c r="I15">
        <f t="shared" si="2"/>
        <v>0</v>
      </c>
    </row>
    <row r="16" spans="1:9" ht="15" customHeight="1" x14ac:dyDescent="0.25">
      <c r="A16">
        <v>11</v>
      </c>
      <c r="B16" t="str">
        <f>Roster!B13</f>
        <v>Jeffrey Loeser</v>
      </c>
      <c r="C16" s="3">
        <f>SUMPRODUCT(('Picks Detail'!P221:P234&lt;&gt;"")*('Picks Detail'!E221:E234&lt;&gt;"")*('Picks Detail'!P221:P234='Picks Detail'!E221:E234))</f>
        <v>0</v>
      </c>
      <c r="D16">
        <v>10</v>
      </c>
      <c r="E16">
        <f>IFERROR(INDEX(C$6:C$17,MATCH(10,A$6:A$17,0)),0)</f>
        <v>0</v>
      </c>
      <c r="F16" t="str">
        <f>IF(C16=0,"-",IF(C16&gt;E16,"W",IF(C16&lt;E16,"L",IF(AND('Picks Detail'!E235&lt;&gt;"",INDEX('Picks Detail'!F235:Q235,1,A16)&lt;&gt;"",INDEX('Picks Detail'!F235:Q235,1,D16)&lt;&gt;""),IF(ABS(INDEX('Picks Detail'!F235:Q235,1,A16)-'Picks Detail'!E235)&lt;ABS(INDEX('Picks Detail'!F235:Q235,1,D16)-'Picks Detail'!E235),"W",IF(ABS(INDEX('Picks Detail'!F235:Q235,1,A16)-'Picks Detail'!E235)&gt;ABS(INDEX('Picks Detail'!F235:Q235,1,D16)-'Picks Detail'!E235),"L","T")),"T"))))</f>
        <v>-</v>
      </c>
      <c r="G16">
        <f t="shared" si="0"/>
        <v>0</v>
      </c>
      <c r="H16">
        <f t="shared" si="1"/>
        <v>0</v>
      </c>
      <c r="I16">
        <f t="shared" si="2"/>
        <v>0</v>
      </c>
    </row>
    <row r="17" spans="1:9" ht="15" customHeight="1" x14ac:dyDescent="0.25">
      <c r="A17">
        <v>12</v>
      </c>
      <c r="B17" t="str">
        <f>Roster!B14</f>
        <v>Jake Andrews</v>
      </c>
      <c r="C17" s="3">
        <f>SUMPRODUCT(('Picks Detail'!Q221:Q234&lt;&gt;"")*('Picks Detail'!E221:E234&lt;&gt;"")*('Picks Detail'!Q221:Q234='Picks Detail'!E221:E234))</f>
        <v>0</v>
      </c>
      <c r="D17">
        <v>9</v>
      </c>
      <c r="E17">
        <f>IFERROR(INDEX(C$6:C$17,MATCH(9,A$6:A$17,0)),0)</f>
        <v>0</v>
      </c>
      <c r="F17" t="str">
        <f>IF(C17=0,"-",IF(C17&gt;E17,"W",IF(C17&lt;E17,"L",IF(AND('Picks Detail'!E235&lt;&gt;"",INDEX('Picks Detail'!F235:Q235,1,A17)&lt;&gt;"",INDEX('Picks Detail'!F235:Q235,1,D17)&lt;&gt;""),IF(ABS(INDEX('Picks Detail'!F235:Q235,1,A17)-'Picks Detail'!E235)&lt;ABS(INDEX('Picks Detail'!F235:Q235,1,D17)-'Picks Detail'!E235),"W",IF(ABS(INDEX('Picks Detail'!F235:Q235,1,A17)-'Picks Detail'!E235)&gt;ABS(INDEX('Picks Detail'!F235:Q235,1,D17)-'Picks Detail'!E235),"L","T")),"T"))))</f>
        <v>-</v>
      </c>
      <c r="G17">
        <f t="shared" si="0"/>
        <v>0</v>
      </c>
      <c r="H17">
        <f t="shared" si="1"/>
        <v>0</v>
      </c>
      <c r="I17">
        <f t="shared" si="2"/>
        <v>0</v>
      </c>
    </row>
    <row r="19" spans="1:9" ht="15" customHeight="1" x14ac:dyDescent="0.25">
      <c r="A19" s="18" t="s">
        <v>115</v>
      </c>
    </row>
    <row r="20" spans="1:9" ht="15" customHeight="1" x14ac:dyDescent="0.25">
      <c r="A20" s="2" t="s">
        <v>1</v>
      </c>
      <c r="B20" s="2" t="s">
        <v>2</v>
      </c>
      <c r="C20" s="2" t="s">
        <v>202</v>
      </c>
      <c r="D20" s="2" t="s">
        <v>203</v>
      </c>
      <c r="E20" s="2" t="s">
        <v>204</v>
      </c>
      <c r="F20" s="2" t="s">
        <v>205</v>
      </c>
      <c r="G20" s="2" t="s">
        <v>215</v>
      </c>
      <c r="H20" s="2" t="s">
        <v>216</v>
      </c>
      <c r="I20" s="2" t="s">
        <v>217</v>
      </c>
    </row>
    <row r="21" spans="1:9" ht="15" customHeight="1" x14ac:dyDescent="0.25">
      <c r="A21">
        <v>1</v>
      </c>
      <c r="B21" t="str">
        <f>Roster!B3</f>
        <v>Evan Loeser</v>
      </c>
      <c r="C21" s="3">
        <f>SUMPRODUCT(('Picks Detail'!F238:F252&lt;&gt;"")*('Picks Detail'!E238:E252&lt;&gt;"")*('Picks Detail'!F238:F252='Picks Detail'!E238:E252))</f>
        <v>0</v>
      </c>
      <c r="D21">
        <v>3</v>
      </c>
      <c r="E21">
        <f>IFERROR(INDEX(C$21:C$32,MATCH(3,A$21:A$32,0)),0)</f>
        <v>0</v>
      </c>
      <c r="F21" t="str">
        <f>IF(C21=0,"-",IF(C21&gt;E21,"W",IF(C21&lt;E21,"L",IF(AND('Picks Detail'!E253&lt;&gt;"",INDEX('Picks Detail'!F253:Q253,1,A21)&lt;&gt;"",INDEX('Picks Detail'!F253:Q253,1,D21)&lt;&gt;""),IF(ABS(INDEX('Picks Detail'!F253:Q253,1,A21)-'Picks Detail'!E253)&lt;ABS(INDEX('Picks Detail'!F253:Q253,1,D21)-'Picks Detail'!E253),"W",IF(ABS(INDEX('Picks Detail'!F253:Q253,1,A21)-'Picks Detail'!E253)&gt;ABS(INDEX('Picks Detail'!F253:Q253,1,D21)-'Picks Detail'!E253),"L","T")),"T"))))</f>
        <v>-</v>
      </c>
      <c r="G21">
        <f t="shared" ref="G21:G32" si="3">IF(F21="W",1,IF(F21="T",0.5,0))</f>
        <v>0</v>
      </c>
      <c r="H21">
        <f t="shared" ref="H21:H32" si="4">IF(F21="L",1,IF(F21="T",0.5,0))</f>
        <v>0</v>
      </c>
      <c r="I21">
        <f t="shared" ref="I21:I32" si="5">IF(C21="",0,C21)</f>
        <v>0</v>
      </c>
    </row>
    <row r="22" spans="1:9" ht="15" customHeight="1" x14ac:dyDescent="0.25">
      <c r="A22">
        <v>2</v>
      </c>
      <c r="B22" t="str">
        <f>Roster!B4</f>
        <v>Chris Simmons</v>
      </c>
      <c r="C22" s="3">
        <f>SUMPRODUCT(('Picks Detail'!G238:G252&lt;&gt;"")*('Picks Detail'!E238:E252&lt;&gt;"")*('Picks Detail'!G238:G252='Picks Detail'!E238:E252))</f>
        <v>0</v>
      </c>
      <c r="D22">
        <v>4</v>
      </c>
      <c r="E22">
        <f>IFERROR(INDEX(C$21:C$32,MATCH(4,A$21:A$32,0)),0)</f>
        <v>0</v>
      </c>
      <c r="F22" t="str">
        <f>IF(C22=0,"-",IF(C22&gt;E22,"W",IF(C22&lt;E22,"L",IF(AND('Picks Detail'!E253&lt;&gt;"",INDEX('Picks Detail'!F253:Q253,1,A22)&lt;&gt;"",INDEX('Picks Detail'!F253:Q253,1,D22)&lt;&gt;""),IF(ABS(INDEX('Picks Detail'!F253:Q253,1,A22)-'Picks Detail'!E253)&lt;ABS(INDEX('Picks Detail'!F253:Q253,1,D22)-'Picks Detail'!E253),"W",IF(ABS(INDEX('Picks Detail'!F253:Q253,1,A22)-'Picks Detail'!E253)&gt;ABS(INDEX('Picks Detail'!F253:Q253,1,D22)-'Picks Detail'!E253),"L","T")),"T"))))</f>
        <v>-</v>
      </c>
      <c r="G22">
        <f t="shared" si="3"/>
        <v>0</v>
      </c>
      <c r="H22">
        <f t="shared" si="4"/>
        <v>0</v>
      </c>
      <c r="I22">
        <f t="shared" si="5"/>
        <v>0</v>
      </c>
    </row>
    <row r="23" spans="1:9" ht="15" customHeight="1" x14ac:dyDescent="0.25">
      <c r="A23">
        <v>3</v>
      </c>
      <c r="B23" t="str">
        <f>Roster!B5</f>
        <v>Jack Smith</v>
      </c>
      <c r="C23" s="3">
        <f>SUMPRODUCT(('Picks Detail'!H238:H252&lt;&gt;"")*('Picks Detail'!E238:E252&lt;&gt;"")*('Picks Detail'!H238:H252='Picks Detail'!E238:E252))</f>
        <v>0</v>
      </c>
      <c r="D23">
        <v>1</v>
      </c>
      <c r="E23">
        <f>IFERROR(INDEX(C$21:C$32,MATCH(1,A$21:A$32,0)),0)</f>
        <v>0</v>
      </c>
      <c r="F23" t="str">
        <f>IF(C23=0,"-",IF(C23&gt;E23,"W",IF(C23&lt;E23,"L",IF(AND('Picks Detail'!E253&lt;&gt;"",INDEX('Picks Detail'!F253:Q253,1,A23)&lt;&gt;"",INDEX('Picks Detail'!F253:Q253,1,D23)&lt;&gt;""),IF(ABS(INDEX('Picks Detail'!F253:Q253,1,A23)-'Picks Detail'!E253)&lt;ABS(INDEX('Picks Detail'!F253:Q253,1,D23)-'Picks Detail'!E253),"W",IF(ABS(INDEX('Picks Detail'!F253:Q253,1,A23)-'Picks Detail'!E253)&gt;ABS(INDEX('Picks Detail'!F253:Q253,1,D23)-'Picks Detail'!E253),"L","T")),"T"))))</f>
        <v>-</v>
      </c>
      <c r="G23">
        <f t="shared" si="3"/>
        <v>0</v>
      </c>
      <c r="H23">
        <f t="shared" si="4"/>
        <v>0</v>
      </c>
      <c r="I23">
        <f t="shared" si="5"/>
        <v>0</v>
      </c>
    </row>
    <row r="24" spans="1:9" ht="15" customHeight="1" x14ac:dyDescent="0.25">
      <c r="A24">
        <v>4</v>
      </c>
      <c r="B24" t="str">
        <f>Roster!B6</f>
        <v>Luke Ussery</v>
      </c>
      <c r="C24" s="3">
        <f>SUMPRODUCT(('Picks Detail'!I238:I252&lt;&gt;"")*('Picks Detail'!E238:E252&lt;&gt;"")*('Picks Detail'!I238:I252='Picks Detail'!E238:E252))</f>
        <v>0</v>
      </c>
      <c r="D24">
        <v>2</v>
      </c>
      <c r="E24">
        <f>IFERROR(INDEX(C$21:C$32,MATCH(2,A$21:A$32,0)),0)</f>
        <v>0</v>
      </c>
      <c r="F24" t="str">
        <f>IF(C24=0,"-",IF(C24&gt;E24,"W",IF(C24&lt;E24,"L",IF(AND('Picks Detail'!E253&lt;&gt;"",INDEX('Picks Detail'!F253:Q253,1,A24)&lt;&gt;"",INDEX('Picks Detail'!F253:Q253,1,D24)&lt;&gt;""),IF(ABS(INDEX('Picks Detail'!F253:Q253,1,A24)-'Picks Detail'!E253)&lt;ABS(INDEX('Picks Detail'!F253:Q253,1,D24)-'Picks Detail'!E253),"W",IF(ABS(INDEX('Picks Detail'!F253:Q253,1,A24)-'Picks Detail'!E253)&gt;ABS(INDEX('Picks Detail'!F253:Q253,1,D24)-'Picks Detail'!E253),"L","T")),"T"))))</f>
        <v>-</v>
      </c>
      <c r="G24">
        <f t="shared" si="3"/>
        <v>0</v>
      </c>
      <c r="H24">
        <f t="shared" si="4"/>
        <v>0</v>
      </c>
      <c r="I24">
        <f t="shared" si="5"/>
        <v>0</v>
      </c>
    </row>
    <row r="25" spans="1:9" ht="15" customHeight="1" x14ac:dyDescent="0.25">
      <c r="A25">
        <v>5</v>
      </c>
      <c r="B25" t="str">
        <f>Roster!B7</f>
        <v>Mikayla Simmons</v>
      </c>
      <c r="C25" s="3">
        <f>SUMPRODUCT(('Picks Detail'!J238:J252&lt;&gt;"")*('Picks Detail'!E238:E252&lt;&gt;"")*('Picks Detail'!J238:J252='Picks Detail'!E238:E252))</f>
        <v>0</v>
      </c>
      <c r="D25">
        <v>7</v>
      </c>
      <c r="E25">
        <f>IFERROR(INDEX(C$21:C$32,MATCH(7,A$21:A$32,0)),0)</f>
        <v>0</v>
      </c>
      <c r="F25" t="str">
        <f>IF(C25=0,"-",IF(C25&gt;E25,"W",IF(C25&lt;E25,"L",IF(AND('Picks Detail'!E253&lt;&gt;"",INDEX('Picks Detail'!F253:Q253,1,A25)&lt;&gt;"",INDEX('Picks Detail'!F253:Q253,1,D25)&lt;&gt;""),IF(ABS(INDEX('Picks Detail'!F253:Q253,1,A25)-'Picks Detail'!E253)&lt;ABS(INDEX('Picks Detail'!F253:Q253,1,D25)-'Picks Detail'!E253),"W",IF(ABS(INDEX('Picks Detail'!F253:Q253,1,A25)-'Picks Detail'!E253)&gt;ABS(INDEX('Picks Detail'!F253:Q253,1,D25)-'Picks Detail'!E253),"L","T")),"T"))))</f>
        <v>-</v>
      </c>
      <c r="G25">
        <f t="shared" si="3"/>
        <v>0</v>
      </c>
      <c r="H25">
        <f t="shared" si="4"/>
        <v>0</v>
      </c>
      <c r="I25">
        <f t="shared" si="5"/>
        <v>0</v>
      </c>
    </row>
    <row r="26" spans="1:9" ht="15" customHeight="1" x14ac:dyDescent="0.25">
      <c r="A26">
        <v>6</v>
      </c>
      <c r="B26" t="str">
        <f>Roster!B8</f>
        <v>Alan Loeser</v>
      </c>
      <c r="C26" s="3">
        <f>SUMPRODUCT(('Picks Detail'!K238:K252&lt;&gt;"")*('Picks Detail'!E238:E252&lt;&gt;"")*('Picks Detail'!K238:K252='Picks Detail'!E238:E252))</f>
        <v>0</v>
      </c>
      <c r="D26">
        <v>8</v>
      </c>
      <c r="E26">
        <f>IFERROR(INDEX(C$21:C$32,MATCH(8,A$21:A$32,0)),0)</f>
        <v>0</v>
      </c>
      <c r="F26" t="str">
        <f>IF(C26=0,"-",IF(C26&gt;E26,"W",IF(C26&lt;E26,"L",IF(AND('Picks Detail'!E253&lt;&gt;"",INDEX('Picks Detail'!F253:Q253,1,A26)&lt;&gt;"",INDEX('Picks Detail'!F253:Q253,1,D26)&lt;&gt;""),IF(ABS(INDEX('Picks Detail'!F253:Q253,1,A26)-'Picks Detail'!E253)&lt;ABS(INDEX('Picks Detail'!F253:Q253,1,D26)-'Picks Detail'!E253),"W",IF(ABS(INDEX('Picks Detail'!F253:Q253,1,A26)-'Picks Detail'!E253)&gt;ABS(INDEX('Picks Detail'!F253:Q253,1,D26)-'Picks Detail'!E253),"L","T")),"T"))))</f>
        <v>-</v>
      </c>
      <c r="G26">
        <f t="shared" si="3"/>
        <v>0</v>
      </c>
      <c r="H26">
        <f t="shared" si="4"/>
        <v>0</v>
      </c>
      <c r="I26">
        <f t="shared" si="5"/>
        <v>0</v>
      </c>
    </row>
    <row r="27" spans="1:9" ht="15" customHeight="1" x14ac:dyDescent="0.25">
      <c r="A27">
        <v>7</v>
      </c>
      <c r="B27" t="str">
        <f>Roster!B9</f>
        <v>Caleb Simmons</v>
      </c>
      <c r="C27" s="3">
        <f>SUMPRODUCT(('Picks Detail'!L238:L252&lt;&gt;"")*('Picks Detail'!E238:E252&lt;&gt;"")*('Picks Detail'!L238:L252='Picks Detail'!E238:E252))</f>
        <v>0</v>
      </c>
      <c r="D27">
        <v>5</v>
      </c>
      <c r="E27">
        <f>IFERROR(INDEX(C$21:C$32,MATCH(5,A$21:A$32,0)),0)</f>
        <v>0</v>
      </c>
      <c r="F27" t="str">
        <f>IF(C27=0,"-",IF(C27&gt;E27,"W",IF(C27&lt;E27,"L",IF(AND('Picks Detail'!E253&lt;&gt;"",INDEX('Picks Detail'!F253:Q253,1,A27)&lt;&gt;"",INDEX('Picks Detail'!F253:Q253,1,D27)&lt;&gt;""),IF(ABS(INDEX('Picks Detail'!F253:Q253,1,A27)-'Picks Detail'!E253)&lt;ABS(INDEX('Picks Detail'!F253:Q253,1,D27)-'Picks Detail'!E253),"W",IF(ABS(INDEX('Picks Detail'!F253:Q253,1,A27)-'Picks Detail'!E253)&gt;ABS(INDEX('Picks Detail'!F253:Q253,1,D27)-'Picks Detail'!E253),"L","T")),"T"))))</f>
        <v>-</v>
      </c>
      <c r="G27">
        <f t="shared" si="3"/>
        <v>0</v>
      </c>
      <c r="H27">
        <f t="shared" si="4"/>
        <v>0</v>
      </c>
      <c r="I27">
        <f t="shared" si="5"/>
        <v>0</v>
      </c>
    </row>
    <row r="28" spans="1:9" ht="15" customHeight="1" x14ac:dyDescent="0.25">
      <c r="A28">
        <v>8</v>
      </c>
      <c r="B28" t="str">
        <f>Roster!B10</f>
        <v>Larry Loeser</v>
      </c>
      <c r="C28" s="3">
        <f>SUMPRODUCT(('Picks Detail'!M238:M252&lt;&gt;"")*('Picks Detail'!E238:E252&lt;&gt;"")*('Picks Detail'!M238:M252='Picks Detail'!E238:E252))</f>
        <v>0</v>
      </c>
      <c r="D28">
        <v>6</v>
      </c>
      <c r="E28">
        <f>IFERROR(INDEX(C$21:C$32,MATCH(6,A$21:A$32,0)),0)</f>
        <v>0</v>
      </c>
      <c r="F28" t="str">
        <f>IF(C28=0,"-",IF(C28&gt;E28,"W",IF(C28&lt;E28,"L",IF(AND('Picks Detail'!E253&lt;&gt;"",INDEX('Picks Detail'!F253:Q253,1,A28)&lt;&gt;"",INDEX('Picks Detail'!F253:Q253,1,D28)&lt;&gt;""),IF(ABS(INDEX('Picks Detail'!F253:Q253,1,A28)-'Picks Detail'!E253)&lt;ABS(INDEX('Picks Detail'!F253:Q253,1,D28)-'Picks Detail'!E253),"W",IF(ABS(INDEX('Picks Detail'!F253:Q253,1,A28)-'Picks Detail'!E253)&gt;ABS(INDEX('Picks Detail'!F253:Q253,1,D28)-'Picks Detail'!E253),"L","T")),"T"))))</f>
        <v>-</v>
      </c>
      <c r="G28">
        <f t="shared" si="3"/>
        <v>0</v>
      </c>
      <c r="H28">
        <f t="shared" si="4"/>
        <v>0</v>
      </c>
      <c r="I28">
        <f t="shared" si="5"/>
        <v>0</v>
      </c>
    </row>
    <row r="29" spans="1:9" ht="15" customHeight="1" x14ac:dyDescent="0.25">
      <c r="A29">
        <v>9</v>
      </c>
      <c r="B29" t="str">
        <f>Roster!B11</f>
        <v>Daddy Michael</v>
      </c>
      <c r="C29" s="3">
        <f>SUMPRODUCT(('Picks Detail'!N238:N252&lt;&gt;"")*('Picks Detail'!E238:E252&lt;&gt;"")*('Picks Detail'!N238:N252='Picks Detail'!E238:E252))</f>
        <v>0</v>
      </c>
      <c r="D29">
        <v>11</v>
      </c>
      <c r="E29">
        <f>IFERROR(INDEX(C$21:C$32,MATCH(11,A$21:A$32,0)),0)</f>
        <v>0</v>
      </c>
      <c r="F29" t="str">
        <f>IF(C29=0,"-",IF(C29&gt;E29,"W",IF(C29&lt;E29,"L",IF(AND('Picks Detail'!E253&lt;&gt;"",INDEX('Picks Detail'!F253:Q253,1,A29)&lt;&gt;"",INDEX('Picks Detail'!F253:Q253,1,D29)&lt;&gt;""),IF(ABS(INDEX('Picks Detail'!F253:Q253,1,A29)-'Picks Detail'!E253)&lt;ABS(INDEX('Picks Detail'!F253:Q253,1,D29)-'Picks Detail'!E253),"W",IF(ABS(INDEX('Picks Detail'!F253:Q253,1,A29)-'Picks Detail'!E253)&gt;ABS(INDEX('Picks Detail'!F253:Q253,1,D29)-'Picks Detail'!E253),"L","T")),"T"))))</f>
        <v>-</v>
      </c>
      <c r="G29">
        <f t="shared" si="3"/>
        <v>0</v>
      </c>
      <c r="H29">
        <f t="shared" si="4"/>
        <v>0</v>
      </c>
      <c r="I29">
        <f t="shared" si="5"/>
        <v>0</v>
      </c>
    </row>
    <row r="30" spans="1:9" ht="15" customHeight="1" x14ac:dyDescent="0.25">
      <c r="A30">
        <v>10</v>
      </c>
      <c r="B30" t="str">
        <f>Roster!B12</f>
        <v>Zach Zarra</v>
      </c>
      <c r="C30" s="3">
        <f>SUMPRODUCT(('Picks Detail'!O238:O252&lt;&gt;"")*('Picks Detail'!E238:E252&lt;&gt;"")*('Picks Detail'!O238:O252='Picks Detail'!E238:E252))</f>
        <v>0</v>
      </c>
      <c r="D30">
        <v>12</v>
      </c>
      <c r="E30">
        <f>IFERROR(INDEX(C$21:C$32,MATCH(12,A$21:A$32,0)),0)</f>
        <v>0</v>
      </c>
      <c r="F30" t="str">
        <f>IF(C30=0,"-",IF(C30&gt;E30,"W",IF(C30&lt;E30,"L",IF(AND('Picks Detail'!E253&lt;&gt;"",INDEX('Picks Detail'!F253:Q253,1,A30)&lt;&gt;"",INDEX('Picks Detail'!F253:Q253,1,D30)&lt;&gt;""),IF(ABS(INDEX('Picks Detail'!F253:Q253,1,A30)-'Picks Detail'!E253)&lt;ABS(INDEX('Picks Detail'!F253:Q253,1,D30)-'Picks Detail'!E253),"W",IF(ABS(INDEX('Picks Detail'!F253:Q253,1,A30)-'Picks Detail'!E253)&gt;ABS(INDEX('Picks Detail'!F253:Q253,1,D30)-'Picks Detail'!E253),"L","T")),"T"))))</f>
        <v>-</v>
      </c>
      <c r="G30">
        <f t="shared" si="3"/>
        <v>0</v>
      </c>
      <c r="H30">
        <f t="shared" si="4"/>
        <v>0</v>
      </c>
      <c r="I30">
        <f t="shared" si="5"/>
        <v>0</v>
      </c>
    </row>
    <row r="31" spans="1:9" ht="15" customHeight="1" x14ac:dyDescent="0.25">
      <c r="A31">
        <v>11</v>
      </c>
      <c r="B31" t="str">
        <f>Roster!B13</f>
        <v>Jeffrey Loeser</v>
      </c>
      <c r="C31" s="3">
        <f>SUMPRODUCT(('Picks Detail'!P238:P252&lt;&gt;"")*('Picks Detail'!E238:E252&lt;&gt;"")*('Picks Detail'!P238:P252='Picks Detail'!E238:E252))</f>
        <v>0</v>
      </c>
      <c r="D31">
        <v>9</v>
      </c>
      <c r="E31">
        <f>IFERROR(INDEX(C$21:C$32,MATCH(9,A$21:A$32,0)),0)</f>
        <v>0</v>
      </c>
      <c r="F31" t="str">
        <f>IF(C31=0,"-",IF(C31&gt;E31,"W",IF(C31&lt;E31,"L",IF(AND('Picks Detail'!E253&lt;&gt;"",INDEX('Picks Detail'!F253:Q253,1,A31)&lt;&gt;"",INDEX('Picks Detail'!F253:Q253,1,D31)&lt;&gt;""),IF(ABS(INDEX('Picks Detail'!F253:Q253,1,A31)-'Picks Detail'!E253)&lt;ABS(INDEX('Picks Detail'!F253:Q253,1,D31)-'Picks Detail'!E253),"W",IF(ABS(INDEX('Picks Detail'!F253:Q253,1,A31)-'Picks Detail'!E253)&gt;ABS(INDEX('Picks Detail'!F253:Q253,1,D31)-'Picks Detail'!E253),"L","T")),"T"))))</f>
        <v>-</v>
      </c>
      <c r="G31">
        <f t="shared" si="3"/>
        <v>0</v>
      </c>
      <c r="H31">
        <f t="shared" si="4"/>
        <v>0</v>
      </c>
      <c r="I31">
        <f t="shared" si="5"/>
        <v>0</v>
      </c>
    </row>
    <row r="32" spans="1:9" ht="15" customHeight="1" x14ac:dyDescent="0.25">
      <c r="A32">
        <v>12</v>
      </c>
      <c r="B32" t="str">
        <f>Roster!B14</f>
        <v>Jake Andrews</v>
      </c>
      <c r="C32" s="3">
        <f>SUMPRODUCT(('Picks Detail'!Q238:Q252&lt;&gt;"")*('Picks Detail'!E238:E252&lt;&gt;"")*('Picks Detail'!Q238:Q252='Picks Detail'!E238:E252))</f>
        <v>0</v>
      </c>
      <c r="D32">
        <v>10</v>
      </c>
      <c r="E32">
        <f>IFERROR(INDEX(C$21:C$32,MATCH(10,A$21:A$32,0)),0)</f>
        <v>0</v>
      </c>
      <c r="F32" t="str">
        <f>IF(C32=0,"-",IF(C32&gt;E32,"W",IF(C32&lt;E32,"L",IF(AND('Picks Detail'!E253&lt;&gt;"",INDEX('Picks Detail'!F253:Q253,1,A32)&lt;&gt;"",INDEX('Picks Detail'!F253:Q253,1,D32)&lt;&gt;""),IF(ABS(INDEX('Picks Detail'!F253:Q253,1,A32)-'Picks Detail'!E253)&lt;ABS(INDEX('Picks Detail'!F253:Q253,1,D32)-'Picks Detail'!E253),"W",IF(ABS(INDEX('Picks Detail'!F253:Q253,1,A32)-'Picks Detail'!E253)&gt;ABS(INDEX('Picks Detail'!F253:Q253,1,D32)-'Picks Detail'!E253),"L","T")),"T"))))</f>
        <v>-</v>
      </c>
      <c r="G32">
        <f t="shared" si="3"/>
        <v>0</v>
      </c>
      <c r="H32">
        <f t="shared" si="4"/>
        <v>0</v>
      </c>
      <c r="I32">
        <f t="shared" si="5"/>
        <v>0</v>
      </c>
    </row>
    <row r="34" spans="1:9" ht="15" customHeight="1" x14ac:dyDescent="0.25">
      <c r="A34" s="18" t="s">
        <v>116</v>
      </c>
    </row>
    <row r="35" spans="1:9" ht="15" customHeight="1" x14ac:dyDescent="0.25">
      <c r="A35" s="2" t="s">
        <v>1</v>
      </c>
      <c r="B35" s="2" t="s">
        <v>2</v>
      </c>
      <c r="C35" s="2" t="s">
        <v>202</v>
      </c>
      <c r="D35" s="2" t="s">
        <v>203</v>
      </c>
      <c r="E35" s="2" t="s">
        <v>204</v>
      </c>
      <c r="F35" s="2" t="s">
        <v>205</v>
      </c>
      <c r="G35" s="2" t="s">
        <v>215</v>
      </c>
      <c r="H35" s="2" t="s">
        <v>216</v>
      </c>
      <c r="I35" s="2" t="s">
        <v>217</v>
      </c>
    </row>
    <row r="36" spans="1:9" ht="15" customHeight="1" x14ac:dyDescent="0.25">
      <c r="A36">
        <v>1</v>
      </c>
      <c r="B36" t="str">
        <f>Roster!B3</f>
        <v>Evan Loeser</v>
      </c>
      <c r="C36" s="3">
        <f>SUMPRODUCT(('Picks Detail'!F256:F271&lt;&gt;"")*('Picks Detail'!E256:E271&lt;&gt;"")*('Picks Detail'!F256:F271='Picks Detail'!E256:E271))</f>
        <v>0</v>
      </c>
      <c r="D36">
        <v>2</v>
      </c>
      <c r="E36">
        <f>IFERROR(INDEX(C$36:C$47,MATCH(2,A$36:A$47,0)),0)</f>
        <v>0</v>
      </c>
      <c r="F36" t="str">
        <f>IF(C36=0,"-",IF(C36&gt;E36,"W",IF(C36&lt;E36,"L",IF(AND('Picks Detail'!E272&lt;&gt;"",INDEX('Picks Detail'!F272:Q272,1,A36)&lt;&gt;"",INDEX('Picks Detail'!F272:Q272,1,D36)&lt;&gt;""),IF(ABS(INDEX('Picks Detail'!F272:Q272,1,A36)-'Picks Detail'!E272)&lt;ABS(INDEX('Picks Detail'!F272:Q272,1,D36)-'Picks Detail'!E272),"W",IF(ABS(INDEX('Picks Detail'!F272:Q272,1,A36)-'Picks Detail'!E272)&gt;ABS(INDEX('Picks Detail'!F272:Q272,1,D36)-'Picks Detail'!E272),"L","T")),"T"))))</f>
        <v>-</v>
      </c>
      <c r="G36">
        <f t="shared" ref="G36:G47" si="6">IF(F36="W",1,IF(F36="T",0.5,0))</f>
        <v>0</v>
      </c>
      <c r="H36">
        <f t="shared" ref="H36:H47" si="7">IF(F36="L",1,IF(F36="T",0.5,0))</f>
        <v>0</v>
      </c>
      <c r="I36">
        <f t="shared" ref="I36:I47" si="8">IF(C36="",0,C36)</f>
        <v>0</v>
      </c>
    </row>
    <row r="37" spans="1:9" ht="15" customHeight="1" x14ac:dyDescent="0.25">
      <c r="A37">
        <v>2</v>
      </c>
      <c r="B37" t="str">
        <f>Roster!B4</f>
        <v>Chris Simmons</v>
      </c>
      <c r="C37" s="3">
        <f>SUMPRODUCT(('Picks Detail'!G256:G271&lt;&gt;"")*('Picks Detail'!E256:E271&lt;&gt;"")*('Picks Detail'!G256:G271='Picks Detail'!E256:E271))</f>
        <v>0</v>
      </c>
      <c r="D37">
        <v>1</v>
      </c>
      <c r="E37">
        <f>IFERROR(INDEX(C$36:C$47,MATCH(1,A$36:A$47,0)),0)</f>
        <v>0</v>
      </c>
      <c r="F37" t="str">
        <f>IF(C37=0,"-",IF(C37&gt;E37,"W",IF(C37&lt;E37,"L",IF(AND('Picks Detail'!E272&lt;&gt;"",INDEX('Picks Detail'!F272:Q272,1,A37)&lt;&gt;"",INDEX('Picks Detail'!F272:Q272,1,D37)&lt;&gt;""),IF(ABS(INDEX('Picks Detail'!F272:Q272,1,A37)-'Picks Detail'!E272)&lt;ABS(INDEX('Picks Detail'!F272:Q272,1,D37)-'Picks Detail'!E272),"W",IF(ABS(INDEX('Picks Detail'!F272:Q272,1,A37)-'Picks Detail'!E272)&gt;ABS(INDEX('Picks Detail'!F272:Q272,1,D37)-'Picks Detail'!E272),"L","T")),"T"))))</f>
        <v>-</v>
      </c>
      <c r="G37">
        <f t="shared" si="6"/>
        <v>0</v>
      </c>
      <c r="H37">
        <f t="shared" si="7"/>
        <v>0</v>
      </c>
      <c r="I37">
        <f t="shared" si="8"/>
        <v>0</v>
      </c>
    </row>
    <row r="38" spans="1:9" ht="15" customHeight="1" x14ac:dyDescent="0.25">
      <c r="A38">
        <v>3</v>
      </c>
      <c r="B38" t="str">
        <f>Roster!B5</f>
        <v>Jack Smith</v>
      </c>
      <c r="C38" s="3">
        <f>SUMPRODUCT(('Picks Detail'!H256:H271&lt;&gt;"")*('Picks Detail'!E256:E271&lt;&gt;"")*('Picks Detail'!H256:H271='Picks Detail'!E256:E271))</f>
        <v>0</v>
      </c>
      <c r="D38">
        <v>4</v>
      </c>
      <c r="E38">
        <f>IFERROR(INDEX(C$36:C$47,MATCH(4,A$36:A$47,0)),0)</f>
        <v>0</v>
      </c>
      <c r="F38" t="str">
        <f>IF(C38=0,"-",IF(C38&gt;E38,"W",IF(C38&lt;E38,"L",IF(AND('Picks Detail'!E272&lt;&gt;"",INDEX('Picks Detail'!F272:Q272,1,A38)&lt;&gt;"",INDEX('Picks Detail'!F272:Q272,1,D38)&lt;&gt;""),IF(ABS(INDEX('Picks Detail'!F272:Q272,1,A38)-'Picks Detail'!E272)&lt;ABS(INDEX('Picks Detail'!F272:Q272,1,D38)-'Picks Detail'!E272),"W",IF(ABS(INDEX('Picks Detail'!F272:Q272,1,A38)-'Picks Detail'!E272)&gt;ABS(INDEX('Picks Detail'!F272:Q272,1,D38)-'Picks Detail'!E272),"L","T")),"T"))))</f>
        <v>-</v>
      </c>
      <c r="G38">
        <f t="shared" si="6"/>
        <v>0</v>
      </c>
      <c r="H38">
        <f t="shared" si="7"/>
        <v>0</v>
      </c>
      <c r="I38">
        <f t="shared" si="8"/>
        <v>0</v>
      </c>
    </row>
    <row r="39" spans="1:9" ht="15" customHeight="1" x14ac:dyDescent="0.25">
      <c r="A39">
        <v>4</v>
      </c>
      <c r="B39" t="str">
        <f>Roster!B6</f>
        <v>Luke Ussery</v>
      </c>
      <c r="C39" s="3">
        <f>SUMPRODUCT(('Picks Detail'!I256:I271&lt;&gt;"")*('Picks Detail'!E256:E271&lt;&gt;"")*('Picks Detail'!I256:I271='Picks Detail'!E256:E271))</f>
        <v>0</v>
      </c>
      <c r="D39">
        <v>3</v>
      </c>
      <c r="E39">
        <f>IFERROR(INDEX(C$36:C$47,MATCH(3,A$36:A$47,0)),0)</f>
        <v>0</v>
      </c>
      <c r="F39" t="str">
        <f>IF(C39=0,"-",IF(C39&gt;E39,"W",IF(C39&lt;E39,"L",IF(AND('Picks Detail'!E272&lt;&gt;"",INDEX('Picks Detail'!F272:Q272,1,A39)&lt;&gt;"",INDEX('Picks Detail'!F272:Q272,1,D39)&lt;&gt;""),IF(ABS(INDEX('Picks Detail'!F272:Q272,1,A39)-'Picks Detail'!E272)&lt;ABS(INDEX('Picks Detail'!F272:Q272,1,D39)-'Picks Detail'!E272),"W",IF(ABS(INDEX('Picks Detail'!F272:Q272,1,A39)-'Picks Detail'!E272)&gt;ABS(INDEX('Picks Detail'!F272:Q272,1,D39)-'Picks Detail'!E272),"L","T")),"T"))))</f>
        <v>-</v>
      </c>
      <c r="G39">
        <f t="shared" si="6"/>
        <v>0</v>
      </c>
      <c r="H39">
        <f t="shared" si="7"/>
        <v>0</v>
      </c>
      <c r="I39">
        <f t="shared" si="8"/>
        <v>0</v>
      </c>
    </row>
    <row r="40" spans="1:9" ht="15" customHeight="1" x14ac:dyDescent="0.25">
      <c r="A40">
        <v>5</v>
      </c>
      <c r="B40" t="str">
        <f>Roster!B7</f>
        <v>Mikayla Simmons</v>
      </c>
      <c r="C40" s="3">
        <f>SUMPRODUCT(('Picks Detail'!J256:J271&lt;&gt;"")*('Picks Detail'!E256:E271&lt;&gt;"")*('Picks Detail'!J256:J271='Picks Detail'!E256:E271))</f>
        <v>0</v>
      </c>
      <c r="D40">
        <v>6</v>
      </c>
      <c r="E40">
        <f>IFERROR(INDEX(C$36:C$47,MATCH(6,A$36:A$47,0)),0)</f>
        <v>0</v>
      </c>
      <c r="F40" t="str">
        <f>IF(C40=0,"-",IF(C40&gt;E40,"W",IF(C40&lt;E40,"L",IF(AND('Picks Detail'!E272&lt;&gt;"",INDEX('Picks Detail'!F272:Q272,1,A40)&lt;&gt;"",INDEX('Picks Detail'!F272:Q272,1,D40)&lt;&gt;""),IF(ABS(INDEX('Picks Detail'!F272:Q272,1,A40)-'Picks Detail'!E272)&lt;ABS(INDEX('Picks Detail'!F272:Q272,1,D40)-'Picks Detail'!E272),"W",IF(ABS(INDEX('Picks Detail'!F272:Q272,1,A40)-'Picks Detail'!E272)&gt;ABS(INDEX('Picks Detail'!F272:Q272,1,D40)-'Picks Detail'!E272),"L","T")),"T"))))</f>
        <v>-</v>
      </c>
      <c r="G40">
        <f t="shared" si="6"/>
        <v>0</v>
      </c>
      <c r="H40">
        <f t="shared" si="7"/>
        <v>0</v>
      </c>
      <c r="I40">
        <f t="shared" si="8"/>
        <v>0</v>
      </c>
    </row>
    <row r="41" spans="1:9" ht="15" customHeight="1" x14ac:dyDescent="0.25">
      <c r="A41">
        <v>6</v>
      </c>
      <c r="B41" t="str">
        <f>Roster!B8</f>
        <v>Alan Loeser</v>
      </c>
      <c r="C41" s="3">
        <f>SUMPRODUCT(('Picks Detail'!K256:K271&lt;&gt;"")*('Picks Detail'!E256:E271&lt;&gt;"")*('Picks Detail'!K256:K271='Picks Detail'!E256:E271))</f>
        <v>0</v>
      </c>
      <c r="D41">
        <v>5</v>
      </c>
      <c r="E41">
        <f>IFERROR(INDEX(C$36:C$47,MATCH(5,A$36:A$47,0)),0)</f>
        <v>0</v>
      </c>
      <c r="F41" t="str">
        <f>IF(C41=0,"-",IF(C41&gt;E41,"W",IF(C41&lt;E41,"L",IF(AND('Picks Detail'!E272&lt;&gt;"",INDEX('Picks Detail'!F272:Q272,1,A41)&lt;&gt;"",INDEX('Picks Detail'!F272:Q272,1,D41)&lt;&gt;""),IF(ABS(INDEX('Picks Detail'!F272:Q272,1,A41)-'Picks Detail'!E272)&lt;ABS(INDEX('Picks Detail'!F272:Q272,1,D41)-'Picks Detail'!E272),"W",IF(ABS(INDEX('Picks Detail'!F272:Q272,1,A41)-'Picks Detail'!E272)&gt;ABS(INDEX('Picks Detail'!F272:Q272,1,D41)-'Picks Detail'!E272),"L","T")),"T"))))</f>
        <v>-</v>
      </c>
      <c r="G41">
        <f t="shared" si="6"/>
        <v>0</v>
      </c>
      <c r="H41">
        <f t="shared" si="7"/>
        <v>0</v>
      </c>
      <c r="I41">
        <f t="shared" si="8"/>
        <v>0</v>
      </c>
    </row>
    <row r="42" spans="1:9" ht="15" customHeight="1" x14ac:dyDescent="0.25">
      <c r="A42">
        <v>7</v>
      </c>
      <c r="B42" t="str">
        <f>Roster!B9</f>
        <v>Caleb Simmons</v>
      </c>
      <c r="C42" s="3">
        <f>SUMPRODUCT(('Picks Detail'!L256:L271&lt;&gt;"")*('Picks Detail'!E256:E271&lt;&gt;"")*('Picks Detail'!L256:L271='Picks Detail'!E256:E271))</f>
        <v>0</v>
      </c>
      <c r="D42">
        <v>8</v>
      </c>
      <c r="E42">
        <f>IFERROR(INDEX(C$36:C$47,MATCH(8,A$36:A$47,0)),0)</f>
        <v>0</v>
      </c>
      <c r="F42" t="str">
        <f>IF(C42=0,"-",IF(C42&gt;E42,"W",IF(C42&lt;E42,"L",IF(AND('Picks Detail'!E272&lt;&gt;"",INDEX('Picks Detail'!F272:Q272,1,A42)&lt;&gt;"",INDEX('Picks Detail'!F272:Q272,1,D42)&lt;&gt;""),IF(ABS(INDEX('Picks Detail'!F272:Q272,1,A42)-'Picks Detail'!E272)&lt;ABS(INDEX('Picks Detail'!F272:Q272,1,D42)-'Picks Detail'!E272),"W",IF(ABS(INDEX('Picks Detail'!F272:Q272,1,A42)-'Picks Detail'!E272)&gt;ABS(INDEX('Picks Detail'!F272:Q272,1,D42)-'Picks Detail'!E272),"L","T")),"T"))))</f>
        <v>-</v>
      </c>
      <c r="G42">
        <f t="shared" si="6"/>
        <v>0</v>
      </c>
      <c r="H42">
        <f t="shared" si="7"/>
        <v>0</v>
      </c>
      <c r="I42">
        <f t="shared" si="8"/>
        <v>0</v>
      </c>
    </row>
    <row r="43" spans="1:9" ht="15" customHeight="1" x14ac:dyDescent="0.25">
      <c r="A43">
        <v>8</v>
      </c>
      <c r="B43" t="str">
        <f>Roster!B10</f>
        <v>Larry Loeser</v>
      </c>
      <c r="C43" s="3">
        <f>SUMPRODUCT(('Picks Detail'!M256:M271&lt;&gt;"")*('Picks Detail'!E256:E271&lt;&gt;"")*('Picks Detail'!M256:M271='Picks Detail'!E256:E271))</f>
        <v>0</v>
      </c>
      <c r="D43">
        <v>7</v>
      </c>
      <c r="E43">
        <f>IFERROR(INDEX(C$36:C$47,MATCH(7,A$36:A$47,0)),0)</f>
        <v>0</v>
      </c>
      <c r="F43" t="str">
        <f>IF(C43=0,"-",IF(C43&gt;E43,"W",IF(C43&lt;E43,"L",IF(AND('Picks Detail'!E272&lt;&gt;"",INDEX('Picks Detail'!F272:Q272,1,A43)&lt;&gt;"",INDEX('Picks Detail'!F272:Q272,1,D43)&lt;&gt;""),IF(ABS(INDEX('Picks Detail'!F272:Q272,1,A43)-'Picks Detail'!E272)&lt;ABS(INDEX('Picks Detail'!F272:Q272,1,D43)-'Picks Detail'!E272),"W",IF(ABS(INDEX('Picks Detail'!F272:Q272,1,A43)-'Picks Detail'!E272)&gt;ABS(INDEX('Picks Detail'!F272:Q272,1,D43)-'Picks Detail'!E272),"L","T")),"T"))))</f>
        <v>-</v>
      </c>
      <c r="G43">
        <f t="shared" si="6"/>
        <v>0</v>
      </c>
      <c r="H43">
        <f t="shared" si="7"/>
        <v>0</v>
      </c>
      <c r="I43">
        <f t="shared" si="8"/>
        <v>0</v>
      </c>
    </row>
    <row r="44" spans="1:9" ht="15" customHeight="1" x14ac:dyDescent="0.25">
      <c r="A44">
        <v>9</v>
      </c>
      <c r="B44" t="str">
        <f>Roster!B11</f>
        <v>Daddy Michael</v>
      </c>
      <c r="C44" s="3">
        <f>SUMPRODUCT(('Picks Detail'!N256:N271&lt;&gt;"")*('Picks Detail'!E256:E271&lt;&gt;"")*('Picks Detail'!N256:N271='Picks Detail'!E256:E271))</f>
        <v>0</v>
      </c>
      <c r="D44">
        <v>10</v>
      </c>
      <c r="E44">
        <f>IFERROR(INDEX(C$36:C$47,MATCH(10,A$36:A$47,0)),0)</f>
        <v>0</v>
      </c>
      <c r="F44" t="str">
        <f>IF(C44=0,"-",IF(C44&gt;E44,"W",IF(C44&lt;E44,"L",IF(AND('Picks Detail'!E272&lt;&gt;"",INDEX('Picks Detail'!F272:Q272,1,A44)&lt;&gt;"",INDEX('Picks Detail'!F272:Q272,1,D44)&lt;&gt;""),IF(ABS(INDEX('Picks Detail'!F272:Q272,1,A44)-'Picks Detail'!E272)&lt;ABS(INDEX('Picks Detail'!F272:Q272,1,D44)-'Picks Detail'!E272),"W",IF(ABS(INDEX('Picks Detail'!F272:Q272,1,A44)-'Picks Detail'!E272)&gt;ABS(INDEX('Picks Detail'!F272:Q272,1,D44)-'Picks Detail'!E272),"L","T")),"T"))))</f>
        <v>-</v>
      </c>
      <c r="G44">
        <f t="shared" si="6"/>
        <v>0</v>
      </c>
      <c r="H44">
        <f t="shared" si="7"/>
        <v>0</v>
      </c>
      <c r="I44">
        <f t="shared" si="8"/>
        <v>0</v>
      </c>
    </row>
    <row r="45" spans="1:9" ht="15" customHeight="1" x14ac:dyDescent="0.25">
      <c r="A45">
        <v>10</v>
      </c>
      <c r="B45" t="str">
        <f>Roster!B12</f>
        <v>Zach Zarra</v>
      </c>
      <c r="C45" s="3">
        <f>SUMPRODUCT(('Picks Detail'!O256:O271&lt;&gt;"")*('Picks Detail'!E256:E271&lt;&gt;"")*('Picks Detail'!O256:O271='Picks Detail'!E256:E271))</f>
        <v>0</v>
      </c>
      <c r="D45">
        <v>9</v>
      </c>
      <c r="E45">
        <f>IFERROR(INDEX(C$36:C$47,MATCH(9,A$36:A$47,0)),0)</f>
        <v>0</v>
      </c>
      <c r="F45" t="str">
        <f>IF(C45=0,"-",IF(C45&gt;E45,"W",IF(C45&lt;E45,"L",IF(AND('Picks Detail'!E272&lt;&gt;"",INDEX('Picks Detail'!F272:Q272,1,A45)&lt;&gt;"",INDEX('Picks Detail'!F272:Q272,1,D45)&lt;&gt;""),IF(ABS(INDEX('Picks Detail'!F272:Q272,1,A45)-'Picks Detail'!E272)&lt;ABS(INDEX('Picks Detail'!F272:Q272,1,D45)-'Picks Detail'!E272),"W",IF(ABS(INDEX('Picks Detail'!F272:Q272,1,A45)-'Picks Detail'!E272)&gt;ABS(INDEX('Picks Detail'!F272:Q272,1,D45)-'Picks Detail'!E272),"L","T")),"T"))))</f>
        <v>-</v>
      </c>
      <c r="G45">
        <f t="shared" si="6"/>
        <v>0</v>
      </c>
      <c r="H45">
        <f t="shared" si="7"/>
        <v>0</v>
      </c>
      <c r="I45">
        <f t="shared" si="8"/>
        <v>0</v>
      </c>
    </row>
    <row r="46" spans="1:9" ht="15" customHeight="1" x14ac:dyDescent="0.25">
      <c r="A46">
        <v>11</v>
      </c>
      <c r="B46" t="str">
        <f>Roster!B13</f>
        <v>Jeffrey Loeser</v>
      </c>
      <c r="C46" s="3">
        <f>SUMPRODUCT(('Picks Detail'!P256:P271&lt;&gt;"")*('Picks Detail'!E256:E271&lt;&gt;"")*('Picks Detail'!P256:P271='Picks Detail'!E256:E271))</f>
        <v>0</v>
      </c>
      <c r="D46">
        <v>12</v>
      </c>
      <c r="E46">
        <f>IFERROR(INDEX(C$36:C$47,MATCH(12,A$36:A$47,0)),0)</f>
        <v>0</v>
      </c>
      <c r="F46" t="str">
        <f>IF(C46=0,"-",IF(C46&gt;E46,"W",IF(C46&lt;E46,"L",IF(AND('Picks Detail'!E272&lt;&gt;"",INDEX('Picks Detail'!F272:Q272,1,A46)&lt;&gt;"",INDEX('Picks Detail'!F272:Q272,1,D46)&lt;&gt;""),IF(ABS(INDEX('Picks Detail'!F272:Q272,1,A46)-'Picks Detail'!E272)&lt;ABS(INDEX('Picks Detail'!F272:Q272,1,D46)-'Picks Detail'!E272),"W",IF(ABS(INDEX('Picks Detail'!F272:Q272,1,A46)-'Picks Detail'!E272)&gt;ABS(INDEX('Picks Detail'!F272:Q272,1,D46)-'Picks Detail'!E272),"L","T")),"T"))))</f>
        <v>-</v>
      </c>
      <c r="G46">
        <f t="shared" si="6"/>
        <v>0</v>
      </c>
      <c r="H46">
        <f t="shared" si="7"/>
        <v>0</v>
      </c>
      <c r="I46">
        <f t="shared" si="8"/>
        <v>0</v>
      </c>
    </row>
    <row r="47" spans="1:9" ht="15" customHeight="1" x14ac:dyDescent="0.25">
      <c r="A47">
        <v>12</v>
      </c>
      <c r="B47" t="str">
        <f>Roster!B14</f>
        <v>Jake Andrews</v>
      </c>
      <c r="C47" s="3">
        <f>SUMPRODUCT(('Picks Detail'!Q256:Q271&lt;&gt;"")*('Picks Detail'!E256:E271&lt;&gt;"")*('Picks Detail'!Q256:Q271='Picks Detail'!E256:E271))</f>
        <v>0</v>
      </c>
      <c r="D47">
        <v>11</v>
      </c>
      <c r="E47">
        <f>IFERROR(INDEX(C$36:C$47,MATCH(11,A$36:A$47,0)),0)</f>
        <v>0</v>
      </c>
      <c r="F47" t="str">
        <f>IF(C47=0,"-",IF(C47&gt;E47,"W",IF(C47&lt;E47,"L",IF(AND('Picks Detail'!E272&lt;&gt;"",INDEX('Picks Detail'!F272:Q272,1,A47)&lt;&gt;"",INDEX('Picks Detail'!F272:Q272,1,D47)&lt;&gt;""),IF(ABS(INDEX('Picks Detail'!F272:Q272,1,A47)-'Picks Detail'!E272)&lt;ABS(INDEX('Picks Detail'!F272:Q272,1,D47)-'Picks Detail'!E272),"W",IF(ABS(INDEX('Picks Detail'!F272:Q272,1,A47)-'Picks Detail'!E272)&gt;ABS(INDEX('Picks Detail'!F272:Q272,1,D47)-'Picks Detail'!E272),"L","T")),"T"))))</f>
        <v>-</v>
      </c>
      <c r="G47">
        <f t="shared" si="6"/>
        <v>0</v>
      </c>
      <c r="H47">
        <f t="shared" si="7"/>
        <v>0</v>
      </c>
      <c r="I47">
        <f t="shared" si="8"/>
        <v>0</v>
      </c>
    </row>
    <row r="49" spans="1:9" ht="15" customHeight="1" x14ac:dyDescent="0.25">
      <c r="A49" s="18" t="s">
        <v>117</v>
      </c>
    </row>
    <row r="50" spans="1:9" ht="15" customHeight="1" x14ac:dyDescent="0.25">
      <c r="A50" s="2" t="s">
        <v>1</v>
      </c>
      <c r="B50" s="2" t="s">
        <v>2</v>
      </c>
      <c r="C50" s="2" t="s">
        <v>202</v>
      </c>
      <c r="D50" s="2" t="s">
        <v>203</v>
      </c>
      <c r="E50" s="2" t="s">
        <v>204</v>
      </c>
      <c r="F50" s="2" t="s">
        <v>205</v>
      </c>
      <c r="G50" s="2" t="s">
        <v>215</v>
      </c>
      <c r="H50" s="2" t="s">
        <v>216</v>
      </c>
      <c r="I50" s="2" t="s">
        <v>217</v>
      </c>
    </row>
    <row r="51" spans="1:9" ht="15" customHeight="1" x14ac:dyDescent="0.25">
      <c r="A51">
        <v>1</v>
      </c>
      <c r="B51" t="str">
        <f>Roster!B3</f>
        <v>Evan Loeser</v>
      </c>
      <c r="C51" s="3">
        <f>SUMPRODUCT(('Picks Detail'!F275:F290&lt;&gt;"")*('Picks Detail'!E275:E290&lt;&gt;"")*('Picks Detail'!F275:F290='Picks Detail'!E275:E290))</f>
        <v>0</v>
      </c>
      <c r="D51">
        <v>4</v>
      </c>
      <c r="E51">
        <f>IFERROR(INDEX(C$51:C$62,MATCH(4,A$51:A$62,0)),0)</f>
        <v>0</v>
      </c>
      <c r="F51" t="str">
        <f>IF(C51=0,"-",IF(C51&gt;E51,"W",IF(C51&lt;E51,"L",IF(AND('Picks Detail'!E291&lt;&gt;"",INDEX('Picks Detail'!F291:Q291,1,A51)&lt;&gt;"",INDEX('Picks Detail'!F291:Q291,1,D51)&lt;&gt;""),IF(ABS(INDEX('Picks Detail'!F291:Q291,1,A51)-'Picks Detail'!E291)&lt;ABS(INDEX('Picks Detail'!F291:Q291,1,D51)-'Picks Detail'!E291),"W",IF(ABS(INDEX('Picks Detail'!F291:Q291,1,A51)-'Picks Detail'!E291)&gt;ABS(INDEX('Picks Detail'!F291:Q291,1,D51)-'Picks Detail'!E291),"L","T")),"T"))))</f>
        <v>-</v>
      </c>
      <c r="G51">
        <f t="shared" ref="G51:G62" si="9">IF(F51="W",1,IF(F51="T",0.5,0))</f>
        <v>0</v>
      </c>
      <c r="H51">
        <f t="shared" ref="H51:H62" si="10">IF(F51="L",1,IF(F51="T",0.5,0))</f>
        <v>0</v>
      </c>
      <c r="I51">
        <f t="shared" ref="I51:I62" si="11">IF(C51="",0,C51)</f>
        <v>0</v>
      </c>
    </row>
    <row r="52" spans="1:9" ht="15" customHeight="1" x14ac:dyDescent="0.25">
      <c r="A52">
        <v>2</v>
      </c>
      <c r="B52" t="str">
        <f>Roster!B4</f>
        <v>Chris Simmons</v>
      </c>
      <c r="C52" s="3">
        <f>SUMPRODUCT(('Picks Detail'!G275:G290&lt;&gt;"")*('Picks Detail'!E275:E290&lt;&gt;"")*('Picks Detail'!G275:G290='Picks Detail'!E275:E290))</f>
        <v>0</v>
      </c>
      <c r="D52">
        <v>3</v>
      </c>
      <c r="E52">
        <f>IFERROR(INDEX(C$51:C$62,MATCH(3,A$51:A$62,0)),0)</f>
        <v>0</v>
      </c>
      <c r="F52" t="str">
        <f>IF(C52=0,"-",IF(C52&gt;E52,"W",IF(C52&lt;E52,"L",IF(AND('Picks Detail'!E291&lt;&gt;"",INDEX('Picks Detail'!F291:Q291,1,A52)&lt;&gt;"",INDEX('Picks Detail'!F291:Q291,1,D52)&lt;&gt;""),IF(ABS(INDEX('Picks Detail'!F291:Q291,1,A52)-'Picks Detail'!E291)&lt;ABS(INDEX('Picks Detail'!F291:Q291,1,D52)-'Picks Detail'!E291),"W",IF(ABS(INDEX('Picks Detail'!F291:Q291,1,A52)-'Picks Detail'!E291)&gt;ABS(INDEX('Picks Detail'!F291:Q291,1,D52)-'Picks Detail'!E291),"L","T")),"T"))))</f>
        <v>-</v>
      </c>
      <c r="G52">
        <f t="shared" si="9"/>
        <v>0</v>
      </c>
      <c r="H52">
        <f t="shared" si="10"/>
        <v>0</v>
      </c>
      <c r="I52">
        <f t="shared" si="11"/>
        <v>0</v>
      </c>
    </row>
    <row r="53" spans="1:9" ht="15" customHeight="1" x14ac:dyDescent="0.25">
      <c r="A53">
        <v>3</v>
      </c>
      <c r="B53" t="str">
        <f>Roster!B5</f>
        <v>Jack Smith</v>
      </c>
      <c r="C53" s="3">
        <f>SUMPRODUCT(('Picks Detail'!H275:H290&lt;&gt;"")*('Picks Detail'!E275:E290&lt;&gt;"")*('Picks Detail'!H275:H290='Picks Detail'!E275:E290))</f>
        <v>0</v>
      </c>
      <c r="D53">
        <v>2</v>
      </c>
      <c r="E53">
        <f>IFERROR(INDEX(C$51:C$62,MATCH(2,A$51:A$62,0)),0)</f>
        <v>0</v>
      </c>
      <c r="F53" t="str">
        <f>IF(C53=0,"-",IF(C53&gt;E53,"W",IF(C53&lt;E53,"L",IF(AND('Picks Detail'!E291&lt;&gt;"",INDEX('Picks Detail'!F291:Q291,1,A53)&lt;&gt;"",INDEX('Picks Detail'!F291:Q291,1,D53)&lt;&gt;""),IF(ABS(INDEX('Picks Detail'!F291:Q291,1,A53)-'Picks Detail'!E291)&lt;ABS(INDEX('Picks Detail'!F291:Q291,1,D53)-'Picks Detail'!E291),"W",IF(ABS(INDEX('Picks Detail'!F291:Q291,1,A53)-'Picks Detail'!E291)&gt;ABS(INDEX('Picks Detail'!F291:Q291,1,D53)-'Picks Detail'!E291),"L","T")),"T"))))</f>
        <v>-</v>
      </c>
      <c r="G53">
        <f t="shared" si="9"/>
        <v>0</v>
      </c>
      <c r="H53">
        <f t="shared" si="10"/>
        <v>0</v>
      </c>
      <c r="I53">
        <f t="shared" si="11"/>
        <v>0</v>
      </c>
    </row>
    <row r="54" spans="1:9" ht="15" customHeight="1" x14ac:dyDescent="0.25">
      <c r="A54">
        <v>4</v>
      </c>
      <c r="B54" t="str">
        <f>Roster!B6</f>
        <v>Luke Ussery</v>
      </c>
      <c r="C54" s="3">
        <f>SUMPRODUCT(('Picks Detail'!I275:I290&lt;&gt;"")*('Picks Detail'!E275:E290&lt;&gt;"")*('Picks Detail'!I275:I290='Picks Detail'!E275:E290))</f>
        <v>0</v>
      </c>
      <c r="D54">
        <v>1</v>
      </c>
      <c r="E54">
        <f>IFERROR(INDEX(C$51:C$62,MATCH(1,A$51:A$62,0)),0)</f>
        <v>0</v>
      </c>
      <c r="F54" t="str">
        <f>IF(C54=0,"-",IF(C54&gt;E54,"W",IF(C54&lt;E54,"L",IF(AND('Picks Detail'!E291&lt;&gt;"",INDEX('Picks Detail'!F291:Q291,1,A54)&lt;&gt;"",INDEX('Picks Detail'!F291:Q291,1,D54)&lt;&gt;""),IF(ABS(INDEX('Picks Detail'!F291:Q291,1,A54)-'Picks Detail'!E291)&lt;ABS(INDEX('Picks Detail'!F291:Q291,1,D54)-'Picks Detail'!E291),"W",IF(ABS(INDEX('Picks Detail'!F291:Q291,1,A54)-'Picks Detail'!E291)&gt;ABS(INDEX('Picks Detail'!F291:Q291,1,D54)-'Picks Detail'!E291),"L","T")),"T"))))</f>
        <v>-</v>
      </c>
      <c r="G54">
        <f t="shared" si="9"/>
        <v>0</v>
      </c>
      <c r="H54">
        <f t="shared" si="10"/>
        <v>0</v>
      </c>
      <c r="I54">
        <f t="shared" si="11"/>
        <v>0</v>
      </c>
    </row>
    <row r="55" spans="1:9" ht="15" customHeight="1" x14ac:dyDescent="0.25">
      <c r="A55">
        <v>5</v>
      </c>
      <c r="B55" t="str">
        <f>Roster!B7</f>
        <v>Mikayla Simmons</v>
      </c>
      <c r="C55" s="3">
        <f>SUMPRODUCT(('Picks Detail'!J275:J290&lt;&gt;"")*('Picks Detail'!E275:E290&lt;&gt;"")*('Picks Detail'!J275:J290='Picks Detail'!E275:E290))</f>
        <v>0</v>
      </c>
      <c r="D55">
        <v>8</v>
      </c>
      <c r="E55">
        <f>IFERROR(INDEX(C$51:C$62,MATCH(8,A$51:A$62,0)),0)</f>
        <v>0</v>
      </c>
      <c r="F55" t="str">
        <f>IF(C55=0,"-",IF(C55&gt;E55,"W",IF(C55&lt;E55,"L",IF(AND('Picks Detail'!E291&lt;&gt;"",INDEX('Picks Detail'!F291:Q291,1,A55)&lt;&gt;"",INDEX('Picks Detail'!F291:Q291,1,D55)&lt;&gt;""),IF(ABS(INDEX('Picks Detail'!F291:Q291,1,A55)-'Picks Detail'!E291)&lt;ABS(INDEX('Picks Detail'!F291:Q291,1,D55)-'Picks Detail'!E291),"W",IF(ABS(INDEX('Picks Detail'!F291:Q291,1,A55)-'Picks Detail'!E291)&gt;ABS(INDEX('Picks Detail'!F291:Q291,1,D55)-'Picks Detail'!E291),"L","T")),"T"))))</f>
        <v>-</v>
      </c>
      <c r="G55">
        <f t="shared" si="9"/>
        <v>0</v>
      </c>
      <c r="H55">
        <f t="shared" si="10"/>
        <v>0</v>
      </c>
      <c r="I55">
        <f t="shared" si="11"/>
        <v>0</v>
      </c>
    </row>
    <row r="56" spans="1:9" ht="15" customHeight="1" x14ac:dyDescent="0.25">
      <c r="A56">
        <v>6</v>
      </c>
      <c r="B56" t="str">
        <f>Roster!B8</f>
        <v>Alan Loeser</v>
      </c>
      <c r="C56" s="3">
        <f>SUMPRODUCT(('Picks Detail'!K275:K290&lt;&gt;"")*('Picks Detail'!E275:E290&lt;&gt;"")*('Picks Detail'!K275:K290='Picks Detail'!E275:E290))</f>
        <v>0</v>
      </c>
      <c r="D56">
        <v>7</v>
      </c>
      <c r="E56">
        <f>IFERROR(INDEX(C$51:C$62,MATCH(7,A$51:A$62,0)),0)</f>
        <v>0</v>
      </c>
      <c r="F56" t="str">
        <f>IF(C56=0,"-",IF(C56&gt;E56,"W",IF(C56&lt;E56,"L",IF(AND('Picks Detail'!E291&lt;&gt;"",INDEX('Picks Detail'!F291:Q291,1,A56)&lt;&gt;"",INDEX('Picks Detail'!F291:Q291,1,D56)&lt;&gt;""),IF(ABS(INDEX('Picks Detail'!F291:Q291,1,A56)-'Picks Detail'!E291)&lt;ABS(INDEX('Picks Detail'!F291:Q291,1,D56)-'Picks Detail'!E291),"W",IF(ABS(INDEX('Picks Detail'!F291:Q291,1,A56)-'Picks Detail'!E291)&gt;ABS(INDEX('Picks Detail'!F291:Q291,1,D56)-'Picks Detail'!E291),"L","T")),"T"))))</f>
        <v>-</v>
      </c>
      <c r="G56">
        <f t="shared" si="9"/>
        <v>0</v>
      </c>
      <c r="H56">
        <f t="shared" si="10"/>
        <v>0</v>
      </c>
      <c r="I56">
        <f t="shared" si="11"/>
        <v>0</v>
      </c>
    </row>
    <row r="57" spans="1:9" ht="15" customHeight="1" x14ac:dyDescent="0.25">
      <c r="A57">
        <v>7</v>
      </c>
      <c r="B57" t="str">
        <f>Roster!B9</f>
        <v>Caleb Simmons</v>
      </c>
      <c r="C57" s="3">
        <f>SUMPRODUCT(('Picks Detail'!L275:L290&lt;&gt;"")*('Picks Detail'!E275:E290&lt;&gt;"")*('Picks Detail'!L275:L290='Picks Detail'!E275:E290))</f>
        <v>0</v>
      </c>
      <c r="D57">
        <v>6</v>
      </c>
      <c r="E57">
        <f>IFERROR(INDEX(C$51:C$62,MATCH(6,A$51:A$62,0)),0)</f>
        <v>0</v>
      </c>
      <c r="F57" t="str">
        <f>IF(C57=0,"-",IF(C57&gt;E57,"W",IF(C57&lt;E57,"L",IF(AND('Picks Detail'!E291&lt;&gt;"",INDEX('Picks Detail'!F291:Q291,1,A57)&lt;&gt;"",INDEX('Picks Detail'!F291:Q291,1,D57)&lt;&gt;""),IF(ABS(INDEX('Picks Detail'!F291:Q291,1,A57)-'Picks Detail'!E291)&lt;ABS(INDEX('Picks Detail'!F291:Q291,1,D57)-'Picks Detail'!E291),"W",IF(ABS(INDEX('Picks Detail'!F291:Q291,1,A57)-'Picks Detail'!E291)&gt;ABS(INDEX('Picks Detail'!F291:Q291,1,D57)-'Picks Detail'!E291),"L","T")),"T"))))</f>
        <v>-</v>
      </c>
      <c r="G57">
        <f t="shared" si="9"/>
        <v>0</v>
      </c>
      <c r="H57">
        <f t="shared" si="10"/>
        <v>0</v>
      </c>
      <c r="I57">
        <f t="shared" si="11"/>
        <v>0</v>
      </c>
    </row>
    <row r="58" spans="1:9" ht="15" customHeight="1" x14ac:dyDescent="0.25">
      <c r="A58">
        <v>8</v>
      </c>
      <c r="B58" t="str">
        <f>Roster!B10</f>
        <v>Larry Loeser</v>
      </c>
      <c r="C58" s="3">
        <f>SUMPRODUCT(('Picks Detail'!M275:M290&lt;&gt;"")*('Picks Detail'!E275:E290&lt;&gt;"")*('Picks Detail'!M275:M290='Picks Detail'!E275:E290))</f>
        <v>0</v>
      </c>
      <c r="D58">
        <v>5</v>
      </c>
      <c r="E58">
        <f>IFERROR(INDEX(C$51:C$62,MATCH(5,A$51:A$62,0)),0)</f>
        <v>0</v>
      </c>
      <c r="F58" t="str">
        <f>IF(C58=0,"-",IF(C58&gt;E58,"W",IF(C58&lt;E58,"L",IF(AND('Picks Detail'!E291&lt;&gt;"",INDEX('Picks Detail'!F291:Q291,1,A58)&lt;&gt;"",INDEX('Picks Detail'!F291:Q291,1,D58)&lt;&gt;""),IF(ABS(INDEX('Picks Detail'!F291:Q291,1,A58)-'Picks Detail'!E291)&lt;ABS(INDEX('Picks Detail'!F291:Q291,1,D58)-'Picks Detail'!E291),"W",IF(ABS(INDEX('Picks Detail'!F291:Q291,1,A58)-'Picks Detail'!E291)&gt;ABS(INDEX('Picks Detail'!F291:Q291,1,D58)-'Picks Detail'!E291),"L","T")),"T"))))</f>
        <v>-</v>
      </c>
      <c r="G58">
        <f t="shared" si="9"/>
        <v>0</v>
      </c>
      <c r="H58">
        <f t="shared" si="10"/>
        <v>0</v>
      </c>
      <c r="I58">
        <f t="shared" si="11"/>
        <v>0</v>
      </c>
    </row>
    <row r="59" spans="1:9" ht="15" customHeight="1" x14ac:dyDescent="0.25">
      <c r="A59">
        <v>9</v>
      </c>
      <c r="B59" t="str">
        <f>Roster!B11</f>
        <v>Daddy Michael</v>
      </c>
      <c r="C59" s="3">
        <f>SUMPRODUCT(('Picks Detail'!N275:N290&lt;&gt;"")*('Picks Detail'!E275:E290&lt;&gt;"")*('Picks Detail'!N275:N290='Picks Detail'!E275:E290))</f>
        <v>0</v>
      </c>
      <c r="D59">
        <v>12</v>
      </c>
      <c r="E59">
        <f>IFERROR(INDEX(C$51:C$62,MATCH(12,A$51:A$62,0)),0)</f>
        <v>0</v>
      </c>
      <c r="F59" t="str">
        <f>IF(C59=0,"-",IF(C59&gt;E59,"W",IF(C59&lt;E59,"L",IF(AND('Picks Detail'!E291&lt;&gt;"",INDEX('Picks Detail'!F291:Q291,1,A59)&lt;&gt;"",INDEX('Picks Detail'!F291:Q291,1,D59)&lt;&gt;""),IF(ABS(INDEX('Picks Detail'!F291:Q291,1,A59)-'Picks Detail'!E291)&lt;ABS(INDEX('Picks Detail'!F291:Q291,1,D59)-'Picks Detail'!E291),"W",IF(ABS(INDEX('Picks Detail'!F291:Q291,1,A59)-'Picks Detail'!E291)&gt;ABS(INDEX('Picks Detail'!F291:Q291,1,D59)-'Picks Detail'!E291),"L","T")),"T"))))</f>
        <v>-</v>
      </c>
      <c r="G59">
        <f t="shared" si="9"/>
        <v>0</v>
      </c>
      <c r="H59">
        <f t="shared" si="10"/>
        <v>0</v>
      </c>
      <c r="I59">
        <f t="shared" si="11"/>
        <v>0</v>
      </c>
    </row>
    <row r="60" spans="1:9" ht="15" customHeight="1" x14ac:dyDescent="0.25">
      <c r="A60">
        <v>10</v>
      </c>
      <c r="B60" t="str">
        <f>Roster!B12</f>
        <v>Zach Zarra</v>
      </c>
      <c r="C60" s="3">
        <f>SUMPRODUCT(('Picks Detail'!O275:O290&lt;&gt;"")*('Picks Detail'!E275:E290&lt;&gt;"")*('Picks Detail'!O275:O290='Picks Detail'!E275:E290))</f>
        <v>0</v>
      </c>
      <c r="D60">
        <v>11</v>
      </c>
      <c r="E60">
        <f>IFERROR(INDEX(C$51:C$62,MATCH(11,A$51:A$62,0)),0)</f>
        <v>0</v>
      </c>
      <c r="F60" t="str">
        <f>IF(C60=0,"-",IF(C60&gt;E60,"W",IF(C60&lt;E60,"L",IF(AND('Picks Detail'!E291&lt;&gt;"",INDEX('Picks Detail'!F291:Q291,1,A60)&lt;&gt;"",INDEX('Picks Detail'!F291:Q291,1,D60)&lt;&gt;""),IF(ABS(INDEX('Picks Detail'!F291:Q291,1,A60)-'Picks Detail'!E291)&lt;ABS(INDEX('Picks Detail'!F291:Q291,1,D60)-'Picks Detail'!E291),"W",IF(ABS(INDEX('Picks Detail'!F291:Q291,1,A60)-'Picks Detail'!E291)&gt;ABS(INDEX('Picks Detail'!F291:Q291,1,D60)-'Picks Detail'!E291),"L","T")),"T"))))</f>
        <v>-</v>
      </c>
      <c r="G60">
        <f t="shared" si="9"/>
        <v>0</v>
      </c>
      <c r="H60">
        <f t="shared" si="10"/>
        <v>0</v>
      </c>
      <c r="I60">
        <f t="shared" si="11"/>
        <v>0</v>
      </c>
    </row>
    <row r="61" spans="1:9" ht="15" customHeight="1" x14ac:dyDescent="0.25">
      <c r="A61">
        <v>11</v>
      </c>
      <c r="B61" t="str">
        <f>Roster!B13</f>
        <v>Jeffrey Loeser</v>
      </c>
      <c r="C61" s="3">
        <f>SUMPRODUCT(('Picks Detail'!P275:P290&lt;&gt;"")*('Picks Detail'!E275:E290&lt;&gt;"")*('Picks Detail'!P275:P290='Picks Detail'!E275:E290))</f>
        <v>0</v>
      </c>
      <c r="D61">
        <v>10</v>
      </c>
      <c r="E61">
        <f>IFERROR(INDEX(C$51:C$62,MATCH(10,A$51:A$62,0)),0)</f>
        <v>0</v>
      </c>
      <c r="F61" t="str">
        <f>IF(C61=0,"-",IF(C61&gt;E61,"W",IF(C61&lt;E61,"L",IF(AND('Picks Detail'!E291&lt;&gt;"",INDEX('Picks Detail'!F291:Q291,1,A61)&lt;&gt;"",INDEX('Picks Detail'!F291:Q291,1,D61)&lt;&gt;""),IF(ABS(INDEX('Picks Detail'!F291:Q291,1,A61)-'Picks Detail'!E291)&lt;ABS(INDEX('Picks Detail'!F291:Q291,1,D61)-'Picks Detail'!E291),"W",IF(ABS(INDEX('Picks Detail'!F291:Q291,1,A61)-'Picks Detail'!E291)&gt;ABS(INDEX('Picks Detail'!F291:Q291,1,D61)-'Picks Detail'!E291),"L","T")),"T"))))</f>
        <v>-</v>
      </c>
      <c r="G61">
        <f t="shared" si="9"/>
        <v>0</v>
      </c>
      <c r="H61">
        <f t="shared" si="10"/>
        <v>0</v>
      </c>
      <c r="I61">
        <f t="shared" si="11"/>
        <v>0</v>
      </c>
    </row>
    <row r="62" spans="1:9" ht="15" customHeight="1" x14ac:dyDescent="0.25">
      <c r="A62">
        <v>12</v>
      </c>
      <c r="B62" t="str">
        <f>Roster!B14</f>
        <v>Jake Andrews</v>
      </c>
      <c r="C62" s="3">
        <f>SUMPRODUCT(('Picks Detail'!Q275:Q290&lt;&gt;"")*('Picks Detail'!E275:E290&lt;&gt;"")*('Picks Detail'!Q275:Q290='Picks Detail'!E275:E290))</f>
        <v>0</v>
      </c>
      <c r="D62">
        <v>9</v>
      </c>
      <c r="E62">
        <f>IFERROR(INDEX(C$51:C$62,MATCH(9,A$51:A$62,0)),0)</f>
        <v>0</v>
      </c>
      <c r="F62" t="str">
        <f>IF(C62=0,"-",IF(C62&gt;E62,"W",IF(C62&lt;E62,"L",IF(AND('Picks Detail'!E291&lt;&gt;"",INDEX('Picks Detail'!F291:Q291,1,A62)&lt;&gt;"",INDEX('Picks Detail'!F291:Q291,1,D62)&lt;&gt;""),IF(ABS(INDEX('Picks Detail'!F291:Q291,1,A62)-'Picks Detail'!E291)&lt;ABS(INDEX('Picks Detail'!F291:Q291,1,D62)-'Picks Detail'!E291),"W",IF(ABS(INDEX('Picks Detail'!F291:Q291,1,A62)-'Picks Detail'!E291)&gt;ABS(INDEX('Picks Detail'!F291:Q291,1,D62)-'Picks Detail'!E291),"L","T")),"T"))))</f>
        <v>-</v>
      </c>
      <c r="G62">
        <f t="shared" si="9"/>
        <v>0</v>
      </c>
      <c r="H62">
        <f t="shared" si="10"/>
        <v>0</v>
      </c>
      <c r="I62">
        <f t="shared" si="11"/>
        <v>0</v>
      </c>
    </row>
    <row r="64" spans="1:9" ht="15" customHeight="1" x14ac:dyDescent="0.25">
      <c r="A64" s="18" t="s">
        <v>118</v>
      </c>
    </row>
    <row r="65" spans="1:9" ht="15" customHeight="1" x14ac:dyDescent="0.25">
      <c r="A65" s="2" t="s">
        <v>1</v>
      </c>
      <c r="B65" s="2" t="s">
        <v>2</v>
      </c>
      <c r="C65" s="2" t="s">
        <v>202</v>
      </c>
      <c r="D65" s="2" t="s">
        <v>203</v>
      </c>
      <c r="E65" s="2" t="s">
        <v>204</v>
      </c>
      <c r="F65" s="2" t="s">
        <v>205</v>
      </c>
      <c r="G65" s="2" t="s">
        <v>215</v>
      </c>
      <c r="H65" s="2" t="s">
        <v>216</v>
      </c>
      <c r="I65" s="2" t="s">
        <v>217</v>
      </c>
    </row>
    <row r="66" spans="1:9" ht="15" customHeight="1" x14ac:dyDescent="0.25">
      <c r="A66">
        <v>1</v>
      </c>
      <c r="B66" t="str">
        <f>Roster!B3</f>
        <v>Evan Loeser</v>
      </c>
      <c r="C66" s="3">
        <f>SUMPRODUCT(('Picks Detail'!F294:F309&lt;&gt;"")*('Picks Detail'!E294:E309&lt;&gt;"")*('Picks Detail'!F294:F309='Picks Detail'!E294:E309))</f>
        <v>0</v>
      </c>
      <c r="D66">
        <v>3</v>
      </c>
      <c r="E66">
        <f>IFERROR(INDEX(C$66:C$77,MATCH(3,A$66:A$77,0)),0)</f>
        <v>0</v>
      </c>
      <c r="F66" t="str">
        <f>IF(C66=0,"-",IF(C66&gt;E66,"W",IF(C66&lt;E66,"L",IF(AND('Picks Detail'!E310&lt;&gt;"",INDEX('Picks Detail'!F310:Q310,1,A66)&lt;&gt;"",INDEX('Picks Detail'!F310:Q310,1,D66)&lt;&gt;""),IF(ABS(INDEX('Picks Detail'!F310:Q310,1,A66)-'Picks Detail'!E310)&lt;ABS(INDEX('Picks Detail'!F310:Q310,1,D66)-'Picks Detail'!E310),"W",IF(ABS(INDEX('Picks Detail'!F310:Q310,1,A66)-'Picks Detail'!E310)&gt;ABS(INDEX('Picks Detail'!F310:Q310,1,D66)-'Picks Detail'!E310),"L","T")),"T"))))</f>
        <v>-</v>
      </c>
      <c r="G66">
        <f t="shared" ref="G66:G77" si="12">IF(F66="W",1,IF(F66="T",0.5,0))</f>
        <v>0</v>
      </c>
      <c r="H66">
        <f t="shared" ref="H66:H77" si="13">IF(F66="L",1,IF(F66="T",0.5,0))</f>
        <v>0</v>
      </c>
      <c r="I66">
        <f t="shared" ref="I66:I77" si="14">IF(C66="",0,C66)</f>
        <v>0</v>
      </c>
    </row>
    <row r="67" spans="1:9" ht="15" customHeight="1" x14ac:dyDescent="0.25">
      <c r="A67">
        <v>2</v>
      </c>
      <c r="B67" t="str">
        <f>Roster!B4</f>
        <v>Chris Simmons</v>
      </c>
      <c r="C67" s="3">
        <f>SUMPRODUCT(('Picks Detail'!G294:G309&lt;&gt;"")*('Picks Detail'!E294:E309&lt;&gt;"")*('Picks Detail'!G294:G309='Picks Detail'!E294:E309))</f>
        <v>0</v>
      </c>
      <c r="D67">
        <v>4</v>
      </c>
      <c r="E67">
        <f>IFERROR(INDEX(C$66:C$77,MATCH(4,A$66:A$77,0)),0)</f>
        <v>0</v>
      </c>
      <c r="F67" t="str">
        <f>IF(C67=0,"-",IF(C67&gt;E67,"W",IF(C67&lt;E67,"L",IF(AND('Picks Detail'!E310&lt;&gt;"",INDEX('Picks Detail'!F310:Q310,1,A67)&lt;&gt;"",INDEX('Picks Detail'!F310:Q310,1,D67)&lt;&gt;""),IF(ABS(INDEX('Picks Detail'!F310:Q310,1,A67)-'Picks Detail'!E310)&lt;ABS(INDEX('Picks Detail'!F310:Q310,1,D67)-'Picks Detail'!E310),"W",IF(ABS(INDEX('Picks Detail'!F310:Q310,1,A67)-'Picks Detail'!E310)&gt;ABS(INDEX('Picks Detail'!F310:Q310,1,D67)-'Picks Detail'!E310),"L","T")),"T"))))</f>
        <v>-</v>
      </c>
      <c r="G67">
        <f t="shared" si="12"/>
        <v>0</v>
      </c>
      <c r="H67">
        <f t="shared" si="13"/>
        <v>0</v>
      </c>
      <c r="I67">
        <f t="shared" si="14"/>
        <v>0</v>
      </c>
    </row>
    <row r="68" spans="1:9" ht="15" customHeight="1" x14ac:dyDescent="0.25">
      <c r="A68">
        <v>3</v>
      </c>
      <c r="B68" t="str">
        <f>Roster!B5</f>
        <v>Jack Smith</v>
      </c>
      <c r="C68" s="3">
        <f>SUMPRODUCT(('Picks Detail'!H294:H309&lt;&gt;"")*('Picks Detail'!E294:E309&lt;&gt;"")*('Picks Detail'!H294:H309='Picks Detail'!E294:E309))</f>
        <v>0</v>
      </c>
      <c r="D68">
        <v>1</v>
      </c>
      <c r="E68">
        <f>IFERROR(INDEX(C$66:C$77,MATCH(1,A$66:A$77,0)),0)</f>
        <v>0</v>
      </c>
      <c r="F68" t="str">
        <f>IF(C68=0,"-",IF(C68&gt;E68,"W",IF(C68&lt;E68,"L",IF(AND('Picks Detail'!E310&lt;&gt;"",INDEX('Picks Detail'!F310:Q310,1,A68)&lt;&gt;"",INDEX('Picks Detail'!F310:Q310,1,D68)&lt;&gt;""),IF(ABS(INDEX('Picks Detail'!F310:Q310,1,A68)-'Picks Detail'!E310)&lt;ABS(INDEX('Picks Detail'!F310:Q310,1,D68)-'Picks Detail'!E310),"W",IF(ABS(INDEX('Picks Detail'!F310:Q310,1,A68)-'Picks Detail'!E310)&gt;ABS(INDEX('Picks Detail'!F310:Q310,1,D68)-'Picks Detail'!E310),"L","T")),"T"))))</f>
        <v>-</v>
      </c>
      <c r="G68">
        <f t="shared" si="12"/>
        <v>0</v>
      </c>
      <c r="H68">
        <f t="shared" si="13"/>
        <v>0</v>
      </c>
      <c r="I68">
        <f t="shared" si="14"/>
        <v>0</v>
      </c>
    </row>
    <row r="69" spans="1:9" ht="15" customHeight="1" x14ac:dyDescent="0.25">
      <c r="A69">
        <v>4</v>
      </c>
      <c r="B69" t="str">
        <f>Roster!B6</f>
        <v>Luke Ussery</v>
      </c>
      <c r="C69" s="3">
        <f>SUMPRODUCT(('Picks Detail'!I294:I309&lt;&gt;"")*('Picks Detail'!E294:E309&lt;&gt;"")*('Picks Detail'!I294:I309='Picks Detail'!E294:E309))</f>
        <v>0</v>
      </c>
      <c r="D69">
        <v>2</v>
      </c>
      <c r="E69">
        <f>IFERROR(INDEX(C$66:C$77,MATCH(2,A$66:A$77,0)),0)</f>
        <v>0</v>
      </c>
      <c r="F69" t="str">
        <f>IF(C69=0,"-",IF(C69&gt;E69,"W",IF(C69&lt;E69,"L",IF(AND('Picks Detail'!E310&lt;&gt;"",INDEX('Picks Detail'!F310:Q310,1,A69)&lt;&gt;"",INDEX('Picks Detail'!F310:Q310,1,D69)&lt;&gt;""),IF(ABS(INDEX('Picks Detail'!F310:Q310,1,A69)-'Picks Detail'!E310)&lt;ABS(INDEX('Picks Detail'!F310:Q310,1,D69)-'Picks Detail'!E310),"W",IF(ABS(INDEX('Picks Detail'!F310:Q310,1,A69)-'Picks Detail'!E310)&gt;ABS(INDEX('Picks Detail'!F310:Q310,1,D69)-'Picks Detail'!E310),"L","T")),"T"))))</f>
        <v>-</v>
      </c>
      <c r="G69">
        <f t="shared" si="12"/>
        <v>0</v>
      </c>
      <c r="H69">
        <f t="shared" si="13"/>
        <v>0</v>
      </c>
      <c r="I69">
        <f t="shared" si="14"/>
        <v>0</v>
      </c>
    </row>
    <row r="70" spans="1:9" ht="15" customHeight="1" x14ac:dyDescent="0.25">
      <c r="A70">
        <v>5</v>
      </c>
      <c r="B70" t="str">
        <f>Roster!B7</f>
        <v>Mikayla Simmons</v>
      </c>
      <c r="C70" s="3">
        <f>SUMPRODUCT(('Picks Detail'!J294:J309&lt;&gt;"")*('Picks Detail'!E294:E309&lt;&gt;"")*('Picks Detail'!J294:J309='Picks Detail'!E294:E309))</f>
        <v>0</v>
      </c>
      <c r="D70">
        <v>7</v>
      </c>
      <c r="E70">
        <f>IFERROR(INDEX(C$66:C$77,MATCH(7,A$66:A$77,0)),0)</f>
        <v>0</v>
      </c>
      <c r="F70" t="str">
        <f>IF(C70=0,"-",IF(C70&gt;E70,"W",IF(C70&lt;E70,"L",IF(AND('Picks Detail'!E310&lt;&gt;"",INDEX('Picks Detail'!F310:Q310,1,A70)&lt;&gt;"",INDEX('Picks Detail'!F310:Q310,1,D70)&lt;&gt;""),IF(ABS(INDEX('Picks Detail'!F310:Q310,1,A70)-'Picks Detail'!E310)&lt;ABS(INDEX('Picks Detail'!F310:Q310,1,D70)-'Picks Detail'!E310),"W",IF(ABS(INDEX('Picks Detail'!F310:Q310,1,A70)-'Picks Detail'!E310)&gt;ABS(INDEX('Picks Detail'!F310:Q310,1,D70)-'Picks Detail'!E310),"L","T")),"T"))))</f>
        <v>-</v>
      </c>
      <c r="G70">
        <f t="shared" si="12"/>
        <v>0</v>
      </c>
      <c r="H70">
        <f t="shared" si="13"/>
        <v>0</v>
      </c>
      <c r="I70">
        <f t="shared" si="14"/>
        <v>0</v>
      </c>
    </row>
    <row r="71" spans="1:9" ht="15" customHeight="1" x14ac:dyDescent="0.25">
      <c r="A71">
        <v>6</v>
      </c>
      <c r="B71" t="str">
        <f>Roster!B8</f>
        <v>Alan Loeser</v>
      </c>
      <c r="C71" s="3">
        <f>SUMPRODUCT(('Picks Detail'!K294:K309&lt;&gt;"")*('Picks Detail'!E294:E309&lt;&gt;"")*('Picks Detail'!K294:K309='Picks Detail'!E294:E309))</f>
        <v>0</v>
      </c>
      <c r="D71">
        <v>8</v>
      </c>
      <c r="E71">
        <f>IFERROR(INDEX(C$66:C$77,MATCH(8,A$66:A$77,0)),0)</f>
        <v>0</v>
      </c>
      <c r="F71" t="str">
        <f>IF(C71=0,"-",IF(C71&gt;E71,"W",IF(C71&lt;E71,"L",IF(AND('Picks Detail'!E310&lt;&gt;"",INDEX('Picks Detail'!F310:Q310,1,A71)&lt;&gt;"",INDEX('Picks Detail'!F310:Q310,1,D71)&lt;&gt;""),IF(ABS(INDEX('Picks Detail'!F310:Q310,1,A71)-'Picks Detail'!E310)&lt;ABS(INDEX('Picks Detail'!F310:Q310,1,D71)-'Picks Detail'!E310),"W",IF(ABS(INDEX('Picks Detail'!F310:Q310,1,A71)-'Picks Detail'!E310)&gt;ABS(INDEX('Picks Detail'!F310:Q310,1,D71)-'Picks Detail'!E310),"L","T")),"T"))))</f>
        <v>-</v>
      </c>
      <c r="G71">
        <f t="shared" si="12"/>
        <v>0</v>
      </c>
      <c r="H71">
        <f t="shared" si="13"/>
        <v>0</v>
      </c>
      <c r="I71">
        <f t="shared" si="14"/>
        <v>0</v>
      </c>
    </row>
    <row r="72" spans="1:9" ht="15" customHeight="1" x14ac:dyDescent="0.25">
      <c r="A72">
        <v>7</v>
      </c>
      <c r="B72" t="str">
        <f>Roster!B9</f>
        <v>Caleb Simmons</v>
      </c>
      <c r="C72" s="3">
        <f>SUMPRODUCT(('Picks Detail'!L294:L309&lt;&gt;"")*('Picks Detail'!E294:E309&lt;&gt;"")*('Picks Detail'!L294:L309='Picks Detail'!E294:E309))</f>
        <v>0</v>
      </c>
      <c r="D72">
        <v>5</v>
      </c>
      <c r="E72">
        <f>IFERROR(INDEX(C$66:C$77,MATCH(5,A$66:A$77,0)),0)</f>
        <v>0</v>
      </c>
      <c r="F72" t="str">
        <f>IF(C72=0,"-",IF(C72&gt;E72,"W",IF(C72&lt;E72,"L",IF(AND('Picks Detail'!E310&lt;&gt;"",INDEX('Picks Detail'!F310:Q310,1,A72)&lt;&gt;"",INDEX('Picks Detail'!F310:Q310,1,D72)&lt;&gt;""),IF(ABS(INDEX('Picks Detail'!F310:Q310,1,A72)-'Picks Detail'!E310)&lt;ABS(INDEX('Picks Detail'!F310:Q310,1,D72)-'Picks Detail'!E310),"W",IF(ABS(INDEX('Picks Detail'!F310:Q310,1,A72)-'Picks Detail'!E310)&gt;ABS(INDEX('Picks Detail'!F310:Q310,1,D72)-'Picks Detail'!E310),"L","T")),"T"))))</f>
        <v>-</v>
      </c>
      <c r="G72">
        <f t="shared" si="12"/>
        <v>0</v>
      </c>
      <c r="H72">
        <f t="shared" si="13"/>
        <v>0</v>
      </c>
      <c r="I72">
        <f t="shared" si="14"/>
        <v>0</v>
      </c>
    </row>
    <row r="73" spans="1:9" ht="15" customHeight="1" x14ac:dyDescent="0.25">
      <c r="A73">
        <v>8</v>
      </c>
      <c r="B73" t="str">
        <f>Roster!B10</f>
        <v>Larry Loeser</v>
      </c>
      <c r="C73" s="3">
        <f>SUMPRODUCT(('Picks Detail'!M294:M309&lt;&gt;"")*('Picks Detail'!E294:E309&lt;&gt;"")*('Picks Detail'!M294:M309='Picks Detail'!E294:E309))</f>
        <v>0</v>
      </c>
      <c r="D73">
        <v>6</v>
      </c>
      <c r="E73">
        <f>IFERROR(INDEX(C$66:C$77,MATCH(6,A$66:A$77,0)),0)</f>
        <v>0</v>
      </c>
      <c r="F73" t="str">
        <f>IF(C73=0,"-",IF(C73&gt;E73,"W",IF(C73&lt;E73,"L",IF(AND('Picks Detail'!E310&lt;&gt;"",INDEX('Picks Detail'!F310:Q310,1,A73)&lt;&gt;"",INDEX('Picks Detail'!F310:Q310,1,D73)&lt;&gt;""),IF(ABS(INDEX('Picks Detail'!F310:Q310,1,A73)-'Picks Detail'!E310)&lt;ABS(INDEX('Picks Detail'!F310:Q310,1,D73)-'Picks Detail'!E310),"W",IF(ABS(INDEX('Picks Detail'!F310:Q310,1,A73)-'Picks Detail'!E310)&gt;ABS(INDEX('Picks Detail'!F310:Q310,1,D73)-'Picks Detail'!E310),"L","T")),"T"))))</f>
        <v>-</v>
      </c>
      <c r="G73">
        <f t="shared" si="12"/>
        <v>0</v>
      </c>
      <c r="H73">
        <f t="shared" si="13"/>
        <v>0</v>
      </c>
      <c r="I73">
        <f t="shared" si="14"/>
        <v>0</v>
      </c>
    </row>
    <row r="74" spans="1:9" ht="15" customHeight="1" x14ac:dyDescent="0.25">
      <c r="A74">
        <v>9</v>
      </c>
      <c r="B74" t="str">
        <f>Roster!B11</f>
        <v>Daddy Michael</v>
      </c>
      <c r="C74" s="3">
        <f>SUMPRODUCT(('Picks Detail'!N294:N309&lt;&gt;"")*('Picks Detail'!E294:E309&lt;&gt;"")*('Picks Detail'!N294:N309='Picks Detail'!E294:E309))</f>
        <v>0</v>
      </c>
      <c r="D74">
        <v>11</v>
      </c>
      <c r="E74">
        <f>IFERROR(INDEX(C$66:C$77,MATCH(11,A$66:A$77,0)),0)</f>
        <v>0</v>
      </c>
      <c r="F74" t="str">
        <f>IF(C74=0,"-",IF(C74&gt;E74,"W",IF(C74&lt;E74,"L",IF(AND('Picks Detail'!E310&lt;&gt;"",INDEX('Picks Detail'!F310:Q310,1,A74)&lt;&gt;"",INDEX('Picks Detail'!F310:Q310,1,D74)&lt;&gt;""),IF(ABS(INDEX('Picks Detail'!F310:Q310,1,A74)-'Picks Detail'!E310)&lt;ABS(INDEX('Picks Detail'!F310:Q310,1,D74)-'Picks Detail'!E310),"W",IF(ABS(INDEX('Picks Detail'!F310:Q310,1,A74)-'Picks Detail'!E310)&gt;ABS(INDEX('Picks Detail'!F310:Q310,1,D74)-'Picks Detail'!E310),"L","T")),"T"))))</f>
        <v>-</v>
      </c>
      <c r="G74">
        <f t="shared" si="12"/>
        <v>0</v>
      </c>
      <c r="H74">
        <f t="shared" si="13"/>
        <v>0</v>
      </c>
      <c r="I74">
        <f t="shared" si="14"/>
        <v>0</v>
      </c>
    </row>
    <row r="75" spans="1:9" ht="15" customHeight="1" x14ac:dyDescent="0.25">
      <c r="A75">
        <v>10</v>
      </c>
      <c r="B75" t="str">
        <f>Roster!B12</f>
        <v>Zach Zarra</v>
      </c>
      <c r="C75" s="3">
        <f>SUMPRODUCT(('Picks Detail'!O294:O309&lt;&gt;"")*('Picks Detail'!E294:E309&lt;&gt;"")*('Picks Detail'!O294:O309='Picks Detail'!E294:E309))</f>
        <v>0</v>
      </c>
      <c r="D75">
        <v>12</v>
      </c>
      <c r="E75">
        <f>IFERROR(INDEX(C$66:C$77,MATCH(12,A$66:A$77,0)),0)</f>
        <v>0</v>
      </c>
      <c r="F75" t="str">
        <f>IF(C75=0,"-",IF(C75&gt;E75,"W",IF(C75&lt;E75,"L",IF(AND('Picks Detail'!E310&lt;&gt;"",INDEX('Picks Detail'!F310:Q310,1,A75)&lt;&gt;"",INDEX('Picks Detail'!F310:Q310,1,D75)&lt;&gt;""),IF(ABS(INDEX('Picks Detail'!F310:Q310,1,A75)-'Picks Detail'!E310)&lt;ABS(INDEX('Picks Detail'!F310:Q310,1,D75)-'Picks Detail'!E310),"W",IF(ABS(INDEX('Picks Detail'!F310:Q310,1,A75)-'Picks Detail'!E310)&gt;ABS(INDEX('Picks Detail'!F310:Q310,1,D75)-'Picks Detail'!E310),"L","T")),"T"))))</f>
        <v>-</v>
      </c>
      <c r="G75">
        <f t="shared" si="12"/>
        <v>0</v>
      </c>
      <c r="H75">
        <f t="shared" si="13"/>
        <v>0</v>
      </c>
      <c r="I75">
        <f t="shared" si="14"/>
        <v>0</v>
      </c>
    </row>
    <row r="76" spans="1:9" ht="15" customHeight="1" x14ac:dyDescent="0.25">
      <c r="A76">
        <v>11</v>
      </c>
      <c r="B76" t="str">
        <f>Roster!B13</f>
        <v>Jeffrey Loeser</v>
      </c>
      <c r="C76" s="3">
        <f>SUMPRODUCT(('Picks Detail'!P294:P309&lt;&gt;"")*('Picks Detail'!E294:E309&lt;&gt;"")*('Picks Detail'!P294:P309='Picks Detail'!E294:E309))</f>
        <v>0</v>
      </c>
      <c r="D76">
        <v>9</v>
      </c>
      <c r="E76">
        <f>IFERROR(INDEX(C$66:C$77,MATCH(9,A$66:A$77,0)),0)</f>
        <v>0</v>
      </c>
      <c r="F76" t="str">
        <f>IF(C76=0,"-",IF(C76&gt;E76,"W",IF(C76&lt;E76,"L",IF(AND('Picks Detail'!E310&lt;&gt;"",INDEX('Picks Detail'!F310:Q310,1,A76)&lt;&gt;"",INDEX('Picks Detail'!F310:Q310,1,D76)&lt;&gt;""),IF(ABS(INDEX('Picks Detail'!F310:Q310,1,A76)-'Picks Detail'!E310)&lt;ABS(INDEX('Picks Detail'!F310:Q310,1,D76)-'Picks Detail'!E310),"W",IF(ABS(INDEX('Picks Detail'!F310:Q310,1,A76)-'Picks Detail'!E310)&gt;ABS(INDEX('Picks Detail'!F310:Q310,1,D76)-'Picks Detail'!E310),"L","T")),"T"))))</f>
        <v>-</v>
      </c>
      <c r="G76">
        <f t="shared" si="12"/>
        <v>0</v>
      </c>
      <c r="H76">
        <f t="shared" si="13"/>
        <v>0</v>
      </c>
      <c r="I76">
        <f t="shared" si="14"/>
        <v>0</v>
      </c>
    </row>
    <row r="77" spans="1:9" ht="15" customHeight="1" x14ac:dyDescent="0.25">
      <c r="A77">
        <v>12</v>
      </c>
      <c r="B77" t="str">
        <f>Roster!B14</f>
        <v>Jake Andrews</v>
      </c>
      <c r="C77" s="3">
        <f>SUMPRODUCT(('Picks Detail'!Q294:Q309&lt;&gt;"")*('Picks Detail'!E294:E309&lt;&gt;"")*('Picks Detail'!Q294:Q309='Picks Detail'!E294:E309))</f>
        <v>0</v>
      </c>
      <c r="D77">
        <v>10</v>
      </c>
      <c r="E77">
        <f>IFERROR(INDEX(C$66:C$77,MATCH(10,A$66:A$77,0)),0)</f>
        <v>0</v>
      </c>
      <c r="F77" t="str">
        <f>IF(C77=0,"-",IF(C77&gt;E77,"W",IF(C77&lt;E77,"L",IF(AND('Picks Detail'!E310&lt;&gt;"",INDEX('Picks Detail'!F310:Q310,1,A77)&lt;&gt;"",INDEX('Picks Detail'!F310:Q310,1,D77)&lt;&gt;""),IF(ABS(INDEX('Picks Detail'!F310:Q310,1,A77)-'Picks Detail'!E310)&lt;ABS(INDEX('Picks Detail'!F310:Q310,1,D77)-'Picks Detail'!E310),"W",IF(ABS(INDEX('Picks Detail'!F310:Q310,1,A77)-'Picks Detail'!E310)&gt;ABS(INDEX('Picks Detail'!F310:Q310,1,D77)-'Picks Detail'!E310),"L","T")),"T"))))</f>
        <v>-</v>
      </c>
      <c r="G77">
        <f t="shared" si="12"/>
        <v>0</v>
      </c>
      <c r="H77">
        <f t="shared" si="13"/>
        <v>0</v>
      </c>
      <c r="I77">
        <f t="shared" si="14"/>
        <v>0</v>
      </c>
    </row>
    <row r="79" spans="1:9" ht="15" customHeight="1" x14ac:dyDescent="0.25">
      <c r="A79" s="18" t="s">
        <v>119</v>
      </c>
    </row>
    <row r="80" spans="1:9" ht="15" customHeight="1" x14ac:dyDescent="0.25">
      <c r="A80" s="2" t="s">
        <v>1</v>
      </c>
      <c r="B80" s="2" t="s">
        <v>2</v>
      </c>
      <c r="C80" s="2" t="s">
        <v>202</v>
      </c>
      <c r="D80" s="2" t="s">
        <v>203</v>
      </c>
      <c r="E80" s="2" t="s">
        <v>204</v>
      </c>
      <c r="F80" s="2" t="s">
        <v>205</v>
      </c>
      <c r="G80" s="2" t="s">
        <v>215</v>
      </c>
      <c r="H80" s="2" t="s">
        <v>216</v>
      </c>
      <c r="I80" s="2" t="s">
        <v>217</v>
      </c>
    </row>
    <row r="81" spans="1:9" ht="15" customHeight="1" x14ac:dyDescent="0.25">
      <c r="A81">
        <v>1</v>
      </c>
      <c r="B81" t="str">
        <f>Roster!B3</f>
        <v>Evan Loeser</v>
      </c>
      <c r="C81" s="3">
        <f>SUMPRODUCT(('Picks Detail'!F313:F328&lt;&gt;"")*('Picks Detail'!E313:E328&lt;&gt;"")*('Picks Detail'!F313:F328='Picks Detail'!E313:E328))</f>
        <v>0</v>
      </c>
      <c r="D81">
        <v>2</v>
      </c>
      <c r="E81">
        <f>IFERROR(INDEX(C$81:C$92,MATCH(2,A$81:A$92,0)),0)</f>
        <v>0</v>
      </c>
      <c r="F81" t="str">
        <f>IF(C81=0,"-",IF(C81&gt;E81,"W",IF(C81&lt;E81,"L",IF(AND('Picks Detail'!E329&lt;&gt;"",INDEX('Picks Detail'!F329:Q329,1,A81)&lt;&gt;"",INDEX('Picks Detail'!F329:Q329,1,D81)&lt;&gt;""),IF(ABS(INDEX('Picks Detail'!F329:Q329,1,A81)-'Picks Detail'!E329)&lt;ABS(INDEX('Picks Detail'!F329:Q329,1,D81)-'Picks Detail'!E329),"W",IF(ABS(INDEX('Picks Detail'!F329:Q329,1,A81)-'Picks Detail'!E329)&gt;ABS(INDEX('Picks Detail'!F329:Q329,1,D81)-'Picks Detail'!E329),"L","T")),"T"))))</f>
        <v>-</v>
      </c>
      <c r="G81">
        <f t="shared" ref="G81:G92" si="15">IF(F81="W",1,IF(F81="T",0.5,0))</f>
        <v>0</v>
      </c>
      <c r="H81">
        <f t="shared" ref="H81:H92" si="16">IF(F81="L",1,IF(F81="T",0.5,0))</f>
        <v>0</v>
      </c>
      <c r="I81">
        <f t="shared" ref="I81:I92" si="17">IF(C81="",0,C81)</f>
        <v>0</v>
      </c>
    </row>
    <row r="82" spans="1:9" ht="15" customHeight="1" x14ac:dyDescent="0.25">
      <c r="A82">
        <v>2</v>
      </c>
      <c r="B82" t="str">
        <f>Roster!B4</f>
        <v>Chris Simmons</v>
      </c>
      <c r="C82" s="3">
        <f>SUMPRODUCT(('Picks Detail'!G313:G328&lt;&gt;"")*('Picks Detail'!E313:E328&lt;&gt;"")*('Picks Detail'!G313:G328='Picks Detail'!E313:E328))</f>
        <v>0</v>
      </c>
      <c r="D82">
        <v>1</v>
      </c>
      <c r="E82">
        <f>IFERROR(INDEX(C$81:C$92,MATCH(1,A$81:A$92,0)),0)</f>
        <v>0</v>
      </c>
      <c r="F82" t="str">
        <f>IF(C82=0,"-",IF(C82&gt;E82,"W",IF(C82&lt;E82,"L",IF(AND('Picks Detail'!E329&lt;&gt;"",INDEX('Picks Detail'!F329:Q329,1,A82)&lt;&gt;"",INDEX('Picks Detail'!F329:Q329,1,D82)&lt;&gt;""),IF(ABS(INDEX('Picks Detail'!F329:Q329,1,A82)-'Picks Detail'!E329)&lt;ABS(INDEX('Picks Detail'!F329:Q329,1,D82)-'Picks Detail'!E329),"W",IF(ABS(INDEX('Picks Detail'!F329:Q329,1,A82)-'Picks Detail'!E329)&gt;ABS(INDEX('Picks Detail'!F329:Q329,1,D82)-'Picks Detail'!E329),"L","T")),"T"))))</f>
        <v>-</v>
      </c>
      <c r="G82">
        <f t="shared" si="15"/>
        <v>0</v>
      </c>
      <c r="H82">
        <f t="shared" si="16"/>
        <v>0</v>
      </c>
      <c r="I82">
        <f t="shared" si="17"/>
        <v>0</v>
      </c>
    </row>
    <row r="83" spans="1:9" ht="15" customHeight="1" x14ac:dyDescent="0.25">
      <c r="A83">
        <v>3</v>
      </c>
      <c r="B83" t="str">
        <f>Roster!B5</f>
        <v>Jack Smith</v>
      </c>
      <c r="C83" s="3">
        <f>SUMPRODUCT(('Picks Detail'!H313:H328&lt;&gt;"")*('Picks Detail'!E313:E328&lt;&gt;"")*('Picks Detail'!H313:H328='Picks Detail'!E313:E328))</f>
        <v>0</v>
      </c>
      <c r="D83">
        <v>4</v>
      </c>
      <c r="E83">
        <f>IFERROR(INDEX(C$81:C$92,MATCH(4,A$81:A$92,0)),0)</f>
        <v>0</v>
      </c>
      <c r="F83" t="str">
        <f>IF(C83=0,"-",IF(C83&gt;E83,"W",IF(C83&lt;E83,"L",IF(AND('Picks Detail'!E329&lt;&gt;"",INDEX('Picks Detail'!F329:Q329,1,A83)&lt;&gt;"",INDEX('Picks Detail'!F329:Q329,1,D83)&lt;&gt;""),IF(ABS(INDEX('Picks Detail'!F329:Q329,1,A83)-'Picks Detail'!E329)&lt;ABS(INDEX('Picks Detail'!F329:Q329,1,D83)-'Picks Detail'!E329),"W",IF(ABS(INDEX('Picks Detail'!F329:Q329,1,A83)-'Picks Detail'!E329)&gt;ABS(INDEX('Picks Detail'!F329:Q329,1,D83)-'Picks Detail'!E329),"L","T")),"T"))))</f>
        <v>-</v>
      </c>
      <c r="G83">
        <f t="shared" si="15"/>
        <v>0</v>
      </c>
      <c r="H83">
        <f t="shared" si="16"/>
        <v>0</v>
      </c>
      <c r="I83">
        <f t="shared" si="17"/>
        <v>0</v>
      </c>
    </row>
    <row r="84" spans="1:9" ht="15" customHeight="1" x14ac:dyDescent="0.25">
      <c r="A84">
        <v>4</v>
      </c>
      <c r="B84" t="str">
        <f>Roster!B6</f>
        <v>Luke Ussery</v>
      </c>
      <c r="C84" s="3">
        <f>SUMPRODUCT(('Picks Detail'!I313:I328&lt;&gt;"")*('Picks Detail'!E313:E328&lt;&gt;"")*('Picks Detail'!I313:I328='Picks Detail'!E313:E328))</f>
        <v>0</v>
      </c>
      <c r="D84">
        <v>3</v>
      </c>
      <c r="E84">
        <f>IFERROR(INDEX(C$81:C$92,MATCH(3,A$81:A$92,0)),0)</f>
        <v>0</v>
      </c>
      <c r="F84" t="str">
        <f>IF(C84=0,"-",IF(C84&gt;E84,"W",IF(C84&lt;E84,"L",IF(AND('Picks Detail'!E329&lt;&gt;"",INDEX('Picks Detail'!F329:Q329,1,A84)&lt;&gt;"",INDEX('Picks Detail'!F329:Q329,1,D84)&lt;&gt;""),IF(ABS(INDEX('Picks Detail'!F329:Q329,1,A84)-'Picks Detail'!E329)&lt;ABS(INDEX('Picks Detail'!F329:Q329,1,D84)-'Picks Detail'!E329),"W",IF(ABS(INDEX('Picks Detail'!F329:Q329,1,A84)-'Picks Detail'!E329)&gt;ABS(INDEX('Picks Detail'!F329:Q329,1,D84)-'Picks Detail'!E329),"L","T")),"T"))))</f>
        <v>-</v>
      </c>
      <c r="G84">
        <f t="shared" si="15"/>
        <v>0</v>
      </c>
      <c r="H84">
        <f t="shared" si="16"/>
        <v>0</v>
      </c>
      <c r="I84">
        <f t="shared" si="17"/>
        <v>0</v>
      </c>
    </row>
    <row r="85" spans="1:9" ht="15" customHeight="1" x14ac:dyDescent="0.25">
      <c r="A85">
        <v>5</v>
      </c>
      <c r="B85" t="str">
        <f>Roster!B7</f>
        <v>Mikayla Simmons</v>
      </c>
      <c r="C85" s="3">
        <f>SUMPRODUCT(('Picks Detail'!J313:J328&lt;&gt;"")*('Picks Detail'!E313:E328&lt;&gt;"")*('Picks Detail'!J313:J328='Picks Detail'!E313:E328))</f>
        <v>0</v>
      </c>
      <c r="D85">
        <v>6</v>
      </c>
      <c r="E85">
        <f>IFERROR(INDEX(C$81:C$92,MATCH(6,A$81:A$92,0)),0)</f>
        <v>0</v>
      </c>
      <c r="F85" t="str">
        <f>IF(C85=0,"-",IF(C85&gt;E85,"W",IF(C85&lt;E85,"L",IF(AND('Picks Detail'!E329&lt;&gt;"",INDEX('Picks Detail'!F329:Q329,1,A85)&lt;&gt;"",INDEX('Picks Detail'!F329:Q329,1,D85)&lt;&gt;""),IF(ABS(INDEX('Picks Detail'!F329:Q329,1,A85)-'Picks Detail'!E329)&lt;ABS(INDEX('Picks Detail'!F329:Q329,1,D85)-'Picks Detail'!E329),"W",IF(ABS(INDEX('Picks Detail'!F329:Q329,1,A85)-'Picks Detail'!E329)&gt;ABS(INDEX('Picks Detail'!F329:Q329,1,D85)-'Picks Detail'!E329),"L","T")),"T"))))</f>
        <v>-</v>
      </c>
      <c r="G85">
        <f t="shared" si="15"/>
        <v>0</v>
      </c>
      <c r="H85">
        <f t="shared" si="16"/>
        <v>0</v>
      </c>
      <c r="I85">
        <f t="shared" si="17"/>
        <v>0</v>
      </c>
    </row>
    <row r="86" spans="1:9" ht="15" customHeight="1" x14ac:dyDescent="0.25">
      <c r="A86">
        <v>6</v>
      </c>
      <c r="B86" t="str">
        <f>Roster!B8</f>
        <v>Alan Loeser</v>
      </c>
      <c r="C86" s="3">
        <f>SUMPRODUCT(('Picks Detail'!K313:K328&lt;&gt;"")*('Picks Detail'!E313:E328&lt;&gt;"")*('Picks Detail'!K313:K328='Picks Detail'!E313:E328))</f>
        <v>0</v>
      </c>
      <c r="D86">
        <v>5</v>
      </c>
      <c r="E86">
        <f>IFERROR(INDEX(C$81:C$92,MATCH(5,A$81:A$92,0)),0)</f>
        <v>0</v>
      </c>
      <c r="F86" t="str">
        <f>IF(C86=0,"-",IF(C86&gt;E86,"W",IF(C86&lt;E86,"L",IF(AND('Picks Detail'!E329&lt;&gt;"",INDEX('Picks Detail'!F329:Q329,1,A86)&lt;&gt;"",INDEX('Picks Detail'!F329:Q329,1,D86)&lt;&gt;""),IF(ABS(INDEX('Picks Detail'!F329:Q329,1,A86)-'Picks Detail'!E329)&lt;ABS(INDEX('Picks Detail'!F329:Q329,1,D86)-'Picks Detail'!E329),"W",IF(ABS(INDEX('Picks Detail'!F329:Q329,1,A86)-'Picks Detail'!E329)&gt;ABS(INDEX('Picks Detail'!F329:Q329,1,D86)-'Picks Detail'!E329),"L","T")),"T"))))</f>
        <v>-</v>
      </c>
      <c r="G86">
        <f t="shared" si="15"/>
        <v>0</v>
      </c>
      <c r="H86">
        <f t="shared" si="16"/>
        <v>0</v>
      </c>
      <c r="I86">
        <f t="shared" si="17"/>
        <v>0</v>
      </c>
    </row>
    <row r="87" spans="1:9" ht="15" customHeight="1" x14ac:dyDescent="0.25">
      <c r="A87">
        <v>7</v>
      </c>
      <c r="B87" t="str">
        <f>Roster!B9</f>
        <v>Caleb Simmons</v>
      </c>
      <c r="C87" s="3">
        <f>SUMPRODUCT(('Picks Detail'!L313:L328&lt;&gt;"")*('Picks Detail'!E313:E328&lt;&gt;"")*('Picks Detail'!L313:L328='Picks Detail'!E313:E328))</f>
        <v>0</v>
      </c>
      <c r="D87">
        <v>8</v>
      </c>
      <c r="E87">
        <f>IFERROR(INDEX(C$81:C$92,MATCH(8,A$81:A$92,0)),0)</f>
        <v>0</v>
      </c>
      <c r="F87" t="str">
        <f>IF(C87=0,"-",IF(C87&gt;E87,"W",IF(C87&lt;E87,"L",IF(AND('Picks Detail'!E329&lt;&gt;"",INDEX('Picks Detail'!F329:Q329,1,A87)&lt;&gt;"",INDEX('Picks Detail'!F329:Q329,1,D87)&lt;&gt;""),IF(ABS(INDEX('Picks Detail'!F329:Q329,1,A87)-'Picks Detail'!E329)&lt;ABS(INDEX('Picks Detail'!F329:Q329,1,D87)-'Picks Detail'!E329),"W",IF(ABS(INDEX('Picks Detail'!F329:Q329,1,A87)-'Picks Detail'!E329)&gt;ABS(INDEX('Picks Detail'!F329:Q329,1,D87)-'Picks Detail'!E329),"L","T")),"T"))))</f>
        <v>-</v>
      </c>
      <c r="G87">
        <f t="shared" si="15"/>
        <v>0</v>
      </c>
      <c r="H87">
        <f t="shared" si="16"/>
        <v>0</v>
      </c>
      <c r="I87">
        <f t="shared" si="17"/>
        <v>0</v>
      </c>
    </row>
    <row r="88" spans="1:9" ht="15" customHeight="1" x14ac:dyDescent="0.25">
      <c r="A88">
        <v>8</v>
      </c>
      <c r="B88" t="str">
        <f>Roster!B10</f>
        <v>Larry Loeser</v>
      </c>
      <c r="C88" s="3">
        <f>SUMPRODUCT(('Picks Detail'!M313:M328&lt;&gt;"")*('Picks Detail'!E313:E328&lt;&gt;"")*('Picks Detail'!M313:M328='Picks Detail'!E313:E328))</f>
        <v>0</v>
      </c>
      <c r="D88">
        <v>7</v>
      </c>
      <c r="E88">
        <f>IFERROR(INDEX(C$81:C$92,MATCH(7,A$81:A$92,0)),0)</f>
        <v>0</v>
      </c>
      <c r="F88" t="str">
        <f>IF(C88=0,"-",IF(C88&gt;E88,"W",IF(C88&lt;E88,"L",IF(AND('Picks Detail'!E329&lt;&gt;"",INDEX('Picks Detail'!F329:Q329,1,A88)&lt;&gt;"",INDEX('Picks Detail'!F329:Q329,1,D88)&lt;&gt;""),IF(ABS(INDEX('Picks Detail'!F329:Q329,1,A88)-'Picks Detail'!E329)&lt;ABS(INDEX('Picks Detail'!F329:Q329,1,D88)-'Picks Detail'!E329),"W",IF(ABS(INDEX('Picks Detail'!F329:Q329,1,A88)-'Picks Detail'!E329)&gt;ABS(INDEX('Picks Detail'!F329:Q329,1,D88)-'Picks Detail'!E329),"L","T")),"T"))))</f>
        <v>-</v>
      </c>
      <c r="G88">
        <f t="shared" si="15"/>
        <v>0</v>
      </c>
      <c r="H88">
        <f t="shared" si="16"/>
        <v>0</v>
      </c>
      <c r="I88">
        <f t="shared" si="17"/>
        <v>0</v>
      </c>
    </row>
    <row r="89" spans="1:9" ht="15" customHeight="1" x14ac:dyDescent="0.25">
      <c r="A89">
        <v>9</v>
      </c>
      <c r="B89" t="str">
        <f>Roster!B11</f>
        <v>Daddy Michael</v>
      </c>
      <c r="C89" s="3">
        <f>SUMPRODUCT(('Picks Detail'!N313:N328&lt;&gt;"")*('Picks Detail'!E313:E328&lt;&gt;"")*('Picks Detail'!N313:N328='Picks Detail'!E313:E328))</f>
        <v>0</v>
      </c>
      <c r="D89">
        <v>10</v>
      </c>
      <c r="E89">
        <f>IFERROR(INDEX(C$81:C$92,MATCH(10,A$81:A$92,0)),0)</f>
        <v>0</v>
      </c>
      <c r="F89" t="str">
        <f>IF(C89=0,"-",IF(C89&gt;E89,"W",IF(C89&lt;E89,"L",IF(AND('Picks Detail'!E329&lt;&gt;"",INDEX('Picks Detail'!F329:Q329,1,A89)&lt;&gt;"",INDEX('Picks Detail'!F329:Q329,1,D89)&lt;&gt;""),IF(ABS(INDEX('Picks Detail'!F329:Q329,1,A89)-'Picks Detail'!E329)&lt;ABS(INDEX('Picks Detail'!F329:Q329,1,D89)-'Picks Detail'!E329),"W",IF(ABS(INDEX('Picks Detail'!F329:Q329,1,A89)-'Picks Detail'!E329)&gt;ABS(INDEX('Picks Detail'!F329:Q329,1,D89)-'Picks Detail'!E329),"L","T")),"T"))))</f>
        <v>-</v>
      </c>
      <c r="G89">
        <f t="shared" si="15"/>
        <v>0</v>
      </c>
      <c r="H89">
        <f t="shared" si="16"/>
        <v>0</v>
      </c>
      <c r="I89">
        <f t="shared" si="17"/>
        <v>0</v>
      </c>
    </row>
    <row r="90" spans="1:9" ht="15" customHeight="1" x14ac:dyDescent="0.25">
      <c r="A90">
        <v>10</v>
      </c>
      <c r="B90" t="str">
        <f>Roster!B12</f>
        <v>Zach Zarra</v>
      </c>
      <c r="C90" s="3">
        <f>SUMPRODUCT(('Picks Detail'!O313:O328&lt;&gt;"")*('Picks Detail'!E313:E328&lt;&gt;"")*('Picks Detail'!O313:O328='Picks Detail'!E313:E328))</f>
        <v>0</v>
      </c>
      <c r="D90">
        <v>9</v>
      </c>
      <c r="E90">
        <f>IFERROR(INDEX(C$81:C$92,MATCH(9,A$81:A$92,0)),0)</f>
        <v>0</v>
      </c>
      <c r="F90" t="str">
        <f>IF(C90=0,"-",IF(C90&gt;E90,"W",IF(C90&lt;E90,"L",IF(AND('Picks Detail'!E329&lt;&gt;"",INDEX('Picks Detail'!F329:Q329,1,A90)&lt;&gt;"",INDEX('Picks Detail'!F329:Q329,1,D90)&lt;&gt;""),IF(ABS(INDEX('Picks Detail'!F329:Q329,1,A90)-'Picks Detail'!E329)&lt;ABS(INDEX('Picks Detail'!F329:Q329,1,D90)-'Picks Detail'!E329),"W",IF(ABS(INDEX('Picks Detail'!F329:Q329,1,A90)-'Picks Detail'!E329)&gt;ABS(INDEX('Picks Detail'!F329:Q329,1,D90)-'Picks Detail'!E329),"L","T")),"T"))))</f>
        <v>-</v>
      </c>
      <c r="G90">
        <f t="shared" si="15"/>
        <v>0</v>
      </c>
      <c r="H90">
        <f t="shared" si="16"/>
        <v>0</v>
      </c>
      <c r="I90">
        <f t="shared" si="17"/>
        <v>0</v>
      </c>
    </row>
    <row r="91" spans="1:9" ht="15" customHeight="1" x14ac:dyDescent="0.25">
      <c r="A91">
        <v>11</v>
      </c>
      <c r="B91" t="str">
        <f>Roster!B13</f>
        <v>Jeffrey Loeser</v>
      </c>
      <c r="C91" s="3">
        <f>SUMPRODUCT(('Picks Detail'!P313:P328&lt;&gt;"")*('Picks Detail'!E313:E328&lt;&gt;"")*('Picks Detail'!P313:P328='Picks Detail'!E313:E328))</f>
        <v>0</v>
      </c>
      <c r="D91">
        <v>12</v>
      </c>
      <c r="E91">
        <f>IFERROR(INDEX(C$81:C$92,MATCH(12,A$81:A$92,0)),0)</f>
        <v>0</v>
      </c>
      <c r="F91" t="str">
        <f>IF(C91=0,"-",IF(C91&gt;E91,"W",IF(C91&lt;E91,"L",IF(AND('Picks Detail'!E329&lt;&gt;"",INDEX('Picks Detail'!F329:Q329,1,A91)&lt;&gt;"",INDEX('Picks Detail'!F329:Q329,1,D91)&lt;&gt;""),IF(ABS(INDEX('Picks Detail'!F329:Q329,1,A91)-'Picks Detail'!E329)&lt;ABS(INDEX('Picks Detail'!F329:Q329,1,D91)-'Picks Detail'!E329),"W",IF(ABS(INDEX('Picks Detail'!F329:Q329,1,A91)-'Picks Detail'!E329)&gt;ABS(INDEX('Picks Detail'!F329:Q329,1,D91)-'Picks Detail'!E329),"L","T")),"T"))))</f>
        <v>-</v>
      </c>
      <c r="G91">
        <f t="shared" si="15"/>
        <v>0</v>
      </c>
      <c r="H91">
        <f t="shared" si="16"/>
        <v>0</v>
      </c>
      <c r="I91">
        <f t="shared" si="17"/>
        <v>0</v>
      </c>
    </row>
    <row r="92" spans="1:9" ht="15" customHeight="1" x14ac:dyDescent="0.25">
      <c r="A92">
        <v>12</v>
      </c>
      <c r="B92" t="str">
        <f>Roster!B14</f>
        <v>Jake Andrews</v>
      </c>
      <c r="C92" s="3">
        <f>SUMPRODUCT(('Picks Detail'!Q313:Q328&lt;&gt;"")*('Picks Detail'!E313:E328&lt;&gt;"")*('Picks Detail'!Q313:Q328='Picks Detail'!E313:E328))</f>
        <v>0</v>
      </c>
      <c r="D92">
        <v>11</v>
      </c>
      <c r="E92">
        <f>IFERROR(INDEX(C$81:C$92,MATCH(11,A$81:A$92,0)),0)</f>
        <v>0</v>
      </c>
      <c r="F92" t="str">
        <f>IF(C92=0,"-",IF(C92&gt;E92,"W",IF(C92&lt;E92,"L",IF(AND('Picks Detail'!E329&lt;&gt;"",INDEX('Picks Detail'!F329:Q329,1,A92)&lt;&gt;"",INDEX('Picks Detail'!F329:Q329,1,D92)&lt;&gt;""),IF(ABS(INDEX('Picks Detail'!F329:Q329,1,A92)-'Picks Detail'!E329)&lt;ABS(INDEX('Picks Detail'!F329:Q329,1,D92)-'Picks Detail'!E329),"W",IF(ABS(INDEX('Picks Detail'!F329:Q329,1,A92)-'Picks Detail'!E329)&gt;ABS(INDEX('Picks Detail'!F329:Q329,1,D92)-'Picks Detail'!E329),"L","T")),"T"))))</f>
        <v>-</v>
      </c>
      <c r="G92">
        <f t="shared" si="15"/>
        <v>0</v>
      </c>
      <c r="H92">
        <f t="shared" si="16"/>
        <v>0</v>
      </c>
      <c r="I92">
        <f t="shared" si="17"/>
        <v>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8"/>
  <sheetViews>
    <sheetView topLeftCell="A39" zoomScaleNormal="100" workbookViewId="0">
      <selection activeCell="Q38" sqref="Q38"/>
    </sheetView>
  </sheetViews>
  <sheetFormatPr defaultColWidth="8.7109375" defaultRowHeight="15" x14ac:dyDescent="0.25"/>
  <cols>
    <col min="1" max="1" width="8" customWidth="1"/>
    <col min="2" max="2" width="16" customWidth="1"/>
    <col min="3" max="11" width="10" customWidth="1"/>
  </cols>
  <sheetData>
    <row r="1" spans="1:11" ht="17.25" customHeight="1" x14ac:dyDescent="0.25">
      <c r="A1" s="23" t="s">
        <v>218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" customHeight="1" x14ac:dyDescent="0.25">
      <c r="A2" s="2" t="s">
        <v>219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228</v>
      </c>
      <c r="K2" s="2" t="s">
        <v>229</v>
      </c>
    </row>
    <row r="3" spans="1:11" ht="15" customHeight="1" x14ac:dyDescent="0.25">
      <c r="A3">
        <v>1</v>
      </c>
      <c r="B3" t="str">
        <f>Helper!B2</f>
        <v>Evan Loeser</v>
      </c>
      <c r="C3">
        <f>Helper!C2</f>
        <v>5</v>
      </c>
      <c r="D3">
        <f>Helper!D2</f>
        <v>14</v>
      </c>
      <c r="E3">
        <f>Helper!E2</f>
        <v>18</v>
      </c>
      <c r="F3">
        <f>Helper!F2</f>
        <v>11</v>
      </c>
      <c r="G3">
        <f>Helper!G2</f>
        <v>15</v>
      </c>
      <c r="H3">
        <f>Helper!H2</f>
        <v>5</v>
      </c>
      <c r="I3">
        <f>Helper!I2</f>
        <v>68</v>
      </c>
      <c r="J3">
        <f>Helper!J2</f>
        <v>3</v>
      </c>
      <c r="K3">
        <f>MAX(Helper!C2:H2)</f>
        <v>18</v>
      </c>
    </row>
    <row r="4" spans="1:11" ht="15" customHeight="1" x14ac:dyDescent="0.25">
      <c r="A4">
        <v>2</v>
      </c>
      <c r="B4" t="str">
        <f>Helper!B3</f>
        <v>Chris Simmons</v>
      </c>
      <c r="C4">
        <f>Helper!C3</f>
        <v>7</v>
      </c>
      <c r="D4">
        <f>Helper!D3</f>
        <v>14</v>
      </c>
      <c r="E4">
        <f>Helper!E3</f>
        <v>14</v>
      </c>
      <c r="F4">
        <f>Helper!F3</f>
        <v>13</v>
      </c>
      <c r="G4">
        <f>Helper!G3</f>
        <v>15</v>
      </c>
      <c r="H4">
        <f>Helper!H3</f>
        <v>5</v>
      </c>
      <c r="I4">
        <f>Helper!I3</f>
        <v>68</v>
      </c>
      <c r="J4">
        <f>Helper!J3</f>
        <v>4</v>
      </c>
      <c r="K4">
        <f>MAX(Helper!C3:H3)</f>
        <v>15</v>
      </c>
    </row>
    <row r="5" spans="1:11" ht="15" customHeight="1" x14ac:dyDescent="0.25">
      <c r="A5">
        <v>3</v>
      </c>
      <c r="B5" t="str">
        <f>Helper!B4</f>
        <v>Jack Smith</v>
      </c>
      <c r="C5">
        <f>Helper!C4</f>
        <v>14</v>
      </c>
      <c r="D5">
        <f>Helper!D4</f>
        <v>6</v>
      </c>
      <c r="E5">
        <f>Helper!E4</f>
        <v>14</v>
      </c>
      <c r="F5">
        <f>Helper!F4</f>
        <v>15</v>
      </c>
      <c r="G5">
        <f>Helper!G4</f>
        <v>5</v>
      </c>
      <c r="H5">
        <f>Helper!H4</f>
        <v>7</v>
      </c>
      <c r="I5">
        <f>Helper!I4</f>
        <v>61</v>
      </c>
      <c r="J5">
        <f>Helper!J4</f>
        <v>3</v>
      </c>
      <c r="K5">
        <f>MAX(Helper!C4:H4)</f>
        <v>15</v>
      </c>
    </row>
    <row r="6" spans="1:11" ht="15" customHeight="1" x14ac:dyDescent="0.25">
      <c r="A6">
        <v>4</v>
      </c>
      <c r="B6" t="str">
        <f>Helper!B5</f>
        <v>Luke Ussery</v>
      </c>
      <c r="C6">
        <f>Helper!C5</f>
        <v>6</v>
      </c>
      <c r="D6">
        <f>Helper!D5</f>
        <v>14</v>
      </c>
      <c r="E6">
        <f>Helper!E5</f>
        <v>0</v>
      </c>
      <c r="F6">
        <f>Helper!F5</f>
        <v>18</v>
      </c>
      <c r="G6">
        <f>Helper!G5</f>
        <v>0</v>
      </c>
      <c r="H6">
        <f>Helper!H5</f>
        <v>0</v>
      </c>
      <c r="I6">
        <f>Helper!I5</f>
        <v>38</v>
      </c>
      <c r="J6">
        <f>Helper!J5</f>
        <v>2</v>
      </c>
      <c r="K6">
        <f>MAX(Helper!C5:H5)</f>
        <v>18</v>
      </c>
    </row>
    <row r="7" spans="1:11" ht="15" customHeight="1" x14ac:dyDescent="0.25">
      <c r="A7">
        <v>5</v>
      </c>
      <c r="B7" t="str">
        <f>Helper!B6</f>
        <v>Mikayla Simmons</v>
      </c>
      <c r="C7">
        <f>Helper!C6</f>
        <v>16</v>
      </c>
      <c r="D7">
        <f>Helper!D6</f>
        <v>6</v>
      </c>
      <c r="E7">
        <f>Helper!E6</f>
        <v>15</v>
      </c>
      <c r="F7">
        <f>Helper!F6</f>
        <v>6</v>
      </c>
      <c r="G7">
        <f>Helper!G6</f>
        <v>15</v>
      </c>
      <c r="H7">
        <f>Helper!H6</f>
        <v>13</v>
      </c>
      <c r="I7">
        <f>Helper!I6</f>
        <v>71</v>
      </c>
      <c r="J7">
        <f>Helper!J6</f>
        <v>4</v>
      </c>
      <c r="K7">
        <f>MAX(Helper!C6:H6)</f>
        <v>16</v>
      </c>
    </row>
    <row r="8" spans="1:11" ht="15" customHeight="1" x14ac:dyDescent="0.25">
      <c r="A8">
        <v>6</v>
      </c>
      <c r="B8" t="str">
        <f>Helper!B7</f>
        <v>Alan Loeser</v>
      </c>
      <c r="C8">
        <f>Helper!C7</f>
        <v>13</v>
      </c>
      <c r="D8">
        <f>Helper!D7</f>
        <v>7</v>
      </c>
      <c r="E8">
        <f>Helper!E7</f>
        <v>13</v>
      </c>
      <c r="F8">
        <f>Helper!F7</f>
        <v>7</v>
      </c>
      <c r="G8">
        <f>Helper!G7</f>
        <v>16</v>
      </c>
      <c r="H8">
        <f>Helper!H7</f>
        <v>4</v>
      </c>
      <c r="I8">
        <f>Helper!I7</f>
        <v>60</v>
      </c>
      <c r="J8">
        <f>Helper!J7</f>
        <v>3</v>
      </c>
      <c r="K8">
        <f>MAX(Helper!C7:H7)</f>
        <v>16</v>
      </c>
    </row>
    <row r="9" spans="1:11" ht="15" customHeight="1" x14ac:dyDescent="0.25">
      <c r="A9">
        <v>7</v>
      </c>
      <c r="B9" t="str">
        <f>Helper!B8</f>
        <v>Caleb Simmons</v>
      </c>
      <c r="C9">
        <f>Helper!C8</f>
        <v>7</v>
      </c>
      <c r="D9">
        <f>Helper!D8</f>
        <v>12</v>
      </c>
      <c r="E9">
        <f>Helper!E8</f>
        <v>8</v>
      </c>
      <c r="F9">
        <f>Helper!F8</f>
        <v>6</v>
      </c>
      <c r="G9">
        <f>Helper!G8</f>
        <v>13</v>
      </c>
      <c r="H9">
        <f>Helper!H8</f>
        <v>13</v>
      </c>
      <c r="I9">
        <f>Helper!I8</f>
        <v>59</v>
      </c>
      <c r="J9">
        <f>Helper!J8</f>
        <v>3</v>
      </c>
      <c r="K9">
        <f>MAX(Helper!C8:H8)</f>
        <v>13</v>
      </c>
    </row>
    <row r="10" spans="1:11" ht="15" customHeight="1" x14ac:dyDescent="0.25">
      <c r="A10">
        <v>8</v>
      </c>
      <c r="B10" t="str">
        <f>Helper!B9</f>
        <v>Larry Loeser</v>
      </c>
      <c r="C10">
        <f>Helper!C9</f>
        <v>8</v>
      </c>
      <c r="D10">
        <f>Helper!D9</f>
        <v>4</v>
      </c>
      <c r="E10">
        <f>Helper!E9</f>
        <v>7</v>
      </c>
      <c r="F10">
        <f>Helper!F9</f>
        <v>11</v>
      </c>
      <c r="G10">
        <f>Helper!G9</f>
        <v>13</v>
      </c>
      <c r="H10">
        <f>Helper!H9</f>
        <v>13</v>
      </c>
      <c r="I10">
        <f>Helper!I9</f>
        <v>56</v>
      </c>
      <c r="J10">
        <f>Helper!J9</f>
        <v>2</v>
      </c>
      <c r="K10">
        <f>MAX(Helper!C9:H9)</f>
        <v>13</v>
      </c>
    </row>
    <row r="11" spans="1:11" ht="15" customHeight="1" x14ac:dyDescent="0.25">
      <c r="A11">
        <v>9</v>
      </c>
      <c r="B11" t="str">
        <f>Helper!B10</f>
        <v>Daddy Michael</v>
      </c>
      <c r="C11">
        <f>Helper!C10</f>
        <v>8</v>
      </c>
      <c r="D11">
        <f>Helper!D10</f>
        <v>7</v>
      </c>
      <c r="E11">
        <f>Helper!E10</f>
        <v>8</v>
      </c>
      <c r="F11">
        <f>Helper!F10</f>
        <v>14</v>
      </c>
      <c r="G11">
        <f>Helper!G10</f>
        <v>6</v>
      </c>
      <c r="H11">
        <f>Helper!H10</f>
        <v>13</v>
      </c>
      <c r="I11">
        <f>Helper!I10</f>
        <v>56</v>
      </c>
      <c r="J11">
        <f>Helper!J10</f>
        <v>2</v>
      </c>
      <c r="K11">
        <f>MAX(Helper!C10:H10)</f>
        <v>14</v>
      </c>
    </row>
    <row r="12" spans="1:11" ht="15" customHeight="1" x14ac:dyDescent="0.25">
      <c r="A12">
        <v>10</v>
      </c>
      <c r="B12" t="str">
        <f>Helper!B11</f>
        <v>Zach Zarra</v>
      </c>
      <c r="C12">
        <f>Helper!C11</f>
        <v>17</v>
      </c>
      <c r="D12">
        <f>Helper!D11</f>
        <v>14</v>
      </c>
      <c r="E12">
        <f>Helper!E11</f>
        <v>5</v>
      </c>
      <c r="F12">
        <f>Helper!F11</f>
        <v>13</v>
      </c>
      <c r="G12">
        <f>Helper!G11</f>
        <v>7</v>
      </c>
      <c r="H12">
        <f>Helper!H11</f>
        <v>12</v>
      </c>
      <c r="I12">
        <f>Helper!I11</f>
        <v>68</v>
      </c>
      <c r="J12">
        <f>Helper!J11</f>
        <v>4</v>
      </c>
      <c r="K12">
        <f>MAX(Helper!C11:H11)</f>
        <v>17</v>
      </c>
    </row>
    <row r="13" spans="1:11" ht="15" customHeight="1" x14ac:dyDescent="0.25">
      <c r="A13">
        <v>11</v>
      </c>
      <c r="B13" t="str">
        <f>Helper!B12</f>
        <v>Jeffrey Loeser</v>
      </c>
      <c r="C13">
        <f>Helper!C12</f>
        <v>16</v>
      </c>
      <c r="D13">
        <f>Helper!D12</f>
        <v>12</v>
      </c>
      <c r="E13">
        <f>Helper!E12</f>
        <v>8</v>
      </c>
      <c r="F13">
        <f>Helper!F12</f>
        <v>7</v>
      </c>
      <c r="G13">
        <f>Helper!G12</f>
        <v>5</v>
      </c>
      <c r="H13">
        <f>Helper!H12</f>
        <v>12</v>
      </c>
      <c r="I13">
        <f>Helper!I12</f>
        <v>60</v>
      </c>
      <c r="J13">
        <f>Helper!J12</f>
        <v>3</v>
      </c>
      <c r="K13">
        <f>MAX(Helper!C12:H12)</f>
        <v>16</v>
      </c>
    </row>
    <row r="14" spans="1:11" ht="15" customHeight="1" x14ac:dyDescent="0.25">
      <c r="A14">
        <v>12</v>
      </c>
      <c r="B14" t="str">
        <f>Helper!B13</f>
        <v>Jake Andrews</v>
      </c>
      <c r="C14">
        <f>Helper!C13</f>
        <v>15</v>
      </c>
      <c r="D14">
        <f>Helper!D13</f>
        <v>4</v>
      </c>
      <c r="E14">
        <f>Helper!E13</f>
        <v>12</v>
      </c>
      <c r="F14">
        <f>Helper!F13</f>
        <v>7</v>
      </c>
      <c r="G14">
        <f>Helper!G13</f>
        <v>4</v>
      </c>
      <c r="H14">
        <f>Helper!H13</f>
        <v>6</v>
      </c>
      <c r="I14">
        <f>Helper!I13</f>
        <v>48</v>
      </c>
      <c r="J14">
        <f>Helper!J13</f>
        <v>2</v>
      </c>
      <c r="K14">
        <f>MAX(Helper!C13:H13)</f>
        <v>15</v>
      </c>
    </row>
    <row r="16" spans="1:11" ht="17.25" customHeight="1" x14ac:dyDescent="0.25">
      <c r="A16" s="28" t="s">
        <v>230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5" customHeight="1" x14ac:dyDescent="0.25">
      <c r="A17" s="2" t="s">
        <v>219</v>
      </c>
      <c r="B17" s="2" t="s">
        <v>220</v>
      </c>
      <c r="C17" s="2" t="s">
        <v>231</v>
      </c>
      <c r="D17" s="2" t="s">
        <v>232</v>
      </c>
      <c r="E17" s="2" t="s">
        <v>233</v>
      </c>
      <c r="F17" s="2" t="s">
        <v>234</v>
      </c>
      <c r="G17" s="2" t="s">
        <v>235</v>
      </c>
      <c r="H17" s="2" t="s">
        <v>236</v>
      </c>
      <c r="I17" s="2" t="s">
        <v>227</v>
      </c>
      <c r="J17" s="2" t="s">
        <v>228</v>
      </c>
      <c r="K17" s="2" t="s">
        <v>229</v>
      </c>
    </row>
    <row r="18" spans="1:11" ht="15" customHeight="1" x14ac:dyDescent="0.25">
      <c r="A18">
        <v>1</v>
      </c>
      <c r="B18" t="str">
        <f>Helper!B2</f>
        <v>Evan Loeser</v>
      </c>
      <c r="C18">
        <f>Helper!L2</f>
        <v>0</v>
      </c>
      <c r="D18">
        <f>Helper!M2</f>
        <v>0</v>
      </c>
      <c r="E18">
        <f>Helper!N2</f>
        <v>0</v>
      </c>
      <c r="F18">
        <f>Helper!O2</f>
        <v>0</v>
      </c>
      <c r="G18">
        <f>Helper!P2</f>
        <v>0</v>
      </c>
      <c r="H18">
        <f>Helper!Q2</f>
        <v>0</v>
      </c>
      <c r="I18">
        <f>Helper!R2</f>
        <v>0</v>
      </c>
      <c r="J18">
        <f>Helper!S2</f>
        <v>0</v>
      </c>
      <c r="K18">
        <f>MAX(Helper!L2:Q2)</f>
        <v>0</v>
      </c>
    </row>
    <row r="19" spans="1:11" ht="15" customHeight="1" x14ac:dyDescent="0.25">
      <c r="A19">
        <v>2</v>
      </c>
      <c r="B19" t="str">
        <f>Helper!B3</f>
        <v>Chris Simmons</v>
      </c>
      <c r="C19">
        <f>Helper!L3</f>
        <v>0</v>
      </c>
      <c r="D19">
        <f>Helper!M3</f>
        <v>0</v>
      </c>
      <c r="E19">
        <f>Helper!N3</f>
        <v>0</v>
      </c>
      <c r="F19">
        <f>Helper!O3</f>
        <v>0</v>
      </c>
      <c r="G19">
        <f>Helper!P3</f>
        <v>0</v>
      </c>
      <c r="H19">
        <f>Helper!Q3</f>
        <v>0</v>
      </c>
      <c r="I19">
        <f>Helper!R3</f>
        <v>0</v>
      </c>
      <c r="J19">
        <f>Helper!S3</f>
        <v>0</v>
      </c>
      <c r="K19">
        <f>MAX(Helper!L3:Q3)</f>
        <v>0</v>
      </c>
    </row>
    <row r="20" spans="1:11" ht="15" customHeight="1" x14ac:dyDescent="0.25">
      <c r="A20">
        <v>3</v>
      </c>
      <c r="B20" t="str">
        <f>Helper!B4</f>
        <v>Jack Smith</v>
      </c>
      <c r="C20">
        <f>Helper!L4</f>
        <v>0</v>
      </c>
      <c r="D20">
        <f>Helper!M4</f>
        <v>0</v>
      </c>
      <c r="E20">
        <f>Helper!N4</f>
        <v>0</v>
      </c>
      <c r="F20">
        <f>Helper!O4</f>
        <v>0</v>
      </c>
      <c r="G20">
        <f>Helper!P4</f>
        <v>0</v>
      </c>
      <c r="H20">
        <f>Helper!Q4</f>
        <v>0</v>
      </c>
      <c r="I20">
        <f>Helper!R4</f>
        <v>0</v>
      </c>
      <c r="J20">
        <f>Helper!S4</f>
        <v>0</v>
      </c>
      <c r="K20">
        <f>MAX(Helper!L4:Q4)</f>
        <v>0</v>
      </c>
    </row>
    <row r="21" spans="1:11" ht="15" customHeight="1" x14ac:dyDescent="0.25">
      <c r="A21">
        <v>4</v>
      </c>
      <c r="B21" t="str">
        <f>Helper!B5</f>
        <v>Luke Ussery</v>
      </c>
      <c r="C21">
        <f>Helper!L5</f>
        <v>0</v>
      </c>
      <c r="D21">
        <f>Helper!M5</f>
        <v>0</v>
      </c>
      <c r="E21">
        <f>Helper!N5</f>
        <v>0</v>
      </c>
      <c r="F21">
        <f>Helper!O5</f>
        <v>0</v>
      </c>
      <c r="G21">
        <f>Helper!P5</f>
        <v>0</v>
      </c>
      <c r="H21">
        <f>Helper!Q5</f>
        <v>0</v>
      </c>
      <c r="I21">
        <f>Helper!R5</f>
        <v>0</v>
      </c>
      <c r="J21">
        <f>Helper!S5</f>
        <v>0</v>
      </c>
      <c r="K21">
        <f>MAX(Helper!L5:Q5)</f>
        <v>0</v>
      </c>
    </row>
    <row r="22" spans="1:11" ht="15" customHeight="1" x14ac:dyDescent="0.25">
      <c r="A22">
        <v>5</v>
      </c>
      <c r="B22" t="str">
        <f>Helper!B6</f>
        <v>Mikayla Simmons</v>
      </c>
      <c r="C22">
        <f>Helper!L6</f>
        <v>0</v>
      </c>
      <c r="D22">
        <f>Helper!M6</f>
        <v>0</v>
      </c>
      <c r="E22">
        <f>Helper!N6</f>
        <v>0</v>
      </c>
      <c r="F22">
        <f>Helper!O6</f>
        <v>0</v>
      </c>
      <c r="G22">
        <f>Helper!P6</f>
        <v>0</v>
      </c>
      <c r="H22">
        <f>Helper!Q6</f>
        <v>0</v>
      </c>
      <c r="I22">
        <f>Helper!R6</f>
        <v>0</v>
      </c>
      <c r="J22">
        <f>Helper!S6</f>
        <v>0</v>
      </c>
      <c r="K22">
        <f>MAX(Helper!L6:Q6)</f>
        <v>0</v>
      </c>
    </row>
    <row r="23" spans="1:11" ht="15" customHeight="1" x14ac:dyDescent="0.25">
      <c r="A23">
        <v>6</v>
      </c>
      <c r="B23" t="str">
        <f>Helper!B7</f>
        <v>Alan Loeser</v>
      </c>
      <c r="C23">
        <f>Helper!L7</f>
        <v>0</v>
      </c>
      <c r="D23">
        <f>Helper!M7</f>
        <v>0</v>
      </c>
      <c r="E23">
        <f>Helper!N7</f>
        <v>0</v>
      </c>
      <c r="F23">
        <f>Helper!O7</f>
        <v>0</v>
      </c>
      <c r="G23">
        <f>Helper!P7</f>
        <v>0</v>
      </c>
      <c r="H23">
        <f>Helper!Q7</f>
        <v>0</v>
      </c>
      <c r="I23">
        <f>Helper!R7</f>
        <v>0</v>
      </c>
      <c r="J23">
        <f>Helper!S7</f>
        <v>0</v>
      </c>
      <c r="K23">
        <f>MAX(Helper!L7:Q7)</f>
        <v>0</v>
      </c>
    </row>
    <row r="24" spans="1:11" ht="15" customHeight="1" x14ac:dyDescent="0.25">
      <c r="A24">
        <v>7</v>
      </c>
      <c r="B24" t="str">
        <f>Helper!B8</f>
        <v>Caleb Simmons</v>
      </c>
      <c r="C24">
        <f>Helper!L8</f>
        <v>0</v>
      </c>
      <c r="D24">
        <f>Helper!M8</f>
        <v>0</v>
      </c>
      <c r="E24">
        <f>Helper!N8</f>
        <v>0</v>
      </c>
      <c r="F24">
        <f>Helper!O8</f>
        <v>0</v>
      </c>
      <c r="G24">
        <f>Helper!P8</f>
        <v>0</v>
      </c>
      <c r="H24">
        <f>Helper!Q8</f>
        <v>0</v>
      </c>
      <c r="I24">
        <f>Helper!R8</f>
        <v>0</v>
      </c>
      <c r="J24">
        <f>Helper!S8</f>
        <v>0</v>
      </c>
      <c r="K24">
        <f>MAX(Helper!L8:Q8)</f>
        <v>0</v>
      </c>
    </row>
    <row r="25" spans="1:11" ht="15" customHeight="1" x14ac:dyDescent="0.25">
      <c r="A25">
        <v>8</v>
      </c>
      <c r="B25" t="str">
        <f>Helper!B9</f>
        <v>Larry Loeser</v>
      </c>
      <c r="C25">
        <f>Helper!L9</f>
        <v>0</v>
      </c>
      <c r="D25">
        <f>Helper!M9</f>
        <v>0</v>
      </c>
      <c r="E25">
        <f>Helper!N9</f>
        <v>0</v>
      </c>
      <c r="F25">
        <f>Helper!O9</f>
        <v>0</v>
      </c>
      <c r="G25">
        <f>Helper!P9</f>
        <v>0</v>
      </c>
      <c r="H25">
        <f>Helper!Q9</f>
        <v>0</v>
      </c>
      <c r="I25">
        <f>Helper!R9</f>
        <v>0</v>
      </c>
      <c r="J25">
        <f>Helper!S9</f>
        <v>0</v>
      </c>
      <c r="K25">
        <f>MAX(Helper!L9:Q9)</f>
        <v>0</v>
      </c>
    </row>
    <row r="26" spans="1:11" ht="15" customHeight="1" x14ac:dyDescent="0.25">
      <c r="A26">
        <v>9</v>
      </c>
      <c r="B26" t="str">
        <f>Helper!B10</f>
        <v>Daddy Michael</v>
      </c>
      <c r="C26">
        <f>Helper!L10</f>
        <v>0</v>
      </c>
      <c r="D26">
        <f>Helper!M10</f>
        <v>0</v>
      </c>
      <c r="E26">
        <f>Helper!N10</f>
        <v>0</v>
      </c>
      <c r="F26">
        <f>Helper!O10</f>
        <v>0</v>
      </c>
      <c r="G26">
        <f>Helper!P10</f>
        <v>0</v>
      </c>
      <c r="H26">
        <f>Helper!Q10</f>
        <v>0</v>
      </c>
      <c r="I26">
        <f>Helper!R10</f>
        <v>0</v>
      </c>
      <c r="J26">
        <f>Helper!S10</f>
        <v>0</v>
      </c>
      <c r="K26">
        <f>MAX(Helper!L10:Q10)</f>
        <v>0</v>
      </c>
    </row>
    <row r="27" spans="1:11" ht="15" customHeight="1" x14ac:dyDescent="0.25">
      <c r="A27">
        <v>10</v>
      </c>
      <c r="B27" t="str">
        <f>Helper!B11</f>
        <v>Zach Zarra</v>
      </c>
      <c r="C27">
        <f>Helper!L11</f>
        <v>0</v>
      </c>
      <c r="D27">
        <f>Helper!M11</f>
        <v>0</v>
      </c>
      <c r="E27">
        <f>Helper!N11</f>
        <v>0</v>
      </c>
      <c r="F27">
        <f>Helper!O11</f>
        <v>0</v>
      </c>
      <c r="G27">
        <f>Helper!P11</f>
        <v>0</v>
      </c>
      <c r="H27">
        <f>Helper!Q11</f>
        <v>0</v>
      </c>
      <c r="I27">
        <f>Helper!R11</f>
        <v>0</v>
      </c>
      <c r="J27">
        <f>Helper!S11</f>
        <v>0</v>
      </c>
      <c r="K27">
        <f>MAX(Helper!L11:Q11)</f>
        <v>0</v>
      </c>
    </row>
    <row r="28" spans="1:11" ht="15" customHeight="1" x14ac:dyDescent="0.25">
      <c r="A28">
        <v>11</v>
      </c>
      <c r="B28" t="str">
        <f>Helper!B12</f>
        <v>Jeffrey Loeser</v>
      </c>
      <c r="C28">
        <f>Helper!L12</f>
        <v>0</v>
      </c>
      <c r="D28">
        <f>Helper!M12</f>
        <v>0</v>
      </c>
      <c r="E28">
        <f>Helper!N12</f>
        <v>0</v>
      </c>
      <c r="F28">
        <f>Helper!O12</f>
        <v>0</v>
      </c>
      <c r="G28">
        <f>Helper!P12</f>
        <v>0</v>
      </c>
      <c r="H28">
        <f>Helper!Q12</f>
        <v>0</v>
      </c>
      <c r="I28">
        <f>Helper!R12</f>
        <v>0</v>
      </c>
      <c r="J28">
        <f>Helper!S12</f>
        <v>0</v>
      </c>
      <c r="K28">
        <f>MAX(Helper!L12:Q12)</f>
        <v>0</v>
      </c>
    </row>
    <row r="29" spans="1:11" ht="15" customHeight="1" x14ac:dyDescent="0.25">
      <c r="A29">
        <v>12</v>
      </c>
      <c r="B29" t="str">
        <f>Helper!B13</f>
        <v>Jake Andrews</v>
      </c>
      <c r="C29">
        <f>Helper!L13</f>
        <v>0</v>
      </c>
      <c r="D29">
        <f>Helper!M13</f>
        <v>0</v>
      </c>
      <c r="E29">
        <f>Helper!N13</f>
        <v>0</v>
      </c>
      <c r="F29">
        <f>Helper!O13</f>
        <v>0</v>
      </c>
      <c r="G29">
        <f>Helper!P13</f>
        <v>0</v>
      </c>
      <c r="H29">
        <f>Helper!Q13</f>
        <v>0</v>
      </c>
      <c r="I29">
        <f>Helper!R13</f>
        <v>0</v>
      </c>
      <c r="J29">
        <f>Helper!S13</f>
        <v>0</v>
      </c>
      <c r="K29">
        <f>MAX(Helper!L13:Q13)</f>
        <v>0</v>
      </c>
    </row>
    <row r="31" spans="1:11" ht="17.25" customHeight="1" x14ac:dyDescent="0.25">
      <c r="A31" s="29" t="s">
        <v>237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ht="15" customHeight="1" x14ac:dyDescent="0.25">
      <c r="A32" s="19" t="s">
        <v>238</v>
      </c>
    </row>
    <row r="33" spans="1:11" ht="15" customHeight="1" x14ac:dyDescent="0.25">
      <c r="A33" s="2" t="s">
        <v>219</v>
      </c>
      <c r="B33" s="2" t="s">
        <v>220</v>
      </c>
      <c r="C33" s="2" t="s">
        <v>239</v>
      </c>
      <c r="D33" s="2" t="s">
        <v>240</v>
      </c>
      <c r="E33" s="2" t="s">
        <v>241</v>
      </c>
      <c r="F33" s="2" t="s">
        <v>242</v>
      </c>
      <c r="G33" s="2" t="s">
        <v>243</v>
      </c>
      <c r="H33" s="2" t="s">
        <v>244</v>
      </c>
      <c r="I33" s="2" t="s">
        <v>215</v>
      </c>
      <c r="J33" s="2" t="s">
        <v>216</v>
      </c>
      <c r="K33" s="2" t="s">
        <v>245</v>
      </c>
    </row>
    <row r="34" spans="1:11" ht="15" customHeight="1" x14ac:dyDescent="0.25">
      <c r="A34">
        <v>1</v>
      </c>
      <c r="B34" t="str">
        <f>Helper!B2</f>
        <v>Evan Loeser</v>
      </c>
      <c r="C34" t="str">
        <f>Helper!U2</f>
        <v>-</v>
      </c>
      <c r="D34" t="str">
        <f>Helper!V2</f>
        <v>-</v>
      </c>
      <c r="E34" t="str">
        <f>Helper!W2</f>
        <v>-</v>
      </c>
      <c r="F34" t="str">
        <f>Helper!X2</f>
        <v>-</v>
      </c>
      <c r="G34" t="str">
        <f>Helper!Y2</f>
        <v>-</v>
      </c>
      <c r="H34" t="str">
        <f>Helper!Z2</f>
        <v>-</v>
      </c>
      <c r="I34">
        <f>Helper!AA2</f>
        <v>0</v>
      </c>
      <c r="J34">
        <f>Helper!AB2</f>
        <v>0</v>
      </c>
      <c r="K34">
        <f>Helper!AC2</f>
        <v>0</v>
      </c>
    </row>
    <row r="35" spans="1:11" ht="15" customHeight="1" x14ac:dyDescent="0.25">
      <c r="A35">
        <v>2</v>
      </c>
      <c r="B35" t="str">
        <f>Helper!B3</f>
        <v>Chris Simmons</v>
      </c>
      <c r="C35" t="str">
        <f>Helper!U3</f>
        <v>-</v>
      </c>
      <c r="D35" t="str">
        <f>Helper!V3</f>
        <v>-</v>
      </c>
      <c r="E35" t="str">
        <f>Helper!W3</f>
        <v>-</v>
      </c>
      <c r="F35" t="str">
        <f>Helper!X3</f>
        <v>-</v>
      </c>
      <c r="G35" t="str">
        <f>Helper!Y3</f>
        <v>-</v>
      </c>
      <c r="H35" t="str">
        <f>Helper!Z3</f>
        <v>-</v>
      </c>
      <c r="I35">
        <f>Helper!AA3</f>
        <v>0</v>
      </c>
      <c r="J35">
        <f>Helper!AB3</f>
        <v>0</v>
      </c>
      <c r="K35">
        <f>Helper!AC3</f>
        <v>0</v>
      </c>
    </row>
    <row r="36" spans="1:11" ht="15" customHeight="1" x14ac:dyDescent="0.25">
      <c r="A36">
        <v>3</v>
      </c>
      <c r="B36" t="str">
        <f>Helper!B4</f>
        <v>Jack Smith</v>
      </c>
      <c r="C36" t="str">
        <f>Helper!U4</f>
        <v>-</v>
      </c>
      <c r="D36" t="str">
        <f>Helper!V4</f>
        <v>-</v>
      </c>
      <c r="E36" t="str">
        <f>Helper!W4</f>
        <v>-</v>
      </c>
      <c r="F36" t="str">
        <f>Helper!X4</f>
        <v>-</v>
      </c>
      <c r="G36" t="str">
        <f>Helper!Y4</f>
        <v>-</v>
      </c>
      <c r="H36" t="str">
        <f>Helper!Z4</f>
        <v>-</v>
      </c>
      <c r="I36">
        <f>Helper!AA4</f>
        <v>0</v>
      </c>
      <c r="J36">
        <f>Helper!AB4</f>
        <v>0</v>
      </c>
      <c r="K36">
        <f>Helper!AC4</f>
        <v>0</v>
      </c>
    </row>
    <row r="37" spans="1:11" ht="15" customHeight="1" x14ac:dyDescent="0.25">
      <c r="A37">
        <v>4</v>
      </c>
      <c r="B37" t="str">
        <f>Helper!B5</f>
        <v>Luke Ussery</v>
      </c>
      <c r="C37" t="str">
        <f>Helper!U5</f>
        <v>-</v>
      </c>
      <c r="D37" t="str">
        <f>Helper!V5</f>
        <v>-</v>
      </c>
      <c r="E37" t="str">
        <f>Helper!W5</f>
        <v>-</v>
      </c>
      <c r="F37" t="str">
        <f>Helper!X5</f>
        <v>-</v>
      </c>
      <c r="G37" t="str">
        <f>Helper!Y5</f>
        <v>-</v>
      </c>
      <c r="H37" t="str">
        <f>Helper!Z5</f>
        <v>-</v>
      </c>
      <c r="I37">
        <f>Helper!AA5</f>
        <v>0</v>
      </c>
      <c r="J37">
        <f>Helper!AB5</f>
        <v>0</v>
      </c>
      <c r="K37">
        <f>Helper!AC5</f>
        <v>0</v>
      </c>
    </row>
    <row r="39" spans="1:11" ht="15" customHeight="1" x14ac:dyDescent="0.25">
      <c r="A39" s="19" t="s">
        <v>246</v>
      </c>
    </row>
    <row r="40" spans="1:11" ht="15" customHeight="1" x14ac:dyDescent="0.25">
      <c r="A40" s="2" t="s">
        <v>219</v>
      </c>
      <c r="B40" s="2" t="s">
        <v>220</v>
      </c>
      <c r="C40" s="2" t="s">
        <v>239</v>
      </c>
      <c r="D40" s="2" t="s">
        <v>240</v>
      </c>
      <c r="E40" s="2" t="s">
        <v>241</v>
      </c>
      <c r="F40" s="2" t="s">
        <v>242</v>
      </c>
      <c r="G40" s="2" t="s">
        <v>243</v>
      </c>
      <c r="H40" s="2" t="s">
        <v>244</v>
      </c>
      <c r="I40" s="2" t="s">
        <v>215</v>
      </c>
      <c r="J40" s="2" t="s">
        <v>216</v>
      </c>
      <c r="K40" s="2" t="s">
        <v>245</v>
      </c>
    </row>
    <row r="41" spans="1:11" ht="15" customHeight="1" x14ac:dyDescent="0.25">
      <c r="A41">
        <v>1</v>
      </c>
      <c r="B41" t="str">
        <f>Helper!B6</f>
        <v>Mikayla Simmons</v>
      </c>
      <c r="C41" t="str">
        <f>Helper!U6</f>
        <v>-</v>
      </c>
      <c r="D41" t="str">
        <f>Helper!V6</f>
        <v>-</v>
      </c>
      <c r="E41" t="str">
        <f>Helper!W6</f>
        <v>-</v>
      </c>
      <c r="F41" t="str">
        <f>Helper!X6</f>
        <v>-</v>
      </c>
      <c r="G41" t="str">
        <f>Helper!Y6</f>
        <v>-</v>
      </c>
      <c r="H41" t="str">
        <f>Helper!Z6</f>
        <v>-</v>
      </c>
      <c r="I41">
        <f>Helper!AA6</f>
        <v>0</v>
      </c>
      <c r="J41">
        <f>Helper!AB6</f>
        <v>0</v>
      </c>
      <c r="K41">
        <f>Helper!AC6</f>
        <v>0</v>
      </c>
    </row>
    <row r="42" spans="1:11" ht="15" customHeight="1" x14ac:dyDescent="0.25">
      <c r="A42">
        <v>2</v>
      </c>
      <c r="B42" t="str">
        <f>Helper!B7</f>
        <v>Alan Loeser</v>
      </c>
      <c r="C42" t="str">
        <f>Helper!U7</f>
        <v>-</v>
      </c>
      <c r="D42" t="str">
        <f>Helper!V7</f>
        <v>-</v>
      </c>
      <c r="E42" t="str">
        <f>Helper!W7</f>
        <v>-</v>
      </c>
      <c r="F42" t="str">
        <f>Helper!X7</f>
        <v>-</v>
      </c>
      <c r="G42" t="str">
        <f>Helper!Y7</f>
        <v>-</v>
      </c>
      <c r="H42" t="str">
        <f>Helper!Z7</f>
        <v>-</v>
      </c>
      <c r="I42">
        <f>Helper!AA7</f>
        <v>0</v>
      </c>
      <c r="J42">
        <f>Helper!AB7</f>
        <v>0</v>
      </c>
      <c r="K42">
        <f>Helper!AC7</f>
        <v>0</v>
      </c>
    </row>
    <row r="43" spans="1:11" ht="15" customHeight="1" x14ac:dyDescent="0.25">
      <c r="A43">
        <v>3</v>
      </c>
      <c r="B43" t="str">
        <f>Helper!B8</f>
        <v>Caleb Simmons</v>
      </c>
      <c r="C43" t="str">
        <f>Helper!U8</f>
        <v>-</v>
      </c>
      <c r="D43" t="str">
        <f>Helper!V8</f>
        <v>-</v>
      </c>
      <c r="E43" t="str">
        <f>Helper!W8</f>
        <v>-</v>
      </c>
      <c r="F43" t="str">
        <f>Helper!X8</f>
        <v>-</v>
      </c>
      <c r="G43" t="str">
        <f>Helper!Y8</f>
        <v>-</v>
      </c>
      <c r="H43" t="str">
        <f>Helper!Z8</f>
        <v>-</v>
      </c>
      <c r="I43">
        <f>Helper!AA8</f>
        <v>0</v>
      </c>
      <c r="J43">
        <f>Helper!AB8</f>
        <v>0</v>
      </c>
      <c r="K43">
        <f>Helper!AC8</f>
        <v>0</v>
      </c>
    </row>
    <row r="44" spans="1:11" ht="15" customHeight="1" x14ac:dyDescent="0.25">
      <c r="A44">
        <v>4</v>
      </c>
      <c r="B44" t="str">
        <f>Helper!B9</f>
        <v>Larry Loeser</v>
      </c>
      <c r="C44" t="str">
        <f>Helper!U9</f>
        <v>-</v>
      </c>
      <c r="D44" t="str">
        <f>Helper!V9</f>
        <v>-</v>
      </c>
      <c r="E44" t="str">
        <f>Helper!W9</f>
        <v>-</v>
      </c>
      <c r="F44" t="str">
        <f>Helper!X9</f>
        <v>-</v>
      </c>
      <c r="G44" t="str">
        <f>Helper!Y9</f>
        <v>-</v>
      </c>
      <c r="H44" t="str">
        <f>Helper!Z9</f>
        <v>-</v>
      </c>
      <c r="I44">
        <f>Helper!AA9</f>
        <v>0</v>
      </c>
      <c r="J44">
        <f>Helper!AB9</f>
        <v>0</v>
      </c>
      <c r="K44">
        <f>Helper!AC9</f>
        <v>0</v>
      </c>
    </row>
    <row r="46" spans="1:11" ht="15" customHeight="1" x14ac:dyDescent="0.25">
      <c r="A46" s="19" t="s">
        <v>247</v>
      </c>
    </row>
    <row r="47" spans="1:11" ht="15" customHeight="1" x14ac:dyDescent="0.25">
      <c r="A47" s="2" t="s">
        <v>219</v>
      </c>
      <c r="B47" s="2" t="s">
        <v>220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243</v>
      </c>
      <c r="H47" s="2" t="s">
        <v>244</v>
      </c>
      <c r="I47" s="2" t="s">
        <v>215</v>
      </c>
      <c r="J47" s="2" t="s">
        <v>216</v>
      </c>
      <c r="K47" s="2" t="s">
        <v>245</v>
      </c>
    </row>
    <row r="48" spans="1:11" ht="15" customHeight="1" x14ac:dyDescent="0.25">
      <c r="A48">
        <v>1</v>
      </c>
      <c r="B48" t="str">
        <f>Helper!B10</f>
        <v>Daddy Michael</v>
      </c>
      <c r="C48" t="str">
        <f>Helper!U10</f>
        <v>-</v>
      </c>
      <c r="D48" t="str">
        <f>Helper!V10</f>
        <v>-</v>
      </c>
      <c r="E48" t="str">
        <f>Helper!W10</f>
        <v>-</v>
      </c>
      <c r="F48" t="str">
        <f>Helper!X10</f>
        <v>-</v>
      </c>
      <c r="G48" t="str">
        <f>Helper!Y10</f>
        <v>-</v>
      </c>
      <c r="H48" t="str">
        <f>Helper!Z10</f>
        <v>-</v>
      </c>
      <c r="I48">
        <f>Helper!AA10</f>
        <v>0</v>
      </c>
      <c r="J48">
        <f>Helper!AB10</f>
        <v>0</v>
      </c>
      <c r="K48">
        <f>Helper!AC10</f>
        <v>0</v>
      </c>
    </row>
    <row r="49" spans="1:11" ht="15" customHeight="1" x14ac:dyDescent="0.25">
      <c r="A49">
        <v>2</v>
      </c>
      <c r="B49" t="str">
        <f>Helper!B11</f>
        <v>Zach Zarra</v>
      </c>
      <c r="C49" t="str">
        <f>Helper!U11</f>
        <v>-</v>
      </c>
      <c r="D49" t="str">
        <f>Helper!V11</f>
        <v>-</v>
      </c>
      <c r="E49" t="str">
        <f>Helper!W11</f>
        <v>-</v>
      </c>
      <c r="F49" t="str">
        <f>Helper!X11</f>
        <v>-</v>
      </c>
      <c r="G49" t="str">
        <f>Helper!Y11</f>
        <v>-</v>
      </c>
      <c r="H49" t="str">
        <f>Helper!Z11</f>
        <v>-</v>
      </c>
      <c r="I49">
        <f>Helper!AA11</f>
        <v>0</v>
      </c>
      <c r="J49">
        <f>Helper!AB11</f>
        <v>0</v>
      </c>
      <c r="K49">
        <f>Helper!AC11</f>
        <v>0</v>
      </c>
    </row>
    <row r="50" spans="1:11" ht="15" customHeight="1" x14ac:dyDescent="0.25">
      <c r="A50">
        <v>3</v>
      </c>
      <c r="B50" t="str">
        <f>Helper!B12</f>
        <v>Jeffrey Loeser</v>
      </c>
      <c r="C50" t="str">
        <f>Helper!U12</f>
        <v>-</v>
      </c>
      <c r="D50" t="str">
        <f>Helper!V12</f>
        <v>-</v>
      </c>
      <c r="E50" t="str">
        <f>Helper!W12</f>
        <v>-</v>
      </c>
      <c r="F50" t="str">
        <f>Helper!X12</f>
        <v>-</v>
      </c>
      <c r="G50" t="str">
        <f>Helper!Y12</f>
        <v>-</v>
      </c>
      <c r="H50" t="str">
        <f>Helper!Z12</f>
        <v>-</v>
      </c>
      <c r="I50">
        <f>Helper!AA12</f>
        <v>0</v>
      </c>
      <c r="J50">
        <f>Helper!AB12</f>
        <v>0</v>
      </c>
      <c r="K50">
        <f>Helper!AC12</f>
        <v>0</v>
      </c>
    </row>
    <row r="51" spans="1:11" ht="15" customHeight="1" x14ac:dyDescent="0.25">
      <c r="A51">
        <v>4</v>
      </c>
      <c r="B51" t="str">
        <f>Helper!B13</f>
        <v>Jake Andrews</v>
      </c>
      <c r="C51" t="str">
        <f>Helper!U13</f>
        <v>-</v>
      </c>
      <c r="D51" t="str">
        <f>Helper!V13</f>
        <v>-</v>
      </c>
      <c r="E51" t="str">
        <f>Helper!W13</f>
        <v>-</v>
      </c>
      <c r="F51" t="str">
        <f>Helper!X13</f>
        <v>-</v>
      </c>
      <c r="G51" t="str">
        <f>Helper!Y13</f>
        <v>-</v>
      </c>
      <c r="H51" t="str">
        <f>Helper!Z13</f>
        <v>-</v>
      </c>
      <c r="I51">
        <f>Helper!AA13</f>
        <v>0</v>
      </c>
      <c r="J51">
        <f>Helper!AB13</f>
        <v>0</v>
      </c>
      <c r="K51">
        <f>Helper!AC13</f>
        <v>0</v>
      </c>
    </row>
    <row r="55" spans="1:11" ht="17.25" customHeight="1" x14ac:dyDescent="0.25">
      <c r="A55" s="30" t="s">
        <v>248</v>
      </c>
      <c r="B55" s="30"/>
      <c r="C55" s="30"/>
      <c r="D55" s="30"/>
      <c r="E55" s="30"/>
      <c r="F55" s="30"/>
      <c r="G55" s="30"/>
      <c r="H55" s="30"/>
    </row>
    <row r="56" spans="1:11" ht="15" customHeight="1" x14ac:dyDescent="0.25">
      <c r="A56" s="2" t="s">
        <v>219</v>
      </c>
      <c r="B56" s="2" t="s">
        <v>220</v>
      </c>
      <c r="C56" s="2" t="s">
        <v>249</v>
      </c>
      <c r="D56" s="2" t="s">
        <v>250</v>
      </c>
      <c r="E56" s="2" t="s">
        <v>251</v>
      </c>
      <c r="F56" s="2" t="s">
        <v>252</v>
      </c>
      <c r="G56" s="2" t="s">
        <v>253</v>
      </c>
      <c r="H56" s="2" t="s">
        <v>254</v>
      </c>
    </row>
    <row r="57" spans="1:11" ht="15" customHeight="1" x14ac:dyDescent="0.25">
      <c r="A57">
        <v>1</v>
      </c>
      <c r="B57" t="str">
        <f>Helper!B2</f>
        <v>Evan Loeser</v>
      </c>
      <c r="C57">
        <f>Helper!I2</f>
        <v>68</v>
      </c>
      <c r="D57">
        <f>Helper!R2</f>
        <v>0</v>
      </c>
      <c r="E57">
        <f>Helper!AC2</f>
        <v>0</v>
      </c>
      <c r="F57">
        <f>Helper!AE2</f>
        <v>68</v>
      </c>
      <c r="G57">
        <f>Helper!K2</f>
        <v>68.000100000000003</v>
      </c>
      <c r="H57">
        <f>Helper!T2</f>
        <v>1E-4</v>
      </c>
    </row>
    <row r="58" spans="1:11" ht="15" customHeight="1" x14ac:dyDescent="0.25">
      <c r="A58">
        <v>2</v>
      </c>
      <c r="B58" t="str">
        <f>Helper!B3</f>
        <v>Chris Simmons</v>
      </c>
      <c r="C58">
        <f>Helper!I3</f>
        <v>68</v>
      </c>
      <c r="D58">
        <f>Helper!R3</f>
        <v>0</v>
      </c>
      <c r="E58">
        <f>Helper!AC3</f>
        <v>0</v>
      </c>
      <c r="F58">
        <f>Helper!AE3</f>
        <v>68</v>
      </c>
      <c r="G58">
        <f>Helper!K3</f>
        <v>68.000200000000007</v>
      </c>
      <c r="H58">
        <f>Helper!T3</f>
        <v>2.0000000000000001E-4</v>
      </c>
    </row>
    <row r="59" spans="1:11" ht="15" customHeight="1" x14ac:dyDescent="0.25">
      <c r="A59">
        <v>3</v>
      </c>
      <c r="B59" t="str">
        <f>Helper!B4</f>
        <v>Jack Smith</v>
      </c>
      <c r="C59">
        <f>Helper!I4</f>
        <v>61</v>
      </c>
      <c r="D59">
        <f>Helper!R4</f>
        <v>0</v>
      </c>
      <c r="E59">
        <f>Helper!AC4</f>
        <v>0</v>
      </c>
      <c r="F59">
        <f>Helper!AE4</f>
        <v>61</v>
      </c>
      <c r="G59">
        <f>Helper!K4</f>
        <v>61.000300000000003</v>
      </c>
      <c r="H59">
        <f>Helper!T4</f>
        <v>2.9999999999999997E-4</v>
      </c>
    </row>
    <row r="60" spans="1:11" ht="15" customHeight="1" x14ac:dyDescent="0.25">
      <c r="A60">
        <v>4</v>
      </c>
      <c r="B60" t="str">
        <f>Helper!B5</f>
        <v>Luke Ussery</v>
      </c>
      <c r="C60">
        <f>Helper!I5</f>
        <v>38</v>
      </c>
      <c r="D60">
        <f>Helper!R5</f>
        <v>0</v>
      </c>
      <c r="E60">
        <f>Helper!AC5</f>
        <v>0</v>
      </c>
      <c r="F60">
        <f>Helper!AE5</f>
        <v>38</v>
      </c>
      <c r="G60">
        <f>Helper!K5</f>
        <v>38.000399999999999</v>
      </c>
      <c r="H60">
        <f>Helper!T5</f>
        <v>4.0000000000000002E-4</v>
      </c>
    </row>
    <row r="61" spans="1:11" ht="15" customHeight="1" x14ac:dyDescent="0.25">
      <c r="A61">
        <v>5</v>
      </c>
      <c r="B61" t="str">
        <f>Helper!B6</f>
        <v>Mikayla Simmons</v>
      </c>
      <c r="C61">
        <f>Helper!I6</f>
        <v>71</v>
      </c>
      <c r="D61">
        <f>Helper!R6</f>
        <v>0</v>
      </c>
      <c r="E61">
        <f>Helper!AC6</f>
        <v>0</v>
      </c>
      <c r="F61">
        <f>Helper!AE6</f>
        <v>71</v>
      </c>
      <c r="G61">
        <f>Helper!K6</f>
        <v>71.000500000000002</v>
      </c>
      <c r="H61">
        <f>Helper!T6</f>
        <v>5.0000000000000001E-4</v>
      </c>
    </row>
    <row r="62" spans="1:11" ht="15" customHeight="1" x14ac:dyDescent="0.25">
      <c r="A62">
        <v>6</v>
      </c>
      <c r="B62" t="str">
        <f>Helper!B7</f>
        <v>Alan Loeser</v>
      </c>
      <c r="C62">
        <f>Helper!I7</f>
        <v>60</v>
      </c>
      <c r="D62">
        <f>Helper!R7</f>
        <v>0</v>
      </c>
      <c r="E62">
        <f>Helper!AC7</f>
        <v>0</v>
      </c>
      <c r="F62">
        <f>Helper!AE7</f>
        <v>60</v>
      </c>
      <c r="G62">
        <f>Helper!K7</f>
        <v>60.000599999999999</v>
      </c>
      <c r="H62">
        <f>Helper!T7</f>
        <v>5.9999999999999995E-4</v>
      </c>
    </row>
    <row r="63" spans="1:11" ht="15" customHeight="1" x14ac:dyDescent="0.25">
      <c r="A63">
        <v>7</v>
      </c>
      <c r="B63" t="str">
        <f>Helper!B8</f>
        <v>Caleb Simmons</v>
      </c>
      <c r="C63">
        <f>Helper!I8</f>
        <v>59</v>
      </c>
      <c r="D63">
        <f>Helper!R8</f>
        <v>0</v>
      </c>
      <c r="E63">
        <f>Helper!AC8</f>
        <v>0</v>
      </c>
      <c r="F63">
        <f>Helper!AE8</f>
        <v>59</v>
      </c>
      <c r="G63">
        <f>Helper!K8</f>
        <v>59.000700000000002</v>
      </c>
      <c r="H63">
        <f>Helper!T8</f>
        <v>6.9999999999999999E-4</v>
      </c>
    </row>
    <row r="64" spans="1:11" ht="15" customHeight="1" x14ac:dyDescent="0.25">
      <c r="A64">
        <v>8</v>
      </c>
      <c r="B64" t="str">
        <f>Helper!B9</f>
        <v>Larry Loeser</v>
      </c>
      <c r="C64">
        <f>Helper!I9</f>
        <v>56</v>
      </c>
      <c r="D64">
        <f>Helper!R9</f>
        <v>0</v>
      </c>
      <c r="E64">
        <f>Helper!AC9</f>
        <v>0</v>
      </c>
      <c r="F64">
        <f>Helper!AE9</f>
        <v>56</v>
      </c>
      <c r="G64">
        <f>Helper!K9</f>
        <v>56.000799999999998</v>
      </c>
      <c r="H64">
        <f>Helper!T9</f>
        <v>8.0000000000000004E-4</v>
      </c>
    </row>
    <row r="65" spans="1:8" ht="15" customHeight="1" x14ac:dyDescent="0.25">
      <c r="A65">
        <v>9</v>
      </c>
      <c r="B65" t="str">
        <f>Helper!B10</f>
        <v>Daddy Michael</v>
      </c>
      <c r="C65">
        <f>Helper!I10</f>
        <v>56</v>
      </c>
      <c r="D65">
        <f>Helper!R10</f>
        <v>0</v>
      </c>
      <c r="E65">
        <f>Helper!AC10</f>
        <v>0</v>
      </c>
      <c r="F65">
        <f>Helper!AE10</f>
        <v>56</v>
      </c>
      <c r="G65">
        <f>Helper!K10</f>
        <v>56.000900000000001</v>
      </c>
      <c r="H65">
        <f>Helper!T10</f>
        <v>8.9999999999999998E-4</v>
      </c>
    </row>
    <row r="66" spans="1:8" ht="15" customHeight="1" x14ac:dyDescent="0.25">
      <c r="A66">
        <v>10</v>
      </c>
      <c r="B66" t="str">
        <f>Helper!B11</f>
        <v>Zach Zarra</v>
      </c>
      <c r="C66">
        <f>Helper!I11</f>
        <v>68</v>
      </c>
      <c r="D66">
        <f>Helper!R11</f>
        <v>0</v>
      </c>
      <c r="E66">
        <f>Helper!AC11</f>
        <v>0</v>
      </c>
      <c r="F66">
        <f>Helper!AE11</f>
        <v>68</v>
      </c>
      <c r="G66">
        <f>Helper!K11</f>
        <v>68.001000000000005</v>
      </c>
      <c r="H66">
        <f>Helper!T11</f>
        <v>1E-3</v>
      </c>
    </row>
    <row r="67" spans="1:8" ht="15" customHeight="1" x14ac:dyDescent="0.25">
      <c r="A67">
        <v>11</v>
      </c>
      <c r="B67" t="str">
        <f>Helper!B12</f>
        <v>Jeffrey Loeser</v>
      </c>
      <c r="C67">
        <f>Helper!I12</f>
        <v>60</v>
      </c>
      <c r="D67">
        <f>Helper!R12</f>
        <v>0</v>
      </c>
      <c r="E67">
        <f>Helper!AC12</f>
        <v>0</v>
      </c>
      <c r="F67">
        <f>Helper!AE12</f>
        <v>60</v>
      </c>
      <c r="G67">
        <f>Helper!K12</f>
        <v>60.001100000000001</v>
      </c>
      <c r="H67">
        <f>Helper!T12</f>
        <v>1.1000000000000001E-3</v>
      </c>
    </row>
    <row r="68" spans="1:8" ht="15" customHeight="1" x14ac:dyDescent="0.25">
      <c r="A68">
        <v>12</v>
      </c>
      <c r="B68" t="str">
        <f>Helper!B13</f>
        <v>Jake Andrews</v>
      </c>
      <c r="C68">
        <f>Helper!I13</f>
        <v>48</v>
      </c>
      <c r="D68">
        <f>Helper!R13</f>
        <v>0</v>
      </c>
      <c r="E68">
        <f>Helper!AC13</f>
        <v>0</v>
      </c>
      <c r="F68">
        <f>Helper!AE13</f>
        <v>48</v>
      </c>
      <c r="G68">
        <f>Helper!K13</f>
        <v>48.001199999999997</v>
      </c>
      <c r="H68">
        <f>Helper!T13</f>
        <v>1.1999999999999999E-3</v>
      </c>
    </row>
  </sheetData>
  <mergeCells count="4">
    <mergeCell ref="A1:K1"/>
    <mergeCell ref="A16:K16"/>
    <mergeCell ref="A31:K31"/>
    <mergeCell ref="A55:H5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zoomScaleNormal="100" workbookViewId="0"/>
  </sheetViews>
  <sheetFormatPr defaultColWidth="8.7109375" defaultRowHeight="15" x14ac:dyDescent="0.25"/>
  <cols>
    <col min="1" max="2" width="16" customWidth="1"/>
    <col min="3" max="3" width="12" customWidth="1"/>
    <col min="4" max="4" width="16" customWidth="1"/>
    <col min="5" max="5" width="18" customWidth="1"/>
    <col min="6" max="6" width="22" customWidth="1"/>
  </cols>
  <sheetData>
    <row r="1" spans="1:8" ht="17.25" customHeight="1" x14ac:dyDescent="0.25">
      <c r="A1" s="1" t="s">
        <v>255</v>
      </c>
    </row>
    <row r="3" spans="1:8" ht="15" customHeight="1" x14ac:dyDescent="0.25">
      <c r="A3" s="20" t="s">
        <v>256</v>
      </c>
    </row>
    <row r="4" spans="1:8" ht="15" customHeight="1" x14ac:dyDescent="0.25">
      <c r="A4" s="2" t="s">
        <v>257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262</v>
      </c>
      <c r="H4" s="21" t="s">
        <v>263</v>
      </c>
    </row>
    <row r="5" spans="1:8" ht="15" customHeight="1" x14ac:dyDescent="0.25">
      <c r="A5" t="s">
        <v>264</v>
      </c>
      <c r="B5" t="str">
        <f>INDEX(Helper!B$2:B$13,MATCH(MAX(Helper!K$2:K$13),Helper!K$2:K$13,0))</f>
        <v>Mikayla Simmons</v>
      </c>
      <c r="C5" t="s">
        <v>265</v>
      </c>
      <c r="D5" t="s">
        <v>266</v>
      </c>
      <c r="E5" t="str">
        <f>B5</f>
        <v>Mikayla Simmons</v>
      </c>
      <c r="F5" t="str">
        <f>IF(B5="","—","QUALIFIED")</f>
        <v>QUALIFIED</v>
      </c>
      <c r="H5" t="str">
        <f>INDEX(Helper!B$2:B$5,MATCH(LARGE(Helper!AD$2:AD$5,1),Helper!AD$2:AD$5,0))</f>
        <v>Luke Ussery</v>
      </c>
    </row>
    <row r="6" spans="1:8" ht="15" customHeight="1" x14ac:dyDescent="0.25">
      <c r="A6" t="s">
        <v>267</v>
      </c>
      <c r="B6" t="str">
        <f>INDEX(Helper!B$2:B$13,MATCH(MAX(Helper!T$2:T$13),Helper!T$2:T$13,0))</f>
        <v>Jake Andrews</v>
      </c>
      <c r="C6" t="s">
        <v>265</v>
      </c>
      <c r="D6" t="s">
        <v>268</v>
      </c>
      <c r="E6" t="str">
        <f>IF(B6&lt;&gt;$E$5,B6,INDEX(Helper!B$2:B$13,MATCH(LARGE(Helper!T$2:T$13,2),Helper!T$2:T$13,0)))</f>
        <v>Jake Andrews</v>
      </c>
      <c r="F6" t="str">
        <f>IF(E6=B6,"QUALIFIED","PASS → "&amp;E6)</f>
        <v>QUALIFIED</v>
      </c>
      <c r="H6" t="str">
        <f>INDEX(Helper!B$2:B$5,MATCH(LARGE(Helper!AD$2:AD$5,2),Helper!AD$2:AD$5,0))</f>
        <v>Jack Smith</v>
      </c>
    </row>
    <row r="7" spans="1:8" ht="15" customHeight="1" x14ac:dyDescent="0.25">
      <c r="A7" t="s">
        <v>269</v>
      </c>
      <c r="B7" t="str">
        <f>H5</f>
        <v>Luke Ussery</v>
      </c>
      <c r="C7" t="s">
        <v>270</v>
      </c>
      <c r="D7" t="s">
        <v>7</v>
      </c>
      <c r="E7" t="str">
        <f>IF(AND(H5&lt;&gt;$E$5,H5&lt;&gt;$E$6),H5,IF(AND(H6&lt;&gt;$E$5,H6&lt;&gt;$E$6),H6,IF(AND(H7&lt;&gt;$E$5,H7&lt;&gt;$E$6),H7,H8)))</f>
        <v>Luke Ussery</v>
      </c>
      <c r="F7" t="str">
        <f>IF(E7=B7,"QUALIFIED","PASS → "&amp;E7)</f>
        <v>QUALIFIED</v>
      </c>
      <c r="H7" t="str">
        <f>INDEX(Helper!B$2:B$5,MATCH(LARGE(Helper!AD$2:AD$5,3),Helper!AD$2:AD$5,0))</f>
        <v>Chris Simmons</v>
      </c>
    </row>
    <row r="8" spans="1:8" ht="15" customHeight="1" x14ac:dyDescent="0.25">
      <c r="A8" t="s">
        <v>271</v>
      </c>
      <c r="B8" t="str">
        <f>H9</f>
        <v>Larry Loeser</v>
      </c>
      <c r="C8" t="s">
        <v>270</v>
      </c>
      <c r="D8" t="s">
        <v>13</v>
      </c>
      <c r="E8" t="str">
        <f>IF(AND(H9&lt;&gt;$E$5,H9&lt;&gt;$E$6,H9&lt;&gt;$E$7),H9,IF(AND(H10&lt;&gt;$E$5,H10&lt;&gt;$E$6,H10&lt;&gt;$E$7),H10,IF(AND(H11&lt;&gt;$E$5,H11&lt;&gt;$E$6,H11&lt;&gt;$E$7),H11,H12)))</f>
        <v>Larry Loeser</v>
      </c>
      <c r="F8" t="str">
        <f>IF(E8=B8,"QUALIFIED","PASS → "&amp;E8)</f>
        <v>QUALIFIED</v>
      </c>
      <c r="H8" t="str">
        <f>INDEX(Helper!B$2:B$5,MATCH(LARGE(Helper!AD$2:AD$5,4),Helper!AD$2:AD$5,0))</f>
        <v>Evan Loeser</v>
      </c>
    </row>
    <row r="9" spans="1:8" ht="15" customHeight="1" x14ac:dyDescent="0.25">
      <c r="A9" t="s">
        <v>272</v>
      </c>
      <c r="B9" t="str">
        <f>H13</f>
        <v>Jake Andrews</v>
      </c>
      <c r="C9" t="s">
        <v>270</v>
      </c>
      <c r="D9" t="s">
        <v>19</v>
      </c>
      <c r="E9" t="str">
        <f>IF(AND(H13&lt;&gt;$E$5,H13&lt;&gt;$E$6,H13&lt;&gt;$E$7,H13&lt;&gt;$E$8),H13,IF(AND(H14&lt;&gt;$E$5,H14&lt;&gt;$E$6,H14&lt;&gt;$E$7,H14&lt;&gt;$E$8),H14,IF(AND(H15&lt;&gt;$E$5,H15&lt;&gt;$E$6,H15&lt;&gt;$E$7,H15&lt;&gt;$E$8),H15,H16)))</f>
        <v>Jeffrey Loeser</v>
      </c>
      <c r="F9" t="str">
        <f>IF(E9=B9,"QUALIFIED","PASS → "&amp;E9)</f>
        <v>PASS → Jeffrey Loeser</v>
      </c>
      <c r="H9" t="str">
        <f>INDEX(Helper!B$6:B$9,MATCH(LARGE(Helper!AD$6:AD$9,1),Helper!AD$6:AD$9,0))</f>
        <v>Larry Loeser</v>
      </c>
    </row>
    <row r="10" spans="1:8" ht="15" customHeight="1" x14ac:dyDescent="0.25">
      <c r="H10" t="str">
        <f>INDEX(Helper!B$6:B$9,MATCH(LARGE(Helper!AD$6:AD$9,2),Helper!AD$6:AD$9,0))</f>
        <v>Caleb Simmons</v>
      </c>
    </row>
    <row r="11" spans="1:8" ht="15" customHeight="1" x14ac:dyDescent="0.25">
      <c r="A11" s="20" t="s">
        <v>273</v>
      </c>
      <c r="H11" t="str">
        <f>INDEX(Helper!B$6:B$9,MATCH(LARGE(Helper!AD$6:AD$9,3),Helper!AD$6:AD$9,0))</f>
        <v>Alan Loeser</v>
      </c>
    </row>
    <row r="12" spans="1:8" ht="15" customHeight="1" x14ac:dyDescent="0.25">
      <c r="A12" s="2" t="s">
        <v>257</v>
      </c>
      <c r="B12" s="2" t="s">
        <v>220</v>
      </c>
      <c r="C12" s="2" t="s">
        <v>274</v>
      </c>
      <c r="D12" s="2" t="s">
        <v>260</v>
      </c>
      <c r="H12" t="str">
        <f>INDEX(Helper!B$6:B$9,MATCH(LARGE(Helper!AD$6:AD$9,4),Helper!AD$6:AD$9,0))</f>
        <v>Mikayla Simmons</v>
      </c>
    </row>
    <row r="13" spans="1:8" ht="15" customHeight="1" x14ac:dyDescent="0.25">
      <c r="A13" t="s">
        <v>275</v>
      </c>
      <c r="B13" t="str">
        <f>INDEX(H$40:H$51,MATCH(MAX(K$40:K$51),K$40:K$51,0))</f>
        <v>Zach Zarra</v>
      </c>
      <c r="C13">
        <f>INDEX(I$40:I$51,MATCH(MAX(K$40:K$51),K$40:K$51,0))</f>
        <v>68</v>
      </c>
      <c r="D13" t="s">
        <v>276</v>
      </c>
      <c r="H13" t="str">
        <f>INDEX(Helper!B$10:B$13,MATCH(LARGE(Helper!AD$10:AD$13,1),Helper!AD$10:AD$13,0))</f>
        <v>Jake Andrews</v>
      </c>
    </row>
    <row r="14" spans="1:8" ht="15" customHeight="1" x14ac:dyDescent="0.25">
      <c r="H14" t="str">
        <f>INDEX(Helper!B$10:B$13,MATCH(LARGE(Helper!AD$10:AD$13,2),Helper!AD$10:AD$13,0))</f>
        <v>Jeffrey Loeser</v>
      </c>
    </row>
    <row r="15" spans="1:8" ht="15" customHeight="1" x14ac:dyDescent="0.25">
      <c r="A15" s="20" t="s">
        <v>277</v>
      </c>
      <c r="H15" t="str">
        <f>INDEX(Helper!B$10:B$13,MATCH(LARGE(Helper!AD$10:AD$13,3),Helper!AD$10:AD$13,0))</f>
        <v>Zach Zarra</v>
      </c>
    </row>
    <row r="16" spans="1:8" ht="15" customHeight="1" x14ac:dyDescent="0.25">
      <c r="A16" s="2" t="s">
        <v>27</v>
      </c>
      <c r="B16" s="2" t="s">
        <v>220</v>
      </c>
      <c r="C16" s="2" t="s">
        <v>278</v>
      </c>
      <c r="H16" t="str">
        <f>INDEX(Helper!B$10:B$13,MATCH(LARGE(Helper!AD$10:AD$13,4),Helper!AD$10:AD$13,0))</f>
        <v>Daddy Michael</v>
      </c>
    </row>
    <row r="17" spans="1:6" ht="15" customHeight="1" x14ac:dyDescent="0.25">
      <c r="A17">
        <v>1</v>
      </c>
      <c r="B17" t="str">
        <f>E5</f>
        <v>Mikayla Simmons</v>
      </c>
      <c r="C17" t="str">
        <f>D5</f>
        <v>Weeks 1-6</v>
      </c>
    </row>
    <row r="18" spans="1:6" ht="15" customHeight="1" x14ac:dyDescent="0.25">
      <c r="A18">
        <v>2</v>
      </c>
      <c r="B18" t="str">
        <f>E6</f>
        <v>Jake Andrews</v>
      </c>
      <c r="C18" t="str">
        <f>D6</f>
        <v>Weeks 7-12</v>
      </c>
    </row>
    <row r="19" spans="1:6" ht="15" customHeight="1" x14ac:dyDescent="0.25">
      <c r="A19">
        <v>3</v>
      </c>
      <c r="B19" t="str">
        <f>E7</f>
        <v>Luke Ussery</v>
      </c>
      <c r="C19" t="str">
        <f>"Div A"</f>
        <v>Div A</v>
      </c>
    </row>
    <row r="20" spans="1:6" ht="15" customHeight="1" x14ac:dyDescent="0.25">
      <c r="A20">
        <v>4</v>
      </c>
      <c r="B20" t="str">
        <f>E8</f>
        <v>Larry Loeser</v>
      </c>
      <c r="C20" t="str">
        <f>"Div B"</f>
        <v>Div B</v>
      </c>
    </row>
    <row r="21" spans="1:6" ht="15" customHeight="1" x14ac:dyDescent="0.25">
      <c r="A21">
        <v>5</v>
      </c>
      <c r="B21" t="str">
        <f>E9</f>
        <v>Jeffrey Loeser</v>
      </c>
      <c r="C21" t="str">
        <f>"Div C"</f>
        <v>Div C</v>
      </c>
    </row>
    <row r="22" spans="1:6" ht="15" customHeight="1" x14ac:dyDescent="0.25">
      <c r="A22">
        <v>6</v>
      </c>
      <c r="B22" t="str">
        <f>B13</f>
        <v>Zach Zarra</v>
      </c>
      <c r="C22" t="str">
        <f>"Wild Card 1"</f>
        <v>Wild Card 1</v>
      </c>
    </row>
    <row r="24" spans="1:6" ht="15" customHeight="1" x14ac:dyDescent="0.25">
      <c r="A24" s="20" t="s">
        <v>279</v>
      </c>
    </row>
    <row r="25" spans="1:6" ht="15" customHeight="1" x14ac:dyDescent="0.25">
      <c r="A25" s="2" t="s">
        <v>27</v>
      </c>
      <c r="B25" s="2" t="s">
        <v>220</v>
      </c>
      <c r="C25" s="2" t="s">
        <v>280</v>
      </c>
      <c r="D25" s="2" t="s">
        <v>281</v>
      </c>
      <c r="E25" s="2" t="s">
        <v>282</v>
      </c>
      <c r="F25" s="2" t="s">
        <v>283</v>
      </c>
    </row>
    <row r="26" spans="1:6" ht="15" customHeight="1" x14ac:dyDescent="0.25">
      <c r="A26">
        <v>1</v>
      </c>
      <c r="B26" t="str">
        <f>Roster!B3</f>
        <v>Evan Loeser</v>
      </c>
      <c r="C26">
        <f>IF(Roster!$B$16&gt;=7,IF(Roster!B3=$B$5,25,0),0)+IF(Roster!$B$16&gt;=13,IF(Roster!B3=$B$6,25,0),0)</f>
        <v>0</v>
      </c>
      <c r="D26">
        <f>IF(Roster!$B$16&gt;=19,IF(Roster!B3=$B$7,10,0)+IF(Roster!B3=$B$8,10,0)+IF(Roster!B3=$B$9,10,0),0)</f>
        <v>0</v>
      </c>
      <c r="E26">
        <f>IF(Roster!$B$16&gt;=23,IF(Roster!B3='Playoff Finals'!$B$13,150,IF(Roster!B3='Playoff Finals'!$B$14,45,IF(Roster!B3='Playoff Finals'!$B$15,25,0))),0)</f>
        <v>0</v>
      </c>
      <c r="F26">
        <f t="shared" ref="F26:F37" si="0">C26+D26+E26</f>
        <v>0</v>
      </c>
    </row>
    <row r="27" spans="1:6" ht="15" customHeight="1" x14ac:dyDescent="0.25">
      <c r="A27">
        <v>2</v>
      </c>
      <c r="B27" t="str">
        <f>Roster!B4</f>
        <v>Chris Simmons</v>
      </c>
      <c r="C27">
        <f>IF(Roster!$B$16&gt;=7,IF(Roster!B4=$B$5,25,0),0)+IF(Roster!$B$16&gt;=13,IF(Roster!B4=$B$6,25,0),0)</f>
        <v>0</v>
      </c>
      <c r="D27">
        <f>IF(Roster!$B$16&gt;=19,IF(Roster!B4=$B$7,10,0)+IF(Roster!B4=$B$8,10,0)+IF(Roster!B4=$B$9,10,0),0)</f>
        <v>0</v>
      </c>
      <c r="E27">
        <f>IF(Roster!$B$16&gt;=23,IF(Roster!B4='Playoff Finals'!$B$13,150,IF(Roster!B4='Playoff Finals'!$B$14,45,IF(Roster!B4='Playoff Finals'!$B$15,25,0))),0)</f>
        <v>0</v>
      </c>
      <c r="F27">
        <f t="shared" si="0"/>
        <v>0</v>
      </c>
    </row>
    <row r="28" spans="1:6" ht="15" customHeight="1" x14ac:dyDescent="0.25">
      <c r="A28">
        <v>3</v>
      </c>
      <c r="B28" t="str">
        <f>Roster!B5</f>
        <v>Jack Smith</v>
      </c>
      <c r="C28">
        <f>IF(Roster!$B$16&gt;=7,IF(Roster!B5=$B$5,25,0),0)+IF(Roster!$B$16&gt;=13,IF(Roster!B5=$B$6,25,0),0)</f>
        <v>0</v>
      </c>
      <c r="D28">
        <f>IF(Roster!$B$16&gt;=19,IF(Roster!B5=$B$7,10,0)+IF(Roster!B5=$B$8,10,0)+IF(Roster!B5=$B$9,10,0),0)</f>
        <v>0</v>
      </c>
      <c r="E28">
        <f>IF(Roster!$B$16&gt;=23,IF(Roster!B5='Playoff Finals'!$B$13,150,IF(Roster!B5='Playoff Finals'!$B$14,45,IF(Roster!B5='Playoff Finals'!$B$15,25,0))),0)</f>
        <v>0</v>
      </c>
      <c r="F28">
        <f t="shared" si="0"/>
        <v>0</v>
      </c>
    </row>
    <row r="29" spans="1:6" ht="15" customHeight="1" x14ac:dyDescent="0.25">
      <c r="A29">
        <v>4</v>
      </c>
      <c r="B29" t="str">
        <f>Roster!B6</f>
        <v>Luke Ussery</v>
      </c>
      <c r="C29">
        <f>IF(Roster!$B$16&gt;=7,IF(Roster!B6=$B$5,25,0),0)+IF(Roster!$B$16&gt;=13,IF(Roster!B6=$B$6,25,0),0)</f>
        <v>0</v>
      </c>
      <c r="D29">
        <f>IF(Roster!$B$16&gt;=19,IF(Roster!B6=$B$7,10,0)+IF(Roster!B6=$B$8,10,0)+IF(Roster!B6=$B$9,10,0),0)</f>
        <v>0</v>
      </c>
      <c r="E29">
        <f>IF(Roster!$B$16&gt;=23,IF(Roster!B6='Playoff Finals'!$B$13,150,IF(Roster!B6='Playoff Finals'!$B$14,45,IF(Roster!B6='Playoff Finals'!$B$15,25,0))),0)</f>
        <v>0</v>
      </c>
      <c r="F29">
        <f t="shared" si="0"/>
        <v>0</v>
      </c>
    </row>
    <row r="30" spans="1:6" ht="15" customHeight="1" x14ac:dyDescent="0.25">
      <c r="A30">
        <v>5</v>
      </c>
      <c r="B30" t="str">
        <f>Roster!B7</f>
        <v>Mikayla Simmons</v>
      </c>
      <c r="C30">
        <f>IF(Roster!$B$16&gt;=7,IF(Roster!B7=$B$5,25,0),0)+IF(Roster!$B$16&gt;=13,IF(Roster!B7=$B$6,25,0),0)</f>
        <v>25</v>
      </c>
      <c r="D30">
        <f>IF(Roster!$B$16&gt;=19,IF(Roster!B7=$B$7,10,0)+IF(Roster!B7=$B$8,10,0)+IF(Roster!B7=$B$9,10,0),0)</f>
        <v>0</v>
      </c>
      <c r="E30">
        <f>IF(Roster!$B$16&gt;=23,IF(Roster!B7='Playoff Finals'!$B$13,150,IF(Roster!B7='Playoff Finals'!$B$14,45,IF(Roster!B7='Playoff Finals'!$B$15,25,0))),0)</f>
        <v>0</v>
      </c>
      <c r="F30">
        <f t="shared" si="0"/>
        <v>25</v>
      </c>
    </row>
    <row r="31" spans="1:6" ht="15" customHeight="1" x14ac:dyDescent="0.25">
      <c r="A31">
        <v>6</v>
      </c>
      <c r="B31" t="str">
        <f>Roster!B8</f>
        <v>Alan Loeser</v>
      </c>
      <c r="C31">
        <f>IF(Roster!$B$16&gt;=7,IF(Roster!B8=$B$5,25,0),0)+IF(Roster!$B$16&gt;=13,IF(Roster!B8=$B$6,25,0),0)</f>
        <v>0</v>
      </c>
      <c r="D31">
        <f>IF(Roster!$B$16&gt;=19,IF(Roster!B8=$B$7,10,0)+IF(Roster!B8=$B$8,10,0)+IF(Roster!B8=$B$9,10,0),0)</f>
        <v>0</v>
      </c>
      <c r="E31">
        <f>IF(Roster!$B$16&gt;=23,IF(Roster!B8='Playoff Finals'!$B$13,150,IF(Roster!B8='Playoff Finals'!$B$14,45,IF(Roster!B8='Playoff Finals'!$B$15,25,0))),0)</f>
        <v>0</v>
      </c>
      <c r="F31">
        <f t="shared" si="0"/>
        <v>0</v>
      </c>
    </row>
    <row r="32" spans="1:6" ht="15" customHeight="1" x14ac:dyDescent="0.25">
      <c r="A32">
        <v>7</v>
      </c>
      <c r="B32" t="str">
        <f>Roster!B9</f>
        <v>Caleb Simmons</v>
      </c>
      <c r="C32">
        <f>IF(Roster!$B$16&gt;=7,IF(Roster!B9=$B$5,25,0),0)+IF(Roster!$B$16&gt;=13,IF(Roster!B9=$B$6,25,0),0)</f>
        <v>0</v>
      </c>
      <c r="D32">
        <f>IF(Roster!$B$16&gt;=19,IF(Roster!B9=$B$7,10,0)+IF(Roster!B9=$B$8,10,0)+IF(Roster!B9=$B$9,10,0),0)</f>
        <v>0</v>
      </c>
      <c r="E32">
        <f>IF(Roster!$B$16&gt;=23,IF(Roster!B9='Playoff Finals'!$B$13,150,IF(Roster!B9='Playoff Finals'!$B$14,45,IF(Roster!B9='Playoff Finals'!$B$15,25,0))),0)</f>
        <v>0</v>
      </c>
      <c r="F32">
        <f t="shared" si="0"/>
        <v>0</v>
      </c>
    </row>
    <row r="33" spans="1:11" ht="15" customHeight="1" x14ac:dyDescent="0.25">
      <c r="A33">
        <v>8</v>
      </c>
      <c r="B33" t="str">
        <f>Roster!B10</f>
        <v>Larry Loeser</v>
      </c>
      <c r="C33">
        <f>IF(Roster!$B$16&gt;=7,IF(Roster!B10=$B$5,25,0),0)+IF(Roster!$B$16&gt;=13,IF(Roster!B10=$B$6,25,0),0)</f>
        <v>0</v>
      </c>
      <c r="D33">
        <f>IF(Roster!$B$16&gt;=19,IF(Roster!B10=$B$7,10,0)+IF(Roster!B10=$B$8,10,0)+IF(Roster!B10=$B$9,10,0),0)</f>
        <v>0</v>
      </c>
      <c r="E33">
        <f>IF(Roster!$B$16&gt;=23,IF(Roster!B10='Playoff Finals'!$B$13,150,IF(Roster!B10='Playoff Finals'!$B$14,45,IF(Roster!B10='Playoff Finals'!$B$15,25,0))),0)</f>
        <v>0</v>
      </c>
      <c r="F33">
        <f t="shared" si="0"/>
        <v>0</v>
      </c>
    </row>
    <row r="34" spans="1:11" ht="15" customHeight="1" x14ac:dyDescent="0.25">
      <c r="A34">
        <v>9</v>
      </c>
      <c r="B34" t="str">
        <f>Roster!B11</f>
        <v>Daddy Michael</v>
      </c>
      <c r="C34">
        <f>IF(Roster!$B$16&gt;=7,IF(Roster!B11=$B$5,25,0),0)+IF(Roster!$B$16&gt;=13,IF(Roster!B11=$B$6,25,0),0)</f>
        <v>0</v>
      </c>
      <c r="D34">
        <f>IF(Roster!$B$16&gt;=19,IF(Roster!B11=$B$7,10,0)+IF(Roster!B11=$B$8,10,0)+IF(Roster!B11=$B$9,10,0),0)</f>
        <v>0</v>
      </c>
      <c r="E34">
        <f>IF(Roster!$B$16&gt;=23,IF(Roster!B11='Playoff Finals'!$B$13,150,IF(Roster!B11='Playoff Finals'!$B$14,45,IF(Roster!B11='Playoff Finals'!$B$15,25,0))),0)</f>
        <v>0</v>
      </c>
      <c r="F34">
        <f t="shared" si="0"/>
        <v>0</v>
      </c>
    </row>
    <row r="35" spans="1:11" ht="15" customHeight="1" x14ac:dyDescent="0.25">
      <c r="A35">
        <v>10</v>
      </c>
      <c r="B35" t="str">
        <f>Roster!B12</f>
        <v>Zach Zarra</v>
      </c>
      <c r="C35">
        <f>IF(Roster!$B$16&gt;=7,IF(Roster!B12=$B$5,25,0),0)+IF(Roster!$B$16&gt;=13,IF(Roster!B12=$B$6,25,0),0)</f>
        <v>0</v>
      </c>
      <c r="D35">
        <f>IF(Roster!$B$16&gt;=19,IF(Roster!B12=$B$7,10,0)+IF(Roster!B12=$B$8,10,0)+IF(Roster!B12=$B$9,10,0),0)</f>
        <v>0</v>
      </c>
      <c r="E35">
        <f>IF(Roster!$B$16&gt;=23,IF(Roster!B12='Playoff Finals'!$B$13,150,IF(Roster!B12='Playoff Finals'!$B$14,45,IF(Roster!B12='Playoff Finals'!$B$15,25,0))),0)</f>
        <v>0</v>
      </c>
      <c r="F35">
        <f t="shared" si="0"/>
        <v>0</v>
      </c>
    </row>
    <row r="36" spans="1:11" ht="15" customHeight="1" x14ac:dyDescent="0.25">
      <c r="A36">
        <v>11</v>
      </c>
      <c r="B36" t="str">
        <f>Roster!B13</f>
        <v>Jeffrey Loeser</v>
      </c>
      <c r="C36">
        <f>IF(Roster!$B$16&gt;=7,IF(Roster!B13=$B$5,25,0),0)+IF(Roster!$B$16&gt;=13,IF(Roster!B13=$B$6,25,0),0)</f>
        <v>0</v>
      </c>
      <c r="D36">
        <f>IF(Roster!$B$16&gt;=19,IF(Roster!B13=$B$7,10,0)+IF(Roster!B13=$B$8,10,0)+IF(Roster!B13=$B$9,10,0),0)</f>
        <v>0</v>
      </c>
      <c r="E36">
        <f>IF(Roster!$B$16&gt;=23,IF(Roster!B13='Playoff Finals'!$B$13,150,IF(Roster!B13='Playoff Finals'!$B$14,45,IF(Roster!B13='Playoff Finals'!$B$15,25,0))),0)</f>
        <v>0</v>
      </c>
      <c r="F36">
        <f t="shared" si="0"/>
        <v>0</v>
      </c>
    </row>
    <row r="37" spans="1:11" ht="15" customHeight="1" x14ac:dyDescent="0.25">
      <c r="A37">
        <v>12</v>
      </c>
      <c r="B37" t="str">
        <f>Roster!B14</f>
        <v>Jake Andrews</v>
      </c>
      <c r="C37">
        <f>IF(Roster!$B$16&gt;=7,IF(Roster!B14=$B$5,25,0),0)+IF(Roster!$B$16&gt;=13,IF(Roster!B14=$B$6,25,0),0)</f>
        <v>0</v>
      </c>
      <c r="D37">
        <f>IF(Roster!$B$16&gt;=19,IF(Roster!B14=$B$7,10,0)+IF(Roster!B14=$B$8,10,0)+IF(Roster!B14=$B$9,10,0),0)</f>
        <v>0</v>
      </c>
      <c r="E37">
        <f>IF(Roster!$B$16&gt;=23,IF(Roster!B14='Playoff Finals'!$B$13,150,IF(Roster!B14='Playoff Finals'!$B$14,45,IF(Roster!B14='Playoff Finals'!$B$15,25,0))),0)</f>
        <v>0</v>
      </c>
      <c r="F37">
        <f t="shared" si="0"/>
        <v>0</v>
      </c>
    </row>
    <row r="38" spans="1:11" ht="15" customHeight="1" x14ac:dyDescent="0.25">
      <c r="A38" t="s">
        <v>284</v>
      </c>
      <c r="C38">
        <f>SUM(C26:C37)</f>
        <v>25</v>
      </c>
      <c r="D38">
        <f>SUM(D26:D37)</f>
        <v>0</v>
      </c>
      <c r="E38">
        <f>SUM(E26:E37)</f>
        <v>0</v>
      </c>
      <c r="F38">
        <f>SUM(F26:F37)</f>
        <v>25</v>
      </c>
    </row>
    <row r="39" spans="1:11" ht="15" customHeight="1" x14ac:dyDescent="0.25">
      <c r="H39" s="21" t="s">
        <v>285</v>
      </c>
    </row>
    <row r="40" spans="1:11" ht="15" customHeight="1" x14ac:dyDescent="0.25">
      <c r="H40" t="str">
        <f>Roster!B3</f>
        <v>Evan Loeser</v>
      </c>
      <c r="I40">
        <f>Helper!AE2</f>
        <v>68</v>
      </c>
      <c r="J40" t="b">
        <f t="shared" ref="J40:J51" si="1">OR(H40=$E$5,H40=$E$6,H40=$E$7,H40=$E$8,H40=$E$9)</f>
        <v>0</v>
      </c>
      <c r="K40">
        <f>IF(J40,-1,I40+0.00001)</f>
        <v>68.000010000000003</v>
      </c>
    </row>
    <row r="41" spans="1:11" ht="15" customHeight="1" x14ac:dyDescent="0.25">
      <c r="H41" t="str">
        <f>Roster!B4</f>
        <v>Chris Simmons</v>
      </c>
      <c r="I41">
        <f>Helper!AE3</f>
        <v>68</v>
      </c>
      <c r="J41" t="b">
        <f t="shared" si="1"/>
        <v>0</v>
      </c>
      <c r="K41">
        <f>IF(J41,-1,I41+0.00002)</f>
        <v>68.000020000000006</v>
      </c>
    </row>
    <row r="42" spans="1:11" ht="15" customHeight="1" x14ac:dyDescent="0.25">
      <c r="H42" t="str">
        <f>Roster!B5</f>
        <v>Jack Smith</v>
      </c>
      <c r="I42">
        <f>Helper!AE4</f>
        <v>61</v>
      </c>
      <c r="J42" t="b">
        <f t="shared" si="1"/>
        <v>0</v>
      </c>
      <c r="K42">
        <f>IF(J42,-1,I42+0.00003)</f>
        <v>61.000030000000002</v>
      </c>
    </row>
    <row r="43" spans="1:11" ht="15" customHeight="1" x14ac:dyDescent="0.25">
      <c r="H43" t="str">
        <f>Roster!B6</f>
        <v>Luke Ussery</v>
      </c>
      <c r="I43">
        <f>Helper!AE5</f>
        <v>38</v>
      </c>
      <c r="J43" t="b">
        <f t="shared" si="1"/>
        <v>1</v>
      </c>
      <c r="K43">
        <f>IF(J43,-1,I43+0.00004)</f>
        <v>-1</v>
      </c>
    </row>
    <row r="44" spans="1:11" ht="15" customHeight="1" x14ac:dyDescent="0.25">
      <c r="H44" t="str">
        <f>Roster!B7</f>
        <v>Mikayla Simmons</v>
      </c>
      <c r="I44">
        <f>Helper!AE6</f>
        <v>71</v>
      </c>
      <c r="J44" t="b">
        <f t="shared" si="1"/>
        <v>1</v>
      </c>
      <c r="K44">
        <f>IF(J44,-1,I44+0.00005)</f>
        <v>-1</v>
      </c>
    </row>
    <row r="45" spans="1:11" ht="15" customHeight="1" x14ac:dyDescent="0.25">
      <c r="H45" t="str">
        <f>Roster!B8</f>
        <v>Alan Loeser</v>
      </c>
      <c r="I45">
        <f>Helper!AE7</f>
        <v>60</v>
      </c>
      <c r="J45" t="b">
        <f t="shared" si="1"/>
        <v>0</v>
      </c>
      <c r="K45">
        <f>IF(J45,-1,I45+0.00006)</f>
        <v>60.000059999999998</v>
      </c>
    </row>
    <row r="46" spans="1:11" ht="15" customHeight="1" x14ac:dyDescent="0.25">
      <c r="H46" t="str">
        <f>Roster!B9</f>
        <v>Caleb Simmons</v>
      </c>
      <c r="I46">
        <f>Helper!AE8</f>
        <v>59</v>
      </c>
      <c r="J46" t="b">
        <f t="shared" si="1"/>
        <v>0</v>
      </c>
      <c r="K46">
        <f>IF(J46,-1,I46+0.00007)</f>
        <v>59.000070000000001</v>
      </c>
    </row>
    <row r="47" spans="1:11" ht="15" customHeight="1" x14ac:dyDescent="0.25">
      <c r="H47" t="str">
        <f>Roster!B10</f>
        <v>Larry Loeser</v>
      </c>
      <c r="I47">
        <f>Helper!AE9</f>
        <v>56</v>
      </c>
      <c r="J47" t="b">
        <f t="shared" si="1"/>
        <v>1</v>
      </c>
      <c r="K47">
        <f>IF(J47,-1,I47+0.00008)</f>
        <v>-1</v>
      </c>
    </row>
    <row r="48" spans="1:11" ht="15" customHeight="1" x14ac:dyDescent="0.25">
      <c r="H48" t="str">
        <f>Roster!B11</f>
        <v>Daddy Michael</v>
      </c>
      <c r="I48">
        <f>Helper!AE10</f>
        <v>56</v>
      </c>
      <c r="J48" t="b">
        <f t="shared" si="1"/>
        <v>0</v>
      </c>
      <c r="K48">
        <f>IF(J48,-1,I48+0.00009)</f>
        <v>56.00009</v>
      </c>
    </row>
    <row r="49" spans="8:11" ht="15" customHeight="1" x14ac:dyDescent="0.25">
      <c r="H49" t="str">
        <f>Roster!B12</f>
        <v>Zach Zarra</v>
      </c>
      <c r="I49">
        <f>Helper!AE11</f>
        <v>68</v>
      </c>
      <c r="J49" t="b">
        <f t="shared" si="1"/>
        <v>0</v>
      </c>
      <c r="K49">
        <f>IF(J49,-1,I49+0.0001)</f>
        <v>68.000100000000003</v>
      </c>
    </row>
    <row r="50" spans="8:11" ht="15" customHeight="1" x14ac:dyDescent="0.25">
      <c r="H50" t="str">
        <f>Roster!B13</f>
        <v>Jeffrey Loeser</v>
      </c>
      <c r="I50">
        <f>Helper!AE12</f>
        <v>60</v>
      </c>
      <c r="J50" t="b">
        <f t="shared" si="1"/>
        <v>1</v>
      </c>
      <c r="K50">
        <f>IF(J50,-1,I50+0.00011)</f>
        <v>-1</v>
      </c>
    </row>
    <row r="51" spans="8:11" ht="15" customHeight="1" x14ac:dyDescent="0.25">
      <c r="H51" t="str">
        <f>Roster!B14</f>
        <v>Jake Andrews</v>
      </c>
      <c r="I51">
        <f>Helper!AE13</f>
        <v>48</v>
      </c>
      <c r="J51" t="b">
        <f t="shared" si="1"/>
        <v>1</v>
      </c>
      <c r="K51">
        <f>IF(J51,-1,I51+0.00012)</f>
        <v>-1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zoomScaleNormal="100" workbookViewId="0">
      <selection activeCell="I18" sqref="I18"/>
    </sheetView>
  </sheetViews>
  <sheetFormatPr defaultColWidth="8.7109375" defaultRowHeight="15" x14ac:dyDescent="0.25"/>
  <cols>
    <col min="1" max="8" width="14" customWidth="1"/>
  </cols>
  <sheetData>
    <row r="1" spans="1:8" ht="17.25" customHeight="1" x14ac:dyDescent="0.25">
      <c r="A1" s="1" t="s">
        <v>286</v>
      </c>
    </row>
    <row r="2" spans="1:8" ht="15" customHeight="1" x14ac:dyDescent="0.25">
      <c r="A2" t="s">
        <v>287</v>
      </c>
    </row>
    <row r="4" spans="1:8" ht="15" customHeight="1" x14ac:dyDescent="0.25">
      <c r="A4" s="2" t="s">
        <v>27</v>
      </c>
      <c r="B4" s="2" t="s">
        <v>220</v>
      </c>
      <c r="C4" s="2" t="s">
        <v>211</v>
      </c>
      <c r="D4" s="2" t="s">
        <v>288</v>
      </c>
      <c r="E4" s="2" t="s">
        <v>289</v>
      </c>
      <c r="F4" s="2" t="s">
        <v>290</v>
      </c>
      <c r="G4" s="2" t="s">
        <v>291</v>
      </c>
      <c r="H4" s="2" t="s">
        <v>292</v>
      </c>
    </row>
    <row r="5" spans="1:8" ht="15" customHeight="1" x14ac:dyDescent="0.25">
      <c r="A5">
        <v>1</v>
      </c>
      <c r="B5" t="str">
        <f>'Playoff Picture'!B17</f>
        <v>Mikayla Simmons</v>
      </c>
      <c r="C5" s="3">
        <v>6</v>
      </c>
      <c r="D5">
        <f>C5+0.001</f>
        <v>6.0010000000000003</v>
      </c>
      <c r="E5" s="3">
        <v>0</v>
      </c>
      <c r="F5" s="3">
        <v>0</v>
      </c>
      <c r="G5" s="3">
        <v>0</v>
      </c>
      <c r="H5">
        <f t="shared" ref="H5:H10" si="0">C5*10000000+D5</f>
        <v>60000006.001000002</v>
      </c>
    </row>
    <row r="6" spans="1:8" ht="15" customHeight="1" x14ac:dyDescent="0.25">
      <c r="A6">
        <v>2</v>
      </c>
      <c r="B6" t="str">
        <f>'Playoff Picture'!B18</f>
        <v>Jake Andrews</v>
      </c>
      <c r="C6" s="3">
        <v>5</v>
      </c>
      <c r="D6">
        <f>C6+0.002</f>
        <v>5.0019999999999998</v>
      </c>
      <c r="E6" s="3">
        <v>0</v>
      </c>
      <c r="F6" s="3">
        <v>0</v>
      </c>
      <c r="G6" s="3">
        <v>0</v>
      </c>
      <c r="H6">
        <f t="shared" si="0"/>
        <v>50000005.001999997</v>
      </c>
    </row>
    <row r="7" spans="1:8" ht="15" customHeight="1" x14ac:dyDescent="0.25">
      <c r="A7">
        <v>3</v>
      </c>
      <c r="B7" t="str">
        <f>'Playoff Picture'!B19</f>
        <v>Luke Ussery</v>
      </c>
      <c r="C7" s="3">
        <v>4</v>
      </c>
      <c r="D7">
        <f>C7+0.003</f>
        <v>4.0030000000000001</v>
      </c>
      <c r="E7" s="3">
        <v>0</v>
      </c>
      <c r="F7" s="3">
        <v>0</v>
      </c>
      <c r="G7" s="3">
        <v>0</v>
      </c>
      <c r="H7">
        <f t="shared" si="0"/>
        <v>40000004.002999999</v>
      </c>
    </row>
    <row r="8" spans="1:8" ht="15" customHeight="1" x14ac:dyDescent="0.25">
      <c r="A8">
        <v>4</v>
      </c>
      <c r="B8" t="str">
        <f>'Playoff Picture'!B20</f>
        <v>Larry Loeser</v>
      </c>
      <c r="C8" s="3">
        <v>3</v>
      </c>
      <c r="D8">
        <f>C8+0.004</f>
        <v>3.004</v>
      </c>
      <c r="E8" s="3">
        <v>0</v>
      </c>
      <c r="F8" s="3">
        <v>0</v>
      </c>
      <c r="G8" s="3">
        <v>0</v>
      </c>
      <c r="H8">
        <f t="shared" si="0"/>
        <v>30000003.004000001</v>
      </c>
    </row>
    <row r="9" spans="1:8" ht="15" customHeight="1" x14ac:dyDescent="0.25">
      <c r="A9">
        <v>5</v>
      </c>
      <c r="B9" t="str">
        <f>'Playoff Picture'!B21</f>
        <v>Jeffrey Loeser</v>
      </c>
      <c r="C9" s="3">
        <v>2</v>
      </c>
      <c r="D9">
        <f>C9+0.005</f>
        <v>2.0049999999999999</v>
      </c>
      <c r="E9" s="3">
        <v>0</v>
      </c>
      <c r="F9" s="3">
        <v>0</v>
      </c>
      <c r="G9" s="3">
        <v>0</v>
      </c>
      <c r="H9">
        <f t="shared" si="0"/>
        <v>20000002.004999999</v>
      </c>
    </row>
    <row r="10" spans="1:8" ht="15" customHeight="1" x14ac:dyDescent="0.25">
      <c r="A10">
        <v>6</v>
      </c>
      <c r="B10" t="str">
        <f>'Playoff Picture'!B22</f>
        <v>Zach Zarra</v>
      </c>
      <c r="C10" s="3">
        <v>1</v>
      </c>
      <c r="D10">
        <f>C10+0.006</f>
        <v>1.006</v>
      </c>
      <c r="E10" s="3">
        <v>0</v>
      </c>
      <c r="F10" s="3">
        <v>0</v>
      </c>
      <c r="G10" s="3">
        <v>0</v>
      </c>
      <c r="H10">
        <f t="shared" si="0"/>
        <v>10000001.005999999</v>
      </c>
    </row>
    <row r="12" spans="1:8" ht="15" customHeight="1" x14ac:dyDescent="0.25">
      <c r="A12" s="20" t="s">
        <v>293</v>
      </c>
    </row>
    <row r="13" spans="1:8" ht="15" customHeight="1" x14ac:dyDescent="0.25">
      <c r="A13" s="2" t="s">
        <v>219</v>
      </c>
      <c r="B13" s="2" t="s">
        <v>220</v>
      </c>
      <c r="C13" s="2" t="s">
        <v>211</v>
      </c>
      <c r="D13" s="2"/>
      <c r="E13" s="2" t="s">
        <v>262</v>
      </c>
    </row>
    <row r="14" spans="1:8" ht="15" customHeight="1" x14ac:dyDescent="0.25">
      <c r="A14">
        <v>1</v>
      </c>
      <c r="B14" t="str">
        <f>INDEX($B$5:$B$10,MATCH(LARGE($H$5:$H$10,1),$H$5:$H$10,0))</f>
        <v>Mikayla Simmons</v>
      </c>
      <c r="C14">
        <f>INDEX($C$5:$C$10,MATCH(LARGE($H$5:$H$10,1),$H$5:$H$10,0))</f>
        <v>6</v>
      </c>
      <c r="E14" t="str">
        <f>IF(1&lt;=4,"ADVANCE","ELIMINATED")</f>
        <v>ADVANCE</v>
      </c>
    </row>
    <row r="15" spans="1:8" ht="15" customHeight="1" x14ac:dyDescent="0.25">
      <c r="A15">
        <v>2</v>
      </c>
      <c r="B15" t="str">
        <f>INDEX($B$5:$B$10,MATCH(LARGE($H$5:$H$10,2),$H$5:$H$10,0))</f>
        <v>Jake Andrews</v>
      </c>
      <c r="C15">
        <f>INDEX($C$5:$C$10,MATCH(LARGE($H$5:$H$10,2),$H$5:$H$10,0))</f>
        <v>5</v>
      </c>
      <c r="E15" t="str">
        <f>IF(2&lt;=4,"ADVANCE","ELIMINATED")</f>
        <v>ADVANCE</v>
      </c>
    </row>
    <row r="16" spans="1:8" ht="15" customHeight="1" x14ac:dyDescent="0.25">
      <c r="A16">
        <v>3</v>
      </c>
      <c r="B16" t="str">
        <f>INDEX($B$5:$B$10,MATCH(LARGE($H$5:$H$10,3),$H$5:$H$10,0))</f>
        <v>Luke Ussery</v>
      </c>
      <c r="C16">
        <f>INDEX($C$5:$C$10,MATCH(LARGE($H$5:$H$10,3),$H$5:$H$10,0))</f>
        <v>4</v>
      </c>
      <c r="E16" t="str">
        <f>IF(3&lt;=4,"ADVANCE","ELIMINATED")</f>
        <v>ADVANCE</v>
      </c>
    </row>
    <row r="17" spans="1:5" ht="15" customHeight="1" x14ac:dyDescent="0.25">
      <c r="A17">
        <v>4</v>
      </c>
      <c r="B17" t="str">
        <f>INDEX($B$5:$B$10,MATCH(LARGE($H$5:$H$10,4),$H$5:$H$10,0))</f>
        <v>Larry Loeser</v>
      </c>
      <c r="C17">
        <f>INDEX($C$5:$C$10,MATCH(LARGE($H$5:$H$10,4),$H$5:$H$10,0))</f>
        <v>3</v>
      </c>
      <c r="E17" t="str">
        <f>IF(4&lt;=4,"ADVANCE","ELIMINATED")</f>
        <v>ADVANCE</v>
      </c>
    </row>
    <row r="18" spans="1:5" ht="15" customHeight="1" x14ac:dyDescent="0.25">
      <c r="A18">
        <v>5</v>
      </c>
      <c r="B18" t="str">
        <f>INDEX($B$5:$B$10,MATCH(LARGE($H$5:$H$10,5),$H$5:$H$10,0))</f>
        <v>Jeffrey Loeser</v>
      </c>
      <c r="C18">
        <f>INDEX($C$5:$C$10,MATCH(LARGE($H$5:$H$10,5),$H$5:$H$10,0))</f>
        <v>2</v>
      </c>
      <c r="E18" t="str">
        <f>IF(5&lt;=4,"ADVANCE","ELIMINATED")</f>
        <v>ELIMINATED</v>
      </c>
    </row>
    <row r="19" spans="1:5" ht="15" customHeight="1" x14ac:dyDescent="0.25">
      <c r="A19">
        <v>6</v>
      </c>
      <c r="B19" t="str">
        <f>INDEX($B$5:$B$10,MATCH(LARGE($H$5:$H$10,6),$H$5:$H$10,0))</f>
        <v>Zach Zarra</v>
      </c>
      <c r="C19">
        <f>INDEX($C$5:$C$10,MATCH(LARGE($H$5:$H$10,6),$H$5:$H$10,0))</f>
        <v>1</v>
      </c>
      <c r="E19" t="str">
        <f>IF(6&lt;=4,"ADVANCE","ELIMINATED")</f>
        <v>ELIMINATED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5"/>
  <sheetViews>
    <sheetView zoomScaleNormal="100" workbookViewId="0"/>
  </sheetViews>
  <sheetFormatPr defaultColWidth="8.7109375" defaultRowHeight="15" x14ac:dyDescent="0.25"/>
  <cols>
    <col min="1" max="12" width="14" customWidth="1"/>
  </cols>
  <sheetData>
    <row r="1" spans="1:11" ht="17.25" customHeight="1" x14ac:dyDescent="0.25">
      <c r="A1" s="1" t="s">
        <v>294</v>
      </c>
    </row>
    <row r="2" spans="1:11" ht="15" customHeight="1" x14ac:dyDescent="0.25">
      <c r="A2" t="s">
        <v>295</v>
      </c>
    </row>
    <row r="4" spans="1:11" ht="15" customHeight="1" x14ac:dyDescent="0.25">
      <c r="A4" s="20" t="s">
        <v>296</v>
      </c>
    </row>
    <row r="5" spans="1:11" ht="15" customHeight="1" x14ac:dyDescent="0.25">
      <c r="A5" s="2" t="s">
        <v>220</v>
      </c>
      <c r="B5" s="2" t="s">
        <v>297</v>
      </c>
      <c r="C5" s="2" t="s">
        <v>298</v>
      </c>
      <c r="D5" s="2" t="s">
        <v>299</v>
      </c>
      <c r="E5" s="2" t="s">
        <v>300</v>
      </c>
      <c r="F5" s="2" t="s">
        <v>301</v>
      </c>
      <c r="G5" s="2" t="s">
        <v>302</v>
      </c>
      <c r="H5" s="2" t="s">
        <v>303</v>
      </c>
      <c r="I5" s="2" t="s">
        <v>304</v>
      </c>
      <c r="J5" s="2"/>
      <c r="K5" s="2" t="s">
        <v>305</v>
      </c>
    </row>
    <row r="6" spans="1:11" ht="15" customHeight="1" x14ac:dyDescent="0.25">
      <c r="A6" t="str">
        <f>'Playoff Wild Card'!B14</f>
        <v>Mikayla Simmons</v>
      </c>
      <c r="B6">
        <f>'Playoff Wild Card'!C14</f>
        <v>6</v>
      </c>
      <c r="C6" s="3">
        <v>0</v>
      </c>
      <c r="D6">
        <f>C6*2</f>
        <v>0</v>
      </c>
      <c r="E6" s="3">
        <v>0</v>
      </c>
      <c r="F6">
        <f>E6*4</f>
        <v>0</v>
      </c>
      <c r="G6" s="3">
        <v>0</v>
      </c>
      <c r="H6">
        <f>G6*8</f>
        <v>0</v>
      </c>
      <c r="I6">
        <f>B6+D6+F6+H6</f>
        <v>6</v>
      </c>
      <c r="J6">
        <f>I6*10000000+0.001</f>
        <v>60000000.001000002</v>
      </c>
      <c r="K6" s="3">
        <v>0</v>
      </c>
    </row>
    <row r="7" spans="1:11" ht="15" customHeight="1" x14ac:dyDescent="0.25">
      <c r="A7" t="str">
        <f>'Playoff Wild Card'!B15</f>
        <v>Jake Andrews</v>
      </c>
      <c r="B7">
        <f>'Playoff Wild Card'!C15</f>
        <v>5</v>
      </c>
      <c r="C7" s="3">
        <v>0</v>
      </c>
      <c r="D7">
        <f>C7*2</f>
        <v>0</v>
      </c>
      <c r="E7" s="3">
        <v>0</v>
      </c>
      <c r="F7">
        <f>E7*4</f>
        <v>0</v>
      </c>
      <c r="G7" s="3">
        <v>0</v>
      </c>
      <c r="H7">
        <f>G7*8</f>
        <v>0</v>
      </c>
      <c r="I7">
        <f>B7+D7+F7+H7</f>
        <v>5</v>
      </c>
      <c r="J7">
        <f>I7*10000000+0.002</f>
        <v>50000000.001999997</v>
      </c>
      <c r="K7" s="3">
        <v>0</v>
      </c>
    </row>
    <row r="8" spans="1:11" ht="15" customHeight="1" x14ac:dyDescent="0.25">
      <c r="A8" t="str">
        <f>'Playoff Wild Card'!B16</f>
        <v>Luke Ussery</v>
      </c>
      <c r="B8">
        <f>'Playoff Wild Card'!C16</f>
        <v>4</v>
      </c>
      <c r="C8" s="3">
        <v>0</v>
      </c>
      <c r="D8">
        <f>C8*2</f>
        <v>0</v>
      </c>
      <c r="E8" s="3">
        <v>0</v>
      </c>
      <c r="F8">
        <f>E8*4</f>
        <v>0</v>
      </c>
      <c r="G8" s="3">
        <v>0</v>
      </c>
      <c r="H8">
        <f>G8*8</f>
        <v>0</v>
      </c>
      <c r="I8">
        <f>B8+D8+F8+H8</f>
        <v>4</v>
      </c>
      <c r="J8">
        <f>I8*10000000+0.003</f>
        <v>40000000.002999999</v>
      </c>
      <c r="K8" s="3">
        <v>0</v>
      </c>
    </row>
    <row r="9" spans="1:11" ht="15" customHeight="1" x14ac:dyDescent="0.25">
      <c r="A9" t="str">
        <f>'Playoff Wild Card'!B17</f>
        <v>Larry Loeser</v>
      </c>
      <c r="B9">
        <f>'Playoff Wild Card'!C17</f>
        <v>3</v>
      </c>
      <c r="C9" s="3">
        <v>0</v>
      </c>
      <c r="D9">
        <f>C9*2</f>
        <v>0</v>
      </c>
      <c r="E9" s="3">
        <v>0</v>
      </c>
      <c r="F9">
        <f>E9*4</f>
        <v>0</v>
      </c>
      <c r="G9" s="3">
        <v>0</v>
      </c>
      <c r="H9">
        <f>G9*8</f>
        <v>0</v>
      </c>
      <c r="I9">
        <f>B9+D9+F9+H9</f>
        <v>3</v>
      </c>
      <c r="J9">
        <f>I9*10000000+0.004</f>
        <v>30000000.004000001</v>
      </c>
      <c r="K9" s="3">
        <v>0</v>
      </c>
    </row>
    <row r="11" spans="1:11" ht="15" customHeight="1" x14ac:dyDescent="0.25">
      <c r="A11" s="20" t="s">
        <v>306</v>
      </c>
    </row>
    <row r="12" spans="1:11" ht="15" customHeight="1" x14ac:dyDescent="0.25">
      <c r="A12" s="2" t="s">
        <v>307</v>
      </c>
      <c r="B12" s="2" t="s">
        <v>220</v>
      </c>
      <c r="C12" s="2" t="s">
        <v>297</v>
      </c>
      <c r="D12" s="2" t="s">
        <v>308</v>
      </c>
      <c r="E12" s="2" t="s">
        <v>309</v>
      </c>
      <c r="F12" s="2" t="s">
        <v>310</v>
      </c>
      <c r="G12" s="2" t="s">
        <v>311</v>
      </c>
      <c r="H12" s="2" t="s">
        <v>312</v>
      </c>
    </row>
    <row r="13" spans="1:11" ht="15" customHeight="1" x14ac:dyDescent="0.25">
      <c r="A13" t="s">
        <v>313</v>
      </c>
      <c r="B13" t="str">
        <f>INDEX($A$6:$A$9,MATCH(LARGE($J$6:$J$9,1),$J$6:$J$9,0))</f>
        <v>Mikayla Simmons</v>
      </c>
      <c r="C13">
        <f>INDEX($B$6:$B$9,MATCH(LARGE($J$6:$J$9,1),$J$6:$J$9,0))</f>
        <v>6</v>
      </c>
      <c r="D13">
        <f>INDEX($D$6:$D$9,MATCH(LARGE($J$6:$J$9,1),$J$6:$J$9,0))</f>
        <v>0</v>
      </c>
      <c r="E13">
        <f>INDEX($F$6:$F$9,MATCH(LARGE($J$6:$J$9,1),$J$6:$J$9,0))</f>
        <v>0</v>
      </c>
      <c r="F13">
        <f>INDEX($H$6:$H$9,MATCH(LARGE($J$6:$J$9,1),$J$6:$J$9,0))</f>
        <v>0</v>
      </c>
      <c r="G13">
        <f>INDEX($I$6:$I$9,MATCH(LARGE($J$6:$J$9,1),$J$6:$J$9,0))</f>
        <v>6</v>
      </c>
      <c r="H13" t="s">
        <v>314</v>
      </c>
    </row>
    <row r="14" spans="1:11" ht="15" customHeight="1" x14ac:dyDescent="0.25">
      <c r="A14" t="s">
        <v>315</v>
      </c>
      <c r="B14" t="str">
        <f>INDEX($A$6:$A$9,MATCH(LARGE($J$6:$J$9,2),$J$6:$J$9,0))</f>
        <v>Jake Andrews</v>
      </c>
      <c r="C14">
        <f>INDEX($B$6:$B$9,MATCH(LARGE($J$6:$J$9,2),$J$6:$J$9,0))</f>
        <v>5</v>
      </c>
      <c r="D14">
        <f>INDEX($D$6:$D$9,MATCH(LARGE($J$6:$J$9,2),$J$6:$J$9,0))</f>
        <v>0</v>
      </c>
      <c r="E14">
        <f>INDEX($F$6:$F$9,MATCH(LARGE($J$6:$J$9,2),$J$6:$J$9,0))</f>
        <v>0</v>
      </c>
      <c r="F14">
        <f>INDEX($H$6:$H$9,MATCH(LARGE($J$6:$J$9,2),$J$6:$J$9,0))</f>
        <v>0</v>
      </c>
      <c r="G14">
        <f>INDEX($I$6:$I$9,MATCH(LARGE($J$6:$J$9,2),$J$6:$J$9,0))</f>
        <v>5</v>
      </c>
      <c r="H14" t="s">
        <v>316</v>
      </c>
    </row>
    <row r="15" spans="1:11" ht="15" customHeight="1" x14ac:dyDescent="0.25">
      <c r="A15" t="s">
        <v>317</v>
      </c>
      <c r="B15" t="str">
        <f>INDEX($A$6:$A$9,MATCH(LARGE($J$6:$J$9,3),$J$6:$J$9,0))</f>
        <v>Luke Ussery</v>
      </c>
      <c r="C15">
        <f>INDEX($B$6:$B$9,MATCH(LARGE($J$6:$J$9,3),$J$6:$J$9,0))</f>
        <v>4</v>
      </c>
      <c r="D15">
        <f>INDEX($D$6:$D$9,MATCH(LARGE($J$6:$J$9,3),$J$6:$J$9,0))</f>
        <v>0</v>
      </c>
      <c r="E15">
        <f>INDEX($F$6:$F$9,MATCH(LARGE($J$6:$J$9,3),$J$6:$J$9,0))</f>
        <v>0</v>
      </c>
      <c r="F15">
        <f>INDEX($H$6:$H$9,MATCH(LARGE($J$6:$J$9,3),$J$6:$J$9,0))</f>
        <v>0</v>
      </c>
      <c r="G15">
        <f>INDEX($I$6:$I$9,MATCH(LARGE($J$6:$J$9,3),$J$6:$J$9,0))</f>
        <v>4</v>
      </c>
      <c r="H15" t="s">
        <v>265</v>
      </c>
    </row>
    <row r="16" spans="1:11" ht="15" customHeight="1" x14ac:dyDescent="0.25">
      <c r="A16" t="s">
        <v>318</v>
      </c>
      <c r="B16" t="str">
        <f>INDEX($A$6:$A$9,MATCH(LARGE($J$6:$J$9,4),$J$6:$J$9,0))</f>
        <v>Larry Loeser</v>
      </c>
      <c r="C16">
        <f>INDEX($B$6:$B$9,MATCH(LARGE($J$6:$J$9,4),$J$6:$J$9,0))</f>
        <v>3</v>
      </c>
      <c r="D16">
        <f>INDEX($D$6:$D$9,MATCH(LARGE($J$6:$J$9,4),$J$6:$J$9,0))</f>
        <v>0</v>
      </c>
      <c r="E16">
        <f>INDEX($F$6:$F$9,MATCH(LARGE($J$6:$J$9,4),$J$6:$J$9,0))</f>
        <v>0</v>
      </c>
      <c r="F16">
        <f>INDEX($H$6:$H$9,MATCH(LARGE($J$6:$J$9,4),$J$6:$J$9,0))</f>
        <v>0</v>
      </c>
      <c r="G16">
        <f>INDEX($I$6:$I$9,MATCH(LARGE($J$6:$J$9,4),$J$6:$J$9,0))</f>
        <v>3</v>
      </c>
      <c r="H16" t="s">
        <v>319</v>
      </c>
    </row>
    <row r="18" spans="1:4" ht="15" customHeight="1" x14ac:dyDescent="0.25">
      <c r="A18" s="22" t="s">
        <v>320</v>
      </c>
    </row>
    <row r="20" spans="1:4" ht="15" customHeight="1" x14ac:dyDescent="0.25">
      <c r="A20" s="20" t="s">
        <v>321</v>
      </c>
    </row>
    <row r="21" spans="1:4" ht="15" customHeight="1" x14ac:dyDescent="0.25">
      <c r="A21" s="2" t="s">
        <v>220</v>
      </c>
      <c r="B21" s="2" t="s">
        <v>322</v>
      </c>
      <c r="C21" s="2" t="s">
        <v>323</v>
      </c>
      <c r="D21" s="2" t="s">
        <v>324</v>
      </c>
    </row>
    <row r="22" spans="1:4" ht="15" customHeight="1" x14ac:dyDescent="0.25">
      <c r="A22" t="str">
        <f>A6</f>
        <v>Mikayla Simmons</v>
      </c>
      <c r="B22" s="3">
        <v>0</v>
      </c>
      <c r="C22" s="3">
        <v>0</v>
      </c>
      <c r="D22">
        <f>ABS(B22-C22)</f>
        <v>0</v>
      </c>
    </row>
    <row r="23" spans="1:4" ht="15" customHeight="1" x14ac:dyDescent="0.25">
      <c r="A23" t="str">
        <f>A7</f>
        <v>Jake Andrews</v>
      </c>
      <c r="B23" s="3">
        <v>0</v>
      </c>
      <c r="C23" s="3">
        <v>0</v>
      </c>
      <c r="D23">
        <f>ABS(B23-C23)</f>
        <v>0</v>
      </c>
    </row>
    <row r="24" spans="1:4" ht="15" customHeight="1" x14ac:dyDescent="0.25">
      <c r="A24" t="str">
        <f>A8</f>
        <v>Luke Ussery</v>
      </c>
      <c r="B24" s="3">
        <v>0</v>
      </c>
      <c r="C24" s="3">
        <v>0</v>
      </c>
      <c r="D24">
        <f>ABS(B24-C24)</f>
        <v>0</v>
      </c>
    </row>
    <row r="25" spans="1:4" ht="15" customHeight="1" x14ac:dyDescent="0.25">
      <c r="A25" t="str">
        <f>A9</f>
        <v>Larry Loeser</v>
      </c>
      <c r="B25" s="3">
        <v>0</v>
      </c>
      <c r="C25" s="3">
        <v>0</v>
      </c>
      <c r="D25">
        <f>ABS(B25-C25)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zoomScaleNormal="100" workbookViewId="0">
      <selection activeCell="M8" sqref="M8"/>
    </sheetView>
  </sheetViews>
  <sheetFormatPr defaultColWidth="8.7109375" defaultRowHeight="15" x14ac:dyDescent="0.25"/>
  <cols>
    <col min="1" max="1" width="27" customWidth="1"/>
    <col min="2" max="2" width="24" customWidth="1"/>
    <col min="3" max="3" width="60" customWidth="1"/>
  </cols>
  <sheetData>
    <row r="1" spans="1:3" ht="17.25" customHeight="1" x14ac:dyDescent="0.25">
      <c r="A1" s="1" t="s">
        <v>325</v>
      </c>
    </row>
    <row r="6" spans="1:3" ht="15" customHeight="1" x14ac:dyDescent="0.25">
      <c r="A6" s="2" t="s">
        <v>326</v>
      </c>
      <c r="B6" s="2" t="s">
        <v>327</v>
      </c>
      <c r="C6" s="2" t="s">
        <v>328</v>
      </c>
    </row>
    <row r="7" spans="1:3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3"/>
  <sheetViews>
    <sheetView zoomScaleNormal="100" workbookViewId="0"/>
  </sheetViews>
  <sheetFormatPr defaultColWidth="8.7109375" defaultRowHeight="15" x14ac:dyDescent="0.25"/>
  <sheetData>
    <row r="1" spans="1:32" ht="15" customHeight="1" x14ac:dyDescent="0.25">
      <c r="A1" s="4" t="s">
        <v>28</v>
      </c>
      <c r="B1" s="4" t="s">
        <v>29</v>
      </c>
      <c r="C1" s="4" t="s">
        <v>329</v>
      </c>
      <c r="D1" s="4" t="s">
        <v>330</v>
      </c>
      <c r="E1" s="4" t="s">
        <v>331</v>
      </c>
      <c r="F1" s="4" t="s">
        <v>332</v>
      </c>
      <c r="G1" s="4" t="s">
        <v>333</v>
      </c>
      <c r="H1" s="4" t="s">
        <v>334</v>
      </c>
      <c r="I1" s="4" t="s">
        <v>335</v>
      </c>
      <c r="J1" s="4" t="s">
        <v>336</v>
      </c>
      <c r="K1" s="4" t="s">
        <v>337</v>
      </c>
      <c r="L1" s="4" t="s">
        <v>338</v>
      </c>
      <c r="M1" s="4" t="s">
        <v>339</v>
      </c>
      <c r="N1" s="4" t="s">
        <v>340</v>
      </c>
      <c r="O1" s="4" t="s">
        <v>341</v>
      </c>
      <c r="P1" s="4" t="s">
        <v>342</v>
      </c>
      <c r="Q1" s="4" t="s">
        <v>343</v>
      </c>
      <c r="R1" s="4" t="s">
        <v>344</v>
      </c>
      <c r="S1" s="4" t="s">
        <v>345</v>
      </c>
      <c r="T1" s="4" t="s">
        <v>346</v>
      </c>
      <c r="U1" s="4" t="s">
        <v>347</v>
      </c>
      <c r="V1" s="4" t="s">
        <v>348</v>
      </c>
      <c r="W1" s="4" t="s">
        <v>349</v>
      </c>
      <c r="X1" s="4" t="s">
        <v>350</v>
      </c>
      <c r="Y1" s="4" t="s">
        <v>351</v>
      </c>
      <c r="Z1" s="4" t="s">
        <v>352</v>
      </c>
      <c r="AA1" s="4" t="s">
        <v>353</v>
      </c>
      <c r="AB1" s="4" t="s">
        <v>354</v>
      </c>
      <c r="AC1" s="4" t="s">
        <v>355</v>
      </c>
      <c r="AD1" s="4" t="s">
        <v>356</v>
      </c>
      <c r="AE1" s="4" t="s">
        <v>357</v>
      </c>
      <c r="AF1" s="4" t="s">
        <v>358</v>
      </c>
    </row>
    <row r="2" spans="1:32" ht="15" customHeight="1" x14ac:dyDescent="0.25">
      <c r="A2">
        <v>1</v>
      </c>
      <c r="B2" t="str">
        <f>Roster!B3</f>
        <v>Evan Loeser</v>
      </c>
      <c r="C2">
        <f>IF(Roster!$B$16&gt;=1,'Wk 1-6 Input'!H6,0)+IF(Roster!$B$16&gt;1,'Wk 1-6 Input'!G6,0)</f>
        <v>5</v>
      </c>
      <c r="D2">
        <f>IF(Roster!$B$16&gt;=2,'Wk 1-6 Input'!H21,0)+IF(Roster!$B$16&gt;2,'Wk 1-6 Input'!G21,0)</f>
        <v>14</v>
      </c>
      <c r="E2">
        <f>IF(Roster!$B$16&gt;=3,'Wk 1-6 Input'!H36,0)+IF(Roster!$B$16&gt;3,'Wk 1-6 Input'!G36,0)</f>
        <v>18</v>
      </c>
      <c r="F2">
        <f>IF(Roster!$B$16&gt;=4,'Wk 1-6 Input'!H51,0)+IF(Roster!$B$16&gt;4,'Wk 1-6 Input'!G51,0)</f>
        <v>11</v>
      </c>
      <c r="G2">
        <f>IF(Roster!$B$16&gt;=5,'Wk 1-6 Input'!H66,0)+IF(Roster!$B$16&gt;5,'Wk 1-6 Input'!G66,0)</f>
        <v>15</v>
      </c>
      <c r="H2">
        <f>IF(Roster!$B$16&gt;=6,'Wk 1-6 Input'!H81,0)+IF(Roster!$B$16&gt;6,'Wk 1-6 Input'!G81,0)</f>
        <v>5</v>
      </c>
      <c r="I2">
        <f t="shared" ref="I2:I13" si="0">SUM(C2:H2)</f>
        <v>68</v>
      </c>
      <c r="J2">
        <f>IF(AND(Roster!$B$16&gt;1,'Wk 1-6 Input'!F6="W"),1,0)+IF(AND(Roster!$B$16&gt;2,'Wk 1-6 Input'!F21="W"),1,0)+IF(AND(Roster!$B$16&gt;3,'Wk 1-6 Input'!F36="W"),1,0)+IF(AND(Roster!$B$16&gt;4,'Wk 1-6 Input'!F51="W"),1,0)+IF(AND(Roster!$B$16&gt;5,'Wk 1-6 Input'!F66="W"),1,0)+IF(AND(Roster!$B$16&gt;6,'Wk 1-6 Input'!F81="W"),1,0)</f>
        <v>3</v>
      </c>
      <c r="K2">
        <f>I2+0.0001</f>
        <v>68.000100000000003</v>
      </c>
      <c r="L2">
        <f>IF(Roster!$B$16&gt;=7,'Wk 7-12 Input'!H6,0)+IF(Roster!$B$16&gt;7,'Wk 7-12 Input'!G6,0)</f>
        <v>0</v>
      </c>
      <c r="M2">
        <f>IF(Roster!$B$16&gt;=8,'Wk 7-12 Input'!H21,0)+IF(Roster!$B$16&gt;8,'Wk 7-12 Input'!G21,0)</f>
        <v>0</v>
      </c>
      <c r="N2">
        <f>IF(Roster!$B$16&gt;=9,'Wk 7-12 Input'!H36,0)+IF(Roster!$B$16&gt;9,'Wk 7-12 Input'!G36,0)</f>
        <v>0</v>
      </c>
      <c r="O2">
        <f>IF(Roster!$B$16&gt;=10,'Wk 7-12 Input'!H51,0)+IF(Roster!$B$16&gt;10,'Wk 7-12 Input'!G51,0)</f>
        <v>0</v>
      </c>
      <c r="P2">
        <f>IF(Roster!$B$16&gt;=11,'Wk 7-12 Input'!H66,0)+IF(Roster!$B$16&gt;11,'Wk 7-12 Input'!G66,0)</f>
        <v>0</v>
      </c>
      <c r="Q2">
        <f>IF(Roster!$B$16&gt;=12,'Wk 7-12 Input'!H81,0)+IF(Roster!$B$16&gt;12,'Wk 7-12 Input'!G81,0)</f>
        <v>0</v>
      </c>
      <c r="R2">
        <f t="shared" ref="R2:R13" si="1">SUM(L2:Q2)</f>
        <v>0</v>
      </c>
      <c r="S2">
        <f>IF(AND(Roster!$B$16&gt;7,'Wk 7-12 Input'!F6="W"),1,0)+IF(AND(Roster!$B$16&gt;8,'Wk 7-12 Input'!F21="W"),1,0)+IF(AND(Roster!$B$16&gt;9,'Wk 7-12 Input'!F36="W"),1,0)+IF(AND(Roster!$B$16&gt;10,'Wk 7-12 Input'!F51="W"),1,0)+IF(AND(Roster!$B$16&gt;11,'Wk 7-12 Input'!F66="W"),1,0)+IF(AND(Roster!$B$16&gt;12,'Wk 7-12 Input'!F81="W"),1,0)</f>
        <v>0</v>
      </c>
      <c r="T2">
        <f>R2+0.0001</f>
        <v>1E-4</v>
      </c>
      <c r="U2" t="str">
        <f>IF(Roster!$B$16&gt;13,'Wk 13-18 Input'!F6,"-")</f>
        <v>-</v>
      </c>
      <c r="V2" t="str">
        <f>IF(Roster!$B$16&gt;14,'Wk 13-18 Input'!F21,"-")</f>
        <v>-</v>
      </c>
      <c r="W2" t="str">
        <f>IF(Roster!$B$16&gt;15,'Wk 13-18 Input'!F36,"-")</f>
        <v>-</v>
      </c>
      <c r="X2" t="str">
        <f>IF(Roster!$B$16&gt;16,'Wk 13-18 Input'!F51,"-")</f>
        <v>-</v>
      </c>
      <c r="Y2" t="str">
        <f>IF(Roster!$B$16&gt;17,'Wk 13-18 Input'!F66,"-")</f>
        <v>-</v>
      </c>
      <c r="Z2" t="str">
        <f>IF(Roster!$B$16&gt;18,'Wk 13-18 Input'!F81,"-")</f>
        <v>-</v>
      </c>
      <c r="AA2">
        <f>IF(Roster!$B$16&gt;13,'Wk 13-18 Input'!G6,0)+IF(Roster!$B$16&gt;14,'Wk 13-18 Input'!G21,0)+IF(Roster!$B$16&gt;15,'Wk 13-18 Input'!G36,0)+IF(Roster!$B$16&gt;16,'Wk 13-18 Input'!G51,0)+IF(Roster!$B$16&gt;17,'Wk 13-18 Input'!G66,0)+IF(Roster!$B$16&gt;18,'Wk 13-18 Input'!G81,0)</f>
        <v>0</v>
      </c>
      <c r="AB2">
        <f>IF(Roster!$B$16&gt;13,'Wk 13-18 Input'!H6,0)+IF(Roster!$B$16&gt;14,'Wk 13-18 Input'!H21,0)+IF(Roster!$B$16&gt;15,'Wk 13-18 Input'!H36,0)+IF(Roster!$B$16&gt;16,'Wk 13-18 Input'!H51,0)+IF(Roster!$B$16&gt;17,'Wk 13-18 Input'!H66,0)+IF(Roster!$B$16&gt;18,'Wk 13-18 Input'!H81,0)</f>
        <v>0</v>
      </c>
      <c r="AC2">
        <f>IF(Roster!$B$16&gt;=13,'Wk 13-18 Input'!I6,0)+IF(Roster!$B$16&gt;=14,'Wk 13-18 Input'!I21,0)+IF(Roster!$B$16&gt;=15,'Wk 13-18 Input'!I36,0)+IF(Roster!$B$16&gt;=16,'Wk 13-18 Input'!I51,0)+IF(Roster!$B$16&gt;=17,'Wk 13-18 Input'!I66,0)+IF(Roster!$B$16&gt;=18,'Wk 13-18 Input'!I81,0)</f>
        <v>0</v>
      </c>
      <c r="AD2">
        <f>AA2+0.0001</f>
        <v>1E-4</v>
      </c>
      <c r="AE2">
        <f t="shared" ref="AE2:AE13" si="2">I2+R2+AC2</f>
        <v>68</v>
      </c>
      <c r="AF2">
        <f>AE2+0.0001</f>
        <v>68.000100000000003</v>
      </c>
    </row>
    <row r="3" spans="1:32" ht="15" customHeight="1" x14ac:dyDescent="0.25">
      <c r="A3">
        <v>2</v>
      </c>
      <c r="B3" t="str">
        <f>Roster!B4</f>
        <v>Chris Simmons</v>
      </c>
      <c r="C3">
        <f>IF(Roster!$B$16&gt;=1,'Wk 1-6 Input'!H7,0)+IF(Roster!$B$16&gt;1,'Wk 1-6 Input'!G7,0)</f>
        <v>7</v>
      </c>
      <c r="D3">
        <f>IF(Roster!$B$16&gt;=2,'Wk 1-6 Input'!H22,0)+IF(Roster!$B$16&gt;2,'Wk 1-6 Input'!G22,0)</f>
        <v>14</v>
      </c>
      <c r="E3">
        <f>IF(Roster!$B$16&gt;=3,'Wk 1-6 Input'!H37,0)+IF(Roster!$B$16&gt;3,'Wk 1-6 Input'!G37,0)</f>
        <v>14</v>
      </c>
      <c r="F3">
        <f>IF(Roster!$B$16&gt;=4,'Wk 1-6 Input'!H52,0)+IF(Roster!$B$16&gt;4,'Wk 1-6 Input'!G52,0)</f>
        <v>13</v>
      </c>
      <c r="G3">
        <f>IF(Roster!$B$16&gt;=5,'Wk 1-6 Input'!H67,0)+IF(Roster!$B$16&gt;5,'Wk 1-6 Input'!G67,0)</f>
        <v>15</v>
      </c>
      <c r="H3">
        <f>IF(Roster!$B$16&gt;=6,'Wk 1-6 Input'!H82,0)+IF(Roster!$B$16&gt;6,'Wk 1-6 Input'!G82,0)</f>
        <v>5</v>
      </c>
      <c r="I3">
        <f t="shared" si="0"/>
        <v>68</v>
      </c>
      <c r="J3">
        <f>IF(AND(Roster!$B$16&gt;1,'Wk 1-6 Input'!F7="W"),1,0)+IF(AND(Roster!$B$16&gt;2,'Wk 1-6 Input'!F22="W"),1,0)+IF(AND(Roster!$B$16&gt;3,'Wk 1-6 Input'!F37="W"),1,0)+IF(AND(Roster!$B$16&gt;4,'Wk 1-6 Input'!F52="W"),1,0)+IF(AND(Roster!$B$16&gt;5,'Wk 1-6 Input'!F67="W"),1,0)+IF(AND(Roster!$B$16&gt;6,'Wk 1-6 Input'!F82="W"),1,0)</f>
        <v>4</v>
      </c>
      <c r="K3">
        <f>I3+0.0002</f>
        <v>68.000200000000007</v>
      </c>
      <c r="L3">
        <f>IF(Roster!$B$16&gt;=7,'Wk 7-12 Input'!H7,0)+IF(Roster!$B$16&gt;7,'Wk 7-12 Input'!G7,0)</f>
        <v>0</v>
      </c>
      <c r="M3">
        <f>IF(Roster!$B$16&gt;=8,'Wk 7-12 Input'!H22,0)+IF(Roster!$B$16&gt;8,'Wk 7-12 Input'!G22,0)</f>
        <v>0</v>
      </c>
      <c r="N3">
        <f>IF(Roster!$B$16&gt;=9,'Wk 7-12 Input'!H37,0)+IF(Roster!$B$16&gt;9,'Wk 7-12 Input'!G37,0)</f>
        <v>0</v>
      </c>
      <c r="O3">
        <f>IF(Roster!$B$16&gt;=10,'Wk 7-12 Input'!H52,0)+IF(Roster!$B$16&gt;10,'Wk 7-12 Input'!G52,0)</f>
        <v>0</v>
      </c>
      <c r="P3">
        <f>IF(Roster!$B$16&gt;=11,'Wk 7-12 Input'!H67,0)+IF(Roster!$B$16&gt;11,'Wk 7-12 Input'!G67,0)</f>
        <v>0</v>
      </c>
      <c r="Q3">
        <f>IF(Roster!$B$16&gt;=12,'Wk 7-12 Input'!H82,0)+IF(Roster!$B$16&gt;12,'Wk 7-12 Input'!G82,0)</f>
        <v>0</v>
      </c>
      <c r="R3">
        <f t="shared" si="1"/>
        <v>0</v>
      </c>
      <c r="S3">
        <f>IF(AND(Roster!$B$16&gt;7,'Wk 7-12 Input'!F7="W"),1,0)+IF(AND(Roster!$B$16&gt;8,'Wk 7-12 Input'!F22="W"),1,0)+IF(AND(Roster!$B$16&gt;9,'Wk 7-12 Input'!F37="W"),1,0)+IF(AND(Roster!$B$16&gt;10,'Wk 7-12 Input'!F52="W"),1,0)+IF(AND(Roster!$B$16&gt;11,'Wk 7-12 Input'!F67="W"),1,0)+IF(AND(Roster!$B$16&gt;12,'Wk 7-12 Input'!F82="W"),1,0)</f>
        <v>0</v>
      </c>
      <c r="T3">
        <f>R3+0.0002</f>
        <v>2.0000000000000001E-4</v>
      </c>
      <c r="U3" t="str">
        <f>IF(Roster!$B$16&gt;13,'Wk 13-18 Input'!F7,"-")</f>
        <v>-</v>
      </c>
      <c r="V3" t="str">
        <f>IF(Roster!$B$16&gt;14,'Wk 13-18 Input'!F22,"-")</f>
        <v>-</v>
      </c>
      <c r="W3" t="str">
        <f>IF(Roster!$B$16&gt;15,'Wk 13-18 Input'!F37,"-")</f>
        <v>-</v>
      </c>
      <c r="X3" t="str">
        <f>IF(Roster!$B$16&gt;16,'Wk 13-18 Input'!F52,"-")</f>
        <v>-</v>
      </c>
      <c r="Y3" t="str">
        <f>IF(Roster!$B$16&gt;17,'Wk 13-18 Input'!F67,"-")</f>
        <v>-</v>
      </c>
      <c r="Z3" t="str">
        <f>IF(Roster!$B$16&gt;18,'Wk 13-18 Input'!F82,"-")</f>
        <v>-</v>
      </c>
      <c r="AA3">
        <f>IF(Roster!$B$16&gt;13,'Wk 13-18 Input'!G7,0)+IF(Roster!$B$16&gt;14,'Wk 13-18 Input'!G22,0)+IF(Roster!$B$16&gt;15,'Wk 13-18 Input'!G37,0)+IF(Roster!$B$16&gt;16,'Wk 13-18 Input'!G52,0)+IF(Roster!$B$16&gt;17,'Wk 13-18 Input'!G67,0)+IF(Roster!$B$16&gt;18,'Wk 13-18 Input'!G82,0)</f>
        <v>0</v>
      </c>
      <c r="AB3">
        <f>IF(Roster!$B$16&gt;13,'Wk 13-18 Input'!H7,0)+IF(Roster!$B$16&gt;14,'Wk 13-18 Input'!H22,0)+IF(Roster!$B$16&gt;15,'Wk 13-18 Input'!H37,0)+IF(Roster!$B$16&gt;16,'Wk 13-18 Input'!H52,0)+IF(Roster!$B$16&gt;17,'Wk 13-18 Input'!H67,0)+IF(Roster!$B$16&gt;18,'Wk 13-18 Input'!H82,0)</f>
        <v>0</v>
      </c>
      <c r="AC3">
        <f>IF(Roster!$B$16&gt;=13,'Wk 13-18 Input'!I7,0)+IF(Roster!$B$16&gt;=14,'Wk 13-18 Input'!I22,0)+IF(Roster!$B$16&gt;=15,'Wk 13-18 Input'!I37,0)+IF(Roster!$B$16&gt;=16,'Wk 13-18 Input'!I52,0)+IF(Roster!$B$16&gt;=17,'Wk 13-18 Input'!I67,0)+IF(Roster!$B$16&gt;=18,'Wk 13-18 Input'!I82,0)</f>
        <v>0</v>
      </c>
      <c r="AD3">
        <f>AA3+0.0002</f>
        <v>2.0000000000000001E-4</v>
      </c>
      <c r="AE3">
        <f t="shared" si="2"/>
        <v>68</v>
      </c>
      <c r="AF3">
        <f>AE3+0.0002</f>
        <v>68.000200000000007</v>
      </c>
    </row>
    <row r="4" spans="1:32" ht="15" customHeight="1" x14ac:dyDescent="0.25">
      <c r="A4">
        <v>3</v>
      </c>
      <c r="B4" t="str">
        <f>Roster!B5</f>
        <v>Jack Smith</v>
      </c>
      <c r="C4">
        <f>IF(Roster!$B$16&gt;=1,'Wk 1-6 Input'!H8,0)+IF(Roster!$B$16&gt;1,'Wk 1-6 Input'!G8,0)</f>
        <v>14</v>
      </c>
      <c r="D4">
        <f>IF(Roster!$B$16&gt;=2,'Wk 1-6 Input'!H23,0)+IF(Roster!$B$16&gt;2,'Wk 1-6 Input'!G23,0)</f>
        <v>6</v>
      </c>
      <c r="E4">
        <f>IF(Roster!$B$16&gt;=3,'Wk 1-6 Input'!H38,0)+IF(Roster!$B$16&gt;3,'Wk 1-6 Input'!G38,0)</f>
        <v>14</v>
      </c>
      <c r="F4">
        <f>IF(Roster!$B$16&gt;=4,'Wk 1-6 Input'!H53,0)+IF(Roster!$B$16&gt;4,'Wk 1-6 Input'!G53,0)</f>
        <v>15</v>
      </c>
      <c r="G4">
        <f>IF(Roster!$B$16&gt;=5,'Wk 1-6 Input'!H68,0)+IF(Roster!$B$16&gt;5,'Wk 1-6 Input'!G68,0)</f>
        <v>5</v>
      </c>
      <c r="H4">
        <f>IF(Roster!$B$16&gt;=6,'Wk 1-6 Input'!H83,0)+IF(Roster!$B$16&gt;6,'Wk 1-6 Input'!G83,0)</f>
        <v>7</v>
      </c>
      <c r="I4">
        <f t="shared" si="0"/>
        <v>61</v>
      </c>
      <c r="J4">
        <f>IF(AND(Roster!$B$16&gt;1,'Wk 1-6 Input'!F8="W"),1,0)+IF(AND(Roster!$B$16&gt;2,'Wk 1-6 Input'!F23="W"),1,0)+IF(AND(Roster!$B$16&gt;3,'Wk 1-6 Input'!F38="W"),1,0)+IF(AND(Roster!$B$16&gt;4,'Wk 1-6 Input'!F53="W"),1,0)+IF(AND(Roster!$B$16&gt;5,'Wk 1-6 Input'!F68="W"),1,0)+IF(AND(Roster!$B$16&gt;6,'Wk 1-6 Input'!F83="W"),1,0)</f>
        <v>3</v>
      </c>
      <c r="K4">
        <f>I4+0.0003</f>
        <v>61.000300000000003</v>
      </c>
      <c r="L4">
        <f>IF(Roster!$B$16&gt;=7,'Wk 7-12 Input'!H8,0)+IF(Roster!$B$16&gt;7,'Wk 7-12 Input'!G8,0)</f>
        <v>0</v>
      </c>
      <c r="M4">
        <f>IF(Roster!$B$16&gt;=8,'Wk 7-12 Input'!H23,0)+IF(Roster!$B$16&gt;8,'Wk 7-12 Input'!G23,0)</f>
        <v>0</v>
      </c>
      <c r="N4">
        <f>IF(Roster!$B$16&gt;=9,'Wk 7-12 Input'!H38,0)+IF(Roster!$B$16&gt;9,'Wk 7-12 Input'!G38,0)</f>
        <v>0</v>
      </c>
      <c r="O4">
        <f>IF(Roster!$B$16&gt;=10,'Wk 7-12 Input'!H53,0)+IF(Roster!$B$16&gt;10,'Wk 7-12 Input'!G53,0)</f>
        <v>0</v>
      </c>
      <c r="P4">
        <f>IF(Roster!$B$16&gt;=11,'Wk 7-12 Input'!H68,0)+IF(Roster!$B$16&gt;11,'Wk 7-12 Input'!G68,0)</f>
        <v>0</v>
      </c>
      <c r="Q4">
        <f>IF(Roster!$B$16&gt;=12,'Wk 7-12 Input'!H83,0)+IF(Roster!$B$16&gt;12,'Wk 7-12 Input'!G83,0)</f>
        <v>0</v>
      </c>
      <c r="R4">
        <f t="shared" si="1"/>
        <v>0</v>
      </c>
      <c r="S4">
        <f>IF(AND(Roster!$B$16&gt;7,'Wk 7-12 Input'!F8="W"),1,0)+IF(AND(Roster!$B$16&gt;8,'Wk 7-12 Input'!F23="W"),1,0)+IF(AND(Roster!$B$16&gt;9,'Wk 7-12 Input'!F38="W"),1,0)+IF(AND(Roster!$B$16&gt;10,'Wk 7-12 Input'!F53="W"),1,0)+IF(AND(Roster!$B$16&gt;11,'Wk 7-12 Input'!F68="W"),1,0)+IF(AND(Roster!$B$16&gt;12,'Wk 7-12 Input'!F83="W"),1,0)</f>
        <v>0</v>
      </c>
      <c r="T4">
        <f>R4+0.0003</f>
        <v>2.9999999999999997E-4</v>
      </c>
      <c r="U4" t="str">
        <f>IF(Roster!$B$16&gt;13,'Wk 13-18 Input'!F8,"-")</f>
        <v>-</v>
      </c>
      <c r="V4" t="str">
        <f>IF(Roster!$B$16&gt;14,'Wk 13-18 Input'!F23,"-")</f>
        <v>-</v>
      </c>
      <c r="W4" t="str">
        <f>IF(Roster!$B$16&gt;15,'Wk 13-18 Input'!F38,"-")</f>
        <v>-</v>
      </c>
      <c r="X4" t="str">
        <f>IF(Roster!$B$16&gt;16,'Wk 13-18 Input'!F53,"-")</f>
        <v>-</v>
      </c>
      <c r="Y4" t="str">
        <f>IF(Roster!$B$16&gt;17,'Wk 13-18 Input'!F68,"-")</f>
        <v>-</v>
      </c>
      <c r="Z4" t="str">
        <f>IF(Roster!$B$16&gt;18,'Wk 13-18 Input'!F83,"-")</f>
        <v>-</v>
      </c>
      <c r="AA4">
        <f>IF(Roster!$B$16&gt;13,'Wk 13-18 Input'!G8,0)+IF(Roster!$B$16&gt;14,'Wk 13-18 Input'!G23,0)+IF(Roster!$B$16&gt;15,'Wk 13-18 Input'!G38,0)+IF(Roster!$B$16&gt;16,'Wk 13-18 Input'!G53,0)+IF(Roster!$B$16&gt;17,'Wk 13-18 Input'!G68,0)+IF(Roster!$B$16&gt;18,'Wk 13-18 Input'!G83,0)</f>
        <v>0</v>
      </c>
      <c r="AB4">
        <f>IF(Roster!$B$16&gt;13,'Wk 13-18 Input'!H8,0)+IF(Roster!$B$16&gt;14,'Wk 13-18 Input'!H23,0)+IF(Roster!$B$16&gt;15,'Wk 13-18 Input'!H38,0)+IF(Roster!$B$16&gt;16,'Wk 13-18 Input'!H53,0)+IF(Roster!$B$16&gt;17,'Wk 13-18 Input'!H68,0)+IF(Roster!$B$16&gt;18,'Wk 13-18 Input'!H83,0)</f>
        <v>0</v>
      </c>
      <c r="AC4">
        <f>IF(Roster!$B$16&gt;=13,'Wk 13-18 Input'!I8,0)+IF(Roster!$B$16&gt;=14,'Wk 13-18 Input'!I23,0)+IF(Roster!$B$16&gt;=15,'Wk 13-18 Input'!I38,0)+IF(Roster!$B$16&gt;=16,'Wk 13-18 Input'!I53,0)+IF(Roster!$B$16&gt;=17,'Wk 13-18 Input'!I68,0)+IF(Roster!$B$16&gt;=18,'Wk 13-18 Input'!I83,0)</f>
        <v>0</v>
      </c>
      <c r="AD4">
        <f>AA4+0.0003</f>
        <v>2.9999999999999997E-4</v>
      </c>
      <c r="AE4">
        <f t="shared" si="2"/>
        <v>61</v>
      </c>
      <c r="AF4">
        <f>AE4+0.0003</f>
        <v>61.000300000000003</v>
      </c>
    </row>
    <row r="5" spans="1:32" ht="15" customHeight="1" x14ac:dyDescent="0.25">
      <c r="A5">
        <v>4</v>
      </c>
      <c r="B5" t="str">
        <f>Roster!B6</f>
        <v>Luke Ussery</v>
      </c>
      <c r="C5">
        <f>IF(Roster!$B$16&gt;=1,'Wk 1-6 Input'!H9,0)+IF(Roster!$B$16&gt;1,'Wk 1-6 Input'!G9,0)</f>
        <v>6</v>
      </c>
      <c r="D5">
        <f>IF(Roster!$B$16&gt;=2,'Wk 1-6 Input'!H24,0)+IF(Roster!$B$16&gt;2,'Wk 1-6 Input'!G24,0)</f>
        <v>14</v>
      </c>
      <c r="E5">
        <f>IF(Roster!$B$16&gt;=3,'Wk 1-6 Input'!H39,0)+IF(Roster!$B$16&gt;3,'Wk 1-6 Input'!G39,0)</f>
        <v>0</v>
      </c>
      <c r="F5">
        <f>IF(Roster!$B$16&gt;=4,'Wk 1-6 Input'!H54,0)+IF(Roster!$B$16&gt;4,'Wk 1-6 Input'!G54,0)</f>
        <v>18</v>
      </c>
      <c r="G5">
        <f>IF(Roster!$B$16&gt;=5,'Wk 1-6 Input'!H69,0)+IF(Roster!$B$16&gt;5,'Wk 1-6 Input'!G69,0)</f>
        <v>0</v>
      </c>
      <c r="H5">
        <f>IF(Roster!$B$16&gt;=6,'Wk 1-6 Input'!H84,0)+IF(Roster!$B$16&gt;6,'Wk 1-6 Input'!G84,0)</f>
        <v>0</v>
      </c>
      <c r="I5">
        <f t="shared" si="0"/>
        <v>38</v>
      </c>
      <c r="J5">
        <f>IF(AND(Roster!$B$16&gt;1,'Wk 1-6 Input'!F9="W"),1,0)+IF(AND(Roster!$B$16&gt;2,'Wk 1-6 Input'!F24="W"),1,0)+IF(AND(Roster!$B$16&gt;3,'Wk 1-6 Input'!F39="W"),1,0)+IF(AND(Roster!$B$16&gt;4,'Wk 1-6 Input'!F54="W"),1,0)+IF(AND(Roster!$B$16&gt;5,'Wk 1-6 Input'!F69="W"),1,0)+IF(AND(Roster!$B$16&gt;6,'Wk 1-6 Input'!F84="W"),1,0)</f>
        <v>2</v>
      </c>
      <c r="K5">
        <f>I5+0.0004</f>
        <v>38.000399999999999</v>
      </c>
      <c r="L5">
        <f>IF(Roster!$B$16&gt;=7,'Wk 7-12 Input'!H9,0)+IF(Roster!$B$16&gt;7,'Wk 7-12 Input'!G9,0)</f>
        <v>0</v>
      </c>
      <c r="M5">
        <f>IF(Roster!$B$16&gt;=8,'Wk 7-12 Input'!H24,0)+IF(Roster!$B$16&gt;8,'Wk 7-12 Input'!G24,0)</f>
        <v>0</v>
      </c>
      <c r="N5">
        <f>IF(Roster!$B$16&gt;=9,'Wk 7-12 Input'!H39,0)+IF(Roster!$B$16&gt;9,'Wk 7-12 Input'!G39,0)</f>
        <v>0</v>
      </c>
      <c r="O5">
        <f>IF(Roster!$B$16&gt;=10,'Wk 7-12 Input'!H54,0)+IF(Roster!$B$16&gt;10,'Wk 7-12 Input'!G54,0)</f>
        <v>0</v>
      </c>
      <c r="P5">
        <f>IF(Roster!$B$16&gt;=11,'Wk 7-12 Input'!H69,0)+IF(Roster!$B$16&gt;11,'Wk 7-12 Input'!G69,0)</f>
        <v>0</v>
      </c>
      <c r="Q5">
        <f>IF(Roster!$B$16&gt;=12,'Wk 7-12 Input'!H84,0)+IF(Roster!$B$16&gt;12,'Wk 7-12 Input'!G84,0)</f>
        <v>0</v>
      </c>
      <c r="R5">
        <f t="shared" si="1"/>
        <v>0</v>
      </c>
      <c r="S5">
        <f>IF(AND(Roster!$B$16&gt;7,'Wk 7-12 Input'!F9="W"),1,0)+IF(AND(Roster!$B$16&gt;8,'Wk 7-12 Input'!F24="W"),1,0)+IF(AND(Roster!$B$16&gt;9,'Wk 7-12 Input'!F39="W"),1,0)+IF(AND(Roster!$B$16&gt;10,'Wk 7-12 Input'!F54="W"),1,0)+IF(AND(Roster!$B$16&gt;11,'Wk 7-12 Input'!F69="W"),1,0)+IF(AND(Roster!$B$16&gt;12,'Wk 7-12 Input'!F84="W"),1,0)</f>
        <v>0</v>
      </c>
      <c r="T5">
        <f>R5+0.0004</f>
        <v>4.0000000000000002E-4</v>
      </c>
      <c r="U5" t="str">
        <f>IF(Roster!$B$16&gt;13,'Wk 13-18 Input'!F9,"-")</f>
        <v>-</v>
      </c>
      <c r="V5" t="str">
        <f>IF(Roster!$B$16&gt;14,'Wk 13-18 Input'!F24,"-")</f>
        <v>-</v>
      </c>
      <c r="W5" t="str">
        <f>IF(Roster!$B$16&gt;15,'Wk 13-18 Input'!F39,"-")</f>
        <v>-</v>
      </c>
      <c r="X5" t="str">
        <f>IF(Roster!$B$16&gt;16,'Wk 13-18 Input'!F54,"-")</f>
        <v>-</v>
      </c>
      <c r="Y5" t="str">
        <f>IF(Roster!$B$16&gt;17,'Wk 13-18 Input'!F69,"-")</f>
        <v>-</v>
      </c>
      <c r="Z5" t="str">
        <f>IF(Roster!$B$16&gt;18,'Wk 13-18 Input'!F84,"-")</f>
        <v>-</v>
      </c>
      <c r="AA5">
        <f>IF(Roster!$B$16&gt;13,'Wk 13-18 Input'!G9,0)+IF(Roster!$B$16&gt;14,'Wk 13-18 Input'!G24,0)+IF(Roster!$B$16&gt;15,'Wk 13-18 Input'!G39,0)+IF(Roster!$B$16&gt;16,'Wk 13-18 Input'!G54,0)+IF(Roster!$B$16&gt;17,'Wk 13-18 Input'!G69,0)+IF(Roster!$B$16&gt;18,'Wk 13-18 Input'!G84,0)</f>
        <v>0</v>
      </c>
      <c r="AB5">
        <f>IF(Roster!$B$16&gt;13,'Wk 13-18 Input'!H9,0)+IF(Roster!$B$16&gt;14,'Wk 13-18 Input'!H24,0)+IF(Roster!$B$16&gt;15,'Wk 13-18 Input'!H39,0)+IF(Roster!$B$16&gt;16,'Wk 13-18 Input'!H54,0)+IF(Roster!$B$16&gt;17,'Wk 13-18 Input'!H69,0)+IF(Roster!$B$16&gt;18,'Wk 13-18 Input'!H84,0)</f>
        <v>0</v>
      </c>
      <c r="AC5">
        <f>IF(Roster!$B$16&gt;=13,'Wk 13-18 Input'!I9,0)+IF(Roster!$B$16&gt;=14,'Wk 13-18 Input'!I24,0)+IF(Roster!$B$16&gt;=15,'Wk 13-18 Input'!I39,0)+IF(Roster!$B$16&gt;=16,'Wk 13-18 Input'!I54,0)+IF(Roster!$B$16&gt;=17,'Wk 13-18 Input'!I69,0)+IF(Roster!$B$16&gt;=18,'Wk 13-18 Input'!I84,0)</f>
        <v>0</v>
      </c>
      <c r="AD5">
        <f>AA5+0.0004</f>
        <v>4.0000000000000002E-4</v>
      </c>
      <c r="AE5">
        <f t="shared" si="2"/>
        <v>38</v>
      </c>
      <c r="AF5">
        <f>AE5+0.0004</f>
        <v>38.000399999999999</v>
      </c>
    </row>
    <row r="6" spans="1:32" ht="15" customHeight="1" x14ac:dyDescent="0.25">
      <c r="A6">
        <v>5</v>
      </c>
      <c r="B6" t="str">
        <f>Roster!B7</f>
        <v>Mikayla Simmons</v>
      </c>
      <c r="C6">
        <f>IF(Roster!$B$16&gt;=1,'Wk 1-6 Input'!H10,0)+IF(Roster!$B$16&gt;1,'Wk 1-6 Input'!G10,0)</f>
        <v>16</v>
      </c>
      <c r="D6">
        <f>IF(Roster!$B$16&gt;=2,'Wk 1-6 Input'!H25,0)+IF(Roster!$B$16&gt;2,'Wk 1-6 Input'!G25,0)</f>
        <v>6</v>
      </c>
      <c r="E6">
        <f>IF(Roster!$B$16&gt;=3,'Wk 1-6 Input'!H40,0)+IF(Roster!$B$16&gt;3,'Wk 1-6 Input'!G40,0)</f>
        <v>15</v>
      </c>
      <c r="F6">
        <f>IF(Roster!$B$16&gt;=4,'Wk 1-6 Input'!H55,0)+IF(Roster!$B$16&gt;4,'Wk 1-6 Input'!G55,0)</f>
        <v>6</v>
      </c>
      <c r="G6">
        <f>IF(Roster!$B$16&gt;=5,'Wk 1-6 Input'!H70,0)+IF(Roster!$B$16&gt;5,'Wk 1-6 Input'!G70,0)</f>
        <v>15</v>
      </c>
      <c r="H6">
        <f>IF(Roster!$B$16&gt;=6,'Wk 1-6 Input'!H85,0)+IF(Roster!$B$16&gt;6,'Wk 1-6 Input'!G85,0)</f>
        <v>13</v>
      </c>
      <c r="I6">
        <f t="shared" si="0"/>
        <v>71</v>
      </c>
      <c r="J6">
        <f>IF(AND(Roster!$B$16&gt;1,'Wk 1-6 Input'!F10="W"),1,0)+IF(AND(Roster!$B$16&gt;2,'Wk 1-6 Input'!F25="W"),1,0)+IF(AND(Roster!$B$16&gt;3,'Wk 1-6 Input'!F40="W"),1,0)+IF(AND(Roster!$B$16&gt;4,'Wk 1-6 Input'!F55="W"),1,0)+IF(AND(Roster!$B$16&gt;5,'Wk 1-6 Input'!F70="W"),1,0)+IF(AND(Roster!$B$16&gt;6,'Wk 1-6 Input'!F85="W"),1,0)</f>
        <v>4</v>
      </c>
      <c r="K6">
        <f>I6+0.0005</f>
        <v>71.000500000000002</v>
      </c>
      <c r="L6">
        <f>IF(Roster!$B$16&gt;=7,'Wk 7-12 Input'!H10,0)+IF(Roster!$B$16&gt;7,'Wk 7-12 Input'!G10,0)</f>
        <v>0</v>
      </c>
      <c r="M6">
        <f>IF(Roster!$B$16&gt;=8,'Wk 7-12 Input'!H25,0)+IF(Roster!$B$16&gt;8,'Wk 7-12 Input'!G25,0)</f>
        <v>0</v>
      </c>
      <c r="N6">
        <f>IF(Roster!$B$16&gt;=9,'Wk 7-12 Input'!H40,0)+IF(Roster!$B$16&gt;9,'Wk 7-12 Input'!G40,0)</f>
        <v>0</v>
      </c>
      <c r="O6">
        <f>IF(Roster!$B$16&gt;=10,'Wk 7-12 Input'!H55,0)+IF(Roster!$B$16&gt;10,'Wk 7-12 Input'!G55,0)</f>
        <v>0</v>
      </c>
      <c r="P6">
        <f>IF(Roster!$B$16&gt;=11,'Wk 7-12 Input'!H70,0)+IF(Roster!$B$16&gt;11,'Wk 7-12 Input'!G70,0)</f>
        <v>0</v>
      </c>
      <c r="Q6">
        <f>IF(Roster!$B$16&gt;=12,'Wk 7-12 Input'!H85,0)+IF(Roster!$B$16&gt;12,'Wk 7-12 Input'!G85,0)</f>
        <v>0</v>
      </c>
      <c r="R6">
        <f t="shared" si="1"/>
        <v>0</v>
      </c>
      <c r="S6">
        <f>IF(AND(Roster!$B$16&gt;7,'Wk 7-12 Input'!F10="W"),1,0)+IF(AND(Roster!$B$16&gt;8,'Wk 7-12 Input'!F25="W"),1,0)+IF(AND(Roster!$B$16&gt;9,'Wk 7-12 Input'!F40="W"),1,0)+IF(AND(Roster!$B$16&gt;10,'Wk 7-12 Input'!F55="W"),1,0)+IF(AND(Roster!$B$16&gt;11,'Wk 7-12 Input'!F70="W"),1,0)+IF(AND(Roster!$B$16&gt;12,'Wk 7-12 Input'!F85="W"),1,0)</f>
        <v>0</v>
      </c>
      <c r="T6">
        <f>R6+0.0005</f>
        <v>5.0000000000000001E-4</v>
      </c>
      <c r="U6" t="str">
        <f>IF(Roster!$B$16&gt;13,'Wk 13-18 Input'!F10,"-")</f>
        <v>-</v>
      </c>
      <c r="V6" t="str">
        <f>IF(Roster!$B$16&gt;14,'Wk 13-18 Input'!F25,"-")</f>
        <v>-</v>
      </c>
      <c r="W6" t="str">
        <f>IF(Roster!$B$16&gt;15,'Wk 13-18 Input'!F40,"-")</f>
        <v>-</v>
      </c>
      <c r="X6" t="str">
        <f>IF(Roster!$B$16&gt;16,'Wk 13-18 Input'!F55,"-")</f>
        <v>-</v>
      </c>
      <c r="Y6" t="str">
        <f>IF(Roster!$B$16&gt;17,'Wk 13-18 Input'!F70,"-")</f>
        <v>-</v>
      </c>
      <c r="Z6" t="str">
        <f>IF(Roster!$B$16&gt;18,'Wk 13-18 Input'!F85,"-")</f>
        <v>-</v>
      </c>
      <c r="AA6">
        <f>IF(Roster!$B$16&gt;13,'Wk 13-18 Input'!G10,0)+IF(Roster!$B$16&gt;14,'Wk 13-18 Input'!G25,0)+IF(Roster!$B$16&gt;15,'Wk 13-18 Input'!G40,0)+IF(Roster!$B$16&gt;16,'Wk 13-18 Input'!G55,0)+IF(Roster!$B$16&gt;17,'Wk 13-18 Input'!G70,0)+IF(Roster!$B$16&gt;18,'Wk 13-18 Input'!G85,0)</f>
        <v>0</v>
      </c>
      <c r="AB6">
        <f>IF(Roster!$B$16&gt;13,'Wk 13-18 Input'!H10,0)+IF(Roster!$B$16&gt;14,'Wk 13-18 Input'!H25,0)+IF(Roster!$B$16&gt;15,'Wk 13-18 Input'!H40,0)+IF(Roster!$B$16&gt;16,'Wk 13-18 Input'!H55,0)+IF(Roster!$B$16&gt;17,'Wk 13-18 Input'!H70,0)+IF(Roster!$B$16&gt;18,'Wk 13-18 Input'!H85,0)</f>
        <v>0</v>
      </c>
      <c r="AC6">
        <f>IF(Roster!$B$16&gt;=13,'Wk 13-18 Input'!I10,0)+IF(Roster!$B$16&gt;=14,'Wk 13-18 Input'!I25,0)+IF(Roster!$B$16&gt;=15,'Wk 13-18 Input'!I40,0)+IF(Roster!$B$16&gt;=16,'Wk 13-18 Input'!I55,0)+IF(Roster!$B$16&gt;=17,'Wk 13-18 Input'!I70,0)+IF(Roster!$B$16&gt;=18,'Wk 13-18 Input'!I85,0)</f>
        <v>0</v>
      </c>
      <c r="AD6">
        <f>AA6+0.0005</f>
        <v>5.0000000000000001E-4</v>
      </c>
      <c r="AE6">
        <f t="shared" si="2"/>
        <v>71</v>
      </c>
      <c r="AF6">
        <f>AE6+0.0005</f>
        <v>71.000500000000002</v>
      </c>
    </row>
    <row r="7" spans="1:32" ht="15" customHeight="1" x14ac:dyDescent="0.25">
      <c r="A7">
        <v>6</v>
      </c>
      <c r="B7" t="str">
        <f>Roster!B8</f>
        <v>Alan Loeser</v>
      </c>
      <c r="C7">
        <f>IF(Roster!$B$16&gt;=1,'Wk 1-6 Input'!H11,0)+IF(Roster!$B$16&gt;1,'Wk 1-6 Input'!G11,0)</f>
        <v>13</v>
      </c>
      <c r="D7">
        <f>IF(Roster!$B$16&gt;=2,'Wk 1-6 Input'!H26,0)+IF(Roster!$B$16&gt;2,'Wk 1-6 Input'!G26,0)</f>
        <v>7</v>
      </c>
      <c r="E7">
        <f>IF(Roster!$B$16&gt;=3,'Wk 1-6 Input'!H41,0)+IF(Roster!$B$16&gt;3,'Wk 1-6 Input'!G41,0)</f>
        <v>13</v>
      </c>
      <c r="F7">
        <f>IF(Roster!$B$16&gt;=4,'Wk 1-6 Input'!H56,0)+IF(Roster!$B$16&gt;4,'Wk 1-6 Input'!G56,0)</f>
        <v>7</v>
      </c>
      <c r="G7">
        <f>IF(Roster!$B$16&gt;=5,'Wk 1-6 Input'!H71,0)+IF(Roster!$B$16&gt;5,'Wk 1-6 Input'!G71,0)</f>
        <v>16</v>
      </c>
      <c r="H7">
        <f>IF(Roster!$B$16&gt;=6,'Wk 1-6 Input'!H86,0)+IF(Roster!$B$16&gt;6,'Wk 1-6 Input'!G86,0)</f>
        <v>4</v>
      </c>
      <c r="I7">
        <f t="shared" si="0"/>
        <v>60</v>
      </c>
      <c r="J7">
        <f>IF(AND(Roster!$B$16&gt;1,'Wk 1-6 Input'!F11="W"),1,0)+IF(AND(Roster!$B$16&gt;2,'Wk 1-6 Input'!F26="W"),1,0)+IF(AND(Roster!$B$16&gt;3,'Wk 1-6 Input'!F41="W"),1,0)+IF(AND(Roster!$B$16&gt;4,'Wk 1-6 Input'!F56="W"),1,0)+IF(AND(Roster!$B$16&gt;5,'Wk 1-6 Input'!F71="W"),1,0)+IF(AND(Roster!$B$16&gt;6,'Wk 1-6 Input'!F86="W"),1,0)</f>
        <v>3</v>
      </c>
      <c r="K7">
        <f>I7+0.0006</f>
        <v>60.000599999999999</v>
      </c>
      <c r="L7">
        <f>IF(Roster!$B$16&gt;=7,'Wk 7-12 Input'!H11,0)+IF(Roster!$B$16&gt;7,'Wk 7-12 Input'!G11,0)</f>
        <v>0</v>
      </c>
      <c r="M7">
        <f>IF(Roster!$B$16&gt;=8,'Wk 7-12 Input'!H26,0)+IF(Roster!$B$16&gt;8,'Wk 7-12 Input'!G26,0)</f>
        <v>0</v>
      </c>
      <c r="N7">
        <f>IF(Roster!$B$16&gt;=9,'Wk 7-12 Input'!H41,0)+IF(Roster!$B$16&gt;9,'Wk 7-12 Input'!G41,0)</f>
        <v>0</v>
      </c>
      <c r="O7">
        <f>IF(Roster!$B$16&gt;=10,'Wk 7-12 Input'!H56,0)+IF(Roster!$B$16&gt;10,'Wk 7-12 Input'!G56,0)</f>
        <v>0</v>
      </c>
      <c r="P7">
        <f>IF(Roster!$B$16&gt;=11,'Wk 7-12 Input'!H71,0)+IF(Roster!$B$16&gt;11,'Wk 7-12 Input'!G71,0)</f>
        <v>0</v>
      </c>
      <c r="Q7">
        <f>IF(Roster!$B$16&gt;=12,'Wk 7-12 Input'!H86,0)+IF(Roster!$B$16&gt;12,'Wk 7-12 Input'!G86,0)</f>
        <v>0</v>
      </c>
      <c r="R7">
        <f t="shared" si="1"/>
        <v>0</v>
      </c>
      <c r="S7">
        <f>IF(AND(Roster!$B$16&gt;7,'Wk 7-12 Input'!F11="W"),1,0)+IF(AND(Roster!$B$16&gt;8,'Wk 7-12 Input'!F26="W"),1,0)+IF(AND(Roster!$B$16&gt;9,'Wk 7-12 Input'!F41="W"),1,0)+IF(AND(Roster!$B$16&gt;10,'Wk 7-12 Input'!F56="W"),1,0)+IF(AND(Roster!$B$16&gt;11,'Wk 7-12 Input'!F71="W"),1,0)+IF(AND(Roster!$B$16&gt;12,'Wk 7-12 Input'!F86="W"),1,0)</f>
        <v>0</v>
      </c>
      <c r="T7">
        <f>R7+0.0006</f>
        <v>5.9999999999999995E-4</v>
      </c>
      <c r="U7" t="str">
        <f>IF(Roster!$B$16&gt;13,'Wk 13-18 Input'!F11,"-")</f>
        <v>-</v>
      </c>
      <c r="V7" t="str">
        <f>IF(Roster!$B$16&gt;14,'Wk 13-18 Input'!F26,"-")</f>
        <v>-</v>
      </c>
      <c r="W7" t="str">
        <f>IF(Roster!$B$16&gt;15,'Wk 13-18 Input'!F41,"-")</f>
        <v>-</v>
      </c>
      <c r="X7" t="str">
        <f>IF(Roster!$B$16&gt;16,'Wk 13-18 Input'!F56,"-")</f>
        <v>-</v>
      </c>
      <c r="Y7" t="str">
        <f>IF(Roster!$B$16&gt;17,'Wk 13-18 Input'!F71,"-")</f>
        <v>-</v>
      </c>
      <c r="Z7" t="str">
        <f>IF(Roster!$B$16&gt;18,'Wk 13-18 Input'!F86,"-")</f>
        <v>-</v>
      </c>
      <c r="AA7">
        <f>IF(Roster!$B$16&gt;13,'Wk 13-18 Input'!G11,0)+IF(Roster!$B$16&gt;14,'Wk 13-18 Input'!G26,0)+IF(Roster!$B$16&gt;15,'Wk 13-18 Input'!G41,0)+IF(Roster!$B$16&gt;16,'Wk 13-18 Input'!G56,0)+IF(Roster!$B$16&gt;17,'Wk 13-18 Input'!G71,0)+IF(Roster!$B$16&gt;18,'Wk 13-18 Input'!G86,0)</f>
        <v>0</v>
      </c>
      <c r="AB7">
        <f>IF(Roster!$B$16&gt;13,'Wk 13-18 Input'!H11,0)+IF(Roster!$B$16&gt;14,'Wk 13-18 Input'!H26,0)+IF(Roster!$B$16&gt;15,'Wk 13-18 Input'!H41,0)+IF(Roster!$B$16&gt;16,'Wk 13-18 Input'!H56,0)+IF(Roster!$B$16&gt;17,'Wk 13-18 Input'!H71,0)+IF(Roster!$B$16&gt;18,'Wk 13-18 Input'!H86,0)</f>
        <v>0</v>
      </c>
      <c r="AC7">
        <f>IF(Roster!$B$16&gt;=13,'Wk 13-18 Input'!I11,0)+IF(Roster!$B$16&gt;=14,'Wk 13-18 Input'!I26,0)+IF(Roster!$B$16&gt;=15,'Wk 13-18 Input'!I41,0)+IF(Roster!$B$16&gt;=16,'Wk 13-18 Input'!I56,0)+IF(Roster!$B$16&gt;=17,'Wk 13-18 Input'!I71,0)+IF(Roster!$B$16&gt;=18,'Wk 13-18 Input'!I86,0)</f>
        <v>0</v>
      </c>
      <c r="AD7">
        <f>AA7+0.0006</f>
        <v>5.9999999999999995E-4</v>
      </c>
      <c r="AE7">
        <f t="shared" si="2"/>
        <v>60</v>
      </c>
      <c r="AF7">
        <f>AE7+0.0006</f>
        <v>60.000599999999999</v>
      </c>
    </row>
    <row r="8" spans="1:32" ht="15" customHeight="1" x14ac:dyDescent="0.25">
      <c r="A8">
        <v>7</v>
      </c>
      <c r="B8" t="str">
        <f>Roster!B9</f>
        <v>Caleb Simmons</v>
      </c>
      <c r="C8">
        <f>IF(Roster!$B$16&gt;=1,'Wk 1-6 Input'!H12,0)+IF(Roster!$B$16&gt;1,'Wk 1-6 Input'!G12,0)</f>
        <v>7</v>
      </c>
      <c r="D8">
        <f>IF(Roster!$B$16&gt;=2,'Wk 1-6 Input'!H27,0)+IF(Roster!$B$16&gt;2,'Wk 1-6 Input'!G27,0)</f>
        <v>12</v>
      </c>
      <c r="E8">
        <f>IF(Roster!$B$16&gt;=3,'Wk 1-6 Input'!H42,0)+IF(Roster!$B$16&gt;3,'Wk 1-6 Input'!G42,0)</f>
        <v>8</v>
      </c>
      <c r="F8">
        <f>IF(Roster!$B$16&gt;=4,'Wk 1-6 Input'!H57,0)+IF(Roster!$B$16&gt;4,'Wk 1-6 Input'!G57,0)</f>
        <v>6</v>
      </c>
      <c r="G8">
        <f>IF(Roster!$B$16&gt;=5,'Wk 1-6 Input'!H72,0)+IF(Roster!$B$16&gt;5,'Wk 1-6 Input'!G72,0)</f>
        <v>13</v>
      </c>
      <c r="H8">
        <f>IF(Roster!$B$16&gt;=6,'Wk 1-6 Input'!H87,0)+IF(Roster!$B$16&gt;6,'Wk 1-6 Input'!G87,0)</f>
        <v>13</v>
      </c>
      <c r="I8">
        <f t="shared" si="0"/>
        <v>59</v>
      </c>
      <c r="J8">
        <f>IF(AND(Roster!$B$16&gt;1,'Wk 1-6 Input'!F12="W"),1,0)+IF(AND(Roster!$B$16&gt;2,'Wk 1-6 Input'!F27="W"),1,0)+IF(AND(Roster!$B$16&gt;3,'Wk 1-6 Input'!F42="W"),1,0)+IF(AND(Roster!$B$16&gt;4,'Wk 1-6 Input'!F57="W"),1,0)+IF(AND(Roster!$B$16&gt;5,'Wk 1-6 Input'!F72="W"),1,0)+IF(AND(Roster!$B$16&gt;6,'Wk 1-6 Input'!F87="W"),1,0)</f>
        <v>3</v>
      </c>
      <c r="K8">
        <f>I8+0.0007</f>
        <v>59.000700000000002</v>
      </c>
      <c r="L8">
        <f>IF(Roster!$B$16&gt;=7,'Wk 7-12 Input'!H12,0)+IF(Roster!$B$16&gt;7,'Wk 7-12 Input'!G12,0)</f>
        <v>0</v>
      </c>
      <c r="M8">
        <f>IF(Roster!$B$16&gt;=8,'Wk 7-12 Input'!H27,0)+IF(Roster!$B$16&gt;8,'Wk 7-12 Input'!G27,0)</f>
        <v>0</v>
      </c>
      <c r="N8">
        <f>IF(Roster!$B$16&gt;=9,'Wk 7-12 Input'!H42,0)+IF(Roster!$B$16&gt;9,'Wk 7-12 Input'!G42,0)</f>
        <v>0</v>
      </c>
      <c r="O8">
        <f>IF(Roster!$B$16&gt;=10,'Wk 7-12 Input'!H57,0)+IF(Roster!$B$16&gt;10,'Wk 7-12 Input'!G57,0)</f>
        <v>0</v>
      </c>
      <c r="P8">
        <f>IF(Roster!$B$16&gt;=11,'Wk 7-12 Input'!H72,0)+IF(Roster!$B$16&gt;11,'Wk 7-12 Input'!G72,0)</f>
        <v>0</v>
      </c>
      <c r="Q8">
        <f>IF(Roster!$B$16&gt;=12,'Wk 7-12 Input'!H87,0)+IF(Roster!$B$16&gt;12,'Wk 7-12 Input'!G87,0)</f>
        <v>0</v>
      </c>
      <c r="R8">
        <f t="shared" si="1"/>
        <v>0</v>
      </c>
      <c r="S8">
        <f>IF(AND(Roster!$B$16&gt;7,'Wk 7-12 Input'!F12="W"),1,0)+IF(AND(Roster!$B$16&gt;8,'Wk 7-12 Input'!F27="W"),1,0)+IF(AND(Roster!$B$16&gt;9,'Wk 7-12 Input'!F42="W"),1,0)+IF(AND(Roster!$B$16&gt;10,'Wk 7-12 Input'!F57="W"),1,0)+IF(AND(Roster!$B$16&gt;11,'Wk 7-12 Input'!F72="W"),1,0)+IF(AND(Roster!$B$16&gt;12,'Wk 7-12 Input'!F87="W"),1,0)</f>
        <v>0</v>
      </c>
      <c r="T8">
        <f>R8+0.0007</f>
        <v>6.9999999999999999E-4</v>
      </c>
      <c r="U8" t="str">
        <f>IF(Roster!$B$16&gt;13,'Wk 13-18 Input'!F12,"-")</f>
        <v>-</v>
      </c>
      <c r="V8" t="str">
        <f>IF(Roster!$B$16&gt;14,'Wk 13-18 Input'!F27,"-")</f>
        <v>-</v>
      </c>
      <c r="W8" t="str">
        <f>IF(Roster!$B$16&gt;15,'Wk 13-18 Input'!F42,"-")</f>
        <v>-</v>
      </c>
      <c r="X8" t="str">
        <f>IF(Roster!$B$16&gt;16,'Wk 13-18 Input'!F57,"-")</f>
        <v>-</v>
      </c>
      <c r="Y8" t="str">
        <f>IF(Roster!$B$16&gt;17,'Wk 13-18 Input'!F72,"-")</f>
        <v>-</v>
      </c>
      <c r="Z8" t="str">
        <f>IF(Roster!$B$16&gt;18,'Wk 13-18 Input'!F87,"-")</f>
        <v>-</v>
      </c>
      <c r="AA8">
        <f>IF(Roster!$B$16&gt;13,'Wk 13-18 Input'!G12,0)+IF(Roster!$B$16&gt;14,'Wk 13-18 Input'!G27,0)+IF(Roster!$B$16&gt;15,'Wk 13-18 Input'!G42,0)+IF(Roster!$B$16&gt;16,'Wk 13-18 Input'!G57,0)+IF(Roster!$B$16&gt;17,'Wk 13-18 Input'!G72,0)+IF(Roster!$B$16&gt;18,'Wk 13-18 Input'!G87,0)</f>
        <v>0</v>
      </c>
      <c r="AB8">
        <f>IF(Roster!$B$16&gt;13,'Wk 13-18 Input'!H12,0)+IF(Roster!$B$16&gt;14,'Wk 13-18 Input'!H27,0)+IF(Roster!$B$16&gt;15,'Wk 13-18 Input'!H42,0)+IF(Roster!$B$16&gt;16,'Wk 13-18 Input'!H57,0)+IF(Roster!$B$16&gt;17,'Wk 13-18 Input'!H72,0)+IF(Roster!$B$16&gt;18,'Wk 13-18 Input'!H87,0)</f>
        <v>0</v>
      </c>
      <c r="AC8">
        <f>IF(Roster!$B$16&gt;=13,'Wk 13-18 Input'!I12,0)+IF(Roster!$B$16&gt;=14,'Wk 13-18 Input'!I27,0)+IF(Roster!$B$16&gt;=15,'Wk 13-18 Input'!I42,0)+IF(Roster!$B$16&gt;=16,'Wk 13-18 Input'!I57,0)+IF(Roster!$B$16&gt;=17,'Wk 13-18 Input'!I72,0)+IF(Roster!$B$16&gt;=18,'Wk 13-18 Input'!I87,0)</f>
        <v>0</v>
      </c>
      <c r="AD8">
        <f>AA8+0.0007</f>
        <v>6.9999999999999999E-4</v>
      </c>
      <c r="AE8">
        <f t="shared" si="2"/>
        <v>59</v>
      </c>
      <c r="AF8">
        <f>AE8+0.0007</f>
        <v>59.000700000000002</v>
      </c>
    </row>
    <row r="9" spans="1:32" ht="15" customHeight="1" x14ac:dyDescent="0.25">
      <c r="A9">
        <v>8</v>
      </c>
      <c r="B9" t="str">
        <f>Roster!B10</f>
        <v>Larry Loeser</v>
      </c>
      <c r="C9">
        <f>IF(Roster!$B$16&gt;=1,'Wk 1-6 Input'!H13,0)+IF(Roster!$B$16&gt;1,'Wk 1-6 Input'!G13,0)</f>
        <v>8</v>
      </c>
      <c r="D9">
        <f>IF(Roster!$B$16&gt;=2,'Wk 1-6 Input'!H28,0)+IF(Roster!$B$16&gt;2,'Wk 1-6 Input'!G28,0)</f>
        <v>4</v>
      </c>
      <c r="E9">
        <f>IF(Roster!$B$16&gt;=3,'Wk 1-6 Input'!H43,0)+IF(Roster!$B$16&gt;3,'Wk 1-6 Input'!G43,0)</f>
        <v>7</v>
      </c>
      <c r="F9">
        <f>IF(Roster!$B$16&gt;=4,'Wk 1-6 Input'!H58,0)+IF(Roster!$B$16&gt;4,'Wk 1-6 Input'!G58,0)</f>
        <v>11</v>
      </c>
      <c r="G9">
        <f>IF(Roster!$B$16&gt;=5,'Wk 1-6 Input'!H73,0)+IF(Roster!$B$16&gt;5,'Wk 1-6 Input'!G73,0)</f>
        <v>13</v>
      </c>
      <c r="H9">
        <f>IF(Roster!$B$16&gt;=6,'Wk 1-6 Input'!H88,0)+IF(Roster!$B$16&gt;6,'Wk 1-6 Input'!G88,0)</f>
        <v>13</v>
      </c>
      <c r="I9">
        <f t="shared" si="0"/>
        <v>56</v>
      </c>
      <c r="J9">
        <f>IF(AND(Roster!$B$16&gt;1,'Wk 1-6 Input'!F13="W"),1,0)+IF(AND(Roster!$B$16&gt;2,'Wk 1-6 Input'!F28="W"),1,0)+IF(AND(Roster!$B$16&gt;3,'Wk 1-6 Input'!F43="W"),1,0)+IF(AND(Roster!$B$16&gt;4,'Wk 1-6 Input'!F58="W"),1,0)+IF(AND(Roster!$B$16&gt;5,'Wk 1-6 Input'!F73="W"),1,0)+IF(AND(Roster!$B$16&gt;6,'Wk 1-6 Input'!F88="W"),1,0)</f>
        <v>2</v>
      </c>
      <c r="K9">
        <f>I9+0.0008</f>
        <v>56.000799999999998</v>
      </c>
      <c r="L9">
        <f>IF(Roster!$B$16&gt;=7,'Wk 7-12 Input'!H13,0)+IF(Roster!$B$16&gt;7,'Wk 7-12 Input'!G13,0)</f>
        <v>0</v>
      </c>
      <c r="M9">
        <f>IF(Roster!$B$16&gt;=8,'Wk 7-12 Input'!H28,0)+IF(Roster!$B$16&gt;8,'Wk 7-12 Input'!G28,0)</f>
        <v>0</v>
      </c>
      <c r="N9">
        <f>IF(Roster!$B$16&gt;=9,'Wk 7-12 Input'!H43,0)+IF(Roster!$B$16&gt;9,'Wk 7-12 Input'!G43,0)</f>
        <v>0</v>
      </c>
      <c r="O9">
        <f>IF(Roster!$B$16&gt;=10,'Wk 7-12 Input'!H58,0)+IF(Roster!$B$16&gt;10,'Wk 7-12 Input'!G58,0)</f>
        <v>0</v>
      </c>
      <c r="P9">
        <f>IF(Roster!$B$16&gt;=11,'Wk 7-12 Input'!H73,0)+IF(Roster!$B$16&gt;11,'Wk 7-12 Input'!G73,0)</f>
        <v>0</v>
      </c>
      <c r="Q9">
        <f>IF(Roster!$B$16&gt;=12,'Wk 7-12 Input'!H88,0)+IF(Roster!$B$16&gt;12,'Wk 7-12 Input'!G88,0)</f>
        <v>0</v>
      </c>
      <c r="R9">
        <f t="shared" si="1"/>
        <v>0</v>
      </c>
      <c r="S9">
        <f>IF(AND(Roster!$B$16&gt;7,'Wk 7-12 Input'!F13="W"),1,0)+IF(AND(Roster!$B$16&gt;8,'Wk 7-12 Input'!F28="W"),1,0)+IF(AND(Roster!$B$16&gt;9,'Wk 7-12 Input'!F43="W"),1,0)+IF(AND(Roster!$B$16&gt;10,'Wk 7-12 Input'!F58="W"),1,0)+IF(AND(Roster!$B$16&gt;11,'Wk 7-12 Input'!F73="W"),1,0)+IF(AND(Roster!$B$16&gt;12,'Wk 7-12 Input'!F88="W"),1,0)</f>
        <v>0</v>
      </c>
      <c r="T9">
        <f>R9+0.0008</f>
        <v>8.0000000000000004E-4</v>
      </c>
      <c r="U9" t="str">
        <f>IF(Roster!$B$16&gt;13,'Wk 13-18 Input'!F13,"-")</f>
        <v>-</v>
      </c>
      <c r="V9" t="str">
        <f>IF(Roster!$B$16&gt;14,'Wk 13-18 Input'!F28,"-")</f>
        <v>-</v>
      </c>
      <c r="W9" t="str">
        <f>IF(Roster!$B$16&gt;15,'Wk 13-18 Input'!F43,"-")</f>
        <v>-</v>
      </c>
      <c r="X9" t="str">
        <f>IF(Roster!$B$16&gt;16,'Wk 13-18 Input'!F58,"-")</f>
        <v>-</v>
      </c>
      <c r="Y9" t="str">
        <f>IF(Roster!$B$16&gt;17,'Wk 13-18 Input'!F73,"-")</f>
        <v>-</v>
      </c>
      <c r="Z9" t="str">
        <f>IF(Roster!$B$16&gt;18,'Wk 13-18 Input'!F88,"-")</f>
        <v>-</v>
      </c>
      <c r="AA9">
        <f>IF(Roster!$B$16&gt;13,'Wk 13-18 Input'!G13,0)+IF(Roster!$B$16&gt;14,'Wk 13-18 Input'!G28,0)+IF(Roster!$B$16&gt;15,'Wk 13-18 Input'!G43,0)+IF(Roster!$B$16&gt;16,'Wk 13-18 Input'!G58,0)+IF(Roster!$B$16&gt;17,'Wk 13-18 Input'!G73,0)+IF(Roster!$B$16&gt;18,'Wk 13-18 Input'!G88,0)</f>
        <v>0</v>
      </c>
      <c r="AB9">
        <f>IF(Roster!$B$16&gt;13,'Wk 13-18 Input'!H13,0)+IF(Roster!$B$16&gt;14,'Wk 13-18 Input'!H28,0)+IF(Roster!$B$16&gt;15,'Wk 13-18 Input'!H43,0)+IF(Roster!$B$16&gt;16,'Wk 13-18 Input'!H58,0)+IF(Roster!$B$16&gt;17,'Wk 13-18 Input'!H73,0)+IF(Roster!$B$16&gt;18,'Wk 13-18 Input'!H88,0)</f>
        <v>0</v>
      </c>
      <c r="AC9">
        <f>IF(Roster!$B$16&gt;=13,'Wk 13-18 Input'!I13,0)+IF(Roster!$B$16&gt;=14,'Wk 13-18 Input'!I28,0)+IF(Roster!$B$16&gt;=15,'Wk 13-18 Input'!I43,0)+IF(Roster!$B$16&gt;=16,'Wk 13-18 Input'!I58,0)+IF(Roster!$B$16&gt;=17,'Wk 13-18 Input'!I73,0)+IF(Roster!$B$16&gt;=18,'Wk 13-18 Input'!I88,0)</f>
        <v>0</v>
      </c>
      <c r="AD9">
        <f>AA9+0.0008</f>
        <v>8.0000000000000004E-4</v>
      </c>
      <c r="AE9">
        <f t="shared" si="2"/>
        <v>56</v>
      </c>
      <c r="AF9">
        <f>AE9+0.0008</f>
        <v>56.000799999999998</v>
      </c>
    </row>
    <row r="10" spans="1:32" ht="15" customHeight="1" x14ac:dyDescent="0.25">
      <c r="A10">
        <v>9</v>
      </c>
      <c r="B10" t="str">
        <f>Roster!B11</f>
        <v>Daddy Michael</v>
      </c>
      <c r="C10">
        <f>IF(Roster!$B$16&gt;=1,'Wk 1-6 Input'!H14,0)+IF(Roster!$B$16&gt;1,'Wk 1-6 Input'!G14,0)</f>
        <v>8</v>
      </c>
      <c r="D10">
        <f>IF(Roster!$B$16&gt;=2,'Wk 1-6 Input'!H29,0)+IF(Roster!$B$16&gt;2,'Wk 1-6 Input'!G29,0)</f>
        <v>7</v>
      </c>
      <c r="E10">
        <f>IF(Roster!$B$16&gt;=3,'Wk 1-6 Input'!H44,0)+IF(Roster!$B$16&gt;3,'Wk 1-6 Input'!G44,0)</f>
        <v>8</v>
      </c>
      <c r="F10">
        <f>IF(Roster!$B$16&gt;=4,'Wk 1-6 Input'!H59,0)+IF(Roster!$B$16&gt;4,'Wk 1-6 Input'!G59,0)</f>
        <v>14</v>
      </c>
      <c r="G10">
        <f>IF(Roster!$B$16&gt;=5,'Wk 1-6 Input'!H74,0)+IF(Roster!$B$16&gt;5,'Wk 1-6 Input'!G74,0)</f>
        <v>6</v>
      </c>
      <c r="H10">
        <f>IF(Roster!$B$16&gt;=6,'Wk 1-6 Input'!H89,0)+IF(Roster!$B$16&gt;6,'Wk 1-6 Input'!G89,0)</f>
        <v>13</v>
      </c>
      <c r="I10">
        <f t="shared" si="0"/>
        <v>56</v>
      </c>
      <c r="J10">
        <f>IF(AND(Roster!$B$16&gt;1,'Wk 1-6 Input'!F14="W"),1,0)+IF(AND(Roster!$B$16&gt;2,'Wk 1-6 Input'!F29="W"),1,0)+IF(AND(Roster!$B$16&gt;3,'Wk 1-6 Input'!F44="W"),1,0)+IF(AND(Roster!$B$16&gt;4,'Wk 1-6 Input'!F59="W"),1,0)+IF(AND(Roster!$B$16&gt;5,'Wk 1-6 Input'!F74="W"),1,0)+IF(AND(Roster!$B$16&gt;6,'Wk 1-6 Input'!F89="W"),1,0)</f>
        <v>2</v>
      </c>
      <c r="K10">
        <f>I10+0.0009</f>
        <v>56.000900000000001</v>
      </c>
      <c r="L10">
        <f>IF(Roster!$B$16&gt;=7,'Wk 7-12 Input'!H14,0)+IF(Roster!$B$16&gt;7,'Wk 7-12 Input'!G14,0)</f>
        <v>0</v>
      </c>
      <c r="M10">
        <f>IF(Roster!$B$16&gt;=8,'Wk 7-12 Input'!H29,0)+IF(Roster!$B$16&gt;8,'Wk 7-12 Input'!G29,0)</f>
        <v>0</v>
      </c>
      <c r="N10">
        <f>IF(Roster!$B$16&gt;=9,'Wk 7-12 Input'!H44,0)+IF(Roster!$B$16&gt;9,'Wk 7-12 Input'!G44,0)</f>
        <v>0</v>
      </c>
      <c r="O10">
        <f>IF(Roster!$B$16&gt;=10,'Wk 7-12 Input'!H59,0)+IF(Roster!$B$16&gt;10,'Wk 7-12 Input'!G59,0)</f>
        <v>0</v>
      </c>
      <c r="P10">
        <f>IF(Roster!$B$16&gt;=11,'Wk 7-12 Input'!H74,0)+IF(Roster!$B$16&gt;11,'Wk 7-12 Input'!G74,0)</f>
        <v>0</v>
      </c>
      <c r="Q10">
        <f>IF(Roster!$B$16&gt;=12,'Wk 7-12 Input'!H89,0)+IF(Roster!$B$16&gt;12,'Wk 7-12 Input'!G89,0)</f>
        <v>0</v>
      </c>
      <c r="R10">
        <f t="shared" si="1"/>
        <v>0</v>
      </c>
      <c r="S10">
        <f>IF(AND(Roster!$B$16&gt;7,'Wk 7-12 Input'!F14="W"),1,0)+IF(AND(Roster!$B$16&gt;8,'Wk 7-12 Input'!F29="W"),1,0)+IF(AND(Roster!$B$16&gt;9,'Wk 7-12 Input'!F44="W"),1,0)+IF(AND(Roster!$B$16&gt;10,'Wk 7-12 Input'!F59="W"),1,0)+IF(AND(Roster!$B$16&gt;11,'Wk 7-12 Input'!F74="W"),1,0)+IF(AND(Roster!$B$16&gt;12,'Wk 7-12 Input'!F89="W"),1,0)</f>
        <v>0</v>
      </c>
      <c r="T10">
        <f>R10+0.0009</f>
        <v>8.9999999999999998E-4</v>
      </c>
      <c r="U10" t="str">
        <f>IF(Roster!$B$16&gt;13,'Wk 13-18 Input'!F14,"-")</f>
        <v>-</v>
      </c>
      <c r="V10" t="str">
        <f>IF(Roster!$B$16&gt;14,'Wk 13-18 Input'!F29,"-")</f>
        <v>-</v>
      </c>
      <c r="W10" t="str">
        <f>IF(Roster!$B$16&gt;15,'Wk 13-18 Input'!F44,"-")</f>
        <v>-</v>
      </c>
      <c r="X10" t="str">
        <f>IF(Roster!$B$16&gt;16,'Wk 13-18 Input'!F59,"-")</f>
        <v>-</v>
      </c>
      <c r="Y10" t="str">
        <f>IF(Roster!$B$16&gt;17,'Wk 13-18 Input'!F74,"-")</f>
        <v>-</v>
      </c>
      <c r="Z10" t="str">
        <f>IF(Roster!$B$16&gt;18,'Wk 13-18 Input'!F89,"-")</f>
        <v>-</v>
      </c>
      <c r="AA10">
        <f>IF(Roster!$B$16&gt;13,'Wk 13-18 Input'!G14,0)+IF(Roster!$B$16&gt;14,'Wk 13-18 Input'!G29,0)+IF(Roster!$B$16&gt;15,'Wk 13-18 Input'!G44,0)+IF(Roster!$B$16&gt;16,'Wk 13-18 Input'!G59,0)+IF(Roster!$B$16&gt;17,'Wk 13-18 Input'!G74,0)+IF(Roster!$B$16&gt;18,'Wk 13-18 Input'!G89,0)</f>
        <v>0</v>
      </c>
      <c r="AB10">
        <f>IF(Roster!$B$16&gt;13,'Wk 13-18 Input'!H14,0)+IF(Roster!$B$16&gt;14,'Wk 13-18 Input'!H29,0)+IF(Roster!$B$16&gt;15,'Wk 13-18 Input'!H44,0)+IF(Roster!$B$16&gt;16,'Wk 13-18 Input'!H59,0)+IF(Roster!$B$16&gt;17,'Wk 13-18 Input'!H74,0)+IF(Roster!$B$16&gt;18,'Wk 13-18 Input'!H89,0)</f>
        <v>0</v>
      </c>
      <c r="AC10">
        <f>IF(Roster!$B$16&gt;=13,'Wk 13-18 Input'!I14,0)+IF(Roster!$B$16&gt;=14,'Wk 13-18 Input'!I29,0)+IF(Roster!$B$16&gt;=15,'Wk 13-18 Input'!I44,0)+IF(Roster!$B$16&gt;=16,'Wk 13-18 Input'!I59,0)+IF(Roster!$B$16&gt;=17,'Wk 13-18 Input'!I74,0)+IF(Roster!$B$16&gt;=18,'Wk 13-18 Input'!I89,0)</f>
        <v>0</v>
      </c>
      <c r="AD10">
        <f>AA10+0.0009</f>
        <v>8.9999999999999998E-4</v>
      </c>
      <c r="AE10">
        <f t="shared" si="2"/>
        <v>56</v>
      </c>
      <c r="AF10">
        <f>AE10+0.0009</f>
        <v>56.000900000000001</v>
      </c>
    </row>
    <row r="11" spans="1:32" ht="15" customHeight="1" x14ac:dyDescent="0.25">
      <c r="A11">
        <v>10</v>
      </c>
      <c r="B11" t="str">
        <f>Roster!B12</f>
        <v>Zach Zarra</v>
      </c>
      <c r="C11">
        <f>IF(Roster!$B$16&gt;=1,'Wk 1-6 Input'!H15,0)+IF(Roster!$B$16&gt;1,'Wk 1-6 Input'!G15,0)</f>
        <v>17</v>
      </c>
      <c r="D11">
        <f>IF(Roster!$B$16&gt;=2,'Wk 1-6 Input'!H30,0)+IF(Roster!$B$16&gt;2,'Wk 1-6 Input'!G30,0)</f>
        <v>14</v>
      </c>
      <c r="E11">
        <f>IF(Roster!$B$16&gt;=3,'Wk 1-6 Input'!H45,0)+IF(Roster!$B$16&gt;3,'Wk 1-6 Input'!G45,0)</f>
        <v>5</v>
      </c>
      <c r="F11">
        <f>IF(Roster!$B$16&gt;=4,'Wk 1-6 Input'!H60,0)+IF(Roster!$B$16&gt;4,'Wk 1-6 Input'!G60,0)</f>
        <v>13</v>
      </c>
      <c r="G11">
        <f>IF(Roster!$B$16&gt;=5,'Wk 1-6 Input'!H75,0)+IF(Roster!$B$16&gt;5,'Wk 1-6 Input'!G75,0)</f>
        <v>7</v>
      </c>
      <c r="H11">
        <f>IF(Roster!$B$16&gt;=6,'Wk 1-6 Input'!H90,0)+IF(Roster!$B$16&gt;6,'Wk 1-6 Input'!G90,0)</f>
        <v>12</v>
      </c>
      <c r="I11">
        <f t="shared" si="0"/>
        <v>68</v>
      </c>
      <c r="J11">
        <f>IF(AND(Roster!$B$16&gt;1,'Wk 1-6 Input'!F15="W"),1,0)+IF(AND(Roster!$B$16&gt;2,'Wk 1-6 Input'!F30="W"),1,0)+IF(AND(Roster!$B$16&gt;3,'Wk 1-6 Input'!F45="W"),1,0)+IF(AND(Roster!$B$16&gt;4,'Wk 1-6 Input'!F60="W"),1,0)+IF(AND(Roster!$B$16&gt;5,'Wk 1-6 Input'!F75="W"),1,0)+IF(AND(Roster!$B$16&gt;6,'Wk 1-6 Input'!F90="W"),1,0)</f>
        <v>4</v>
      </c>
      <c r="K11">
        <f>I11+0.001</f>
        <v>68.001000000000005</v>
      </c>
      <c r="L11">
        <f>IF(Roster!$B$16&gt;=7,'Wk 7-12 Input'!H15,0)+IF(Roster!$B$16&gt;7,'Wk 7-12 Input'!G15,0)</f>
        <v>0</v>
      </c>
      <c r="M11">
        <f>IF(Roster!$B$16&gt;=8,'Wk 7-12 Input'!H30,0)+IF(Roster!$B$16&gt;8,'Wk 7-12 Input'!G30,0)</f>
        <v>0</v>
      </c>
      <c r="N11">
        <f>IF(Roster!$B$16&gt;=9,'Wk 7-12 Input'!H45,0)+IF(Roster!$B$16&gt;9,'Wk 7-12 Input'!G45,0)</f>
        <v>0</v>
      </c>
      <c r="O11">
        <f>IF(Roster!$B$16&gt;=10,'Wk 7-12 Input'!H60,0)+IF(Roster!$B$16&gt;10,'Wk 7-12 Input'!G60,0)</f>
        <v>0</v>
      </c>
      <c r="P11">
        <f>IF(Roster!$B$16&gt;=11,'Wk 7-12 Input'!H75,0)+IF(Roster!$B$16&gt;11,'Wk 7-12 Input'!G75,0)</f>
        <v>0</v>
      </c>
      <c r="Q11">
        <f>IF(Roster!$B$16&gt;=12,'Wk 7-12 Input'!H90,0)+IF(Roster!$B$16&gt;12,'Wk 7-12 Input'!G90,0)</f>
        <v>0</v>
      </c>
      <c r="R11">
        <f t="shared" si="1"/>
        <v>0</v>
      </c>
      <c r="S11">
        <f>IF(AND(Roster!$B$16&gt;7,'Wk 7-12 Input'!F15="W"),1,0)+IF(AND(Roster!$B$16&gt;8,'Wk 7-12 Input'!F30="W"),1,0)+IF(AND(Roster!$B$16&gt;9,'Wk 7-12 Input'!F45="W"),1,0)+IF(AND(Roster!$B$16&gt;10,'Wk 7-12 Input'!F60="W"),1,0)+IF(AND(Roster!$B$16&gt;11,'Wk 7-12 Input'!F75="W"),1,0)+IF(AND(Roster!$B$16&gt;12,'Wk 7-12 Input'!F90="W"),1,0)</f>
        <v>0</v>
      </c>
      <c r="T11">
        <f>R11+0.001</f>
        <v>1E-3</v>
      </c>
      <c r="U11" t="str">
        <f>IF(Roster!$B$16&gt;13,'Wk 13-18 Input'!F15,"-")</f>
        <v>-</v>
      </c>
      <c r="V11" t="str">
        <f>IF(Roster!$B$16&gt;14,'Wk 13-18 Input'!F30,"-")</f>
        <v>-</v>
      </c>
      <c r="W11" t="str">
        <f>IF(Roster!$B$16&gt;15,'Wk 13-18 Input'!F45,"-")</f>
        <v>-</v>
      </c>
      <c r="X11" t="str">
        <f>IF(Roster!$B$16&gt;16,'Wk 13-18 Input'!F60,"-")</f>
        <v>-</v>
      </c>
      <c r="Y11" t="str">
        <f>IF(Roster!$B$16&gt;17,'Wk 13-18 Input'!F75,"-")</f>
        <v>-</v>
      </c>
      <c r="Z11" t="str">
        <f>IF(Roster!$B$16&gt;18,'Wk 13-18 Input'!F90,"-")</f>
        <v>-</v>
      </c>
      <c r="AA11">
        <f>IF(Roster!$B$16&gt;13,'Wk 13-18 Input'!G15,0)+IF(Roster!$B$16&gt;14,'Wk 13-18 Input'!G30,0)+IF(Roster!$B$16&gt;15,'Wk 13-18 Input'!G45,0)+IF(Roster!$B$16&gt;16,'Wk 13-18 Input'!G60,0)+IF(Roster!$B$16&gt;17,'Wk 13-18 Input'!G75,0)+IF(Roster!$B$16&gt;18,'Wk 13-18 Input'!G90,0)</f>
        <v>0</v>
      </c>
      <c r="AB11">
        <f>IF(Roster!$B$16&gt;13,'Wk 13-18 Input'!H15,0)+IF(Roster!$B$16&gt;14,'Wk 13-18 Input'!H30,0)+IF(Roster!$B$16&gt;15,'Wk 13-18 Input'!H45,0)+IF(Roster!$B$16&gt;16,'Wk 13-18 Input'!H60,0)+IF(Roster!$B$16&gt;17,'Wk 13-18 Input'!H75,0)+IF(Roster!$B$16&gt;18,'Wk 13-18 Input'!H90,0)</f>
        <v>0</v>
      </c>
      <c r="AC11">
        <f>IF(Roster!$B$16&gt;=13,'Wk 13-18 Input'!I15,0)+IF(Roster!$B$16&gt;=14,'Wk 13-18 Input'!I30,0)+IF(Roster!$B$16&gt;=15,'Wk 13-18 Input'!I45,0)+IF(Roster!$B$16&gt;=16,'Wk 13-18 Input'!I60,0)+IF(Roster!$B$16&gt;=17,'Wk 13-18 Input'!I75,0)+IF(Roster!$B$16&gt;=18,'Wk 13-18 Input'!I90,0)</f>
        <v>0</v>
      </c>
      <c r="AD11">
        <f>AA11+0.001</f>
        <v>1E-3</v>
      </c>
      <c r="AE11">
        <f t="shared" si="2"/>
        <v>68</v>
      </c>
      <c r="AF11">
        <f>AE11+0.001</f>
        <v>68.001000000000005</v>
      </c>
    </row>
    <row r="12" spans="1:32" ht="15" customHeight="1" x14ac:dyDescent="0.25">
      <c r="A12">
        <v>11</v>
      </c>
      <c r="B12" t="str">
        <f>Roster!B13</f>
        <v>Jeffrey Loeser</v>
      </c>
      <c r="C12">
        <f>IF(Roster!$B$16&gt;=1,'Wk 1-6 Input'!H16,0)+IF(Roster!$B$16&gt;1,'Wk 1-6 Input'!G16,0)</f>
        <v>16</v>
      </c>
      <c r="D12">
        <f>IF(Roster!$B$16&gt;=2,'Wk 1-6 Input'!H31,0)+IF(Roster!$B$16&gt;2,'Wk 1-6 Input'!G31,0)</f>
        <v>12</v>
      </c>
      <c r="E12">
        <f>IF(Roster!$B$16&gt;=3,'Wk 1-6 Input'!H46,0)+IF(Roster!$B$16&gt;3,'Wk 1-6 Input'!G46,0)</f>
        <v>8</v>
      </c>
      <c r="F12">
        <f>IF(Roster!$B$16&gt;=4,'Wk 1-6 Input'!H61,0)+IF(Roster!$B$16&gt;4,'Wk 1-6 Input'!G61,0)</f>
        <v>7</v>
      </c>
      <c r="G12">
        <f>IF(Roster!$B$16&gt;=5,'Wk 1-6 Input'!H76,0)+IF(Roster!$B$16&gt;5,'Wk 1-6 Input'!G76,0)</f>
        <v>5</v>
      </c>
      <c r="H12">
        <f>IF(Roster!$B$16&gt;=6,'Wk 1-6 Input'!H91,0)+IF(Roster!$B$16&gt;6,'Wk 1-6 Input'!G91,0)</f>
        <v>12</v>
      </c>
      <c r="I12">
        <f t="shared" si="0"/>
        <v>60</v>
      </c>
      <c r="J12">
        <f>IF(AND(Roster!$B$16&gt;1,'Wk 1-6 Input'!F16="W"),1,0)+IF(AND(Roster!$B$16&gt;2,'Wk 1-6 Input'!F31="W"),1,0)+IF(AND(Roster!$B$16&gt;3,'Wk 1-6 Input'!F46="W"),1,0)+IF(AND(Roster!$B$16&gt;4,'Wk 1-6 Input'!F61="W"),1,0)+IF(AND(Roster!$B$16&gt;5,'Wk 1-6 Input'!F76="W"),1,0)+IF(AND(Roster!$B$16&gt;6,'Wk 1-6 Input'!F91="W"),1,0)</f>
        <v>3</v>
      </c>
      <c r="K12">
        <f>I12+0.0011</f>
        <v>60.001100000000001</v>
      </c>
      <c r="L12">
        <f>IF(Roster!$B$16&gt;=7,'Wk 7-12 Input'!H16,0)+IF(Roster!$B$16&gt;7,'Wk 7-12 Input'!G16,0)</f>
        <v>0</v>
      </c>
      <c r="M12">
        <f>IF(Roster!$B$16&gt;=8,'Wk 7-12 Input'!H31,0)+IF(Roster!$B$16&gt;8,'Wk 7-12 Input'!G31,0)</f>
        <v>0</v>
      </c>
      <c r="N12">
        <f>IF(Roster!$B$16&gt;=9,'Wk 7-12 Input'!H46,0)+IF(Roster!$B$16&gt;9,'Wk 7-12 Input'!G46,0)</f>
        <v>0</v>
      </c>
      <c r="O12">
        <f>IF(Roster!$B$16&gt;=10,'Wk 7-12 Input'!H61,0)+IF(Roster!$B$16&gt;10,'Wk 7-12 Input'!G61,0)</f>
        <v>0</v>
      </c>
      <c r="P12">
        <f>IF(Roster!$B$16&gt;=11,'Wk 7-12 Input'!H76,0)+IF(Roster!$B$16&gt;11,'Wk 7-12 Input'!G76,0)</f>
        <v>0</v>
      </c>
      <c r="Q12">
        <f>IF(Roster!$B$16&gt;=12,'Wk 7-12 Input'!H91,0)+IF(Roster!$B$16&gt;12,'Wk 7-12 Input'!G91,0)</f>
        <v>0</v>
      </c>
      <c r="R12">
        <f t="shared" si="1"/>
        <v>0</v>
      </c>
      <c r="S12">
        <f>IF(AND(Roster!$B$16&gt;7,'Wk 7-12 Input'!F16="W"),1,0)+IF(AND(Roster!$B$16&gt;8,'Wk 7-12 Input'!F31="W"),1,0)+IF(AND(Roster!$B$16&gt;9,'Wk 7-12 Input'!F46="W"),1,0)+IF(AND(Roster!$B$16&gt;10,'Wk 7-12 Input'!F61="W"),1,0)+IF(AND(Roster!$B$16&gt;11,'Wk 7-12 Input'!F76="W"),1,0)+IF(AND(Roster!$B$16&gt;12,'Wk 7-12 Input'!F91="W"),1,0)</f>
        <v>0</v>
      </c>
      <c r="T12">
        <f>R12+0.0011</f>
        <v>1.1000000000000001E-3</v>
      </c>
      <c r="U12" t="str">
        <f>IF(Roster!$B$16&gt;13,'Wk 13-18 Input'!F16,"-")</f>
        <v>-</v>
      </c>
      <c r="V12" t="str">
        <f>IF(Roster!$B$16&gt;14,'Wk 13-18 Input'!F31,"-")</f>
        <v>-</v>
      </c>
      <c r="W12" t="str">
        <f>IF(Roster!$B$16&gt;15,'Wk 13-18 Input'!F46,"-")</f>
        <v>-</v>
      </c>
      <c r="X12" t="str">
        <f>IF(Roster!$B$16&gt;16,'Wk 13-18 Input'!F61,"-")</f>
        <v>-</v>
      </c>
      <c r="Y12" t="str">
        <f>IF(Roster!$B$16&gt;17,'Wk 13-18 Input'!F76,"-")</f>
        <v>-</v>
      </c>
      <c r="Z12" t="str">
        <f>IF(Roster!$B$16&gt;18,'Wk 13-18 Input'!F91,"-")</f>
        <v>-</v>
      </c>
      <c r="AA12">
        <f>IF(Roster!$B$16&gt;13,'Wk 13-18 Input'!G16,0)+IF(Roster!$B$16&gt;14,'Wk 13-18 Input'!G31,0)+IF(Roster!$B$16&gt;15,'Wk 13-18 Input'!G46,0)+IF(Roster!$B$16&gt;16,'Wk 13-18 Input'!G61,0)+IF(Roster!$B$16&gt;17,'Wk 13-18 Input'!G76,0)+IF(Roster!$B$16&gt;18,'Wk 13-18 Input'!G91,0)</f>
        <v>0</v>
      </c>
      <c r="AB12">
        <f>IF(Roster!$B$16&gt;13,'Wk 13-18 Input'!H16,0)+IF(Roster!$B$16&gt;14,'Wk 13-18 Input'!H31,0)+IF(Roster!$B$16&gt;15,'Wk 13-18 Input'!H46,0)+IF(Roster!$B$16&gt;16,'Wk 13-18 Input'!H61,0)+IF(Roster!$B$16&gt;17,'Wk 13-18 Input'!H76,0)+IF(Roster!$B$16&gt;18,'Wk 13-18 Input'!H91,0)</f>
        <v>0</v>
      </c>
      <c r="AC12">
        <f>IF(Roster!$B$16&gt;=13,'Wk 13-18 Input'!I16,0)+IF(Roster!$B$16&gt;=14,'Wk 13-18 Input'!I31,0)+IF(Roster!$B$16&gt;=15,'Wk 13-18 Input'!I46,0)+IF(Roster!$B$16&gt;=16,'Wk 13-18 Input'!I61,0)+IF(Roster!$B$16&gt;=17,'Wk 13-18 Input'!I76,0)+IF(Roster!$B$16&gt;=18,'Wk 13-18 Input'!I91,0)</f>
        <v>0</v>
      </c>
      <c r="AD12">
        <f>AA12+0.0011</f>
        <v>1.1000000000000001E-3</v>
      </c>
      <c r="AE12">
        <f t="shared" si="2"/>
        <v>60</v>
      </c>
      <c r="AF12">
        <f>AE12+0.0011</f>
        <v>60.001100000000001</v>
      </c>
    </row>
    <row r="13" spans="1:32" ht="15" customHeight="1" x14ac:dyDescent="0.25">
      <c r="A13">
        <v>12</v>
      </c>
      <c r="B13" t="str">
        <f>Roster!B14</f>
        <v>Jake Andrews</v>
      </c>
      <c r="C13">
        <f>IF(Roster!$B$16&gt;=1,'Wk 1-6 Input'!H17,0)+IF(Roster!$B$16&gt;1,'Wk 1-6 Input'!G17,0)</f>
        <v>15</v>
      </c>
      <c r="D13">
        <f>IF(Roster!$B$16&gt;=2,'Wk 1-6 Input'!H32,0)+IF(Roster!$B$16&gt;2,'Wk 1-6 Input'!G32,0)</f>
        <v>4</v>
      </c>
      <c r="E13">
        <f>IF(Roster!$B$16&gt;=3,'Wk 1-6 Input'!H47,0)+IF(Roster!$B$16&gt;3,'Wk 1-6 Input'!G47,0)</f>
        <v>12</v>
      </c>
      <c r="F13">
        <f>IF(Roster!$B$16&gt;=4,'Wk 1-6 Input'!H62,0)+IF(Roster!$B$16&gt;4,'Wk 1-6 Input'!G62,0)</f>
        <v>7</v>
      </c>
      <c r="G13">
        <f>IF(Roster!$B$16&gt;=5,'Wk 1-6 Input'!H77,0)+IF(Roster!$B$16&gt;5,'Wk 1-6 Input'!G77,0)</f>
        <v>4</v>
      </c>
      <c r="H13">
        <f>IF(Roster!$B$16&gt;=6,'Wk 1-6 Input'!H92,0)+IF(Roster!$B$16&gt;6,'Wk 1-6 Input'!G92,0)</f>
        <v>6</v>
      </c>
      <c r="I13">
        <f t="shared" si="0"/>
        <v>48</v>
      </c>
      <c r="J13">
        <f>IF(AND(Roster!$B$16&gt;1,'Wk 1-6 Input'!F17="W"),1,0)+IF(AND(Roster!$B$16&gt;2,'Wk 1-6 Input'!F32="W"),1,0)+IF(AND(Roster!$B$16&gt;3,'Wk 1-6 Input'!F47="W"),1,0)+IF(AND(Roster!$B$16&gt;4,'Wk 1-6 Input'!F62="W"),1,0)+IF(AND(Roster!$B$16&gt;5,'Wk 1-6 Input'!F77="W"),1,0)+IF(AND(Roster!$B$16&gt;6,'Wk 1-6 Input'!F92="W"),1,0)</f>
        <v>2</v>
      </c>
      <c r="K13">
        <f>I13+0.0012</f>
        <v>48.001199999999997</v>
      </c>
      <c r="L13">
        <f>IF(Roster!$B$16&gt;=7,'Wk 7-12 Input'!H17,0)+IF(Roster!$B$16&gt;7,'Wk 7-12 Input'!G17,0)</f>
        <v>0</v>
      </c>
      <c r="M13">
        <f>IF(Roster!$B$16&gt;=8,'Wk 7-12 Input'!H32,0)+IF(Roster!$B$16&gt;8,'Wk 7-12 Input'!G32,0)</f>
        <v>0</v>
      </c>
      <c r="N13">
        <f>IF(Roster!$B$16&gt;=9,'Wk 7-12 Input'!H47,0)+IF(Roster!$B$16&gt;9,'Wk 7-12 Input'!G47,0)</f>
        <v>0</v>
      </c>
      <c r="O13">
        <f>IF(Roster!$B$16&gt;=10,'Wk 7-12 Input'!H62,0)+IF(Roster!$B$16&gt;10,'Wk 7-12 Input'!G62,0)</f>
        <v>0</v>
      </c>
      <c r="P13">
        <f>IF(Roster!$B$16&gt;=11,'Wk 7-12 Input'!H77,0)+IF(Roster!$B$16&gt;11,'Wk 7-12 Input'!G77,0)</f>
        <v>0</v>
      </c>
      <c r="Q13">
        <f>IF(Roster!$B$16&gt;=12,'Wk 7-12 Input'!H92,0)+IF(Roster!$B$16&gt;12,'Wk 7-12 Input'!G92,0)</f>
        <v>0</v>
      </c>
      <c r="R13">
        <f t="shared" si="1"/>
        <v>0</v>
      </c>
      <c r="S13">
        <f>IF(AND(Roster!$B$16&gt;7,'Wk 7-12 Input'!F17="W"),1,0)+IF(AND(Roster!$B$16&gt;8,'Wk 7-12 Input'!F32="W"),1,0)+IF(AND(Roster!$B$16&gt;9,'Wk 7-12 Input'!F47="W"),1,0)+IF(AND(Roster!$B$16&gt;10,'Wk 7-12 Input'!F62="W"),1,0)+IF(AND(Roster!$B$16&gt;11,'Wk 7-12 Input'!F77="W"),1,0)+IF(AND(Roster!$B$16&gt;12,'Wk 7-12 Input'!F92="W"),1,0)</f>
        <v>0</v>
      </c>
      <c r="T13">
        <f>R13+0.0012</f>
        <v>1.1999999999999999E-3</v>
      </c>
      <c r="U13" t="str">
        <f>IF(Roster!$B$16&gt;13,'Wk 13-18 Input'!F17,"-")</f>
        <v>-</v>
      </c>
      <c r="V13" t="str">
        <f>IF(Roster!$B$16&gt;14,'Wk 13-18 Input'!F32,"-")</f>
        <v>-</v>
      </c>
      <c r="W13" t="str">
        <f>IF(Roster!$B$16&gt;15,'Wk 13-18 Input'!F47,"-")</f>
        <v>-</v>
      </c>
      <c r="X13" t="str">
        <f>IF(Roster!$B$16&gt;16,'Wk 13-18 Input'!F62,"-")</f>
        <v>-</v>
      </c>
      <c r="Y13" t="str">
        <f>IF(Roster!$B$16&gt;17,'Wk 13-18 Input'!F77,"-")</f>
        <v>-</v>
      </c>
      <c r="Z13" t="str">
        <f>IF(Roster!$B$16&gt;18,'Wk 13-18 Input'!F92,"-")</f>
        <v>-</v>
      </c>
      <c r="AA13">
        <f>IF(Roster!$B$16&gt;13,'Wk 13-18 Input'!G17,0)+IF(Roster!$B$16&gt;14,'Wk 13-18 Input'!G32,0)+IF(Roster!$B$16&gt;15,'Wk 13-18 Input'!G47,0)+IF(Roster!$B$16&gt;16,'Wk 13-18 Input'!G62,0)+IF(Roster!$B$16&gt;17,'Wk 13-18 Input'!G77,0)+IF(Roster!$B$16&gt;18,'Wk 13-18 Input'!G92,0)</f>
        <v>0</v>
      </c>
      <c r="AB13">
        <f>IF(Roster!$B$16&gt;13,'Wk 13-18 Input'!H17,0)+IF(Roster!$B$16&gt;14,'Wk 13-18 Input'!H32,0)+IF(Roster!$B$16&gt;15,'Wk 13-18 Input'!H47,0)+IF(Roster!$B$16&gt;16,'Wk 13-18 Input'!H62,0)+IF(Roster!$B$16&gt;17,'Wk 13-18 Input'!H77,0)+IF(Roster!$B$16&gt;18,'Wk 13-18 Input'!H92,0)</f>
        <v>0</v>
      </c>
      <c r="AC13">
        <f>IF(Roster!$B$16&gt;=13,'Wk 13-18 Input'!I17,0)+IF(Roster!$B$16&gt;=14,'Wk 13-18 Input'!I32,0)+IF(Roster!$B$16&gt;=15,'Wk 13-18 Input'!I47,0)+IF(Roster!$B$16&gt;=16,'Wk 13-18 Input'!I62,0)+IF(Roster!$B$16&gt;=17,'Wk 13-18 Input'!I77,0)+IF(Roster!$B$16&gt;=18,'Wk 13-18 Input'!I92,0)</f>
        <v>0</v>
      </c>
      <c r="AD13">
        <f>AA13+0.0012</f>
        <v>1.1999999999999999E-3</v>
      </c>
      <c r="AE13">
        <f t="shared" si="2"/>
        <v>48</v>
      </c>
      <c r="AF13">
        <f>AE13+0.0012</f>
        <v>48.001199999999997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Roster</vt:lpstr>
      <vt:lpstr>Schedule</vt:lpstr>
      <vt:lpstr>Picks Detail</vt:lpstr>
      <vt:lpstr>NFL Schedule</vt:lpstr>
      <vt:lpstr>Wk 1-6 Input</vt:lpstr>
      <vt:lpstr>Wk 7-12 Input</vt:lpstr>
      <vt:lpstr>Wk 13-18 Input</vt:lpstr>
      <vt:lpstr>Standings</vt:lpstr>
      <vt:lpstr>Playoff Picture</vt:lpstr>
      <vt:lpstr>Playoff Wild Card</vt:lpstr>
      <vt:lpstr>Playoff Finals</vt:lpstr>
      <vt:lpstr>Updates</vt:lpstr>
      <vt:lpstr>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Evan Loeser</cp:lastModifiedBy>
  <cp:revision>0</cp:revision>
  <dcterms:created xsi:type="dcterms:W3CDTF">2026-09-09T19:06:51Z</dcterms:created>
  <dcterms:modified xsi:type="dcterms:W3CDTF">2026-10-22T15:45:59Z</dcterms:modified>
  <dc:language>en-US</dc:language>
</cp:coreProperties>
</file>