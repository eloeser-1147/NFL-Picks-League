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05" documentId="11_6034A8D24D14BF460B0C50849224F53B42431133" xr6:coauthVersionLast="47" xr6:coauthVersionMax="47" xr10:uidLastSave="{EEE12D02-3047-4D81-B056-70B3B4EDDAD5}"/>
  <bookViews>
    <workbookView xWindow="-120" yWindow="-120" windowWidth="29040" windowHeight="16440" tabRatio="1000" activeTab="2"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I11" i="3" s="1"/>
  <c r="C7" i="11"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J3" i="11" l="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13" i="7" l="1"/>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A24" i="10"/>
  <c r="B1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<sst xmlns="http://schemas.openxmlformats.org/spreadsheetml/2006/main" count="804" uniqueCount="281">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</sst>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0" fillId="5"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B20" sqref="B20"/>
    </sheetView>
  </sheetViews>
  <sheetFormatPr defaultColWidth="8.7109375" defaultRowHeight="15" x14ac:dyDescent="0.25"/>
  <cols>
    <col min="1" max="4" width="18" customWidth="1"/>
  </cols>
  <sheetData>
    <row r="1" spans="1:4" ht="17.25" customHeight="1" x14ac:dyDescent="0.25">
      <c r="A1" s="71" t="s">
        <v>0</v>
      </c>
      <c r="B1" s="71"/>
      <c r="C1" s="71"/>
      <c r="D1" s="71"/>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17</v>
      </c>
    </row>
    <row r="21" spans="1:4" ht="15" customHeight="1" x14ac:dyDescent="0.25">
      <c r="A21" s="6" t="s">
        <v>280</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3" t="s">
        <v>34</v>
      </c>
      <c r="B1" s="73"/>
      <c r="C1" s="73"/>
      <c r="D1" s="73"/>
      <c r="E1" s="73"/>
      <c r="F1" s="73"/>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3" t="s">
        <v>45</v>
      </c>
      <c r="B68" s="73"/>
      <c r="C68" s="73"/>
      <c r="D68" s="73"/>
      <c r="E68" s="73"/>
      <c r="F68" s="73"/>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3" t="s">
        <v>52</v>
      </c>
      <c r="B135" s="73"/>
      <c r="C135" s="73"/>
      <c r="D135" s="73"/>
      <c r="E135" s="73"/>
      <c r="F135" s="73"/>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tabSelected="1" zoomScaleNormal="100" workbookViewId="0">
      <selection activeCell="O11" sqref="O11"/>
    </sheetView>
  </sheetViews>
  <sheetFormatPr defaultColWidth="8.7109375" defaultRowHeight="15" x14ac:dyDescent="0.25"/>
  <cols>
    <col min="1" max="9" width="15" customWidth="1"/>
  </cols>
  <sheetData>
    <row r="1" spans="1:9" ht="17.25" customHeight="1" x14ac:dyDescent="0.25">
      <c r="A1" s="71" t="s">
        <v>59</v>
      </c>
      <c r="B1" s="71"/>
      <c r="C1" s="71"/>
      <c r="D1" s="71"/>
      <c r="E1" s="71"/>
      <c r="F1" s="71"/>
      <c r="G1" s="71"/>
      <c r="H1" s="71"/>
      <c r="I1" s="71"/>
    </row>
    <row r="2" spans="1:9" ht="15" customHeight="1" x14ac:dyDescent="0.25">
      <c r="A2" s="11" t="s">
        <v>60</v>
      </c>
    </row>
    <row r="4" spans="1:9" ht="15" customHeight="1" x14ac:dyDescent="0.25">
      <c r="A4" s="70" t="s">
        <v>61</v>
      </c>
      <c r="B4" s="70"/>
      <c r="C4" s="70"/>
      <c r="D4" s="70"/>
      <c r="E4" s="70"/>
      <c r="F4" s="70"/>
      <c r="G4" s="70"/>
      <c r="H4" s="70"/>
      <c r="I4" s="70"/>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6</v>
      </c>
      <c r="F7" s="2" t="str">
        <f t="shared" si="0"/>
        <v>L</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v>6</v>
      </c>
      <c r="D11" s="9">
        <v>2</v>
      </c>
      <c r="E11" s="9">
        <f>C7</f>
        <v>0</v>
      </c>
      <c r="F11" s="2" t="str">
        <f t="shared" si="0"/>
        <v>W</v>
      </c>
      <c r="G11" s="2">
        <f t="shared" si="1"/>
        <v>6</v>
      </c>
      <c r="H11" s="2">
        <f t="shared" si="2"/>
        <v>6</v>
      </c>
      <c r="I11" s="15">
        <f t="shared" si="3"/>
        <v>12</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0" t="s">
        <v>69</v>
      </c>
      <c r="B23" s="70"/>
      <c r="C23" s="70"/>
      <c r="D23" s="70"/>
      <c r="E23" s="70"/>
      <c r="F23" s="70"/>
      <c r="G23" s="70"/>
      <c r="H23" s="70"/>
      <c r="I23" s="70"/>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0" t="s">
        <v>70</v>
      </c>
      <c r="B42" s="70"/>
      <c r="C42" s="70"/>
      <c r="D42" s="70"/>
      <c r="E42" s="70"/>
      <c r="F42" s="70"/>
      <c r="G42" s="70"/>
      <c r="H42" s="70"/>
      <c r="I42" s="70"/>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0" t="s">
        <v>71</v>
      </c>
      <c r="B61" s="70"/>
      <c r="C61" s="70"/>
      <c r="D61" s="70"/>
      <c r="E61" s="70"/>
      <c r="F61" s="70"/>
      <c r="G61" s="70"/>
      <c r="H61" s="70"/>
      <c r="I61" s="70"/>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0" t="s">
        <v>72</v>
      </c>
      <c r="B80" s="70"/>
      <c r="C80" s="70"/>
      <c r="D80" s="70"/>
      <c r="E80" s="70"/>
      <c r="F80" s="70"/>
      <c r="G80" s="70"/>
      <c r="H80" s="70"/>
      <c r="I80" s="70"/>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0" t="s">
        <v>73</v>
      </c>
      <c r="B99" s="70"/>
      <c r="C99" s="70"/>
      <c r="D99" s="70"/>
      <c r="E99" s="70"/>
      <c r="F99" s="70"/>
      <c r="G99" s="70"/>
      <c r="H99" s="70"/>
      <c r="I99" s="70"/>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1" t="s">
        <v>74</v>
      </c>
      <c r="B1" s="71"/>
      <c r="C1" s="71"/>
      <c r="D1" s="71"/>
      <c r="E1" s="71"/>
      <c r="F1" s="71"/>
      <c r="G1" s="71"/>
      <c r="H1" s="71"/>
      <c r="I1" s="71"/>
    </row>
    <row r="2" spans="1:9" ht="15" customHeight="1" x14ac:dyDescent="0.25">
      <c r="A2" s="11" t="s">
        <v>75</v>
      </c>
    </row>
    <row r="4" spans="1:9" ht="15" customHeight="1" x14ac:dyDescent="0.25">
      <c r="A4" s="70" t="s">
        <v>76</v>
      </c>
      <c r="B4" s="70"/>
      <c r="C4" s="70"/>
      <c r="D4" s="70"/>
      <c r="E4" s="70"/>
      <c r="F4" s="70"/>
      <c r="G4" s="70"/>
      <c r="H4" s="70"/>
      <c r="I4" s="70"/>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0" t="s">
        <v>79</v>
      </c>
      <c r="B23" s="70"/>
      <c r="C23" s="70"/>
      <c r="D23" s="70"/>
      <c r="E23" s="70"/>
      <c r="F23" s="70"/>
      <c r="G23" s="70"/>
      <c r="H23" s="70"/>
      <c r="I23" s="70"/>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0" t="s">
        <v>80</v>
      </c>
      <c r="B42" s="70"/>
      <c r="C42" s="70"/>
      <c r="D42" s="70"/>
      <c r="E42" s="70"/>
      <c r="F42" s="70"/>
      <c r="G42" s="70"/>
      <c r="H42" s="70"/>
      <c r="I42" s="70"/>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0" t="s">
        <v>81</v>
      </c>
      <c r="B61" s="70"/>
      <c r="C61" s="70"/>
      <c r="D61" s="70"/>
      <c r="E61" s="70"/>
      <c r="F61" s="70"/>
      <c r="G61" s="70"/>
      <c r="H61" s="70"/>
      <c r="I61" s="70"/>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0" t="s">
        <v>82</v>
      </c>
      <c r="B80" s="70"/>
      <c r="C80" s="70"/>
      <c r="D80" s="70"/>
      <c r="E80" s="70"/>
      <c r="F80" s="70"/>
      <c r="G80" s="70"/>
      <c r="H80" s="70"/>
      <c r="I80" s="70"/>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0" t="s">
        <v>83</v>
      </c>
      <c r="B99" s="70"/>
      <c r="C99" s="70"/>
      <c r="D99" s="70"/>
      <c r="E99" s="70"/>
      <c r="F99" s="70"/>
      <c r="G99" s="70"/>
      <c r="H99" s="70"/>
      <c r="I99" s="70"/>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1" t="s">
        <v>84</v>
      </c>
      <c r="B1" s="71"/>
      <c r="C1" s="71"/>
      <c r="D1" s="71"/>
      <c r="E1" s="71"/>
      <c r="F1" s="71"/>
      <c r="G1" s="71"/>
      <c r="H1" s="71"/>
      <c r="I1" s="71"/>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R26" sqref="R26"/>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0</v>
      </c>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16</v>
      </c>
      <c r="C6" s="14">
        <v>0</v>
      </c>
      <c r="D6" s="51">
        <f t="shared" si="0"/>
        <v>2E-3</v>
      </c>
      <c r="E6" s="14"/>
      <c r="F6" s="14">
        <v>0</v>
      </c>
      <c r="G6" s="14">
        <v>0</v>
      </c>
      <c r="H6" s="51">
        <f t="shared" si="1"/>
        <v>10000000.002</v>
      </c>
    </row>
    <row r="7" spans="1:8" ht="15" customHeight="1" x14ac:dyDescent="0.25">
      <c r="A7" s="2">
        <v>3</v>
      </c>
      <c r="B7" s="45" t="str">
        <f>'Playoff Picture'!B21</f>
        <v>Player 4</v>
      </c>
      <c r="C7" s="14">
        <v>0</v>
      </c>
      <c r="D7" s="51">
        <f t="shared" si="0"/>
        <v>3.0000000000000001E-3</v>
      </c>
      <c r="E7" s="14"/>
      <c r="F7" s="14">
        <v>0</v>
      </c>
      <c r="G7" s="14">
        <v>0</v>
      </c>
      <c r="H7" s="51">
        <f t="shared" si="1"/>
        <v>10000000.003</v>
      </c>
    </row>
    <row r="8" spans="1:8" ht="15" customHeight="1" x14ac:dyDescent="0.25">
      <c r="A8" s="2">
        <v>4</v>
      </c>
      <c r="B8" s="45" t="str">
        <f>'Playoff Picture'!B22</f>
        <v>Player 8</v>
      </c>
      <c r="C8" s="14">
        <v>0</v>
      </c>
      <c r="D8" s="51">
        <f t="shared" si="0"/>
        <v>4.0000000000000001E-3</v>
      </c>
      <c r="E8" s="14"/>
      <c r="F8" s="14">
        <v>0</v>
      </c>
      <c r="G8" s="14">
        <v>0</v>
      </c>
      <c r="H8" s="51">
        <f t="shared" si="1"/>
        <v>10000000.004000001</v>
      </c>
    </row>
    <row r="9" spans="1:8" ht="15" customHeight="1" x14ac:dyDescent="0.25">
      <c r="A9" s="2">
        <v>5</v>
      </c>
      <c r="B9" s="45" t="str">
        <f>'Playoff Picture'!B23</f>
        <v>Player 12</v>
      </c>
      <c r="C9" s="14">
        <v>0</v>
      </c>
      <c r="D9" s="51">
        <f t="shared" si="0"/>
        <v>5.0000000000000001E-3</v>
      </c>
      <c r="E9" s="14"/>
      <c r="F9" s="14">
        <v>0</v>
      </c>
      <c r="G9" s="14">
        <v>0</v>
      </c>
      <c r="H9" s="51">
        <f t="shared" si="1"/>
        <v>10000000.005000001</v>
      </c>
    </row>
    <row r="10" spans="1:8" ht="15" customHeight="1" x14ac:dyDescent="0.25">
      <c r="A10" s="2">
        <v>6</v>
      </c>
      <c r="B10" s="45" t="str">
        <f>'Playoff Picture'!B24</f>
        <v>Player 15</v>
      </c>
      <c r="C10" s="14">
        <v>0</v>
      </c>
      <c r="D10" s="51">
        <f t="shared" si="0"/>
        <v>6.0000000000000001E-3</v>
      </c>
      <c r="E10" s="14"/>
      <c r="F10" s="14">
        <v>0</v>
      </c>
      <c r="G10" s="14">
        <v>0</v>
      </c>
      <c r="H10" s="51">
        <f t="shared" si="1"/>
        <v>10000000.005999999</v>
      </c>
    </row>
    <row r="11" spans="1:8" ht="15" customHeight="1" x14ac:dyDescent="0.25">
      <c r="A11" s="2">
        <v>7</v>
      </c>
      <c r="B11" s="45" t="str">
        <f>'Playoff Picture'!B25</f>
        <v>Player 6</v>
      </c>
      <c r="C11" s="14">
        <v>0</v>
      </c>
      <c r="D11" s="51">
        <f t="shared" si="0"/>
        <v>7.0000000000000001E-3</v>
      </c>
      <c r="E11" s="14"/>
      <c r="F11" s="14">
        <v>0</v>
      </c>
      <c r="G11" s="14">
        <v>0</v>
      </c>
      <c r="H11" s="51">
        <f t="shared" si="1"/>
        <v>10000000.006999999</v>
      </c>
    </row>
    <row r="12" spans="1:8" ht="15" customHeight="1" x14ac:dyDescent="0.25">
      <c r="A12" s="2">
        <v>8</v>
      </c>
      <c r="B12" s="45" t="str">
        <f>'Playoff Picture'!B26</f>
        <v>Player 14</v>
      </c>
      <c r="C12" s="14">
        <v>0</v>
      </c>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14</v>
      </c>
      <c r="C16" s="2">
        <f>INDEX($C$5:$C$12,MATCH(LARGE($H$5:$H$12,1),$H$5:$H$12,0))</f>
        <v>0</v>
      </c>
      <c r="D16" s="2"/>
      <c r="E16" s="36" t="s">
        <v>200</v>
      </c>
    </row>
    <row r="17" spans="1:5" ht="15" customHeight="1" x14ac:dyDescent="0.25">
      <c r="A17" s="44">
        <v>2</v>
      </c>
      <c r="B17" s="44" t="str">
        <f>INDEX($B$5:$B$12,MATCH(LARGE($H$5:$H$12,2),$H$5:$H$12,0))</f>
        <v>Player 6</v>
      </c>
      <c r="C17" s="2">
        <f>INDEX($C$5:$C$12,MATCH(LARGE($H$5:$H$12,2),$H$5:$H$12,0))</f>
        <v>0</v>
      </c>
      <c r="D17" s="2"/>
      <c r="E17" s="36" t="s">
        <v>200</v>
      </c>
    </row>
    <row r="18" spans="1:5" ht="15" customHeight="1" x14ac:dyDescent="0.25">
      <c r="A18" s="44">
        <v>3</v>
      </c>
      <c r="B18" s="44" t="str">
        <f>INDEX($B$5:$B$12,MATCH(LARGE($H$5:$H$12,3),$H$5:$H$12,0))</f>
        <v>Player 15</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16</v>
      </c>
      <c r="C22" s="2">
        <f>INDEX($C$5:$C$12,MATCH(LARGE($H$5:$H$12,7),$H$5:$H$12,0))</f>
        <v>0</v>
      </c>
      <c r="D22" s="2"/>
      <c r="E22" s="53" t="s">
        <v>201</v>
      </c>
    </row>
    <row r="23" spans="1:5" ht="15" customHeight="1" x14ac:dyDescent="0.25">
      <c r="A23" s="44">
        <v>8</v>
      </c>
      <c r="B23" s="44" t="str">
        <f>INDEX($B$5:$B$12,MATCH(LARGE($H$5:$H$12,8),$H$5:$H$12,0))</f>
        <v>Player 1</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1" t="s">
        <v>203</v>
      </c>
      <c r="B1" s="71"/>
      <c r="C1" s="71"/>
      <c r="D1" s="71"/>
      <c r="E1" s="71"/>
      <c r="F1" s="71"/>
      <c r="G1" s="71"/>
      <c r="H1" s="71"/>
    </row>
    <row r="2" spans="1:12" ht="15" customHeight="1" x14ac:dyDescent="0.25">
      <c r="A2" s="11" t="s">
        <v>204</v>
      </c>
    </row>
    <row r="4" spans="1:12" ht="15" customHeight="1" x14ac:dyDescent="0.25">
      <c r="A4" s="70" t="s">
        <v>205</v>
      </c>
      <c r="B4" s="70"/>
      <c r="C4" s="70"/>
      <c r="D4" s="70"/>
      <c r="E4" s="70"/>
      <c r="F4" s="70"/>
      <c r="G4" s="70"/>
      <c r="H4" s="70"/>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14</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6</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15</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15</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6</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14</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14</v>
      </c>
      <c r="B22" s="14">
        <v>0</v>
      </c>
      <c r="C22" s="14">
        <v>0</v>
      </c>
      <c r="D22" s="44">
        <f>ABS(B22-C22)</f>
        <v>0</v>
      </c>
    </row>
    <row r="23" spans="1:4" ht="15" customHeight="1" x14ac:dyDescent="0.25">
      <c r="A23" s="45" t="str">
        <f>$A$7</f>
        <v>Player 6</v>
      </c>
      <c r="B23" s="14">
        <v>0</v>
      </c>
      <c r="C23" s="2">
        <f>C22</f>
        <v>0</v>
      </c>
      <c r="D23" s="44">
        <f>ABS(B23-C23)</f>
        <v>0</v>
      </c>
    </row>
    <row r="24" spans="1:4" ht="15" customHeight="1" x14ac:dyDescent="0.25">
      <c r="A24" s="45" t="str">
        <f>$A$8</f>
        <v>Player 15</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G18" sqref="G18"/>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1" t="s">
        <v>157</v>
      </c>
      <c r="B1" s="71"/>
      <c r="C1" s="71"/>
      <c r="D1" s="71"/>
      <c r="E1" s="71"/>
      <c r="F1" s="71"/>
      <c r="G1" s="71"/>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6</v>
      </c>
      <c r="C14" s="2">
        <f>INDEX(Helper!$AE$2:$AE$17,MATCH(LARGE(Helper!$AO$2:$AO$17,1),Helper!$AO$2:$AO$17,0))</f>
        <v>12</v>
      </c>
      <c r="D14" s="2" t="s">
        <v>178</v>
      </c>
      <c r="E14" s="40"/>
      <c r="F14" s="32"/>
      <c r="G14" s="32"/>
      <c r="H14" s="32"/>
      <c r="I14" s="32"/>
      <c r="J14" s="32"/>
    </row>
    <row r="15" spans="1:10" ht="25.5" customHeight="1" x14ac:dyDescent="0.25">
      <c r="A15" s="1" t="s">
        <v>179</v>
      </c>
      <c r="B15" s="42" t="str">
        <f>INDEX(Helper!$B$2:$B$17,MATCH(LARGE(Helper!$AO$2:$AO$17,2),Helper!$AO$2:$AO$17,0))</f>
        <v>Player 14</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16</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15</v>
      </c>
      <c r="C24" s="2" t="s">
        <v>185</v>
      </c>
      <c r="D24" s="32"/>
      <c r="E24" s="32"/>
      <c r="F24" s="32"/>
      <c r="G24" s="32"/>
      <c r="H24" s="32"/>
      <c r="I24" s="32"/>
      <c r="J24" s="32"/>
    </row>
    <row r="25" spans="1:10" ht="15" customHeight="1" x14ac:dyDescent="0.25">
      <c r="A25" s="2">
        <v>7</v>
      </c>
      <c r="B25" s="44" t="str">
        <f>B14</f>
        <v>Player 6</v>
      </c>
      <c r="C25" s="2" t="s">
        <v>177</v>
      </c>
      <c r="D25" s="32"/>
      <c r="E25" s="32"/>
      <c r="F25" s="32"/>
      <c r="G25" s="32"/>
      <c r="H25" s="32"/>
      <c r="I25" s="32"/>
      <c r="J25" s="32"/>
    </row>
    <row r="26" spans="1:10" ht="15" customHeight="1" x14ac:dyDescent="0.25">
      <c r="A26" s="2">
        <v>8</v>
      </c>
      <c r="B26" s="44" t="str">
        <f>B15</f>
        <v>Player 14</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35</v>
      </c>
      <c r="F35" s="47">
        <f t="shared" si="3"/>
        <v>35</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75</v>
      </c>
      <c r="F44" s="47">
        <f t="shared" si="3"/>
        <v>75</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6</v>
      </c>
      <c r="C4" s="22">
        <f>INDEX(Helper!$C$2:$C$17,MATCH(LARGE(Helper!$AH$2:$AH$17,2),Helper!$AH$2:$AH$17,0))</f>
        <v>12</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12</v>
      </c>
      <c r="J4" s="22">
        <f>INDEX(Helper!$J$2:$J$17,MATCH(LARGE(Helper!$AH$2:$AH$17,2),Helper!$AH$2:$AH$17,0))</f>
        <v>1</v>
      </c>
      <c r="K4" s="22">
        <f t="shared" si="0"/>
        <v>12</v>
      </c>
    </row>
    <row r="5" spans="1:11" ht="15" customHeight="1" x14ac:dyDescent="0.25">
      <c r="A5" s="24">
        <v>3</v>
      </c>
      <c r="B5" s="21" t="str">
        <f>INDEX(Helper!$B$2:$B$17,MATCH(LARGE(Helper!$AH$2:$AH$17,3),Helper!$AH$2:$AH$17,0))</f>
        <v>Player 16</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15</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14</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13</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12</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11</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10</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9</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8</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7</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0</v>
      </c>
      <c r="F71" s="19">
        <f>INDEX(Helper!$AE$2:$AE$17,MATCH(LARGE(Helper!$AM$2:$AM$17,1),Helper!$AM$2:$AM$17,0))</f>
        <v>14</v>
      </c>
      <c r="G71" s="22">
        <f>RANK(C71,$C$71:$C$86,0)</f>
        <v>1</v>
      </c>
      <c r="H71" s="22">
        <f>RANK(D71,$D$71:$D$86,0)</f>
        <v>1</v>
      </c>
    </row>
    <row r="72" spans="1:12" ht="15" customHeight="1" x14ac:dyDescent="0.25">
      <c r="A72" s="23">
        <v>2</v>
      </c>
      <c r="B72" s="21" t="str">
        <f>INDEX(Helper!$B$2:$B$17,MATCH(LARGE(Helper!$AM$2:$AM$17,2),Helper!$AM$2:$AM$17,0))</f>
        <v>Player 6</v>
      </c>
      <c r="C72" s="22">
        <f>INDEX(Helper!$I$2:$I$17,MATCH(LARGE(Helper!$AM$2:$AM$17,2),Helper!$AM$2:$AM$17,0))</f>
        <v>12</v>
      </c>
      <c r="D72" s="22">
        <f>INDEX(Helper!$R$2:$R$17,MATCH(LARGE(Helper!$AM$2:$AM$17,2),Helper!$AM$2:$AM$17,0))</f>
        <v>0</v>
      </c>
      <c r="E72" s="22">
        <f>INDEX(Helper!$AC$2:$AC$17,MATCH(LARGE(Helper!$AM$2:$AM$17,2),Helper!$AM$2:$AM$17,0))</f>
        <v>0</v>
      </c>
      <c r="F72" s="19">
        <f>INDEX(Helper!$AE$2:$AE$17,MATCH(LARGE(Helper!$AM$2:$AM$17,2),Helper!$AM$2:$AM$17,0))</f>
        <v>12</v>
      </c>
      <c r="G72" s="22">
        <f>RANK(C72,$C$72:$C$87,0)</f>
        <v>1</v>
      </c>
      <c r="H72" s="22">
        <f>RANK(D72,$D$72:$D$87,0)</f>
        <v>1</v>
      </c>
    </row>
    <row r="73" spans="1:12" ht="15" customHeight="1" x14ac:dyDescent="0.25">
      <c r="A73" s="24">
        <v>3</v>
      </c>
      <c r="B73" s="21" t="str">
        <f>INDEX(Helper!$B$2:$B$17,MATCH(LARGE(Helper!$AM$2:$AM$17,3),Helper!$AM$2:$AM$17,0))</f>
        <v>Player 16</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15</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14</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13</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12</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11</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10</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8</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7</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B7" sqref="B7"/>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278</v>
      </c>
      <c r="C7" s="69" t="s">
        <v>279</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12</v>
      </c>
      <c r="D7">
        <f>'Wk 1-6 Input'!I30</f>
        <v>0</v>
      </c>
      <c r="E7">
        <f>'Wk 1-6 Input'!I49</f>
        <v>0</v>
      </c>
      <c r="F7">
        <f>'Wk 1-6 Input'!I68</f>
        <v>0</v>
      </c>
      <c r="G7">
        <f>'Wk 1-6 Input'!I87</f>
        <v>0</v>
      </c>
      <c r="H7">
        <f>'Wk 1-6 Input'!I106</f>
        <v>0</v>
      </c>
      <c r="I7">
        <f t="shared" si="0"/>
        <v>12</v>
      </c>
      <c r="J7">
        <f>COUNTIF('Wk 1-6 Input'!F11,"W")+COUNTIF('Wk 1-6 Input'!F30,"W")+COUNTIF('Wk 1-6 Input'!F49,"W")+COUNTIF('Wk 1-6 Input'!F68,"W")+COUNTIF('Wk 1-6 Input'!F87,"W")+COUNTIF('Wk 1-6 Input'!F106,"W")</f>
        <v>1</v>
      </c>
      <c r="K7">
        <f t="shared" si="1"/>
        <v>12.0006</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12</v>
      </c>
      <c r="AF7">
        <f t="shared" si="8"/>
        <v>12.0006</v>
      </c>
      <c r="AG7">
        <f t="shared" si="9"/>
        <v>12</v>
      </c>
      <c r="AH7">
        <f t="shared" si="10"/>
        <v>1212010.06</v>
      </c>
      <c r="AI7">
        <f t="shared" si="11"/>
        <v>0</v>
      </c>
      <c r="AJ7">
        <f t="shared" si="12"/>
        <v>0.06</v>
      </c>
      <c r="AK7">
        <f>MAX('Wk 13-18 Input'!C11,'Wk 13-18 Input'!C30,'Wk 13-18 Input'!C49,'Wk 13-18 Input'!C68,'Wk 13-18 Input'!C87,'Wk 13-18 Input'!C106)</f>
        <v>0</v>
      </c>
      <c r="AL7">
        <f t="shared" si="13"/>
        <v>0.06</v>
      </c>
      <c r="AM7">
        <f t="shared" si="14"/>
        <v>1201200.06</v>
      </c>
      <c r="AN7">
        <f>COUNTIF('Playoff Picture'!$E$5:$E$10,B7)</f>
        <v>0</v>
      </c>
      <c r="AO7">
        <f t="shared" si="15"/>
        <v>1201200.06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2026-09-04T03:40:00Z</dcterms:modified>
  <dc:language>en-US</dc:language>
</cp:coreProperties>
</file>