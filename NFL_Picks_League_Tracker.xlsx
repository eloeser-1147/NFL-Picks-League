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58" documentId="11_6034A8D24D14BF460B0C50849224F53B42431133" xr6:coauthVersionLast="47" xr6:coauthVersionMax="47" xr10:uidLastSave="{34C070E2-5E01-433F-8932-3C8CE0DD34F9}"/>
  <bookViews>
    <workbookView xWindow="-28920" yWindow="-120" windowWidth="23280" windowHeight="1320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B13" i="10" s="1"/>
  <c r="C14" i="8"/>
  <c r="B14" i="8"/>
  <c r="B25" i="8" s="1"/>
  <c r="B11" i="9" s="1"/>
  <c r="B17" i="9" s="1"/>
  <c r="A7" i="10" s="1"/>
  <c r="A24" i="10"/>
  <c r="B14" i="10"/>
  <c r="A23" i="10" l="1"/>
  <c r="B15" i="10"/>
  <c r="E40" i="8" s="1"/>
  <c r="F40" i="8" s="1"/>
  <c r="A22" i="10"/>
  <c r="B16" i="10"/>
  <c r="E44" i="8" l="1"/>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<sst xmlns="http://schemas.openxmlformats.org/spreadsheetml/2006/main" count="816" uniqueCount="289">
  <si>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</si>
  <si>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</si>
  <si>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</si>
  <si>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</si>
  <si>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</si>
  <si>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</si>
  <si>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</si>
  <si>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</si>
  <si>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</si>
  <si>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</si>
  <si>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</si>
  <si>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</si>
  <si>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</si>
  <si>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</si>
  <si>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</si>
  <si>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</si>
  <si>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</si>
  <si>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</si>
  <si>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</si>
  <si>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</si>
  <si>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</si>
  <si>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</si>
  <si>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</si>
  <si>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</si>
  <si>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</si>
  <si>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</si>
  <si>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</si>
  <si>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</si>
  <si>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</si>
  <si>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</si>
  <si>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</si>
  <si>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</si>
  <si>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</si>
  <si>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</si>
  <si>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</si>
  <si>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</si>
  <si>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</si>
  <si>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</si>
  <si>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</si>
  <si>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</si>
  <si>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</si>
  <si>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</si>
  <si>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</si>
  <si>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</si>
  <si>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</si>
  <si>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</si>
  <si>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</si>
  <si>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</si>
  <si>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</si>
  <si>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</si>
  <si>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</si>
  <si>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</si>
  <si>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</si>
  <si>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</si>
  <si>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</si>
  <si>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</si>
  <si>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</si>
  <si>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</si>
  <si>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</si>
  <si>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</si>
  <si>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</si>
  <si>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</si>
  <si>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</si>
  <si>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</si>
  <si>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</si>
  <si>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</si>
  <si>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</si>
  <si>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</si>
  <si>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</si>
  <si>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</si>
  <si>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</si>
  <si>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</si>
  <si>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</si>
  <si>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</si>
  <si>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</si>
  <si>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</si>
  <si>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</si>
  <si>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</si>
  <si>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</si>
  <si>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</si>
  <si>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</si>
  <si>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</si>
  <si>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</si>
  <si>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</si>
  <si>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</si>
  <si>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</si>
  <si>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</si>
  <si>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</si>
  <si>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</si>
  <si>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</si>
  <si>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</si>
  <si>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</si>
  <si>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</si>
  <si>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</si>
  <si>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</si>
  <si>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</si>
  <si>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</si>
  <si>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</si>
  <si>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</si>
  <si>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</si>
  <si>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</si>
  <si>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</si>
  <si>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</si>
  <si>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</si>
  <si>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</si>
  <si>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</si>
  <si>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</si>
  <si>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</si>
  <si>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</si>
  <si>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</si>
  <si>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</si>
  <si>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</si>
  <si>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</si>
  <si>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</si>
  <si>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</si>
  <si>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</si>
  <si>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</si>
  <si>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</si>
  <si>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</si>
  <si>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</si>
  <si>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</si>
  <si>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</si>
  <si>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</si>
  <si>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</si>
  <si>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</si>
  <si>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</si>
  <si>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</si>
  <si>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</si>
  <si>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</si>
  <si>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</si>
  <si>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</si>
  <si>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</si>
  <si>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</si>
  <si>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</si>
  <si>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</si>
  <si>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</si>
  <si>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</si>
  <si>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</si>
  <si>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</si>
  <si>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</si>
  <si>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</si>
  <si>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</si>
  <si>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</si>
  <si>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</si>
  <si>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</si>
  <si>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</si>
  <si>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</si>
  <si>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</si>
  <si>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</si>
  <si>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</si>
  <si>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</si>
  <si>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</si>
  <si>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</si>
  <si>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</si>
  <si>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</si>
  <si>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</si>
  <si>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</si>
  <si>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</si>
  <si>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</si>
  <si>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</si>
  <si>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</si>
  <si>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</si>
  <si>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</si>
  <si>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</si>
  <si>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</si>
  <si>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</si>
  <si>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</si>
  <si>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</si>
  <si>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</si>
  <si>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</si>
  <si>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</si>
  <si>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</si>
  <si>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</si>
  <si>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</si>
  <si>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</si>
  <si>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</si>
  <si>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</si>
  <si>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</si>
  <si>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</si>
  <si>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</si>
  <si>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</si>
  <si>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</si>
  <si>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</si>
  <si>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</si>
  <si>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</si>
  <si>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</si>
  <si>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</si>
  <si>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</si>
  <si>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</si>
  <si>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</si>
  <si>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</si>
  <si>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</si>
  <si>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</si>
  <si>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</si>
  <si>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</si>
  <si>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</si>
  <si>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</si>
  <si>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</si>
  <si>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</si>
  <si>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</si>
  <si>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</si>
  <si>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</si>
  <si>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</si>
  <si>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</si>
  <si>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</si>
  <si>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</si>
  <si>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</si>
  <si>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</si>
  <si>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</si>
  <si>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</si>
  <si>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</si>
  <si>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</si>
  <si>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</si>
  <si>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</si>
  <si>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</si>
  <si>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</si>
  <si>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</si>
  <si>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</si>
  <si>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</si>
  <si>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</si>
  <si>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</si>
  <si>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</si>
  <si>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</si>
  <si>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</si>
  <si>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</si>
  <si>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</si>
  <si>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</si>
  <si>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</si>
  <si>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</si>
  <si>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</si>
  <si>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</si>
  <si>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</si>
  <si>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</si>
  <si>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</si>
  <si>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</si>
  <si>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</si>
  <si>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</si>
  <si>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</si>
  <si>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</si>
  <si>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</si>
  <si>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</si>
  <si>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</si>
  <si>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</si>
  <si>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</si>
  <si>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</si>
  <si>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</si>
  <si>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</si>
  <si>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</si>
  <si>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</si>
  <si>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</si>
  <si>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</si>
  <si>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</si>
  <si>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</si>
  <si>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</si>
  <si>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</si>
  <si>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</si>
  <si>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</si>
  <si>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</si>
  <si>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</si>
  <si>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</si>
  <si>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</si>
  <si>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</si>
  <si>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</si>
  <si>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</si>
  <si>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</si>
  <si>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</si>
  <si>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</si>
  <si>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</si>
  <si>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</si>
  <si>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</si>
  <si>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</si>
  <si>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</si>
  <si>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</si>
  <si>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</si>
  <si>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</si>
  <si>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</si>
  <si>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</si>
  <si>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</si>
  <si>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BUF</t>
  </si>
  <si>
    <t>JAX</t>
  </si>
  <si>
    <t>DAL</t>
  </si>
  <si>
    <t>PHI</t>
  </si>
  <si>
    <t>KC</t>
  </si>
  <si>
    <t>HOU</t>
  </si>
  <si>
    <t>LAR</t>
  </si>
  <si>
    <t>SF</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</si>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</sst>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A22" sqref="A22"/>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22</v>
      </c>
    </row>
    <row r="21" spans="1:4" ht="15" customHeight="1" x14ac:dyDescent="0.25">
      <c r="A21" s="6" t="s">
        <v>288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5" t="s">
        <v>34</v>
      </c>
      <c r="B1" s="75"/>
      <c r="C1" s="75"/>
      <c r="D1" s="75"/>
      <c r="E1" s="75"/>
      <c r="F1" s="75"/>
    </row>
    <row r="2" spans="1:6" ht="15" customHeight="1" x14ac:dyDescent="0.25">
      <c r="A2" s="74" t="s">
        <v>35</v>
      </c>
      <c r="B2" s="74"/>
      <c r="C2" s="74"/>
      <c r="D2" s="74"/>
      <c r="E2" s="74"/>
      <c r="F2" s="74"/>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4" t="s">
        <v>40</v>
      </c>
      <c r="B13" s="74"/>
      <c r="C13" s="74"/>
      <c r="D13" s="74"/>
      <c r="E13" s="74"/>
      <c r="F13" s="74"/>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4" t="s">
        <v>41</v>
      </c>
      <c r="B24" s="74"/>
      <c r="C24" s="74"/>
      <c r="D24" s="74"/>
      <c r="E24" s="74"/>
      <c r="F24" s="74"/>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4" t="s">
        <v>42</v>
      </c>
      <c r="B35" s="74"/>
      <c r="C35" s="74"/>
      <c r="D35" s="74"/>
      <c r="E35" s="74"/>
      <c r="F35" s="74"/>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4" t="s">
        <v>43</v>
      </c>
      <c r="B46" s="74"/>
      <c r="C46" s="74"/>
      <c r="D46" s="74"/>
      <c r="E46" s="74"/>
      <c r="F46" s="74"/>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4" t="s">
        <v>44</v>
      </c>
      <c r="B57" s="74"/>
      <c r="C57" s="74"/>
      <c r="D57" s="74"/>
      <c r="E57" s="74"/>
      <c r="F57" s="74"/>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5" t="s">
        <v>45</v>
      </c>
      <c r="B68" s="75"/>
      <c r="C68" s="75"/>
      <c r="D68" s="75"/>
      <c r="E68" s="75"/>
      <c r="F68" s="75"/>
    </row>
    <row r="69" spans="1:6" ht="15" customHeight="1" x14ac:dyDescent="0.25">
      <c r="A69" s="74" t="s">
        <v>46</v>
      </c>
      <c r="B69" s="74"/>
      <c r="C69" s="74"/>
      <c r="D69" s="74"/>
      <c r="E69" s="74"/>
      <c r="F69" s="74"/>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4" t="s">
        <v>47</v>
      </c>
      <c r="B80" s="74"/>
      <c r="C80" s="74"/>
      <c r="D80" s="74"/>
      <c r="E80" s="74"/>
      <c r="F80" s="74"/>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4" t="s">
        <v>48</v>
      </c>
      <c r="B91" s="74"/>
      <c r="C91" s="74"/>
      <c r="D91" s="74"/>
      <c r="E91" s="74"/>
      <c r="F91" s="74"/>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4" t="s">
        <v>49</v>
      </c>
      <c r="B102" s="74"/>
      <c r="C102" s="74"/>
      <c r="D102" s="74"/>
      <c r="E102" s="74"/>
      <c r="F102" s="74"/>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4" t="s">
        <v>50</v>
      </c>
      <c r="B113" s="74"/>
      <c r="C113" s="74"/>
      <c r="D113" s="74"/>
      <c r="E113" s="74"/>
      <c r="F113" s="74"/>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4" t="s">
        <v>51</v>
      </c>
      <c r="B124" s="74"/>
      <c r="C124" s="74"/>
      <c r="D124" s="74"/>
      <c r="E124" s="74"/>
      <c r="F124" s="74"/>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5" t="s">
        <v>52</v>
      </c>
      <c r="B135" s="75"/>
      <c r="C135" s="75"/>
      <c r="D135" s="75"/>
      <c r="E135" s="75"/>
      <c r="F135" s="75"/>
    </row>
    <row r="136" spans="1:6" ht="15" customHeight="1" x14ac:dyDescent="0.25">
      <c r="A136" s="74" t="s">
        <v>53</v>
      </c>
      <c r="B136" s="74"/>
      <c r="C136" s="74"/>
      <c r="D136" s="74"/>
      <c r="E136" s="74"/>
      <c r="F136" s="74"/>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4" t="s">
        <v>54</v>
      </c>
      <c r="B147" s="74"/>
      <c r="C147" s="74"/>
      <c r="D147" s="74"/>
      <c r="E147" s="74"/>
      <c r="F147" s="74"/>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4" t="s">
        <v>55</v>
      </c>
      <c r="B158" s="74"/>
      <c r="C158" s="74"/>
      <c r="D158" s="74"/>
      <c r="E158" s="74"/>
      <c r="F158" s="74"/>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4" t="s">
        <v>56</v>
      </c>
      <c r="B169" s="74"/>
      <c r="C169" s="74"/>
      <c r="D169" s="74"/>
      <c r="E169" s="74"/>
      <c r="F169" s="74"/>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4" t="s">
        <v>57</v>
      </c>
      <c r="B180" s="74"/>
      <c r="C180" s="74"/>
      <c r="D180" s="74"/>
      <c r="E180" s="74"/>
      <c r="F180" s="74"/>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4" t="s">
        <v>58</v>
      </c>
      <c r="B191" s="74"/>
      <c r="C191" s="74"/>
      <c r="D191" s="74"/>
      <c r="E191" s="74"/>
      <c r="F191" s="74"/>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1" t="s">
        <v>61</v>
      </c>
      <c r="B4" s="71"/>
      <c r="C4" s="71"/>
      <c r="D4" s="71"/>
      <c r="E4" s="71"/>
      <c r="F4" s="71"/>
      <c r="G4" s="71"/>
      <c r="H4" s="71"/>
      <c r="I4" s="71"/>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1" t="s">
        <v>69</v>
      </c>
      <c r="B23" s="71"/>
      <c r="C23" s="71"/>
      <c r="D23" s="71"/>
      <c r="E23" s="71"/>
      <c r="F23" s="71"/>
      <c r="G23" s="71"/>
      <c r="H23" s="71"/>
      <c r="I23" s="71"/>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1" t="s">
        <v>70</v>
      </c>
      <c r="B42" s="71"/>
      <c r="C42" s="71"/>
      <c r="D42" s="71"/>
      <c r="E42" s="71"/>
      <c r="F42" s="71"/>
      <c r="G42" s="71"/>
      <c r="H42" s="71"/>
      <c r="I42" s="71"/>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1" t="s">
        <v>71</v>
      </c>
      <c r="B61" s="71"/>
      <c r="C61" s="71"/>
      <c r="D61" s="71"/>
      <c r="E61" s="71"/>
      <c r="F61" s="71"/>
      <c r="G61" s="71"/>
      <c r="H61" s="71"/>
      <c r="I61" s="71"/>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1" t="s">
        <v>72</v>
      </c>
      <c r="B80" s="71"/>
      <c r="C80" s="71"/>
      <c r="D80" s="71"/>
      <c r="E80" s="71"/>
      <c r="F80" s="71"/>
      <c r="G80" s="71"/>
      <c r="H80" s="71"/>
      <c r="I80" s="71"/>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1" t="s">
        <v>73</v>
      </c>
      <c r="B99" s="71"/>
      <c r="C99" s="71"/>
      <c r="D99" s="71"/>
      <c r="E99" s="71"/>
      <c r="F99" s="71"/>
      <c r="G99" s="71"/>
      <c r="H99" s="71"/>
      <c r="I99" s="71"/>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1" t="s">
        <v>76</v>
      </c>
      <c r="B4" s="71"/>
      <c r="C4" s="71"/>
      <c r="D4" s="71"/>
      <c r="E4" s="71"/>
      <c r="F4" s="71"/>
      <c r="G4" s="71"/>
      <c r="H4" s="71"/>
      <c r="I4" s="71"/>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1" t="s">
        <v>79</v>
      </c>
      <c r="B23" s="71"/>
      <c r="C23" s="71"/>
      <c r="D23" s="71"/>
      <c r="E23" s="71"/>
      <c r="F23" s="71"/>
      <c r="G23" s="71"/>
      <c r="H23" s="71"/>
      <c r="I23" s="71"/>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1" t="s">
        <v>80</v>
      </c>
      <c r="B42" s="71"/>
      <c r="C42" s="71"/>
      <c r="D42" s="71"/>
      <c r="E42" s="71"/>
      <c r="F42" s="71"/>
      <c r="G42" s="71"/>
      <c r="H42" s="71"/>
      <c r="I42" s="71"/>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1" t="s">
        <v>81</v>
      </c>
      <c r="B61" s="71"/>
      <c r="C61" s="71"/>
      <c r="D61" s="71"/>
      <c r="E61" s="71"/>
      <c r="F61" s="71"/>
      <c r="G61" s="71"/>
      <c r="H61" s="71"/>
      <c r="I61" s="71"/>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1" t="s">
        <v>82</v>
      </c>
      <c r="B80" s="71"/>
      <c r="C80" s="71"/>
      <c r="D80" s="71"/>
      <c r="E80" s="71"/>
      <c r="F80" s="71"/>
      <c r="G80" s="71"/>
      <c r="H80" s="71"/>
      <c r="I80" s="71"/>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1" t="s">
        <v>83</v>
      </c>
      <c r="B99" s="71"/>
      <c r="C99" s="71"/>
      <c r="D99" s="71"/>
      <c r="E99" s="71"/>
      <c r="F99" s="71"/>
      <c r="G99" s="71"/>
      <c r="H99" s="71"/>
      <c r="I99" s="71"/>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6" t="s">
        <v>86</v>
      </c>
      <c r="B4" s="76"/>
      <c r="C4" s="76"/>
      <c r="D4" s="76"/>
      <c r="E4" s="76"/>
      <c r="F4" s="76"/>
      <c r="G4" s="76"/>
      <c r="H4" s="76"/>
      <c r="I4" s="76"/>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6" t="s">
        <v>90</v>
      </c>
      <c r="B23" s="76"/>
      <c r="C23" s="76"/>
      <c r="D23" s="76"/>
      <c r="E23" s="76"/>
      <c r="F23" s="76"/>
      <c r="G23" s="76"/>
      <c r="H23" s="76"/>
      <c r="I23" s="76"/>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6" t="s">
        <v>91</v>
      </c>
      <c r="B42" s="76"/>
      <c r="C42" s="76"/>
      <c r="D42" s="76"/>
      <c r="E42" s="76"/>
      <c r="F42" s="76"/>
      <c r="G42" s="76"/>
      <c r="H42" s="76"/>
      <c r="I42" s="76"/>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6" t="s">
        <v>92</v>
      </c>
      <c r="B61" s="76"/>
      <c r="C61" s="76"/>
      <c r="D61" s="76"/>
      <c r="E61" s="76"/>
      <c r="F61" s="76"/>
      <c r="G61" s="76"/>
      <c r="H61" s="76"/>
      <c r="I61" s="76"/>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6" t="s">
        <v>93</v>
      </c>
      <c r="B80" s="76"/>
      <c r="C80" s="76"/>
      <c r="D80" s="76"/>
      <c r="E80" s="76"/>
      <c r="F80" s="76"/>
      <c r="G80" s="76"/>
      <c r="H80" s="76"/>
      <c r="I80" s="76"/>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6" t="s">
        <v>94</v>
      </c>
      <c r="B99" s="76"/>
      <c r="C99" s="76"/>
      <c r="D99" s="76"/>
      <c r="E99" s="76"/>
      <c r="F99" s="76"/>
      <c r="G99" s="76"/>
      <c r="H99" s="76"/>
      <c r="I99" s="76"/>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2" t="s">
        <v>158</v>
      </c>
      <c r="B3" s="72"/>
      <c r="C3" s="72"/>
      <c r="D3" s="72"/>
      <c r="E3" s="72"/>
      <c r="F3" s="72"/>
      <c r="G3" s="72"/>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170</v>
      </c>
      <c r="B7" s="34" t="str">
        <f>INDEX(Helper!$B$2:$B$5,MATCH(LARGE(Helper!$AL$2:$AL$5,1),Helper!$AL$2:$AL$5,0))</f>
        <v>Player 1</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78" t="s">
        <v>175</v>
      </c>
      <c r="B12" s="78"/>
      <c r="C12" s="78"/>
      <c r="D12" s="78"/>
      <c r="E12" s="78"/>
      <c r="F12" s="78"/>
      <c r="G12" s="78"/>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14</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13</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3" t="s">
        <v>180</v>
      </c>
      <c r="B17" s="73"/>
      <c r="C17" s="73"/>
      <c r="D17" s="73"/>
      <c r="E17" s="73"/>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16</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15</v>
      </c>
      <c r="C24" s="2" t="s">
        <v>185</v>
      </c>
      <c r="D24" s="32"/>
      <c r="E24" s="32"/>
      <c r="F24" s="32"/>
      <c r="G24" s="32"/>
      <c r="H24" s="32"/>
      <c r="I24" s="32"/>
      <c r="J24" s="32"/>
    </row>
    <row r="25" spans="1:10" ht="15" customHeight="1" x14ac:dyDescent="0.25">
      <c r="A25" s="2">
        <v>7</v>
      </c>
      <c r="B25" s="44" t="str">
        <f>B14</f>
        <v>Player 14</v>
      </c>
      <c r="C25" s="2" t="s">
        <v>177</v>
      </c>
      <c r="D25" s="32"/>
      <c r="E25" s="32"/>
      <c r="F25" s="32"/>
      <c r="G25" s="32"/>
      <c r="H25" s="32"/>
      <c r="I25" s="32"/>
      <c r="J25" s="32"/>
    </row>
    <row r="26" spans="1:10" ht="15" customHeight="1" x14ac:dyDescent="0.25">
      <c r="A26" s="2">
        <v>8</v>
      </c>
      <c r="B26" s="44" t="str">
        <f>B15</f>
        <v>Player 13</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2" t="s">
        <v>186</v>
      </c>
      <c r="B28" s="72"/>
      <c r="C28" s="72"/>
      <c r="D28" s="72"/>
      <c r="E28" s="72"/>
      <c r="F28" s="72"/>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35</v>
      </c>
      <c r="F30" s="47">
        <f t="shared" ref="F30:F45" si="3">C30+D30+E30</f>
        <v>70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75</v>
      </c>
      <c r="F33" s="47">
        <f t="shared" si="3"/>
        <v>75</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200</v>
      </c>
      <c r="F37" s="47">
        <f t="shared" si="3"/>
        <v>210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77" t="s">
        <v>191</v>
      </c>
      <c r="B46" s="77"/>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J19" sqref="J19"/>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9" t="s">
        <v>192</v>
      </c>
      <c r="B1" s="79"/>
      <c r="C1" s="79"/>
      <c r="D1" s="79"/>
      <c r="E1" s="79"/>
      <c r="F1" s="79"/>
      <c r="G1" s="79"/>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15</v>
      </c>
      <c r="D5" s="51">
        <f t="shared" ref="D5:D12" si="0">C5+A5*0.001</f>
        <v>15.000999999999999</v>
      </c>
      <c r="E5" s="14">
        <v>6</v>
      </c>
      <c r="F5" s="14">
        <v>0</v>
      </c>
      <c r="G5" s="14">
        <v>0</v>
      </c>
      <c r="H5" s="51">
        <f t="shared" ref="H5:H12" si="1">C5*10000000+(100-E5)*100000+F5*1000+G5*10+A5*0.001</f>
        <v>159400000.00099999</v>
      </c>
    </row>
    <row r="6" spans="1:8" ht="15" customHeight="1" x14ac:dyDescent="0.25">
      <c r="A6" s="2">
        <v>2</v>
      </c>
      <c r="B6" s="45" t="str">
        <f>'Playoff Picture'!B20</f>
        <v>Player 16</v>
      </c>
      <c r="C6" s="14">
        <v>12</v>
      </c>
      <c r="D6" s="51">
        <f t="shared" si="0"/>
        <v>12.002000000000001</v>
      </c>
      <c r="E6" s="14">
        <v>2</v>
      </c>
      <c r="F6" s="14">
        <v>0</v>
      </c>
      <c r="G6" s="14">
        <v>0</v>
      </c>
      <c r="H6" s="51">
        <f t="shared" si="1"/>
        <v>129800000.002</v>
      </c>
    </row>
    <row r="7" spans="1:8" ht="15" customHeight="1" x14ac:dyDescent="0.25">
      <c r="A7" s="2">
        <v>3</v>
      </c>
      <c r="B7" s="45" t="str">
        <f>'Playoff Picture'!B21</f>
        <v>Player 4</v>
      </c>
      <c r="C7" s="14">
        <v>35</v>
      </c>
      <c r="D7" s="51">
        <f t="shared" si="0"/>
        <v>35.003</v>
      </c>
      <c r="E7" s="14">
        <v>3</v>
      </c>
      <c r="F7" s="14">
        <v>0</v>
      </c>
      <c r="G7" s="14">
        <v>0</v>
      </c>
      <c r="H7" s="51">
        <f t="shared" si="1"/>
        <v>359700000.00300002</v>
      </c>
    </row>
    <row r="8" spans="1:8" ht="15" customHeight="1" x14ac:dyDescent="0.25">
      <c r="A8" s="2">
        <v>4</v>
      </c>
      <c r="B8" s="45" t="str">
        <f>'Playoff Picture'!B22</f>
        <v>Player 8</v>
      </c>
      <c r="C8" s="14">
        <v>15</v>
      </c>
      <c r="D8" s="51">
        <f t="shared" si="0"/>
        <v>15.004</v>
      </c>
      <c r="E8" s="14">
        <v>4</v>
      </c>
      <c r="F8" s="14">
        <v>0</v>
      </c>
      <c r="G8" s="14">
        <v>0</v>
      </c>
      <c r="H8" s="51">
        <f t="shared" si="1"/>
        <v>159600000.00400001</v>
      </c>
    </row>
    <row r="9" spans="1:8" ht="15" customHeight="1" x14ac:dyDescent="0.25">
      <c r="A9" s="2">
        <v>5</v>
      </c>
      <c r="B9" s="45" t="str">
        <f>'Playoff Picture'!B23</f>
        <v>Player 12</v>
      </c>
      <c r="C9" s="14">
        <v>12</v>
      </c>
      <c r="D9" s="51">
        <f t="shared" si="0"/>
        <v>12.005000000000001</v>
      </c>
      <c r="E9" s="14">
        <v>1</v>
      </c>
      <c r="F9" s="14">
        <v>0</v>
      </c>
      <c r="G9" s="14">
        <v>0</v>
      </c>
      <c r="H9" s="51">
        <f t="shared" si="1"/>
        <v>129900000.005</v>
      </c>
    </row>
    <row r="10" spans="1:8" ht="15" customHeight="1" x14ac:dyDescent="0.25">
      <c r="A10" s="2">
        <v>6</v>
      </c>
      <c r="B10" s="45" t="str">
        <f>'Playoff Picture'!B24</f>
        <v>Player 15</v>
      </c>
      <c r="C10" s="14">
        <v>5</v>
      </c>
      <c r="D10" s="51">
        <f t="shared" si="0"/>
        <v>5.0060000000000002</v>
      </c>
      <c r="E10" s="14">
        <v>5</v>
      </c>
      <c r="F10" s="14">
        <v>0</v>
      </c>
      <c r="G10" s="14">
        <v>0</v>
      </c>
      <c r="H10" s="51">
        <f t="shared" si="1"/>
        <v>59500000.005999997</v>
      </c>
    </row>
    <row r="11" spans="1:8" ht="15" customHeight="1" x14ac:dyDescent="0.25">
      <c r="A11" s="2">
        <v>7</v>
      </c>
      <c r="B11" s="45" t="str">
        <f>'Playoff Picture'!B25</f>
        <v>Player 14</v>
      </c>
      <c r="C11" s="14">
        <v>9</v>
      </c>
      <c r="D11" s="51">
        <f t="shared" si="0"/>
        <v>9.0069999999999997</v>
      </c>
      <c r="E11" s="14">
        <v>7</v>
      </c>
      <c r="F11" s="14">
        <v>0</v>
      </c>
      <c r="G11" s="14">
        <v>0</v>
      </c>
      <c r="H11" s="51">
        <f t="shared" si="1"/>
        <v>99300000.006999999</v>
      </c>
    </row>
    <row r="12" spans="1:8" ht="15" customHeight="1" x14ac:dyDescent="0.25">
      <c r="A12" s="2">
        <v>8</v>
      </c>
      <c r="B12" s="45" t="str">
        <f>'Playoff Picture'!B26</f>
        <v>Player 13</v>
      </c>
      <c r="C12" s="14">
        <v>12</v>
      </c>
      <c r="D12" s="51">
        <f t="shared" si="0"/>
        <v>12.007999999999999</v>
      </c>
      <c r="E12" s="14">
        <v>8</v>
      </c>
      <c r="F12" s="14">
        <v>0</v>
      </c>
      <c r="G12" s="14">
        <v>0</v>
      </c>
      <c r="H12" s="51">
        <f t="shared" si="1"/>
        <v>129200000.008</v>
      </c>
    </row>
    <row r="14" spans="1:8" ht="15" customHeight="1" x14ac:dyDescent="0.25">
      <c r="A14" s="73" t="s">
        <v>199</v>
      </c>
      <c r="B14" s="73"/>
      <c r="C14" s="73"/>
      <c r="D14" s="73"/>
      <c r="E14" s="73"/>
      <c r="F14" s="73"/>
      <c r="G14" s="73"/>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4</v>
      </c>
      <c r="C16" s="2">
        <f>INDEX($C$5:$C$12,MATCH(LARGE($H$5:$H$12,1),$H$5:$H$12,0))</f>
        <v>35</v>
      </c>
      <c r="D16" s="2"/>
      <c r="E16" s="36" t="s">
        <v>200</v>
      </c>
    </row>
    <row r="17" spans="1:5" ht="15" customHeight="1" x14ac:dyDescent="0.25">
      <c r="A17" s="44">
        <v>2</v>
      </c>
      <c r="B17" s="44" t="str">
        <f>INDEX($B$5:$B$12,MATCH(LARGE($H$5:$H$12,2),$H$5:$H$12,0))</f>
        <v>Player 8</v>
      </c>
      <c r="C17" s="2">
        <f>INDEX($C$5:$C$12,MATCH(LARGE($H$5:$H$12,2),$H$5:$H$12,0))</f>
        <v>15</v>
      </c>
      <c r="D17" s="2"/>
      <c r="E17" s="36" t="s">
        <v>200</v>
      </c>
    </row>
    <row r="18" spans="1:5" ht="15" customHeight="1" x14ac:dyDescent="0.25">
      <c r="A18" s="44">
        <v>3</v>
      </c>
      <c r="B18" s="44" t="str">
        <f>INDEX($B$5:$B$12,MATCH(LARGE($H$5:$H$12,3),$H$5:$H$12,0))</f>
        <v>Player 1</v>
      </c>
      <c r="C18" s="2">
        <f>INDEX($C$5:$C$12,MATCH(LARGE($H$5:$H$12,3),$H$5:$H$12,0))</f>
        <v>15</v>
      </c>
      <c r="D18" s="2"/>
      <c r="E18" s="36" t="s">
        <v>200</v>
      </c>
    </row>
    <row r="19" spans="1:5" ht="15" customHeight="1" x14ac:dyDescent="0.25">
      <c r="A19" s="44">
        <v>4</v>
      </c>
      <c r="B19" s="44" t="str">
        <f>INDEX($B$5:$B$12,MATCH(LARGE($H$5:$H$12,4),$H$5:$H$12,0))</f>
        <v>Player 12</v>
      </c>
      <c r="C19" s="2">
        <f>INDEX($C$5:$C$12,MATCH(LARGE($H$5:$H$12,4),$H$5:$H$12,0))</f>
        <v>12</v>
      </c>
      <c r="D19" s="2"/>
      <c r="E19" s="36" t="s">
        <v>200</v>
      </c>
    </row>
    <row r="20" spans="1:5" ht="15" customHeight="1" x14ac:dyDescent="0.25">
      <c r="A20" s="44">
        <v>5</v>
      </c>
      <c r="B20" s="44" t="str">
        <f>INDEX($B$5:$B$12,MATCH(LARGE($H$5:$H$12,5),$H$5:$H$12,0))</f>
        <v>Player 16</v>
      </c>
      <c r="C20" s="2">
        <f>INDEX($C$5:$C$12,MATCH(LARGE($H$5:$H$12,5),$H$5:$H$12,0))</f>
        <v>12</v>
      </c>
      <c r="D20" s="2"/>
      <c r="E20" s="53" t="s">
        <v>201</v>
      </c>
    </row>
    <row r="21" spans="1:5" ht="15" customHeight="1" x14ac:dyDescent="0.25">
      <c r="A21" s="44">
        <v>6</v>
      </c>
      <c r="B21" s="44" t="str">
        <f>INDEX($B$5:$B$12,MATCH(LARGE($H$5:$H$12,6),$H$5:$H$12,0))</f>
        <v>Player 13</v>
      </c>
      <c r="C21" s="2">
        <f>INDEX($C$5:$C$12,MATCH(LARGE($H$5:$H$12,6),$H$5:$H$12,0))</f>
        <v>12</v>
      </c>
      <c r="D21" s="2"/>
      <c r="E21" s="53" t="s">
        <v>201</v>
      </c>
    </row>
    <row r="22" spans="1:5" ht="15" customHeight="1" x14ac:dyDescent="0.25">
      <c r="A22" s="44">
        <v>7</v>
      </c>
      <c r="B22" s="44" t="str">
        <f>INDEX($B$5:$B$12,MATCH(LARGE($H$5:$H$12,7),$H$5:$H$12,0))</f>
        <v>Player 14</v>
      </c>
      <c r="C22" s="2">
        <f>INDEX($C$5:$C$12,MATCH(LARGE($H$5:$H$12,7),$H$5:$H$12,0))</f>
        <v>9</v>
      </c>
      <c r="D22" s="2"/>
      <c r="E22" s="53" t="s">
        <v>201</v>
      </c>
    </row>
    <row r="23" spans="1:5" ht="15" customHeight="1" x14ac:dyDescent="0.25">
      <c r="A23" s="44">
        <v>8</v>
      </c>
      <c r="B23" s="44" t="str">
        <f>INDEX($B$5:$B$12,MATCH(LARGE($H$5:$H$12,8),$H$5:$H$12,0))</f>
        <v>Player 15</v>
      </c>
      <c r="C23" s="2">
        <f>INDEX($C$5:$C$12,MATCH(LARGE($H$5:$H$12,8),$H$5:$H$12,0))</f>
        <v>5</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L20" sqref="L20:L21"/>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1" t="s">
        <v>205</v>
      </c>
      <c r="B4" s="71"/>
      <c r="C4" s="71"/>
      <c r="D4" s="71"/>
      <c r="E4" s="71"/>
      <c r="F4" s="71"/>
      <c r="G4" s="71"/>
      <c r="H4" s="71"/>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4</v>
      </c>
      <c r="B6" s="55">
        <f>'Playoff Wild Card'!C16</f>
        <v>35</v>
      </c>
      <c r="C6" s="14">
        <v>0</v>
      </c>
      <c r="D6" s="56">
        <f>C6*2</f>
        <v>0</v>
      </c>
      <c r="E6" s="14">
        <v>0</v>
      </c>
      <c r="F6" s="56">
        <f>E6*4</f>
        <v>0</v>
      </c>
      <c r="G6" s="14">
        <v>0</v>
      </c>
      <c r="H6" s="57">
        <f>G6*8</f>
        <v>0</v>
      </c>
      <c r="I6" s="58">
        <f>B6+D6+F6+H6</f>
        <v>35</v>
      </c>
      <c r="J6" s="59">
        <f>I6*10000000+(100-K6)*100000+(100-L6)*100+(ROW()-5)*0.001</f>
        <v>359809500.00099999</v>
      </c>
      <c r="K6" s="14">
        <v>2</v>
      </c>
      <c r="L6" s="2">
        <f>D22</f>
        <v>5</v>
      </c>
    </row>
    <row r="7" spans="1:12" ht="15" customHeight="1" x14ac:dyDescent="0.25">
      <c r="A7" s="54" t="str">
        <f>'Playoff Wild Card'!B17</f>
        <v>Player 8</v>
      </c>
      <c r="B7" s="55">
        <f>'Playoff Wild Card'!C17</f>
        <v>15</v>
      </c>
      <c r="C7" s="14">
        <v>2</v>
      </c>
      <c r="D7" s="56">
        <f>C7*2</f>
        <v>4</v>
      </c>
      <c r="E7" s="14">
        <v>2</v>
      </c>
      <c r="F7" s="56">
        <f>E7*4</f>
        <v>8</v>
      </c>
      <c r="G7" s="14">
        <v>1</v>
      </c>
      <c r="H7" s="57">
        <f>G7*8</f>
        <v>8</v>
      </c>
      <c r="I7" s="58">
        <f>B7+D7+F7+H7</f>
        <v>35</v>
      </c>
      <c r="J7" s="59">
        <f>I7*10000000+(100-K7)*100000+(100-L7)*100+(ROW()-5)*0.001</f>
        <v>359909900.00199997</v>
      </c>
      <c r="K7" s="14">
        <v>1</v>
      </c>
      <c r="L7" s="2">
        <f>D23</f>
        <v>1</v>
      </c>
    </row>
    <row r="8" spans="1:12" ht="15" customHeight="1" x14ac:dyDescent="0.25">
      <c r="A8" s="54" t="str">
        <f>'Playoff Wild Card'!B18</f>
        <v>Player 1</v>
      </c>
      <c r="B8" s="55">
        <f>'Playoff Wild Card'!C18</f>
        <v>15</v>
      </c>
      <c r="C8" s="14">
        <v>0</v>
      </c>
      <c r="D8" s="56">
        <f>C8*2</f>
        <v>0</v>
      </c>
      <c r="E8" s="14">
        <v>0</v>
      </c>
      <c r="F8" s="56">
        <f>E8*4</f>
        <v>0</v>
      </c>
      <c r="G8" s="14">
        <v>0</v>
      </c>
      <c r="H8" s="57">
        <f>G8*8</f>
        <v>0</v>
      </c>
      <c r="I8" s="58">
        <f>B8+D8+F8+H8</f>
        <v>15</v>
      </c>
      <c r="J8" s="59">
        <f>I8*10000000+(100-K8)*100000+(100-L8)*100+(ROW()-5)*0.001</f>
        <v>159704000.00299999</v>
      </c>
      <c r="K8" s="14">
        <v>3</v>
      </c>
      <c r="L8" s="2">
        <f>D24</f>
        <v>60</v>
      </c>
    </row>
    <row r="9" spans="1:12" ht="15" customHeight="1" x14ac:dyDescent="0.25">
      <c r="A9" s="54" t="str">
        <f>'Playoff Wild Card'!B19</f>
        <v>Player 12</v>
      </c>
      <c r="B9" s="55">
        <f>'Playoff Wild Card'!C19</f>
        <v>12</v>
      </c>
      <c r="C9" s="14">
        <v>0</v>
      </c>
      <c r="D9" s="56">
        <f>C9*2</f>
        <v>0</v>
      </c>
      <c r="E9" s="14">
        <v>0</v>
      </c>
      <c r="F9" s="56">
        <f>E9*4</f>
        <v>0</v>
      </c>
      <c r="G9" s="14">
        <v>0</v>
      </c>
      <c r="H9" s="57">
        <f>G9*8</f>
        <v>0</v>
      </c>
      <c r="I9" s="58">
        <f>B9+D9+F9+H9</f>
        <v>12</v>
      </c>
      <c r="J9" s="59">
        <f>I9*10000000+(100-K9)*100000+(100-L9)*100+(ROW()-5)*0.001</f>
        <v>129704000.00399999</v>
      </c>
      <c r="K9" s="14">
        <v>3</v>
      </c>
      <c r="L9" s="2">
        <f>D25</f>
        <v>60</v>
      </c>
    </row>
    <row r="11" spans="1:12" ht="15" customHeight="1" x14ac:dyDescent="0.25">
      <c r="A11" s="72" t="s">
        <v>216</v>
      </c>
      <c r="B11" s="72"/>
      <c r="C11" s="72"/>
      <c r="D11" s="72"/>
      <c r="E11" s="72"/>
      <c r="F11" s="72"/>
      <c r="G11" s="72"/>
      <c r="H11" s="72"/>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8</v>
      </c>
      <c r="C13" s="2">
        <f>INDEX($B$6:$B$9,MATCH(LARGE($J$6:$J$9,1),$J$6:$J$9,0))</f>
        <v>15</v>
      </c>
      <c r="D13" s="2">
        <f>INDEX($D$6:$D$9,MATCH(LARGE($J$6:$J$9,1),$J$6:$J$9,0))</f>
        <v>4</v>
      </c>
      <c r="E13" s="2">
        <f>INDEX($F$6:$F$9,MATCH(LARGE($J$6:$J$9,1),$J$6:$J$9,0))</f>
        <v>8</v>
      </c>
      <c r="F13" s="57">
        <f>INDEX($H$6:$H$9,MATCH(LARGE($J$6:$J$9,1),$J$6:$J$9,0))</f>
        <v>8</v>
      </c>
      <c r="G13" s="58">
        <f>INDEX($I$6:$I$9,MATCH(LARGE($J$6:$J$9,1),$J$6:$J$9,0))</f>
        <v>35</v>
      </c>
      <c r="H13" s="61" t="s">
        <v>150</v>
      </c>
    </row>
    <row r="14" spans="1:12" ht="15" customHeight="1" x14ac:dyDescent="0.25">
      <c r="A14" s="62" t="s">
        <v>224</v>
      </c>
      <c r="B14" s="44" t="str">
        <f>INDEX($A$6:$A$9,MATCH(LARGE($J$6:$J$9,2),$J$6:$J$9,0))</f>
        <v>Player 4</v>
      </c>
      <c r="C14" s="2">
        <f>INDEX($B$6:$B$9,MATCH(LARGE($J$6:$J$9,2),$J$6:$J$9,0))</f>
        <v>35</v>
      </c>
      <c r="D14" s="2">
        <f>INDEX($D$6:$D$9,MATCH(LARGE($J$6:$J$9,2),$J$6:$J$9,0))</f>
        <v>0</v>
      </c>
      <c r="E14" s="2">
        <f>INDEX($F$6:$F$9,MATCH(LARGE($J$6:$J$9,2),$J$6:$J$9,0))</f>
        <v>0</v>
      </c>
      <c r="F14" s="57">
        <f>INDEX($H$6:$H$9,MATCH(LARGE($J$6:$J$9,2),$J$6:$J$9,0))</f>
        <v>0</v>
      </c>
      <c r="G14" s="58">
        <f>INDEX($I$6:$I$9,MATCH(LARGE($J$6:$J$9,2),$J$6:$J$9,0))</f>
        <v>35</v>
      </c>
      <c r="H14" s="61" t="s">
        <v>152</v>
      </c>
    </row>
    <row r="15" spans="1:12" ht="15" customHeight="1" x14ac:dyDescent="0.25">
      <c r="A15" s="63" t="s">
        <v>225</v>
      </c>
      <c r="B15" s="44" t="str">
        <f>INDEX($A$6:$A$9,MATCH(LARGE($J$6:$J$9,3),$J$6:$J$9,0))</f>
        <v>Player 1</v>
      </c>
      <c r="C15" s="2">
        <f>INDEX($B$6:$B$9,MATCH(LARGE($J$6:$J$9,3),$J$6:$J$9,0))</f>
        <v>15</v>
      </c>
      <c r="D15" s="2">
        <f>INDEX($D$6:$D$9,MATCH(LARGE($J$6:$J$9,3),$J$6:$J$9,0))</f>
        <v>0</v>
      </c>
      <c r="E15" s="2">
        <f>INDEX($F$6:$F$9,MATCH(LARGE($J$6:$J$9,3),$J$6:$J$9,0))</f>
        <v>0</v>
      </c>
      <c r="F15" s="57">
        <f>INDEX($H$6:$H$9,MATCH(LARGE($J$6:$J$9,3),$J$6:$J$9,0))</f>
        <v>0</v>
      </c>
      <c r="G15" s="58">
        <f>INDEX($I$6:$I$9,MATCH(LARGE($J$6:$J$9,3),$J$6:$J$9,0))</f>
        <v>15</v>
      </c>
      <c r="H15" s="61" t="s">
        <v>154</v>
      </c>
    </row>
    <row r="16" spans="1:12" ht="15" customHeight="1" x14ac:dyDescent="0.25">
      <c r="A16" s="64" t="s">
        <v>226</v>
      </c>
      <c r="B16" s="44" t="str">
        <f>INDEX($A$6:$A$9,MATCH(LARGE($J$6:$J$9,4),$J$6:$J$9,0))</f>
        <v>Player 12</v>
      </c>
      <c r="C16" s="2">
        <f>INDEX($B$6:$B$9,MATCH(LARGE($J$6:$J$9,4),$J$6:$J$9,0))</f>
        <v>12</v>
      </c>
      <c r="D16" s="2">
        <f>INDEX($D$6:$D$9,MATCH(LARGE($J$6:$J$9,4),$J$6:$J$9,0))</f>
        <v>0</v>
      </c>
      <c r="E16" s="2">
        <f>INDEX($F$6:$F$9,MATCH(LARGE($J$6:$J$9,4),$J$6:$J$9,0))</f>
        <v>0</v>
      </c>
      <c r="F16" s="57">
        <f>INDEX($H$6:$H$9,MATCH(LARGE($J$6:$J$9,4),$J$6:$J$9,0))</f>
        <v>0</v>
      </c>
      <c r="G16" s="58">
        <f>INDEX($I$6:$I$9,MATCH(LARGE($J$6:$J$9,4),$J$6:$J$9,0))</f>
        <v>12</v>
      </c>
      <c r="H16" s="61" t="s">
        <v>227</v>
      </c>
    </row>
    <row r="18" spans="1:4" ht="15" customHeight="1" x14ac:dyDescent="0.25">
      <c r="A18" s="11" t="s">
        <v>228</v>
      </c>
    </row>
    <row r="20" spans="1:4" ht="15" customHeight="1" x14ac:dyDescent="0.25">
      <c r="A20" s="73" t="s">
        <v>229</v>
      </c>
      <c r="B20" s="73"/>
      <c r="C20" s="73"/>
      <c r="D20" s="73"/>
    </row>
    <row r="21" spans="1:4" ht="21.75" customHeight="1" x14ac:dyDescent="0.25">
      <c r="A21" s="41" t="s">
        <v>106</v>
      </c>
      <c r="B21" s="41" t="s">
        <v>230</v>
      </c>
      <c r="C21" s="41" t="s">
        <v>231</v>
      </c>
      <c r="D21" s="41" t="s">
        <v>232</v>
      </c>
    </row>
    <row r="22" spans="1:4" ht="15" customHeight="1" x14ac:dyDescent="0.25">
      <c r="A22" s="45" t="str">
        <f>$A$6</f>
        <v>Player 4</v>
      </c>
      <c r="B22" s="14">
        <v>55</v>
      </c>
      <c r="C22" s="14">
        <v>60</v>
      </c>
      <c r="D22" s="44">
        <f>ABS(B22-C22)</f>
        <v>5</v>
      </c>
    </row>
    <row r="23" spans="1:4" ht="15" customHeight="1" x14ac:dyDescent="0.25">
      <c r="A23" s="45" t="str">
        <f>$A$7</f>
        <v>Player 8</v>
      </c>
      <c r="B23" s="14">
        <v>61</v>
      </c>
      <c r="C23" s="2">
        <f>C22</f>
        <v>60</v>
      </c>
      <c r="D23" s="44">
        <f>ABS(B23-C23)</f>
        <v>1</v>
      </c>
    </row>
    <row r="24" spans="1:4" ht="15" customHeight="1" x14ac:dyDescent="0.25">
      <c r="A24" s="45" t="str">
        <f>$A$8</f>
        <v>Player 1</v>
      </c>
      <c r="B24" s="14">
        <v>0</v>
      </c>
      <c r="C24" s="2">
        <f>C22</f>
        <v>60</v>
      </c>
      <c r="D24" s="44">
        <f>ABS(B24-C24)</f>
        <v>60</v>
      </c>
    </row>
    <row r="25" spans="1:4" ht="15" customHeight="1" x14ac:dyDescent="0.25">
      <c r="A25" s="45" t="str">
        <f>$A$9</f>
        <v>Player 12</v>
      </c>
      <c r="B25" s="14">
        <v>0</v>
      </c>
      <c r="C25" s="2">
        <f>C22</f>
        <v>60</v>
      </c>
      <c r="D25" s="44">
        <f>ABS(B25-C25)</f>
        <v>60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F18" sqref="F18"/>
    </sheetView>
  </sheetViews>
  <sheetFormatPr defaultColWidth="8.7109375" defaultRowHeight="15" x14ac:dyDescent="0.25"/>
  <cols>
    <col min="1" max="1" width="5" customWidth="1"/>
    <col min="2" max="3" width="14" customWidth="1"/>
  </cols>
  <sheetData>
    <row r="1" spans="1:3" ht="15.75" x14ac:dyDescent="0.25">
      <c r="A1" s="82" t="s">
        <v>95</v>
      </c>
      <c r="B1" s="82"/>
      <c r="C1" s="82"/>
    </row>
    <row r="2" spans="1:3" ht="23.85" customHeight="1" x14ac:dyDescent="0.25">
      <c r="A2" s="83" t="s">
        <v>96</v>
      </c>
      <c r="B2" s="83"/>
      <c r="C2" s="83"/>
    </row>
    <row r="3" spans="1:3" ht="37.35" customHeight="1" x14ac:dyDescent="0.25">
      <c r="A3" s="84" t="s">
        <v>97</v>
      </c>
      <c r="B3" s="84"/>
      <c r="C3" s="84"/>
    </row>
    <row r="5" spans="1:3" x14ac:dyDescent="0.25">
      <c r="A5" s="85" t="s">
        <v>98</v>
      </c>
      <c r="B5" s="85"/>
      <c r="C5" s="85"/>
    </row>
    <row r="6" spans="1:3" x14ac:dyDescent="0.25">
      <c r="A6" s="16" t="s">
        <v>36</v>
      </c>
      <c r="B6" s="16" t="s">
        <v>99</v>
      </c>
      <c r="C6" s="16" t="s">
        <v>100</v>
      </c>
    </row>
    <row r="7" spans="1:3" x14ac:dyDescent="0.25">
      <c r="A7" s="17">
        <v>1</v>
      </c>
      <c r="B7" s="18" t="s">
        <v>278</v>
      </c>
      <c r="C7" s="18" t="s">
        <v>279</v>
      </c>
    </row>
    <row r="8" spans="1:3" x14ac:dyDescent="0.25">
      <c r="A8" s="17">
        <v>2</v>
      </c>
      <c r="B8" s="18" t="s">
        <v>280</v>
      </c>
      <c r="C8" s="18" t="s">
        <v>281</v>
      </c>
    </row>
    <row r="9" spans="1:3" x14ac:dyDescent="0.25">
      <c r="A9" s="17">
        <v>3</v>
      </c>
      <c r="B9" s="18" t="s">
        <v>282</v>
      </c>
      <c r="C9" s="18" t="s">
        <v>283</v>
      </c>
    </row>
    <row r="10" spans="1:3" x14ac:dyDescent="0.25">
      <c r="A10" s="17">
        <v>4</v>
      </c>
      <c r="B10" s="18" t="s">
        <v>284</v>
      </c>
      <c r="C10" s="18" t="s">
        <v>285</v>
      </c>
    </row>
    <row r="11" spans="1:3" x14ac:dyDescent="0.25">
      <c r="A11" s="17">
        <v>5</v>
      </c>
      <c r="B11" s="18"/>
      <c r="C11" s="18"/>
    </row>
    <row r="12" spans="1:3" x14ac:dyDescent="0.25">
      <c r="A12" s="17">
        <v>6</v>
      </c>
      <c r="B12" s="18"/>
      <c r="C12" s="18"/>
    </row>
    <row r="14" spans="1:3" x14ac:dyDescent="0.25">
      <c r="A14" s="86" t="s">
        <v>101</v>
      </c>
      <c r="B14" s="86"/>
      <c r="C14" s="86"/>
    </row>
    <row r="15" spans="1:3" x14ac:dyDescent="0.25">
      <c r="A15" s="16" t="s">
        <v>36</v>
      </c>
      <c r="B15" s="16" t="s">
        <v>99</v>
      </c>
      <c r="C15" s="16" t="s">
        <v>100</v>
      </c>
    </row>
    <row r="16" spans="1:3" x14ac:dyDescent="0.25">
      <c r="A16" s="17">
        <v>1</v>
      </c>
      <c r="B16" s="18" t="s">
        <v>279</v>
      </c>
      <c r="C16" s="18" t="s">
        <v>282</v>
      </c>
    </row>
    <row r="17" spans="1:3" x14ac:dyDescent="0.25">
      <c r="A17" s="17">
        <v>2</v>
      </c>
      <c r="B17" s="18" t="s">
        <v>281</v>
      </c>
      <c r="C17" s="18" t="s">
        <v>284</v>
      </c>
    </row>
    <row r="18" spans="1:3" x14ac:dyDescent="0.25">
      <c r="A18" s="17">
        <v>3</v>
      </c>
      <c r="B18" s="18"/>
      <c r="C18" s="18"/>
    </row>
    <row r="19" spans="1:3" x14ac:dyDescent="0.25">
      <c r="A19" s="17">
        <v>4</v>
      </c>
      <c r="B19" s="18"/>
      <c r="C19" s="18"/>
    </row>
    <row r="21" spans="1:3" x14ac:dyDescent="0.25">
      <c r="A21" s="80" t="s">
        <v>102</v>
      </c>
      <c r="B21" s="80"/>
      <c r="C21" s="80"/>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81" t="s">
        <v>103</v>
      </c>
      <c r="B26" s="81"/>
      <c r="C26" s="81"/>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2" t="s">
        <v>104</v>
      </c>
      <c r="B1" s="72"/>
      <c r="C1" s="72"/>
      <c r="D1" s="72"/>
      <c r="E1" s="72"/>
      <c r="F1" s="72"/>
      <c r="G1" s="72"/>
      <c r="H1" s="72"/>
      <c r="I1" s="72"/>
      <c r="J1" s="72"/>
      <c r="K1" s="72"/>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3" t="s">
        <v>136</v>
      </c>
      <c r="B69" s="73"/>
      <c r="C69" s="73"/>
      <c r="D69" s="73"/>
      <c r="E69" s="73"/>
      <c r="F69" s="73"/>
      <c r="G69" s="73"/>
      <c r="H69" s="73"/>
      <c r="I69" s="73"/>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3" t="s">
        <v>143</v>
      </c>
      <c r="B89" s="73"/>
      <c r="C89" s="73"/>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10" sqref="F10"/>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286</v>
      </c>
      <c r="C7" s="69" t="s">
        <v>287</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2026-09-03T17:24:47Z</dcterms:modified>
  <dc:language>en-US</dc:language>
</cp:coreProperties>
</file>